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Mynn Data" sheetId="2" r:id="rId6"/>
    <sheet state="visible" name="Gemtre data " sheetId="3" r:id="rId7"/>
    <sheet state="visible" name="Sheet5" sheetId="4" r:id="rId8"/>
    <sheet state="visible" name="mynn template and blank templat" sheetId="5" r:id="rId9"/>
    <sheet state="visible" name="gemstone template" sheetId="6" r:id="rId10"/>
    <sheet state="visible" name=" data mynn and blank" sheetId="7" r:id="rId11"/>
    <sheet state="visible" name="gemtre data" sheetId="8" r:id="rId12"/>
    <sheet state="visible" name="Sheet2" sheetId="9" r:id="rId13"/>
    <sheet state="visible" name="Stop" sheetId="10" r:id="rId14"/>
    <sheet state="visible" name="mayatapi login detail" sheetId="11" r:id="rId15"/>
    <sheet state="visible" name="Imp" sheetId="12" r:id="rId16"/>
  </sheets>
  <definedNames>
    <definedName hidden="1" localSheetId="0" name="_xlnm._FilterDatabase">'Form responses 1'!$G$1:$G$1859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=query('Form responses 1'!B2:C,"select C,B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=FILTER({'Form responses 1'!C:C,'Form responses 1'!B:B},REGEXMATCH(lower('Form responses 1'!G:G),"gemtre"))
</t>
      </text>
    </comment>
  </commentList>
</comments>
</file>

<file path=xl/sharedStrings.xml><?xml version="1.0" encoding="utf-8"?>
<sst xmlns="http://schemas.openxmlformats.org/spreadsheetml/2006/main" count="28064" uniqueCount="2063">
  <si>
    <t>Timestamp</t>
  </si>
  <si>
    <t>Name</t>
  </si>
  <si>
    <t>Mobile</t>
  </si>
  <si>
    <t>Email ID</t>
  </si>
  <si>
    <t>What you are Looking For?</t>
  </si>
  <si>
    <t>Image</t>
  </si>
  <si>
    <t>Product - Brand</t>
  </si>
  <si>
    <t xml:space="preserve">Client </t>
  </si>
  <si>
    <t>Interested in</t>
  </si>
  <si>
    <t>Attended by</t>
  </si>
  <si>
    <t>Satish Kumar</t>
  </si>
  <si>
    <t>Gents Ring</t>
  </si>
  <si>
    <t>Indra Sood</t>
  </si>
  <si>
    <t>Diamond Ring</t>
  </si>
  <si>
    <t>Rajmala gupta</t>
  </si>
  <si>
    <t xml:space="preserve">Diamond </t>
  </si>
  <si>
    <t>VK Arora</t>
  </si>
  <si>
    <t>arorakunal193@gmail.com</t>
  </si>
  <si>
    <t>Crystal query</t>
  </si>
  <si>
    <t>Neha</t>
  </si>
  <si>
    <t>Nehabansal077@gmail.com</t>
  </si>
  <si>
    <t>Diamond ring</t>
  </si>
  <si>
    <t xml:space="preserve">Govind sharma </t>
  </si>
  <si>
    <t>Govindsharma2@gmail.com</t>
  </si>
  <si>
    <t>Diamond set</t>
  </si>
  <si>
    <t>Navneet jain</t>
  </si>
  <si>
    <t xml:space="preserve">Diamond ring </t>
  </si>
  <si>
    <t>Jitender</t>
  </si>
  <si>
    <t>Jitender suriyavanshan@gmail .com</t>
  </si>
  <si>
    <t>Gold</t>
  </si>
  <si>
    <t>Vinky Bansal</t>
  </si>
  <si>
    <t>vinkybansal93@gmail.com</t>
  </si>
  <si>
    <t>Prashant Trivedi</t>
  </si>
  <si>
    <t>prashant.101272@gmail.com</t>
  </si>
  <si>
    <t>Akhok makhija</t>
  </si>
  <si>
    <t>Sachin</t>
  </si>
  <si>
    <t>natural diamond -D-F/IF  , excellent,90 cent/1crt.</t>
  </si>
  <si>
    <t>Karuna Dalela</t>
  </si>
  <si>
    <t>karuna.dalela@gmail.com</t>
  </si>
  <si>
    <t xml:space="preserve">Earrings </t>
  </si>
  <si>
    <t>ashish nirmal Jain</t>
  </si>
  <si>
    <t xml:space="preserve">CVD Diamonds </t>
  </si>
  <si>
    <t xml:space="preserve">Poonam Daga </t>
  </si>
  <si>
    <t>Poonamdaga938@gmail.com</t>
  </si>
  <si>
    <t>Stone</t>
  </si>
  <si>
    <t>Pratima Gupta</t>
  </si>
  <si>
    <t xml:space="preserve">Ring </t>
  </si>
  <si>
    <t>https://drive.google.com/open?id=1xyMyTSw5VVlFyKwNjssv1uaOXfboIi6W</t>
  </si>
  <si>
    <t xml:space="preserve">Sushma </t>
  </si>
  <si>
    <t>Palak</t>
  </si>
  <si>
    <t>Palaks498765</t>
  </si>
  <si>
    <t>Ring</t>
  </si>
  <si>
    <t>Harsh</t>
  </si>
  <si>
    <t>harshallawdhi1986@gmail.com</t>
  </si>
  <si>
    <t>Rakhi Jain</t>
  </si>
  <si>
    <t>rakhipatodi@gmail.com</t>
  </si>
  <si>
    <t>diamond rings</t>
  </si>
  <si>
    <t>Akhil</t>
  </si>
  <si>
    <t xml:space="preserve">Yogesh Kumar </t>
  </si>
  <si>
    <t xml:space="preserve">yogeshchn2086@gmail.com </t>
  </si>
  <si>
    <t>Gems</t>
  </si>
  <si>
    <t xml:space="preserve">Neha </t>
  </si>
  <si>
    <t>Stones</t>
  </si>
  <si>
    <t>Ravi</t>
  </si>
  <si>
    <t>Dr.S. M. Zakariy</t>
  </si>
  <si>
    <t>Vijay Gupta</t>
  </si>
  <si>
    <t>https://drive.google.com/open?id=1klNDYrJfaqxDZhWf9GrA8U8AjM9YJz9Z</t>
  </si>
  <si>
    <t>Shariffudin</t>
  </si>
  <si>
    <t>1ct diamond ring</t>
  </si>
  <si>
    <t>Kamal Kuteja</t>
  </si>
  <si>
    <t>kairabags1984@gmail.com</t>
  </si>
  <si>
    <t>diamond ring</t>
  </si>
  <si>
    <t>Khush khanna</t>
  </si>
  <si>
    <t xml:space="preserve">Shaista Khan </t>
  </si>
  <si>
    <t>shaistakhan343@yahoo.in</t>
  </si>
  <si>
    <t>Arpita</t>
  </si>
  <si>
    <t>rashmi bhatia</t>
  </si>
  <si>
    <t>band style diamond ring</t>
  </si>
  <si>
    <t>Neetu Anjea</t>
  </si>
  <si>
    <t xml:space="preserve">diamond </t>
  </si>
  <si>
    <t xml:space="preserve">Deepak Dutta </t>
  </si>
  <si>
    <t>deepak.dutta82@gmail.com</t>
  </si>
  <si>
    <t xml:space="preserve">Solitaire </t>
  </si>
  <si>
    <t>Amit jain</t>
  </si>
  <si>
    <t>kapil</t>
  </si>
  <si>
    <t xml:space="preserve">diamond bangles </t>
  </si>
  <si>
    <t>Shahrukh kumar</t>
  </si>
  <si>
    <t>Sharukhkumar030@gmail.com</t>
  </si>
  <si>
    <t>sunil ji</t>
  </si>
  <si>
    <t xml:space="preserve">diamond ring designs </t>
  </si>
  <si>
    <t>keshav</t>
  </si>
  <si>
    <t>Honeybrar</t>
  </si>
  <si>
    <t>Pushpa rathi</t>
  </si>
  <si>
    <t>Indu Ahlawat</t>
  </si>
  <si>
    <t>Anju bhatia</t>
  </si>
  <si>
    <t>Anjubhatia497@gmail.com</t>
  </si>
  <si>
    <t>.50 pointer p set in rose gold</t>
  </si>
  <si>
    <t>https://drive.google.com/open?id=1ZjGde92fLSCdfJScizcNi-6tvGr1iRaT</t>
  </si>
  <si>
    <t>Anup</t>
  </si>
  <si>
    <t>https://drive.google.com/open?id=16ew4fN3x34oBrcIN1OCAXZ2lefgLXS2j</t>
  </si>
  <si>
    <t>Kheraj khatri</t>
  </si>
  <si>
    <t>Yellow Diamond</t>
  </si>
  <si>
    <t>Bhumi</t>
  </si>
  <si>
    <t>Bhumi.tree@gmail.com</t>
  </si>
  <si>
    <t>Indeejeet Kaur</t>
  </si>
  <si>
    <t>indeejeet88601@gmail.com</t>
  </si>
  <si>
    <t>diamond band type ring</t>
  </si>
  <si>
    <t xml:space="preserve">Rakhi Chauhan </t>
  </si>
  <si>
    <t>kumarirakhi31394@gmail.com</t>
  </si>
  <si>
    <t>Jyoti</t>
  </si>
  <si>
    <t xml:space="preserve">Harsh </t>
  </si>
  <si>
    <t>rajspidey688@gmail.com</t>
  </si>
  <si>
    <t>Aditi Khurana</t>
  </si>
  <si>
    <t>Aditi.khurana1309@gmail.com</t>
  </si>
  <si>
    <t>Rings</t>
  </si>
  <si>
    <t>Sunita Luthra</t>
  </si>
  <si>
    <t>ring</t>
  </si>
  <si>
    <t>Nirmal Sagar</t>
  </si>
  <si>
    <t>vikas jain</t>
  </si>
  <si>
    <t>Ladies Ring</t>
  </si>
  <si>
    <t>Anjana</t>
  </si>
  <si>
    <t>Aman</t>
  </si>
  <si>
    <t>Mukesh verma</t>
  </si>
  <si>
    <t>Vermamukesh057@gmail.com</t>
  </si>
  <si>
    <t>Laxmi</t>
  </si>
  <si>
    <t>Tulsi</t>
  </si>
  <si>
    <t>Mynn</t>
  </si>
  <si>
    <t>Renu Ahuja</t>
  </si>
  <si>
    <t>suresh.ahuja16@gmail.com</t>
  </si>
  <si>
    <t>Rachna</t>
  </si>
  <si>
    <t>Kinshu Gupta</t>
  </si>
  <si>
    <t>kisnhugupta1405@gmail.com</t>
  </si>
  <si>
    <t xml:space="preserve">Diamond Ring, Earrings </t>
  </si>
  <si>
    <t>shweta</t>
  </si>
  <si>
    <t>diamond Rings</t>
  </si>
  <si>
    <t xml:space="preserve">Jaspreet </t>
  </si>
  <si>
    <t xml:space="preserve">BR Rajnish </t>
  </si>
  <si>
    <t xml:space="preserve">
brrajnishyahoo.co.in</t>
  </si>
  <si>
    <t>Mrs.Ahuja</t>
  </si>
  <si>
    <t>Gents  Diamond Ring</t>
  </si>
  <si>
    <t>Vikash garg</t>
  </si>
  <si>
    <t>Pooja Verma</t>
  </si>
  <si>
    <t>pv600802@gmail.com</t>
  </si>
  <si>
    <t xml:space="preserve">diamond earrings </t>
  </si>
  <si>
    <t>Pulkit</t>
  </si>
  <si>
    <t>Gagan</t>
  </si>
  <si>
    <t>Sanjay Batra</t>
  </si>
  <si>
    <t>6  -7 cent</t>
  </si>
  <si>
    <t xml:space="preserve">Shyaam agarwal </t>
  </si>
  <si>
    <t>Renu Batra</t>
  </si>
  <si>
    <t>Kanchan ji</t>
  </si>
  <si>
    <t>Nisha tayal</t>
  </si>
  <si>
    <t>sonam aggarwal</t>
  </si>
  <si>
    <t>An u marketing</t>
  </si>
  <si>
    <t xml:space="preserve">Export enquiry </t>
  </si>
  <si>
    <t>Anita vaid</t>
  </si>
  <si>
    <t>vaidanita222@gmail.com</t>
  </si>
  <si>
    <t xml:space="preserve">Avdhesh kumar sharma </t>
  </si>
  <si>
    <t>Avdsharma30@gmail.com</t>
  </si>
  <si>
    <t>yashwant Awasthi</t>
  </si>
  <si>
    <t xml:space="preserve">Raksha </t>
  </si>
  <si>
    <t>Rajesh</t>
  </si>
  <si>
    <t>Deepti Singh</t>
  </si>
  <si>
    <t>deeptisingh0602@gmail.com</t>
  </si>
  <si>
    <t>2 ct. Earrings ,Band style Ring</t>
  </si>
  <si>
    <t>Jitender Kumar</t>
  </si>
  <si>
    <t>jitenderr4u@gmail.com</t>
  </si>
  <si>
    <t>Ladies Rings</t>
  </si>
  <si>
    <t>Rd gupta</t>
  </si>
  <si>
    <t>Darshan lal</t>
  </si>
  <si>
    <t>Saroj Jain</t>
  </si>
  <si>
    <t xml:space="preserve">Ladies Diamond Rings </t>
  </si>
  <si>
    <t>Roshni Devi</t>
  </si>
  <si>
    <t>Sheily</t>
  </si>
  <si>
    <t>Sheilygupta05@gmail.com</t>
  </si>
  <si>
    <t>Chanderkant gupta</t>
  </si>
  <si>
    <t>Seasonsfarm@rediffmail.com</t>
  </si>
  <si>
    <t>Ring gents 1ct ef vvs</t>
  </si>
  <si>
    <t>https://drive.google.com/open?id=1hQRefrlW1aCELz0hNF_GglwdG1MHmWTf</t>
  </si>
  <si>
    <t>Soniya</t>
  </si>
  <si>
    <t>Sushma Kumari</t>
  </si>
  <si>
    <t>sushmataranagar@gmail.com</t>
  </si>
  <si>
    <t>Earrings,Rings</t>
  </si>
  <si>
    <t>Manju mehra</t>
  </si>
  <si>
    <t>Saket</t>
  </si>
  <si>
    <t>Naveen</t>
  </si>
  <si>
    <t>Naveendigwal@gmail.com</t>
  </si>
  <si>
    <t>Kuljeetsingh</t>
  </si>
  <si>
    <t>Devender Singh</t>
  </si>
  <si>
    <t>Asha Verma</t>
  </si>
  <si>
    <t>Kavya</t>
  </si>
  <si>
    <t>Ashok</t>
  </si>
  <si>
    <t>Diamonds</t>
  </si>
  <si>
    <t>Deeksha Dhiman</t>
  </si>
  <si>
    <t>dikshhadhimaan25@gmail.com</t>
  </si>
  <si>
    <t>Ak sehgal</t>
  </si>
  <si>
    <t>Pinkey</t>
  </si>
  <si>
    <t>Nidhi tomar</t>
  </si>
  <si>
    <t xml:space="preserve">Anita Chaudhary </t>
  </si>
  <si>
    <t>Roma devi</t>
  </si>
  <si>
    <t>Ritesh</t>
  </si>
  <si>
    <t>Ritesh.mars@gmail.com</t>
  </si>
  <si>
    <t>Chanda</t>
  </si>
  <si>
    <t>Nikhat</t>
  </si>
  <si>
    <t>Anju</t>
  </si>
  <si>
    <t>Sona majumdar</t>
  </si>
  <si>
    <t xml:space="preserve">Vinay jain </t>
  </si>
  <si>
    <t>Ekta</t>
  </si>
  <si>
    <t xml:space="preserve">Reji </t>
  </si>
  <si>
    <t>Rejirchakogmail.com</t>
  </si>
  <si>
    <t>https://drive.google.com/open?id=12Sxy_2vXxlT479AFsbfO6otn8NtkfINW</t>
  </si>
  <si>
    <t>Varsha jain</t>
  </si>
  <si>
    <t>Ms. Jain</t>
  </si>
  <si>
    <t>Kanika Khanna</t>
  </si>
  <si>
    <t xml:space="preserve">Gents Ring , Earrings </t>
  </si>
  <si>
    <t>kiran</t>
  </si>
  <si>
    <t xml:space="preserve">Diamond Ring Band Style </t>
  </si>
  <si>
    <t xml:space="preserve">5 ct diamond ring </t>
  </si>
  <si>
    <t>Manish Tiwari</t>
  </si>
  <si>
    <t>Anita</t>
  </si>
  <si>
    <t>Amit soni</t>
  </si>
  <si>
    <t>Aman kumar</t>
  </si>
  <si>
    <t>Kanhaya</t>
  </si>
  <si>
    <t>sonali Gupta</t>
  </si>
  <si>
    <t>Kunjanm Kaur</t>
  </si>
  <si>
    <t>Hema Goel</t>
  </si>
  <si>
    <t xml:space="preserve">Daimond Ring Band style </t>
  </si>
  <si>
    <t>diamond</t>
  </si>
  <si>
    <t>Pradeep</t>
  </si>
  <si>
    <t>Kamal</t>
  </si>
  <si>
    <t>Anisha</t>
  </si>
  <si>
    <t>Akshat Jain</t>
  </si>
  <si>
    <t>Kada</t>
  </si>
  <si>
    <t>Yashita</t>
  </si>
  <si>
    <t>Ya.1008@gmail.com</t>
  </si>
  <si>
    <t>https://drive.google.com/open?id=1C0y13R3Ul2REyzNnJqJubJ2DZpuf9BcF</t>
  </si>
  <si>
    <t>lovely malik</t>
  </si>
  <si>
    <t>Ashok bansal</t>
  </si>
  <si>
    <t>Tanishq</t>
  </si>
  <si>
    <t>Gurneet</t>
  </si>
  <si>
    <t>Gurneet.vis@gmail.com</t>
  </si>
  <si>
    <t>https://drive.google.com/open?id=10JUUjLhUFVVIWILzSE750_9EFBM7UlW8</t>
  </si>
  <si>
    <t>Somesh Pasari</t>
  </si>
  <si>
    <t>rings</t>
  </si>
  <si>
    <t xml:space="preserve">Anurag agrawal </t>
  </si>
  <si>
    <t>https://drive.google.com/open?id=1e2qjF6KN9DN6_7gf1UBeQfpZQBvsbBah</t>
  </si>
  <si>
    <t>Kantika</t>
  </si>
  <si>
    <t>https://drive.google.com/open?id=1wYILRMchPNqO3JXzARzKcqbUzOsfWdhY</t>
  </si>
  <si>
    <t>Amarjeet singh</t>
  </si>
  <si>
    <t>https://drive.google.com/open?id=1_V4fzAcZCseIlSqNIpWf3u1JTP9aL0iw</t>
  </si>
  <si>
    <t>Nandani</t>
  </si>
  <si>
    <t>Simran</t>
  </si>
  <si>
    <t>Tabassum</t>
  </si>
  <si>
    <t>Nida</t>
  </si>
  <si>
    <t>Sumit</t>
  </si>
  <si>
    <t>Sumit66186@yahoo.com</t>
  </si>
  <si>
    <t>https://drive.google.com/open?id=1TpwgQpI_OSw3xx-AK5LSwuIqWqNiuzEX</t>
  </si>
  <si>
    <t>Himani</t>
  </si>
  <si>
    <t>Nisha Soni</t>
  </si>
  <si>
    <t>Arvinder singh</t>
  </si>
  <si>
    <t>https://drive.google.com/open?id=1pG1Jw8bQJ4rUjye2QM6OkfRdVa9d6hRg</t>
  </si>
  <si>
    <t>sparklingpetals2020@gmail.com</t>
  </si>
  <si>
    <t>diamond Necklace, Earrings</t>
  </si>
  <si>
    <t>Satya veer Singh yadav</t>
  </si>
  <si>
    <t>Svsyadav7@gmail.com</t>
  </si>
  <si>
    <t>https://drive.google.com/open?id=10796lRPa2LOgdXLN5UKclVkgxQhyEdOp</t>
  </si>
  <si>
    <t>Sachin Singhal</t>
  </si>
  <si>
    <t>Kanchan goyal</t>
  </si>
  <si>
    <t>Goyal.kanchan@yahoo.com</t>
  </si>
  <si>
    <t>Hema</t>
  </si>
  <si>
    <t>Aarti</t>
  </si>
  <si>
    <t xml:space="preserve">Chandarpal Singh </t>
  </si>
  <si>
    <t>Digwal</t>
  </si>
  <si>
    <t>Gents Diamond Ring</t>
  </si>
  <si>
    <t>Tanvi jii</t>
  </si>
  <si>
    <t xml:space="preserve">Gemstone </t>
  </si>
  <si>
    <t>Gemtre</t>
  </si>
  <si>
    <t>D. Khanna</t>
  </si>
  <si>
    <t>Sahab jii</t>
  </si>
  <si>
    <t xml:space="preserve">Irani Firoza </t>
  </si>
  <si>
    <t>Prajhal</t>
  </si>
  <si>
    <t xml:space="preserve">Nili </t>
  </si>
  <si>
    <t>Ashish jain</t>
  </si>
  <si>
    <t>Indu</t>
  </si>
  <si>
    <t>Karuna nidhan</t>
  </si>
  <si>
    <t>Chitra Tondon</t>
  </si>
  <si>
    <t xml:space="preserve">Yellow sapphire </t>
  </si>
  <si>
    <t>Poonam ji</t>
  </si>
  <si>
    <t xml:space="preserve">Iolite </t>
  </si>
  <si>
    <t>Gemtre - Gemstones</t>
  </si>
  <si>
    <t xml:space="preserve">Rakhi </t>
  </si>
  <si>
    <t>Yogesh</t>
  </si>
  <si>
    <t>Emerald, coral</t>
  </si>
  <si>
    <t>Ruchi</t>
  </si>
  <si>
    <t>Opal</t>
  </si>
  <si>
    <t xml:space="preserve">Akash ji </t>
  </si>
  <si>
    <t>Sargam ji</t>
  </si>
  <si>
    <t xml:space="preserve">Bracelet </t>
  </si>
  <si>
    <t>Vinita khandelwal</t>
  </si>
  <si>
    <t xml:space="preserve">Firoza Bracelet </t>
  </si>
  <si>
    <t>Ajay ji</t>
  </si>
  <si>
    <t>Ruby mala</t>
  </si>
  <si>
    <t>pooja Sahu</t>
  </si>
  <si>
    <t>Mynn - Lab Grown Diamonds</t>
  </si>
  <si>
    <t xml:space="preserve">Jinder ji </t>
  </si>
  <si>
    <t xml:space="preserve">Blue sapphire </t>
  </si>
  <si>
    <t xml:space="preserve">Hessonite </t>
  </si>
  <si>
    <t>Lalit Kumar</t>
  </si>
  <si>
    <t xml:space="preserve">Anju </t>
  </si>
  <si>
    <t xml:space="preserve">Himanshu ji </t>
  </si>
  <si>
    <t xml:space="preserve">Emerald </t>
  </si>
  <si>
    <t xml:space="preserve">Jai bhawan </t>
  </si>
  <si>
    <t xml:space="preserve">1to 14 mukhi Rudraksha mala </t>
  </si>
  <si>
    <t xml:space="preserve">Roshni </t>
  </si>
  <si>
    <t>Emerald ring</t>
  </si>
  <si>
    <t>Naveen ji</t>
  </si>
  <si>
    <t>seema Tills</t>
  </si>
  <si>
    <t>seema.tills@gmail.com</t>
  </si>
  <si>
    <t>Kamal ji</t>
  </si>
  <si>
    <t>Oils defeser</t>
  </si>
  <si>
    <t>Seema tills</t>
  </si>
  <si>
    <t>Seema.tills@gmail.com</t>
  </si>
  <si>
    <t>Sudhir kumar</t>
  </si>
  <si>
    <t xml:space="preserve">Sk </t>
  </si>
  <si>
    <t xml:space="preserve">Rudraksha </t>
  </si>
  <si>
    <t>Promila</t>
  </si>
  <si>
    <t>ppp</t>
  </si>
  <si>
    <t>Joginder Singh</t>
  </si>
  <si>
    <t>Sk gupta</t>
  </si>
  <si>
    <t>Amit kumar</t>
  </si>
  <si>
    <t xml:space="preserve">Ajay </t>
  </si>
  <si>
    <t xml:space="preserve">Manoj </t>
  </si>
  <si>
    <t>Pukhraj, ruby</t>
  </si>
  <si>
    <t>Ahmed</t>
  </si>
  <si>
    <t xml:space="preserve">Evil eye bracelet </t>
  </si>
  <si>
    <t xml:space="preserve">Sonu aggrawal </t>
  </si>
  <si>
    <t xml:space="preserve">Pyrite &amp; Amthyest </t>
  </si>
  <si>
    <t xml:space="preserve">Lalit kumar </t>
  </si>
  <si>
    <t>Vivek</t>
  </si>
  <si>
    <t>Vandana Jindal</t>
  </si>
  <si>
    <t>Diamond Ladies Ring</t>
  </si>
  <si>
    <t xml:space="preserve">Ekta </t>
  </si>
  <si>
    <t>Induu</t>
  </si>
  <si>
    <t>Induchopra2611@gmail.com</t>
  </si>
  <si>
    <t xml:space="preserve">Earings </t>
  </si>
  <si>
    <t>https://drive.google.com/open?id=1TLeredC5TbZBgAsQe_2VVewbG3MeRJ0f</t>
  </si>
  <si>
    <t>vaishali Jain</t>
  </si>
  <si>
    <t>vaishalijainrkt@gmail.com</t>
  </si>
  <si>
    <t>earrings</t>
  </si>
  <si>
    <t xml:space="preserve">Dushyant </t>
  </si>
  <si>
    <t>Dushyant84kumar@gmail</t>
  </si>
  <si>
    <t>https://drive.google.com/open?id=1li9AhYQWyBdctrwQYjJEnUsK1hWifLVF</t>
  </si>
  <si>
    <t>Umesh</t>
  </si>
  <si>
    <t>Pawan trehan</t>
  </si>
  <si>
    <t>https://drive.google.com/open?id=1h07BWSiWtfhW3tStXzcy5p53nt5lymJE</t>
  </si>
  <si>
    <t>Larika</t>
  </si>
  <si>
    <t>Larikaazad@gmail.com</t>
  </si>
  <si>
    <t>Parvati</t>
  </si>
  <si>
    <t>Neeru</t>
  </si>
  <si>
    <t>Earrings,nose pins</t>
  </si>
  <si>
    <t xml:space="preserve">Mohammad Khalid </t>
  </si>
  <si>
    <t xml:space="preserve">Gayatri </t>
  </si>
  <si>
    <t>Nose Pin</t>
  </si>
  <si>
    <t>Nisha</t>
  </si>
  <si>
    <t>Rajiv</t>
  </si>
  <si>
    <t>ms Sunila Jain</t>
  </si>
  <si>
    <t>jainpranjal06@gmail.com</t>
  </si>
  <si>
    <t xml:space="preserve">soniya Khanna </t>
  </si>
  <si>
    <t>Khannasoniya850@gmail.com</t>
  </si>
  <si>
    <t xml:space="preserve">Vivek </t>
  </si>
  <si>
    <t xml:space="preserve">Ruchika </t>
  </si>
  <si>
    <t>Seema</t>
  </si>
  <si>
    <t xml:space="preserve">Ganesh </t>
  </si>
  <si>
    <t>Fire opal</t>
  </si>
  <si>
    <t>sumit Garg</t>
  </si>
  <si>
    <t>leeladharghanshyamdaass@gmail.com</t>
  </si>
  <si>
    <t>Gents diamond ring</t>
  </si>
  <si>
    <t>sanyam Garg</t>
  </si>
  <si>
    <t>diamond Ring</t>
  </si>
  <si>
    <t>Sanjeev</t>
  </si>
  <si>
    <t>Rohit</t>
  </si>
  <si>
    <t>Bhupendra ji</t>
  </si>
  <si>
    <t xml:space="preserve">Neelam stone 8.50 Ratti Bangkok </t>
  </si>
  <si>
    <t xml:space="preserve">Piyush gupta </t>
  </si>
  <si>
    <t xml:space="preserve">Akash </t>
  </si>
  <si>
    <t xml:space="preserve">Naveen ji </t>
  </si>
  <si>
    <t xml:space="preserve">Push Pender </t>
  </si>
  <si>
    <t xml:space="preserve">Lapis pyramid, </t>
  </si>
  <si>
    <t>Surender</t>
  </si>
  <si>
    <t xml:space="preserve">Poonam khandelwal </t>
  </si>
  <si>
    <t>Geeta</t>
  </si>
  <si>
    <t>Naval Singh</t>
  </si>
  <si>
    <t xml:space="preserve">Amit </t>
  </si>
  <si>
    <t>amit.mittal703@gmail.com</t>
  </si>
  <si>
    <t>Hushma</t>
  </si>
  <si>
    <t>https://drive.google.com/open?id=1IrsW5fF4haXcSyczw1YBEkcIzcppVDgT</t>
  </si>
  <si>
    <t xml:space="preserve">Shilpy Singhal </t>
  </si>
  <si>
    <t>ss6709@gmail.com</t>
  </si>
  <si>
    <t xml:space="preserve">diamond ring </t>
  </si>
  <si>
    <t>Veena ganesh</t>
  </si>
  <si>
    <t>Neelam</t>
  </si>
  <si>
    <t>Deepak Garg</t>
  </si>
  <si>
    <t>deepak1989garg@gmail.com</t>
  </si>
  <si>
    <t>Ushama</t>
  </si>
  <si>
    <t>Pramod kumar</t>
  </si>
  <si>
    <t>sadhna Gupta</t>
  </si>
  <si>
    <t>diamonds</t>
  </si>
  <si>
    <t>Guleriag01@gmail.com</t>
  </si>
  <si>
    <t xml:space="preserve">Mayank </t>
  </si>
  <si>
    <t>Vishal Kumar</t>
  </si>
  <si>
    <t>Sanjay gupta</t>
  </si>
  <si>
    <t>Earings 50cent</t>
  </si>
  <si>
    <t>Maitraa</t>
  </si>
  <si>
    <t>Matkadamb7@gmail.com</t>
  </si>
  <si>
    <t>renu</t>
  </si>
  <si>
    <t>dr.Nidhi Jain</t>
  </si>
  <si>
    <t>Dr Rita matho</t>
  </si>
  <si>
    <t>Sameer Denial</t>
  </si>
  <si>
    <t>samir2188denial@gmail.com</t>
  </si>
  <si>
    <t xml:space="preserve">rings </t>
  </si>
  <si>
    <t>Dr.ashu ghosla</t>
  </si>
  <si>
    <t>Yogesh Verma</t>
  </si>
  <si>
    <t>Preeti bhala</t>
  </si>
  <si>
    <t xml:space="preserve">Sunil </t>
  </si>
  <si>
    <t xml:space="preserve">Diamond Earrings </t>
  </si>
  <si>
    <t xml:space="preserve">Shailesh </t>
  </si>
  <si>
    <t>Inder</t>
  </si>
  <si>
    <t>Nitin</t>
  </si>
  <si>
    <t>Vijay Thakur</t>
  </si>
  <si>
    <t xml:space="preserve">Alka </t>
  </si>
  <si>
    <t>Neha sharma</t>
  </si>
  <si>
    <t>Ahen92@gmail.com</t>
  </si>
  <si>
    <t>Anjali</t>
  </si>
  <si>
    <t>Vasdevanjali@gmail.com</t>
  </si>
  <si>
    <t>Inder kaur</t>
  </si>
  <si>
    <t>rajumasi123@gmail.com</t>
  </si>
  <si>
    <t>Suresh Tanwar</t>
  </si>
  <si>
    <t>3ct pair 1lakh Cost with gold</t>
  </si>
  <si>
    <t>Jiteeshaa kadamb</t>
  </si>
  <si>
    <t>Jiteeshaakadamb@gmail.com</t>
  </si>
  <si>
    <t>Vikram Singh</t>
  </si>
  <si>
    <t>Radha Brijesh Pandey</t>
  </si>
  <si>
    <t>BRIJESH JI</t>
  </si>
  <si>
    <t xml:space="preserve">Emerald ring </t>
  </si>
  <si>
    <t>Varun patel</t>
  </si>
  <si>
    <t>Patelvarun1410@gmail.com</t>
  </si>
  <si>
    <t>https://drive.google.com/open?id=1bBORv75h5eTPuRGFOYWwQ_u-m_nsC2j8</t>
  </si>
  <si>
    <t>sanjay Tiwari</t>
  </si>
  <si>
    <t>sanjaytiwari1974@yahoo.in</t>
  </si>
  <si>
    <t>Gaurav sharma</t>
  </si>
  <si>
    <t>Gauravkanav@gmail.com</t>
  </si>
  <si>
    <t>Diamond 49333 round 2Ct</t>
  </si>
  <si>
    <t>https://drive.google.com/open?id=1NY24-gXA7RzXvTnDCmUMspX5hhtRsB5d</t>
  </si>
  <si>
    <t>Pintu</t>
  </si>
  <si>
    <t>Srimanta Kumar dey</t>
  </si>
  <si>
    <t>Srimanta_deyeyahoo.com.in</t>
  </si>
  <si>
    <t>Darpan Tyagi</t>
  </si>
  <si>
    <t>tyagidarpan13@gmail.com</t>
  </si>
  <si>
    <t>Boys Stud</t>
  </si>
  <si>
    <t>Kitty</t>
  </si>
  <si>
    <t>Ruchi Soni</t>
  </si>
  <si>
    <t>ruschisoni101@gmail.com</t>
  </si>
  <si>
    <t>Urmila</t>
  </si>
  <si>
    <t>urmilkumari6@gmail.com</t>
  </si>
  <si>
    <t xml:space="preserve">diamond ring for marriage purpose </t>
  </si>
  <si>
    <t>diksha Jain</t>
  </si>
  <si>
    <t>jaindiksha96@gmail.com</t>
  </si>
  <si>
    <t xml:space="preserve">earrings </t>
  </si>
  <si>
    <t>yogita</t>
  </si>
  <si>
    <t>diamond bangles (single line)</t>
  </si>
  <si>
    <t>Ritu</t>
  </si>
  <si>
    <t>yarshneyt123@gmail.com</t>
  </si>
  <si>
    <t>Diamond Gents Ring</t>
  </si>
  <si>
    <t>Shubham</t>
  </si>
  <si>
    <t>shubhambhardwaj4786@gmail.com</t>
  </si>
  <si>
    <t>Laxmi  Challa</t>
  </si>
  <si>
    <t>challalaxmikantha@gmail.com</t>
  </si>
  <si>
    <t>Vinita</t>
  </si>
  <si>
    <t>Atul Kumar</t>
  </si>
  <si>
    <t>Manish lodi</t>
  </si>
  <si>
    <t>manishlodi099@gmail.com</t>
  </si>
  <si>
    <t xml:space="preserve">Jewellery </t>
  </si>
  <si>
    <t>Amita</t>
  </si>
  <si>
    <t>https://drive.google.com/open?id=173WWU5sNdv247L94rwpekiujnxzGPcod</t>
  </si>
  <si>
    <t xml:space="preserve">Rajendra </t>
  </si>
  <si>
    <t>Siddhartha</t>
  </si>
  <si>
    <t>Jyoti ji</t>
  </si>
  <si>
    <t xml:space="preserve">Zircon stone </t>
  </si>
  <si>
    <t>Hari Om</t>
  </si>
  <si>
    <t>hari.om@jimsindia.org</t>
  </si>
  <si>
    <t>Priya</t>
  </si>
  <si>
    <t>Surbhi</t>
  </si>
  <si>
    <t>surbhirathi123@gmail.com</t>
  </si>
  <si>
    <t>Sahil</t>
  </si>
  <si>
    <t>sahilpanchal8295407030@gmail.com</t>
  </si>
  <si>
    <t xml:space="preserve">Mohit </t>
  </si>
  <si>
    <t>Shivfat Mishra</t>
  </si>
  <si>
    <t>shivmishra5128@gmail.com</t>
  </si>
  <si>
    <t>Shalini Kansal</t>
  </si>
  <si>
    <t>shalinikansal69@gmail.com</t>
  </si>
  <si>
    <t xml:space="preserve">Ravi Kant </t>
  </si>
  <si>
    <t>Vinodmorkheriya@gmail.com</t>
  </si>
  <si>
    <t>Anil Kumar</t>
  </si>
  <si>
    <t>akanilkumar975@gmail.com</t>
  </si>
  <si>
    <t xml:space="preserve">Rakesh varma </t>
  </si>
  <si>
    <t>Rakeshvarma2525@gmail.com</t>
  </si>
  <si>
    <t>Subh</t>
  </si>
  <si>
    <t xml:space="preserve">Mohit ji </t>
  </si>
  <si>
    <t>Mohitkushwaha10@gmail.com</t>
  </si>
  <si>
    <t>Uma Shankar Singla</t>
  </si>
  <si>
    <t>Amit gauba</t>
  </si>
  <si>
    <t xml:space="preserve">Citrine </t>
  </si>
  <si>
    <t>Vikas Jain</t>
  </si>
  <si>
    <t>vikasjain_adv@yahoo.co.in</t>
  </si>
  <si>
    <t>Manju</t>
  </si>
  <si>
    <t>Khushi</t>
  </si>
  <si>
    <t>Divya</t>
  </si>
  <si>
    <t>Vishesh</t>
  </si>
  <si>
    <t xml:space="preserve">Kohinoor </t>
  </si>
  <si>
    <t>Amit Kumar chawla</t>
  </si>
  <si>
    <t>Gunjan Jain</t>
  </si>
  <si>
    <t>gunjan09.jain@gmail.com</t>
  </si>
  <si>
    <t xml:space="preserve">Diamond Rings Ladies </t>
  </si>
  <si>
    <t>Anushri</t>
  </si>
  <si>
    <t>anushrigarg2004@gmail.com</t>
  </si>
  <si>
    <t xml:space="preserve">Pradeep Kumar </t>
  </si>
  <si>
    <t>Mahesh Kumar</t>
  </si>
  <si>
    <t>arya.mahesh6162@gmail.com</t>
  </si>
  <si>
    <t>Mohan singh</t>
  </si>
  <si>
    <t xml:space="preserve">Priyanka </t>
  </si>
  <si>
    <t xml:space="preserve">Kimi </t>
  </si>
  <si>
    <t xml:space="preserve">Jyoti ji </t>
  </si>
  <si>
    <t>Ranjana</t>
  </si>
  <si>
    <t>Yogesh war</t>
  </si>
  <si>
    <t>Pooja</t>
  </si>
  <si>
    <t>Bronika</t>
  </si>
  <si>
    <t>Varsha bhatiya</t>
  </si>
  <si>
    <t xml:space="preserve">Dr karan singh </t>
  </si>
  <si>
    <t xml:space="preserve">Consultation </t>
  </si>
  <si>
    <t>Nargis</t>
  </si>
  <si>
    <t xml:space="preserve">Sayednargisahmed09@gmail.com </t>
  </si>
  <si>
    <t>Rashi</t>
  </si>
  <si>
    <t xml:space="preserve">Ektagupta0011@gmail.com </t>
  </si>
  <si>
    <t>Satyam</t>
  </si>
  <si>
    <t xml:space="preserve"> Tabassum </t>
  </si>
  <si>
    <t>Raman yadav</t>
  </si>
  <si>
    <t>Ramanraw2002@gmail.com</t>
  </si>
  <si>
    <t>Rana</t>
  </si>
  <si>
    <t xml:space="preserve">Kamal </t>
  </si>
  <si>
    <t>fauladru@gmail.con</t>
  </si>
  <si>
    <t>Bhram datt</t>
  </si>
  <si>
    <t>Lalita ji</t>
  </si>
  <si>
    <t>Tree</t>
  </si>
  <si>
    <t>Yogesh sharma</t>
  </si>
  <si>
    <t xml:space="preserve">Vandan ji </t>
  </si>
  <si>
    <t>Kitti</t>
  </si>
  <si>
    <t xml:space="preserve">Divya jii </t>
  </si>
  <si>
    <t>Jagdesh</t>
  </si>
  <si>
    <t>Lovely ji</t>
  </si>
  <si>
    <t>Jai ji</t>
  </si>
  <si>
    <t xml:space="preserve">Kavita rani </t>
  </si>
  <si>
    <t>https://drive.google.com/open?id=1tY6_YA2ipanPu3MIRV9fI1nEWhSUQLS2</t>
  </si>
  <si>
    <t>Aannaya ji</t>
  </si>
  <si>
    <t>Tarun</t>
  </si>
  <si>
    <t>Tarunbeha69@gmail.com</t>
  </si>
  <si>
    <t>Diamond stud</t>
  </si>
  <si>
    <t xml:space="preserve">Raju </t>
  </si>
  <si>
    <t xml:space="preserve">Diamond Ring Ladies </t>
  </si>
  <si>
    <t>Shaily ji</t>
  </si>
  <si>
    <t>Teena</t>
  </si>
  <si>
    <t xml:space="preserve">Madhu chabda ji </t>
  </si>
  <si>
    <t>https://drive.google.com/open?id=15Es3XX0QFTdhHi77a6UNUlkpZWM8qMjx</t>
  </si>
  <si>
    <t>Aksharaji</t>
  </si>
  <si>
    <t>Pawan</t>
  </si>
  <si>
    <t xml:space="preserve">Manish ji </t>
  </si>
  <si>
    <t>Vipul</t>
  </si>
  <si>
    <t>Sikha ji</t>
  </si>
  <si>
    <t>Kanisha</t>
  </si>
  <si>
    <t>Rahul</t>
  </si>
  <si>
    <t>Rahuljain1311@gmail.com</t>
  </si>
  <si>
    <t>Latika Sehgal</t>
  </si>
  <si>
    <t>Vicky</t>
  </si>
  <si>
    <t xml:space="preserve">Nikhil ji </t>
  </si>
  <si>
    <t>Nikhil321@gmail.com</t>
  </si>
  <si>
    <t>Lucky drow</t>
  </si>
  <si>
    <t>Ramshari singh</t>
  </si>
  <si>
    <t>Red coral</t>
  </si>
  <si>
    <t xml:space="preserve">Basu ji </t>
  </si>
  <si>
    <t>Rekha Goyal</t>
  </si>
  <si>
    <t>Apuravjain</t>
  </si>
  <si>
    <t>Naseem</t>
  </si>
  <si>
    <t>Sameer gupta</t>
  </si>
  <si>
    <t xml:space="preserve">Honey bhargav </t>
  </si>
  <si>
    <t>Hiteshroy6022@gmail.com</t>
  </si>
  <si>
    <t xml:space="preserve">Kitty and lucky drow </t>
  </si>
  <si>
    <t>Amit Kumar</t>
  </si>
  <si>
    <t>Aditya</t>
  </si>
  <si>
    <t>aadig2013@gmail.com</t>
  </si>
  <si>
    <t xml:space="preserve">Aswani Kumar </t>
  </si>
  <si>
    <t xml:space="preserve">Lucky drow </t>
  </si>
  <si>
    <t>Akasha</t>
  </si>
  <si>
    <t>Shivangi</t>
  </si>
  <si>
    <t xml:space="preserve">Pendant, earrings </t>
  </si>
  <si>
    <t>Gaurangi</t>
  </si>
  <si>
    <t>Preeti</t>
  </si>
  <si>
    <t xml:space="preserve">diamond Ring Ladies </t>
  </si>
  <si>
    <t>Mamta</t>
  </si>
  <si>
    <t>Anwar Ali</t>
  </si>
  <si>
    <t>Diamond</t>
  </si>
  <si>
    <t>Shasti</t>
  </si>
  <si>
    <t>Harisha</t>
  </si>
  <si>
    <t>Akanshi</t>
  </si>
  <si>
    <t>Neha jain</t>
  </si>
  <si>
    <t>Rakhi</t>
  </si>
  <si>
    <t xml:space="preserve">Vanshika </t>
  </si>
  <si>
    <t xml:space="preserve">K.k varma ji </t>
  </si>
  <si>
    <t>Sanjay</t>
  </si>
  <si>
    <t>pooja</t>
  </si>
  <si>
    <t xml:space="preserve">Priya Agarwal </t>
  </si>
  <si>
    <t xml:space="preserve">Sanjeev Kumar ji </t>
  </si>
  <si>
    <t>1ct pair total 2 ct for tops</t>
  </si>
  <si>
    <t xml:space="preserve">R R SHARMA </t>
  </si>
  <si>
    <t xml:space="preserve">sachit Aggarwal </t>
  </si>
  <si>
    <t>Swarnima Jain</t>
  </si>
  <si>
    <t>Shivam Giri</t>
  </si>
  <si>
    <t xml:space="preserve">Aniket ji </t>
  </si>
  <si>
    <t xml:space="preserve">Looking diamond </t>
  </si>
  <si>
    <t>Gurlal Singh</t>
  </si>
  <si>
    <t>Yashika</t>
  </si>
  <si>
    <t>yashikagarg2@gmail.com</t>
  </si>
  <si>
    <t>Ajay</t>
  </si>
  <si>
    <t xml:space="preserve">Gaurav singh </t>
  </si>
  <si>
    <t>Satish kumar</t>
  </si>
  <si>
    <t>Karan Arora</t>
  </si>
  <si>
    <t>www.karanarora@gmail.com</t>
  </si>
  <si>
    <t>Coins 10 grams mmtc</t>
  </si>
  <si>
    <t>Ritu sharma</t>
  </si>
  <si>
    <t>Diamond ring ladies</t>
  </si>
  <si>
    <t>Ladies diamond ring</t>
  </si>
  <si>
    <t>nidhi</t>
  </si>
  <si>
    <t>Achla Vig</t>
  </si>
  <si>
    <t>2 ct lg</t>
  </si>
  <si>
    <t>anurag Mathur</t>
  </si>
  <si>
    <t>Anirudh</t>
  </si>
  <si>
    <t>poorti Punj</t>
  </si>
  <si>
    <t>poorti303@gmail.com</t>
  </si>
  <si>
    <t>pooja sahu</t>
  </si>
  <si>
    <t>Manoj</t>
  </si>
  <si>
    <t xml:space="preserve">Pukhraj </t>
  </si>
  <si>
    <t>Sunita</t>
  </si>
  <si>
    <t>Dipta</t>
  </si>
  <si>
    <t>Vinod kumar</t>
  </si>
  <si>
    <t xml:space="preserve">Santosh </t>
  </si>
  <si>
    <t>Shikha</t>
  </si>
  <si>
    <t>Mayank</t>
  </si>
  <si>
    <t>Pawan kumar</t>
  </si>
  <si>
    <t>Hiteshi</t>
  </si>
  <si>
    <t>CP mishra</t>
  </si>
  <si>
    <t>Shivangi sharma</t>
  </si>
  <si>
    <t>Shilpa</t>
  </si>
  <si>
    <t>Parkash batra</t>
  </si>
  <si>
    <t xml:space="preserve">Saravjeet Sharma ji </t>
  </si>
  <si>
    <t>Lab grone 1.35ct</t>
  </si>
  <si>
    <t>Anil saini</t>
  </si>
  <si>
    <t xml:space="preserve">Wajiha </t>
  </si>
  <si>
    <t>Wajihaqueen123@gmail.com</t>
  </si>
  <si>
    <t>Rajneet kaur</t>
  </si>
  <si>
    <t>Rajneetwalia79@gmail.com</t>
  </si>
  <si>
    <t>Aribq</t>
  </si>
  <si>
    <t>Jatin verma</t>
  </si>
  <si>
    <t>Ankush jasuja</t>
  </si>
  <si>
    <t>Himanshi alagh</t>
  </si>
  <si>
    <t>Gomed stone</t>
  </si>
  <si>
    <t xml:space="preserve">Abhishek Kumar </t>
  </si>
  <si>
    <t>Kishu ji</t>
  </si>
  <si>
    <t>Anjum ji</t>
  </si>
  <si>
    <t xml:space="preserve">Divesh Kumar </t>
  </si>
  <si>
    <t>Pankaj singh</t>
  </si>
  <si>
    <t>Priya varshneya</t>
  </si>
  <si>
    <t>Tanshi</t>
  </si>
  <si>
    <t>Tanshighai10@gmail.com</t>
  </si>
  <si>
    <t>Nose pin</t>
  </si>
  <si>
    <t>Priyanka jii</t>
  </si>
  <si>
    <t>Kumud ji</t>
  </si>
  <si>
    <t>Sumit singh</t>
  </si>
  <si>
    <t xml:space="preserve">Yellow sapphire 8.25 ratti </t>
  </si>
  <si>
    <t>Rajesh kumar</t>
  </si>
  <si>
    <t>Jagbeender</t>
  </si>
  <si>
    <t xml:space="preserve">Blue sapphire 10ratti </t>
  </si>
  <si>
    <t>Inder ji</t>
  </si>
  <si>
    <t xml:space="preserve">S K gupta </t>
  </si>
  <si>
    <t>Anita jii</t>
  </si>
  <si>
    <t>Meena garg</t>
  </si>
  <si>
    <t>Vaishal jain</t>
  </si>
  <si>
    <t>Gyanendra ji</t>
  </si>
  <si>
    <t xml:space="preserve">Pyrite Bracelet </t>
  </si>
  <si>
    <t xml:space="preserve">Badal ji </t>
  </si>
  <si>
    <t xml:space="preserve">Yellow sapphire ring </t>
  </si>
  <si>
    <t xml:space="preserve">Nasim </t>
  </si>
  <si>
    <t xml:space="preserve">Furqan </t>
  </si>
  <si>
    <t>Abhishek sriwastav</t>
  </si>
  <si>
    <t>Only Lucky Draw</t>
  </si>
  <si>
    <t>Nitin sharma</t>
  </si>
  <si>
    <t>anjali</t>
  </si>
  <si>
    <t xml:space="preserve"> </t>
  </si>
  <si>
    <t>diamond Bracelets design</t>
  </si>
  <si>
    <t>Buyer</t>
  </si>
  <si>
    <t xml:space="preserve">Davinder nath </t>
  </si>
  <si>
    <t>Ayushi</t>
  </si>
  <si>
    <t>Monika</t>
  </si>
  <si>
    <t>nitin goyal</t>
  </si>
  <si>
    <t>Gunjan</t>
  </si>
  <si>
    <t>gg4049460@gmail.com</t>
  </si>
  <si>
    <t>sahiba kaur</t>
  </si>
  <si>
    <t>sahibakair1066@gmail.com</t>
  </si>
  <si>
    <t xml:space="preserve">Yashu </t>
  </si>
  <si>
    <t>Nidhi</t>
  </si>
  <si>
    <t>Payal Gupta</t>
  </si>
  <si>
    <t>diamond ring 3ct in gold ring</t>
  </si>
  <si>
    <t>Manisha Mynn</t>
  </si>
  <si>
    <t xml:space="preserve">Ranga nath jha </t>
  </si>
  <si>
    <t xml:space="preserve">Kitty </t>
  </si>
  <si>
    <t>Kitty Scheme</t>
  </si>
  <si>
    <t>Bhumika</t>
  </si>
  <si>
    <t>pawan</t>
  </si>
  <si>
    <t>boys Stud</t>
  </si>
  <si>
    <t xml:space="preserve">Abhishek </t>
  </si>
  <si>
    <t>Mukesh kumar</t>
  </si>
  <si>
    <t>silver ring</t>
  </si>
  <si>
    <t>ritika</t>
  </si>
  <si>
    <t>ritikac2121@gmail.com</t>
  </si>
  <si>
    <t>Jatika</t>
  </si>
  <si>
    <t>Jatikac2121@gmail.com</t>
  </si>
  <si>
    <t>Kusha sharma</t>
  </si>
  <si>
    <t>V.kusha03@gmail.com</t>
  </si>
  <si>
    <t>Abhishek kumar</t>
  </si>
  <si>
    <t>Fatima</t>
  </si>
  <si>
    <t>Suraj jii</t>
  </si>
  <si>
    <t>Manisha Gemtre</t>
  </si>
  <si>
    <t>Ranjan kumar sahu</t>
  </si>
  <si>
    <t xml:space="preserve">Nitin ji </t>
  </si>
  <si>
    <t xml:space="preserve">Bharat </t>
  </si>
  <si>
    <t>Nukhil</t>
  </si>
  <si>
    <t xml:space="preserve">Ruby stone </t>
  </si>
  <si>
    <t>Druve jii</t>
  </si>
  <si>
    <t>Mohd.faheem shamsi</t>
  </si>
  <si>
    <t>Soni bansal</t>
  </si>
  <si>
    <t>Anil Singharia</t>
  </si>
  <si>
    <t xml:space="preserve">diamond Ring male </t>
  </si>
  <si>
    <t>Sushila Garg</t>
  </si>
  <si>
    <t>surender tanwar</t>
  </si>
  <si>
    <t>deepanshu sharma</t>
  </si>
  <si>
    <t>Kajal sharma</t>
  </si>
  <si>
    <t>Pravin</t>
  </si>
  <si>
    <t>https://drive.google.com/open?id=1Qrvfht9tLmArKHMpKgDjPOHTNmi4d4XM</t>
  </si>
  <si>
    <t xml:space="preserve">Anil shingariya </t>
  </si>
  <si>
    <t>Sushmita</t>
  </si>
  <si>
    <t>www.sushmitasherawat10@gmail.com</t>
  </si>
  <si>
    <t>Rajesh Kumar</t>
  </si>
  <si>
    <t>Raw gold</t>
  </si>
  <si>
    <t>Bhavya</t>
  </si>
  <si>
    <t>Bhavyaj962@gmail.com</t>
  </si>
  <si>
    <t>Indu bisht</t>
  </si>
  <si>
    <t>usha</t>
  </si>
  <si>
    <t>diamond ring Ladies</t>
  </si>
  <si>
    <t>Guddu kumar</t>
  </si>
  <si>
    <t>Guddukumarji@gmail.com</t>
  </si>
  <si>
    <t xml:space="preserve">Ramesh ji </t>
  </si>
  <si>
    <t xml:space="preserve">Reena Sachdeva </t>
  </si>
  <si>
    <t>diamond earrings</t>
  </si>
  <si>
    <t>Vibha</t>
  </si>
  <si>
    <t>Anil kumar</t>
  </si>
  <si>
    <t>Anmol</t>
  </si>
  <si>
    <t>Jeevdhar2005@gmail.com</t>
  </si>
  <si>
    <t>Rethi</t>
  </si>
  <si>
    <t xml:space="preserve">Mahavir Prasad </t>
  </si>
  <si>
    <t xml:space="preserve">Monish </t>
  </si>
  <si>
    <t>Ayush</t>
  </si>
  <si>
    <t>Khandel.walayush2004@gmail.com</t>
  </si>
  <si>
    <t>Divyarajpurohit31@gmail.com</t>
  </si>
  <si>
    <t>Mayan gera</t>
  </si>
  <si>
    <t>Mayangera07@gmail.com</t>
  </si>
  <si>
    <t xml:space="preserve">Ashish Sharma </t>
  </si>
  <si>
    <t>Rajan</t>
  </si>
  <si>
    <t>Sparsh</t>
  </si>
  <si>
    <t>contact.sparshgulati@gmail.com</t>
  </si>
  <si>
    <t xml:space="preserve">Engagement Diamond ring </t>
  </si>
  <si>
    <t>https://drive.google.com/open?id=1w3FAyViOrL0J_P4CLnAhDOixazAKKDM-</t>
  </si>
  <si>
    <t>khushi sharma</t>
  </si>
  <si>
    <t xml:space="preserve">Deepa </t>
  </si>
  <si>
    <t xml:space="preserve">Bhushan </t>
  </si>
  <si>
    <t xml:space="preserve">Mukesh kumar </t>
  </si>
  <si>
    <t>Rohit soni</t>
  </si>
  <si>
    <t>Diamond ring gents</t>
  </si>
  <si>
    <t>Ishwari</t>
  </si>
  <si>
    <t>Gold ring , intrested in kitty</t>
  </si>
  <si>
    <t>Deep</t>
  </si>
  <si>
    <t>Deepjuneja@gmail.com</t>
  </si>
  <si>
    <t>Veera</t>
  </si>
  <si>
    <t>wimpykhanna@yahoo.com</t>
  </si>
  <si>
    <t>Ashok sagar</t>
  </si>
  <si>
    <t>Ashok.pintoo303@gmail.com</t>
  </si>
  <si>
    <t>Vijay</t>
  </si>
  <si>
    <t>VijSharma</t>
  </si>
  <si>
    <t>shalini Singh</t>
  </si>
  <si>
    <t>Dr.S kumar</t>
  </si>
  <si>
    <t xml:space="preserve">Sunaina </t>
  </si>
  <si>
    <t>Mamta ji</t>
  </si>
  <si>
    <t xml:space="preserve">Zeba </t>
  </si>
  <si>
    <t xml:space="preserve">Manisha </t>
  </si>
  <si>
    <t>Magdlini</t>
  </si>
  <si>
    <t>Jagtar singh</t>
  </si>
  <si>
    <t>Vinay</t>
  </si>
  <si>
    <t>Kunal</t>
  </si>
  <si>
    <t xml:space="preserve">Natural Diamond ring </t>
  </si>
  <si>
    <t>Varun sharma</t>
  </si>
  <si>
    <t>seema Garg</t>
  </si>
  <si>
    <t>Rekha</t>
  </si>
  <si>
    <t>Prem Kumar arora</t>
  </si>
  <si>
    <t>Pkarora1780058@gmail.com</t>
  </si>
  <si>
    <t xml:space="preserve">meenakshi </t>
  </si>
  <si>
    <t>vikas Singhal</t>
  </si>
  <si>
    <t>Dev</t>
  </si>
  <si>
    <t xml:space="preserve">Engagement ring </t>
  </si>
  <si>
    <t>Neha chauhan</t>
  </si>
  <si>
    <t xml:space="preserve">Sunita bansal </t>
  </si>
  <si>
    <t>Vinod</t>
  </si>
  <si>
    <t>Lavneet</t>
  </si>
  <si>
    <t>Mukul rustagi</t>
  </si>
  <si>
    <t>Mukulrustagi@yahoo.co.in</t>
  </si>
  <si>
    <t>Shikha rustagi</t>
  </si>
  <si>
    <t>Shikharustagi@gmail.com</t>
  </si>
  <si>
    <t xml:space="preserve">Deepika </t>
  </si>
  <si>
    <t>dtalwar92@gmail.com</t>
  </si>
  <si>
    <t>Deepak kumar</t>
  </si>
  <si>
    <t>Harman Deep Kaur</t>
  </si>
  <si>
    <t xml:space="preserve">Komal </t>
  </si>
  <si>
    <t xml:space="preserve">Diamond jewellery </t>
  </si>
  <si>
    <t>Shami khan</t>
  </si>
  <si>
    <t>Gopal Khurana</t>
  </si>
  <si>
    <t>Kishor sharma</t>
  </si>
  <si>
    <t>Diamond Stud</t>
  </si>
  <si>
    <t>Tushar Singh</t>
  </si>
  <si>
    <t>poonam Gupta</t>
  </si>
  <si>
    <t>Komal Chauhan</t>
  </si>
  <si>
    <t>Mukesh</t>
  </si>
  <si>
    <t>Samira</t>
  </si>
  <si>
    <t xml:space="preserve">Hemant Kumar </t>
  </si>
  <si>
    <t>tarun Mittal</t>
  </si>
  <si>
    <t>Amul</t>
  </si>
  <si>
    <t xml:space="preserve">Sushil kumar </t>
  </si>
  <si>
    <t xml:space="preserve">Jatinder </t>
  </si>
  <si>
    <t>Shikha agarwal</t>
  </si>
  <si>
    <t>Bangles</t>
  </si>
  <si>
    <t>Shuma</t>
  </si>
  <si>
    <t>https://drive.google.com/open?id=1o0ZfI4h1kVUZ7U5DQYu7B3qo9RTOAgWt</t>
  </si>
  <si>
    <t>Rajesh rathor</t>
  </si>
  <si>
    <t xml:space="preserve">Kunal Agarwal </t>
  </si>
  <si>
    <t>Aggarwalkunal56@gmail.com</t>
  </si>
  <si>
    <t>Vansh</t>
  </si>
  <si>
    <t>Singalvansh1000@gmail.com</t>
  </si>
  <si>
    <t xml:space="preserve">Puneet jain </t>
  </si>
  <si>
    <t xml:space="preserve">1.25 to 1.50 ct pc </t>
  </si>
  <si>
    <t>Shudanshu</t>
  </si>
  <si>
    <t xml:space="preserve">Lab grown Diamond ring </t>
  </si>
  <si>
    <t>Sunil garg</t>
  </si>
  <si>
    <t>Meenu Jain</t>
  </si>
  <si>
    <t xml:space="preserve">1ct diamond </t>
  </si>
  <si>
    <t xml:space="preserve">Aditi </t>
  </si>
  <si>
    <t>Priya sahi</t>
  </si>
  <si>
    <t xml:space="preserve">Harwrnder sahi ji </t>
  </si>
  <si>
    <t>Neha gupta</t>
  </si>
  <si>
    <t>Nehabasantgupta@gmail.com</t>
  </si>
  <si>
    <t xml:space="preserve">Jacket Solitaire </t>
  </si>
  <si>
    <t>Shefali</t>
  </si>
  <si>
    <t>Saurav</t>
  </si>
  <si>
    <t xml:space="preserve">sumit </t>
  </si>
  <si>
    <t>suraj</t>
  </si>
  <si>
    <t>Tisha</t>
  </si>
  <si>
    <t xml:space="preserve">diamond ring Ladies </t>
  </si>
  <si>
    <t>Aniket</t>
  </si>
  <si>
    <t xml:space="preserve">Gunjan shagal </t>
  </si>
  <si>
    <t>neetu suman</t>
  </si>
  <si>
    <t>Kashish Garg</t>
  </si>
  <si>
    <t>Jessica</t>
  </si>
  <si>
    <t>Meenu bhatiya</t>
  </si>
  <si>
    <t>Varsha kalra</t>
  </si>
  <si>
    <t xml:space="preserve">Yatharth </t>
  </si>
  <si>
    <t>Satya prakash tiwari</t>
  </si>
  <si>
    <t>Karishma</t>
  </si>
  <si>
    <t>Sapna Tokas</t>
  </si>
  <si>
    <t>diamond ring gents</t>
  </si>
  <si>
    <t xml:space="preserve">Harmeet ji </t>
  </si>
  <si>
    <t>Parveen</t>
  </si>
  <si>
    <t>Deepak Kumar</t>
  </si>
  <si>
    <t>Suresh arora</t>
  </si>
  <si>
    <t>Indu mittal</t>
  </si>
  <si>
    <t>Renu aggarwal</t>
  </si>
  <si>
    <t>p.k.p.Prakash</t>
  </si>
  <si>
    <t>couple rings</t>
  </si>
  <si>
    <t xml:space="preserve">Shalini </t>
  </si>
  <si>
    <t>Kakimaurya@gmail.com</t>
  </si>
  <si>
    <t>Reena Maurya</t>
  </si>
  <si>
    <t>Reenamaurya35@gmail.com</t>
  </si>
  <si>
    <t>Paayal</t>
  </si>
  <si>
    <t>Sachin cheema</t>
  </si>
  <si>
    <t>Abhinav nirvan</t>
  </si>
  <si>
    <t>Sandeep</t>
  </si>
  <si>
    <t>Sandeeprajpange0903@gmail.com</t>
  </si>
  <si>
    <t xml:space="preserve">Vaishaali </t>
  </si>
  <si>
    <t xml:space="preserve">Prashant Aggarwal </t>
  </si>
  <si>
    <t>Sarita</t>
  </si>
  <si>
    <t xml:space="preserve">Anand prakash </t>
  </si>
  <si>
    <t>K K Chopra</t>
  </si>
  <si>
    <t>Priyanka</t>
  </si>
  <si>
    <t>Sanjay singh</t>
  </si>
  <si>
    <t>Rajveer singh</t>
  </si>
  <si>
    <t>Rohit goyal</t>
  </si>
  <si>
    <t xml:space="preserve">Intrested </t>
  </si>
  <si>
    <t>https://drive.google.com/open?id=1DWjJRfWC5V2Nh03IrDVa4xusRtyFDWTt</t>
  </si>
  <si>
    <t>Sofia</t>
  </si>
  <si>
    <t>Urvashi</t>
  </si>
  <si>
    <t>Bharat</t>
  </si>
  <si>
    <t>Anitta Singh</t>
  </si>
  <si>
    <t>Mahesh verma</t>
  </si>
  <si>
    <t xml:space="preserve">Lokesh </t>
  </si>
  <si>
    <t xml:space="preserve">Kanchan </t>
  </si>
  <si>
    <t xml:space="preserve">Pankaj </t>
  </si>
  <si>
    <t>Vijay arora</t>
  </si>
  <si>
    <t>anitta</t>
  </si>
  <si>
    <t>Nikhil arora</t>
  </si>
  <si>
    <t>Harsh Pathak</t>
  </si>
  <si>
    <t>Harshpathak0707@gmail.com</t>
  </si>
  <si>
    <t>Harsh pathak</t>
  </si>
  <si>
    <t>harshpathak0707@gmail.com</t>
  </si>
  <si>
    <t>Neha Sah</t>
  </si>
  <si>
    <t>Roobi</t>
  </si>
  <si>
    <t>Nikhil Jain</t>
  </si>
  <si>
    <t>Njain5028@gmail.com</t>
  </si>
  <si>
    <t>Ritika baghel</t>
  </si>
  <si>
    <t>2001ritikamk@gmail.com</t>
  </si>
  <si>
    <t xml:space="preserve">Sunil Sachdeva </t>
  </si>
  <si>
    <t>kailash Kapoor</t>
  </si>
  <si>
    <t>Anshika</t>
  </si>
  <si>
    <t>HC jain</t>
  </si>
  <si>
    <t>Meenakshi Gupta</t>
  </si>
  <si>
    <t>Bhavna</t>
  </si>
  <si>
    <t xml:space="preserve">Yash </t>
  </si>
  <si>
    <t>Kavita</t>
  </si>
  <si>
    <t>Rajkumar</t>
  </si>
  <si>
    <t>laxmi Chauhan</t>
  </si>
  <si>
    <t>Raj Kumar</t>
  </si>
  <si>
    <t xml:space="preserve">Ravinder choudhry </t>
  </si>
  <si>
    <t>Rita gupta</t>
  </si>
  <si>
    <t>Ishu</t>
  </si>
  <si>
    <t>Munesh</t>
  </si>
  <si>
    <t>Ashok Suri</t>
  </si>
  <si>
    <t xml:space="preserve">diamond rings for marriage </t>
  </si>
  <si>
    <t>Sudarshan kumar</t>
  </si>
  <si>
    <t>Tripta Chopra</t>
  </si>
  <si>
    <t xml:space="preserve">diamond Bangles </t>
  </si>
  <si>
    <t>Manisha Gupta</t>
  </si>
  <si>
    <t>Harish Kumar goyel</t>
  </si>
  <si>
    <t>1ct lab grone diamond f colour vvs1</t>
  </si>
  <si>
    <t>Nancy</t>
  </si>
  <si>
    <t>Namita</t>
  </si>
  <si>
    <t>sunita</t>
  </si>
  <si>
    <t xml:space="preserve">DN Aggarwal </t>
  </si>
  <si>
    <t>Sakshi Yadav</t>
  </si>
  <si>
    <t>Arun gupta</t>
  </si>
  <si>
    <t>Mr jay</t>
  </si>
  <si>
    <t>Rajiv singh</t>
  </si>
  <si>
    <t xml:space="preserve">Rajan Agarwal </t>
  </si>
  <si>
    <t>Nahi chopra</t>
  </si>
  <si>
    <t>Meenu dhuria</t>
  </si>
  <si>
    <t>Garima goyal</t>
  </si>
  <si>
    <t>Intrested in Kitty</t>
  </si>
  <si>
    <t>Chanchal sharma</t>
  </si>
  <si>
    <t>Pritpal singh</t>
  </si>
  <si>
    <t xml:space="preserve">Pritpal </t>
  </si>
  <si>
    <t>Pramod kumarpal</t>
  </si>
  <si>
    <t>Ajit singh</t>
  </si>
  <si>
    <t xml:space="preserve">Lata Singh </t>
  </si>
  <si>
    <t>munender</t>
  </si>
  <si>
    <t xml:space="preserve">Shreshta </t>
  </si>
  <si>
    <t>Bhawna gupta</t>
  </si>
  <si>
    <t>Rajesh Goyal</t>
  </si>
  <si>
    <t>Faheem</t>
  </si>
  <si>
    <t>Diamond ring (290)</t>
  </si>
  <si>
    <t>https://drive.google.com/open?id=18m6iZMJNGNXwrCmnq86r-tysBYIKIBae</t>
  </si>
  <si>
    <t>Deepika</t>
  </si>
  <si>
    <t xml:space="preserve">Payal gupta </t>
  </si>
  <si>
    <t>Rajiya</t>
  </si>
  <si>
    <t>Lallu</t>
  </si>
  <si>
    <t xml:space="preserve">Amit Jain </t>
  </si>
  <si>
    <t>Aruna Jain</t>
  </si>
  <si>
    <t>Manya</t>
  </si>
  <si>
    <t xml:space="preserve">Poonam </t>
  </si>
  <si>
    <t>Radhika</t>
  </si>
  <si>
    <t xml:space="preserve">Isha </t>
  </si>
  <si>
    <t>Sapna Khanna</t>
  </si>
  <si>
    <t xml:space="preserve">Mukesh Chand jain </t>
  </si>
  <si>
    <t>Dharmender kumar</t>
  </si>
  <si>
    <t xml:space="preserve">Avtar Singh </t>
  </si>
  <si>
    <t>Renu rajan</t>
  </si>
  <si>
    <t>Anuj sharma</t>
  </si>
  <si>
    <t>Sonu bansal</t>
  </si>
  <si>
    <t>Deepant sharma</t>
  </si>
  <si>
    <t xml:space="preserve">Sunil Agarwal </t>
  </si>
  <si>
    <t>Hazari lal</t>
  </si>
  <si>
    <t>Mayank mittal</t>
  </si>
  <si>
    <t>Alash sharma</t>
  </si>
  <si>
    <t>Yogesh hunda</t>
  </si>
  <si>
    <t>Anil Das</t>
  </si>
  <si>
    <t>Pushpa Verma</t>
  </si>
  <si>
    <t>Pancham</t>
  </si>
  <si>
    <t xml:space="preserve">Rahul ji </t>
  </si>
  <si>
    <t>Varun Jain</t>
  </si>
  <si>
    <t>Hitesh</t>
  </si>
  <si>
    <t>S.k birla</t>
  </si>
  <si>
    <t xml:space="preserve">Preeti </t>
  </si>
  <si>
    <t>Manu Lamba</t>
  </si>
  <si>
    <t xml:space="preserve">diamond nose pin </t>
  </si>
  <si>
    <t>Sameer</t>
  </si>
  <si>
    <t>https://drive.google.com/open?id=18sWYJJHJyUlFnR8lTBtojTJC1URmhXJQ</t>
  </si>
  <si>
    <t>Deepanshika</t>
  </si>
  <si>
    <t>Hemant rana</t>
  </si>
  <si>
    <t>shamsher</t>
  </si>
  <si>
    <t>Shweta</t>
  </si>
  <si>
    <t>Namrita</t>
  </si>
  <si>
    <t>Nikhil</t>
  </si>
  <si>
    <t>Deepak sirohi</t>
  </si>
  <si>
    <t>Akshat</t>
  </si>
  <si>
    <t>Babita kumari verma</t>
  </si>
  <si>
    <t xml:space="preserve">Naim rana </t>
  </si>
  <si>
    <t>Wholesale / Franchisee</t>
  </si>
  <si>
    <t>Dinesh Jain</t>
  </si>
  <si>
    <t>Mohammad atil ansari</t>
  </si>
  <si>
    <t>Piyush jain</t>
  </si>
  <si>
    <t>Tushar jain</t>
  </si>
  <si>
    <t>Mahima</t>
  </si>
  <si>
    <t>Deepali</t>
  </si>
  <si>
    <t>Chanchal</t>
  </si>
  <si>
    <t xml:space="preserve">Preeti kumari </t>
  </si>
  <si>
    <t>Om</t>
  </si>
  <si>
    <t>Rajan Monga</t>
  </si>
  <si>
    <t>Dr Aalam</t>
  </si>
  <si>
    <t>Somesh</t>
  </si>
  <si>
    <t xml:space="preserve">Ashu ji </t>
  </si>
  <si>
    <t>Meenu Bansal</t>
  </si>
  <si>
    <t>Shekhar kumar</t>
  </si>
  <si>
    <t>Raj singh</t>
  </si>
  <si>
    <t>Paras</t>
  </si>
  <si>
    <t>Krishna</t>
  </si>
  <si>
    <t>Gaurav rajput</t>
  </si>
  <si>
    <t>Sujata</t>
  </si>
  <si>
    <t xml:space="preserve">Sundar laal </t>
  </si>
  <si>
    <t xml:space="preserve">Prrti aggarwal </t>
  </si>
  <si>
    <t xml:space="preserve">Hairsh kumar Bansal </t>
  </si>
  <si>
    <t>Deepa Ahuja</t>
  </si>
  <si>
    <t>Nancy bansal</t>
  </si>
  <si>
    <t xml:space="preserve">Nanki </t>
  </si>
  <si>
    <t>Jai aggarwal</t>
  </si>
  <si>
    <t>Mohammad iliyas</t>
  </si>
  <si>
    <t>Khushnuma</t>
  </si>
  <si>
    <t>Inderpal singh</t>
  </si>
  <si>
    <t>Prince sharma</t>
  </si>
  <si>
    <t xml:space="preserve">Renu aggarwal </t>
  </si>
  <si>
    <t xml:space="preserve">Solitaire earrings </t>
  </si>
  <si>
    <t xml:space="preserve">Rajdeep Singh ji </t>
  </si>
  <si>
    <t xml:space="preserve">Shashi Chaudhary </t>
  </si>
  <si>
    <t>Poonam singh</t>
  </si>
  <si>
    <t>Isha</t>
  </si>
  <si>
    <t>Jitendra bhasin</t>
  </si>
  <si>
    <t>Radha</t>
  </si>
  <si>
    <t>Jagveer</t>
  </si>
  <si>
    <t>Soumya</t>
  </si>
  <si>
    <t>Soumyapandey760@gmail.com</t>
  </si>
  <si>
    <t>Deepa</t>
  </si>
  <si>
    <t>Avdesh kumar</t>
  </si>
  <si>
    <t>Arya Singh</t>
  </si>
  <si>
    <t>Sonam</t>
  </si>
  <si>
    <t>Ritu jain</t>
  </si>
  <si>
    <t xml:space="preserve">Earrings and solitaire ring </t>
  </si>
  <si>
    <t>Yasmin</t>
  </si>
  <si>
    <t>Kishan</t>
  </si>
  <si>
    <t xml:space="preserve">Kanishka </t>
  </si>
  <si>
    <t>Sangeeta</t>
  </si>
  <si>
    <t>Sanjay ji</t>
  </si>
  <si>
    <t>Gents rings</t>
  </si>
  <si>
    <t>Vishal goyal</t>
  </si>
  <si>
    <t>Yogesh arora</t>
  </si>
  <si>
    <t>Yogeshgopal1982@gmail.com</t>
  </si>
  <si>
    <t xml:space="preserve">Sadaf </t>
  </si>
  <si>
    <t>Harneet kaur</t>
  </si>
  <si>
    <t>Pankaj</t>
  </si>
  <si>
    <t xml:space="preserve">Satinder kaur </t>
  </si>
  <si>
    <t xml:space="preserve">Suraj Kumar </t>
  </si>
  <si>
    <t>Gurbani kaur</t>
  </si>
  <si>
    <t xml:space="preserve">Disha </t>
  </si>
  <si>
    <t>Gaurav</t>
  </si>
  <si>
    <t>Small gold jewellery</t>
  </si>
  <si>
    <t>Vijay gandhi</t>
  </si>
  <si>
    <t>Jagmohan singh</t>
  </si>
  <si>
    <t>Tabsaum</t>
  </si>
  <si>
    <t>Tuba khan</t>
  </si>
  <si>
    <t xml:space="preserve">Huma </t>
  </si>
  <si>
    <t>Shalu jain</t>
  </si>
  <si>
    <t xml:space="preserve">Chirag Aggarwal </t>
  </si>
  <si>
    <t>Udayan priyaroop</t>
  </si>
  <si>
    <t xml:space="preserve">Lab grown diamond </t>
  </si>
  <si>
    <t>Kapil</t>
  </si>
  <si>
    <t>Kapilbanga9@gmail.com</t>
  </si>
  <si>
    <t>Intrested</t>
  </si>
  <si>
    <t>Yuvika</t>
  </si>
  <si>
    <t xml:space="preserve">Manu ji old client </t>
  </si>
  <si>
    <t xml:space="preserve">Simar ji old client </t>
  </si>
  <si>
    <t>Sahiba</t>
  </si>
  <si>
    <t xml:space="preserve">Old client </t>
  </si>
  <si>
    <t xml:space="preserve">Ranbir Kaur </t>
  </si>
  <si>
    <t xml:space="preserve">Anas Chaudhary </t>
  </si>
  <si>
    <t>Md aslam</t>
  </si>
  <si>
    <t>Anshita</t>
  </si>
  <si>
    <t>Nelofer</t>
  </si>
  <si>
    <t>Deepak singh</t>
  </si>
  <si>
    <t>Ravi arora</t>
  </si>
  <si>
    <t xml:space="preserve">Astrology diamond </t>
  </si>
  <si>
    <t>Anshul kumar</t>
  </si>
  <si>
    <t>Naveen sharma</t>
  </si>
  <si>
    <t>diamond (Tanishq client)</t>
  </si>
  <si>
    <t>Kamal dhawan</t>
  </si>
  <si>
    <t>Sonu</t>
  </si>
  <si>
    <t xml:space="preserve">Deepak </t>
  </si>
  <si>
    <t>Naeem Riaz</t>
  </si>
  <si>
    <t>Sadhna Chawla</t>
  </si>
  <si>
    <t>Prabha</t>
  </si>
  <si>
    <t xml:space="preserve">Narendra </t>
  </si>
  <si>
    <t xml:space="preserve">Prashant </t>
  </si>
  <si>
    <t>Shivam</t>
  </si>
  <si>
    <t xml:space="preserve">diamond ring gents </t>
  </si>
  <si>
    <t xml:space="preserve">Amogh </t>
  </si>
  <si>
    <t>Amandeep</t>
  </si>
  <si>
    <t xml:space="preserve">Sangeeta </t>
  </si>
  <si>
    <t>Lovepreet</t>
  </si>
  <si>
    <t>Sunny kumar</t>
  </si>
  <si>
    <t>Sulekha</t>
  </si>
  <si>
    <t>Khushi gupta</t>
  </si>
  <si>
    <t>Sakshi maheshwari</t>
  </si>
  <si>
    <t>Deepak garg</t>
  </si>
  <si>
    <t xml:space="preserve">Mohmad sahid </t>
  </si>
  <si>
    <t>Rakesh</t>
  </si>
  <si>
    <t>Sakshi guliani</t>
  </si>
  <si>
    <t>Deepak taneja</t>
  </si>
  <si>
    <t>Deepak_taneja4@yahoo.com</t>
  </si>
  <si>
    <t>Diamond ring D color 1ct vvs1</t>
  </si>
  <si>
    <t>Asjed</t>
  </si>
  <si>
    <t>Suchi jain</t>
  </si>
  <si>
    <t>Preeti kapoor</t>
  </si>
  <si>
    <t>Harinder</t>
  </si>
  <si>
    <t>Harshdeep</t>
  </si>
  <si>
    <t>Luna</t>
  </si>
  <si>
    <t xml:space="preserve">Bhupendra </t>
  </si>
  <si>
    <t>Virendra kumar</t>
  </si>
  <si>
    <t>Ayesha</t>
  </si>
  <si>
    <t xml:space="preserve">Pooja aganpal </t>
  </si>
  <si>
    <t>Rahul anagpal</t>
  </si>
  <si>
    <t xml:space="preserve">Nitin </t>
  </si>
  <si>
    <t xml:space="preserve">Kunal goel </t>
  </si>
  <si>
    <t>https://drive.google.com/open?id=18CykCQCddqK4URJlqJL0Jm5NpcHFfEs6</t>
  </si>
  <si>
    <t>Ashish</t>
  </si>
  <si>
    <t>harpreet Gupta</t>
  </si>
  <si>
    <t>Manju gupta</t>
  </si>
  <si>
    <t xml:space="preserve">Anurag </t>
  </si>
  <si>
    <t>Imtiyaz khan</t>
  </si>
  <si>
    <t>Sunil</t>
  </si>
  <si>
    <t>Bharat Kumar Patel</t>
  </si>
  <si>
    <t>Rashmi Kapoor</t>
  </si>
  <si>
    <t>Antil</t>
  </si>
  <si>
    <t xml:space="preserve">Rajni Aggarwal </t>
  </si>
  <si>
    <t>Sudhanshu</t>
  </si>
  <si>
    <t xml:space="preserve">Karishma </t>
  </si>
  <si>
    <t>Kalpana</t>
  </si>
  <si>
    <t>Narender</t>
  </si>
  <si>
    <t>sandhya jain</t>
  </si>
  <si>
    <t>monish ji</t>
  </si>
  <si>
    <t xml:space="preserve">consultation </t>
  </si>
  <si>
    <t>manabir prasal</t>
  </si>
  <si>
    <t>ruby ring</t>
  </si>
  <si>
    <t>JR thakur ji</t>
  </si>
  <si>
    <t xml:space="preserve">yellow sapphire </t>
  </si>
  <si>
    <t>shirupi khanna</t>
  </si>
  <si>
    <t>vansh sharma</t>
  </si>
  <si>
    <t>5mukhi rudraksha</t>
  </si>
  <si>
    <t xml:space="preserve">Ranjana ji </t>
  </si>
  <si>
    <t>7 chakra tree</t>
  </si>
  <si>
    <t>Amrit</t>
  </si>
  <si>
    <t xml:space="preserve">sunam jii </t>
  </si>
  <si>
    <t>prashant ji</t>
  </si>
  <si>
    <t>sujal mishra</t>
  </si>
  <si>
    <t xml:space="preserve">shushma ji </t>
  </si>
  <si>
    <t xml:space="preserve">emrald 8.5 </t>
  </si>
  <si>
    <t>shivam</t>
  </si>
  <si>
    <t>yellow sapphire 6.25 ratti</t>
  </si>
  <si>
    <t>Afreen ji</t>
  </si>
  <si>
    <t>peridot</t>
  </si>
  <si>
    <t>Aastha ji</t>
  </si>
  <si>
    <t>seema ji</t>
  </si>
  <si>
    <t>rudraksha 5mukhi</t>
  </si>
  <si>
    <t xml:space="preserve">Prakash </t>
  </si>
  <si>
    <t>pyrite</t>
  </si>
  <si>
    <t>coral</t>
  </si>
  <si>
    <t>Himanshu chauhan</t>
  </si>
  <si>
    <t>pyrite ring</t>
  </si>
  <si>
    <t xml:space="preserve">Mukesh </t>
  </si>
  <si>
    <t xml:space="preserve">lovely </t>
  </si>
  <si>
    <t>Devendra sharma ji</t>
  </si>
  <si>
    <t>komal ji</t>
  </si>
  <si>
    <t>red coral</t>
  </si>
  <si>
    <t xml:space="preserve">Sartaj Khan </t>
  </si>
  <si>
    <t xml:space="preserve">Miss varma ji </t>
  </si>
  <si>
    <t xml:space="preserve">Loos diamond </t>
  </si>
  <si>
    <t>Sonali</t>
  </si>
  <si>
    <t xml:space="preserve">Mona </t>
  </si>
  <si>
    <t>yellow sapphire 7.50</t>
  </si>
  <si>
    <t>Kajal</t>
  </si>
  <si>
    <t xml:space="preserve">Sabeena </t>
  </si>
  <si>
    <t xml:space="preserve">pearl </t>
  </si>
  <si>
    <t>Vsshnavi</t>
  </si>
  <si>
    <t>Bhavik</t>
  </si>
  <si>
    <t xml:space="preserve">Akhil mathur </t>
  </si>
  <si>
    <t>moonga</t>
  </si>
  <si>
    <t>Ashish laldas</t>
  </si>
  <si>
    <t>Ankit garg</t>
  </si>
  <si>
    <t>emrald</t>
  </si>
  <si>
    <t>Anil</t>
  </si>
  <si>
    <t>1mukhi rudrakshq</t>
  </si>
  <si>
    <t xml:space="preserve">Dr sunny </t>
  </si>
  <si>
    <t xml:space="preserve">gemstone </t>
  </si>
  <si>
    <t xml:space="preserve">Sourav </t>
  </si>
  <si>
    <t>Vikas</t>
  </si>
  <si>
    <t>topaz 5.50</t>
  </si>
  <si>
    <t xml:space="preserve">Karuna ji </t>
  </si>
  <si>
    <t xml:space="preserve">pyrite </t>
  </si>
  <si>
    <t>Himanuj</t>
  </si>
  <si>
    <t>Niyati</t>
  </si>
  <si>
    <t xml:space="preserve">hoslistic products </t>
  </si>
  <si>
    <t>Mr j alok</t>
  </si>
  <si>
    <t>Ananya</t>
  </si>
  <si>
    <t>Berenara ji</t>
  </si>
  <si>
    <t>Om prakash bhatt</t>
  </si>
  <si>
    <t>Neetu ritolia</t>
  </si>
  <si>
    <t xml:space="preserve">Drotish achraya ji </t>
  </si>
  <si>
    <t xml:space="preserve">astrology </t>
  </si>
  <si>
    <t>Manisha bilasta</t>
  </si>
  <si>
    <t xml:space="preserve">Sourav ji </t>
  </si>
  <si>
    <t>pyrite cluster</t>
  </si>
  <si>
    <t xml:space="preserve">Ram sudhir </t>
  </si>
  <si>
    <t xml:space="preserve">Deepika aggarwal </t>
  </si>
  <si>
    <t>Sheetal</t>
  </si>
  <si>
    <t>diamond Ladies Ring</t>
  </si>
  <si>
    <t>Anita ji</t>
  </si>
  <si>
    <t xml:space="preserve">HS dutta </t>
  </si>
  <si>
    <t>Ajeet ji</t>
  </si>
  <si>
    <t xml:space="preserve">emerald </t>
  </si>
  <si>
    <t>Sabita katiyal</t>
  </si>
  <si>
    <t>Sumit verma</t>
  </si>
  <si>
    <t>ruby stone</t>
  </si>
  <si>
    <t>Ramveer</t>
  </si>
  <si>
    <t>pyrite stone</t>
  </si>
  <si>
    <t>Yogender ji</t>
  </si>
  <si>
    <t>Blue sapphire 8.25</t>
  </si>
  <si>
    <t>Ishart ji</t>
  </si>
  <si>
    <t>ruby gold ring 5.25</t>
  </si>
  <si>
    <t>Rajdeep singh</t>
  </si>
  <si>
    <t xml:space="preserve">5mukhi rudraksha mala </t>
  </si>
  <si>
    <t>Lavita</t>
  </si>
  <si>
    <t>rose quartz ,citrin +green aver</t>
  </si>
  <si>
    <t>Neeraj gupta ji</t>
  </si>
  <si>
    <t>Ram ji</t>
  </si>
  <si>
    <t>Vikas jii</t>
  </si>
  <si>
    <t>Babita jii</t>
  </si>
  <si>
    <t xml:space="preserve">Jitender </t>
  </si>
  <si>
    <t>Nipul ji</t>
  </si>
  <si>
    <t>Radhika ji</t>
  </si>
  <si>
    <t xml:space="preserve">Savita ji </t>
  </si>
  <si>
    <t>Rajat singhal</t>
  </si>
  <si>
    <t>Meena ji</t>
  </si>
  <si>
    <t xml:space="preserve">Harsha dogra </t>
  </si>
  <si>
    <t xml:space="preserve">Geeta ji </t>
  </si>
  <si>
    <t>Ulga ji</t>
  </si>
  <si>
    <t>Rose quartz</t>
  </si>
  <si>
    <t>Sourav ji</t>
  </si>
  <si>
    <t>Vikash gulati</t>
  </si>
  <si>
    <t xml:space="preserve">Alka ji </t>
  </si>
  <si>
    <t>bracelet</t>
  </si>
  <si>
    <t>Sunil kumar</t>
  </si>
  <si>
    <t>Loventry</t>
  </si>
  <si>
    <t>trees</t>
  </si>
  <si>
    <t>Pooja raghav</t>
  </si>
  <si>
    <t xml:space="preserve">Nidhi </t>
  </si>
  <si>
    <t>poonam sharma</t>
  </si>
  <si>
    <t>Himanshi</t>
  </si>
  <si>
    <t>Anuj ji</t>
  </si>
  <si>
    <t>mix cluster</t>
  </si>
  <si>
    <t>Himanshu</t>
  </si>
  <si>
    <t xml:space="preserve">Megha </t>
  </si>
  <si>
    <t xml:space="preserve">Peridot </t>
  </si>
  <si>
    <t>Mansha talwar</t>
  </si>
  <si>
    <t>Dr shipra jain</t>
  </si>
  <si>
    <t>pyrite bracelet /cluster</t>
  </si>
  <si>
    <t xml:space="preserve">Mausam Ali </t>
  </si>
  <si>
    <t>21mukhi rudraksha</t>
  </si>
  <si>
    <t xml:space="preserve">Rijaaz </t>
  </si>
  <si>
    <t>Badshah khan</t>
  </si>
  <si>
    <t>Virender</t>
  </si>
  <si>
    <t xml:space="preserve">Sahil </t>
  </si>
  <si>
    <t>Monika ji</t>
  </si>
  <si>
    <t xml:space="preserve">Shubham </t>
  </si>
  <si>
    <t>blue sapphire</t>
  </si>
  <si>
    <t xml:space="preserve">Tamanna </t>
  </si>
  <si>
    <t>Sushil raisidam</t>
  </si>
  <si>
    <t>Saveeta</t>
  </si>
  <si>
    <t>ruby</t>
  </si>
  <si>
    <t>Kuljeet</t>
  </si>
  <si>
    <t xml:space="preserve">Sheli </t>
  </si>
  <si>
    <t xml:space="preserve">Firoza </t>
  </si>
  <si>
    <t>Vabhav garg</t>
  </si>
  <si>
    <t>Keshab</t>
  </si>
  <si>
    <t xml:space="preserve">blue sapphire </t>
  </si>
  <si>
    <t xml:space="preserve">Chandra </t>
  </si>
  <si>
    <t xml:space="preserve">Harshit </t>
  </si>
  <si>
    <t>Manish Goyal</t>
  </si>
  <si>
    <t>Sukhilnder ji</t>
  </si>
  <si>
    <t>Anuprama</t>
  </si>
  <si>
    <t>Mustaq</t>
  </si>
  <si>
    <t>Jimmi</t>
  </si>
  <si>
    <t xml:space="preserve">Jasmeet Singh </t>
  </si>
  <si>
    <t>Vikram</t>
  </si>
  <si>
    <t>Rinki gupta</t>
  </si>
  <si>
    <t>Sumitra devi</t>
  </si>
  <si>
    <t>Neeraj jajn</t>
  </si>
  <si>
    <t xml:space="preserve">Meenakshi </t>
  </si>
  <si>
    <t>Rahul prajapati</t>
  </si>
  <si>
    <t>Aarjav</t>
  </si>
  <si>
    <t>Shivani tyagi</t>
  </si>
  <si>
    <t xml:space="preserve">Tanish sharma. </t>
  </si>
  <si>
    <t>Mr pranjal</t>
  </si>
  <si>
    <t xml:space="preserve">Jyoti malik </t>
  </si>
  <si>
    <t xml:space="preserve">Mona devinder kumar </t>
  </si>
  <si>
    <t>Sakshi garg</t>
  </si>
  <si>
    <t xml:space="preserve">Shrey </t>
  </si>
  <si>
    <t xml:space="preserve">Interested client want to buy </t>
  </si>
  <si>
    <t>Ridhi garg</t>
  </si>
  <si>
    <t>Vandana</t>
  </si>
  <si>
    <t xml:space="preserve">Harshita </t>
  </si>
  <si>
    <t>Sonu garg</t>
  </si>
  <si>
    <t>Vishal gupta</t>
  </si>
  <si>
    <t>Mohommad irfan</t>
  </si>
  <si>
    <t>Gaurav garg</t>
  </si>
  <si>
    <t>Ashi garg</t>
  </si>
  <si>
    <t>Letha</t>
  </si>
  <si>
    <t>Tanisha</t>
  </si>
  <si>
    <t>https://drive.google.com/open?id=1ljYaaNkCMXm2mtqR_zrLxEY7oF3QL1-u</t>
  </si>
  <si>
    <t xml:space="preserve">Sushil Sharma </t>
  </si>
  <si>
    <t>Ravinder pandit</t>
  </si>
  <si>
    <t>Ashvini kumar</t>
  </si>
  <si>
    <t>Renu Gupta</t>
  </si>
  <si>
    <t xml:space="preserve">Diamond Necklace </t>
  </si>
  <si>
    <t>Jagjit sing</t>
  </si>
  <si>
    <t>Trishna</t>
  </si>
  <si>
    <t>Veena</t>
  </si>
  <si>
    <t>siva. Gunadurai</t>
  </si>
  <si>
    <t>Bharti Wajwa</t>
  </si>
  <si>
    <t xml:space="preserve">Rajender </t>
  </si>
  <si>
    <t xml:space="preserve">Khushboo </t>
  </si>
  <si>
    <t>Vivek Khanna</t>
  </si>
  <si>
    <t>Vikas Shukla</t>
  </si>
  <si>
    <t>Dhruv</t>
  </si>
  <si>
    <t>Ishan</t>
  </si>
  <si>
    <t>Kamlesh</t>
  </si>
  <si>
    <t xml:space="preserve">Kashish </t>
  </si>
  <si>
    <t>Neeraj Kumar</t>
  </si>
  <si>
    <t>Anuj</t>
  </si>
  <si>
    <t>Parachana</t>
  </si>
  <si>
    <t>Seema Goyal</t>
  </si>
  <si>
    <t>Asha mittal</t>
  </si>
  <si>
    <t>Babita</t>
  </si>
  <si>
    <t>Suchita yadav</t>
  </si>
  <si>
    <t>Bharat kansal</t>
  </si>
  <si>
    <t>SeemA</t>
  </si>
  <si>
    <t xml:space="preserve">Diamond ring Ladies </t>
  </si>
  <si>
    <t xml:space="preserve">Anita banarji </t>
  </si>
  <si>
    <t>Arti</t>
  </si>
  <si>
    <t>diamond ring and pendant</t>
  </si>
  <si>
    <t xml:space="preserve">Anita ji </t>
  </si>
  <si>
    <t>Anshuman</t>
  </si>
  <si>
    <t>Abhay kumar</t>
  </si>
  <si>
    <t xml:space="preserve">Mayank ji </t>
  </si>
  <si>
    <t>Santosh tiwar</t>
  </si>
  <si>
    <t>Chetan</t>
  </si>
  <si>
    <t>Asif hashmi</t>
  </si>
  <si>
    <t>Abhishek garg</t>
  </si>
  <si>
    <t>Mens 1 crt diamond ring</t>
  </si>
  <si>
    <t>Arunav Mishra</t>
  </si>
  <si>
    <t>arunabhmishra2002@gmail.com</t>
  </si>
  <si>
    <t xml:space="preserve">Interested customer diamond ring </t>
  </si>
  <si>
    <t>Jaya</t>
  </si>
  <si>
    <t xml:space="preserve">Interested </t>
  </si>
  <si>
    <t>Muskaan</t>
  </si>
  <si>
    <t>Mukesh kaushal</t>
  </si>
  <si>
    <t xml:space="preserve">Shalu Aggarwal </t>
  </si>
  <si>
    <t>Anju mangla</t>
  </si>
  <si>
    <t>Nishu jain</t>
  </si>
  <si>
    <t>Aishwarya goyal</t>
  </si>
  <si>
    <t>Ajay shastri</t>
  </si>
  <si>
    <t>Deelmeet</t>
  </si>
  <si>
    <t>Tushar</t>
  </si>
  <si>
    <t>Interested customer call must</t>
  </si>
  <si>
    <t>Satender pal</t>
  </si>
  <si>
    <t xml:space="preserve">Rani Sharma </t>
  </si>
  <si>
    <t xml:space="preserve">Diamond Ring </t>
  </si>
  <si>
    <t>Akhil aggarwal</t>
  </si>
  <si>
    <t>Co himanshu dilawali</t>
  </si>
  <si>
    <t>Dhananjay gupta</t>
  </si>
  <si>
    <t xml:space="preserve">Sold ring Pooja gupta </t>
  </si>
  <si>
    <t xml:space="preserve">Bahadur Singh </t>
  </si>
  <si>
    <t>Akansha</t>
  </si>
  <si>
    <t>Renu</t>
  </si>
  <si>
    <t>Jigyashu</t>
  </si>
  <si>
    <t xml:space="preserve">Sunil kumar vasna ji </t>
  </si>
  <si>
    <t>Dolly</t>
  </si>
  <si>
    <t>Manish</t>
  </si>
  <si>
    <t xml:space="preserve">diamond bangle </t>
  </si>
  <si>
    <t>Shweta sharma</t>
  </si>
  <si>
    <t>Sheetal gulati</t>
  </si>
  <si>
    <t>Shalini</t>
  </si>
  <si>
    <t>Navneet kaur</t>
  </si>
  <si>
    <t>Ram gopal</t>
  </si>
  <si>
    <t>Sakshi</t>
  </si>
  <si>
    <t xml:space="preserve">Meenakshi Jain </t>
  </si>
  <si>
    <t>Lalita</t>
  </si>
  <si>
    <t xml:space="preserve">Anu </t>
  </si>
  <si>
    <t>Aftab ahmad</t>
  </si>
  <si>
    <t>Mohd aizaz</t>
  </si>
  <si>
    <t>Umar</t>
  </si>
  <si>
    <t>Kapil Jain</t>
  </si>
  <si>
    <t>Piyush</t>
  </si>
  <si>
    <t>Nidesh Kumari</t>
  </si>
  <si>
    <t>Mohan chand</t>
  </si>
  <si>
    <t>Reena</t>
  </si>
  <si>
    <t>diamond Nose Pin</t>
  </si>
  <si>
    <t>sidhi</t>
  </si>
  <si>
    <t>Dhenuka</t>
  </si>
  <si>
    <t xml:space="preserve">Swati Tiwari </t>
  </si>
  <si>
    <t xml:space="preserve">Jagdish </t>
  </si>
  <si>
    <t>Tarun Kumar</t>
  </si>
  <si>
    <t>Sunny</t>
  </si>
  <si>
    <t>Dr Manish</t>
  </si>
  <si>
    <t>Nazreen</t>
  </si>
  <si>
    <t xml:space="preserve">Ridham </t>
  </si>
  <si>
    <t>Mukesh Kumar ji</t>
  </si>
  <si>
    <t>Geeta rajora</t>
  </si>
  <si>
    <t>Neha Malhotra</t>
  </si>
  <si>
    <t>Madhu mugda</t>
  </si>
  <si>
    <t>pushpa</t>
  </si>
  <si>
    <t>Shalendra Joshi</t>
  </si>
  <si>
    <t>Shadab</t>
  </si>
  <si>
    <t>Gulvinder Singh</t>
  </si>
  <si>
    <t>Rajeev</t>
  </si>
  <si>
    <t>purva Mittal</t>
  </si>
  <si>
    <t xml:space="preserve">Aarti </t>
  </si>
  <si>
    <t>Neeraj singh</t>
  </si>
  <si>
    <t>Sandeep Sharma</t>
  </si>
  <si>
    <t>Ridhi</t>
  </si>
  <si>
    <t>Rudra Shukla</t>
  </si>
  <si>
    <t>Chandra prakash</t>
  </si>
  <si>
    <t>Shiv prakash</t>
  </si>
  <si>
    <t>Utsav</t>
  </si>
  <si>
    <t>Rohit pandey</t>
  </si>
  <si>
    <t>Yamini</t>
  </si>
  <si>
    <t>Archana</t>
  </si>
  <si>
    <t>Dhanjay</t>
  </si>
  <si>
    <t>Pradeep kumaar</t>
  </si>
  <si>
    <t xml:space="preserve">Amit Sharma </t>
  </si>
  <si>
    <t>Rakhi goyal</t>
  </si>
  <si>
    <t>Mahesh yogi</t>
  </si>
  <si>
    <t xml:space="preserve">Ayushi goyal </t>
  </si>
  <si>
    <t xml:space="preserve">Sumit gupta </t>
  </si>
  <si>
    <t>Anju Gupta</t>
  </si>
  <si>
    <t xml:space="preserve">Atul Varma </t>
  </si>
  <si>
    <t xml:space="preserve">Gautam garg </t>
  </si>
  <si>
    <t>Arjun</t>
  </si>
  <si>
    <t xml:space="preserve">Charan Jeet </t>
  </si>
  <si>
    <t xml:space="preserve">Mangal Singh </t>
  </si>
  <si>
    <t>Jatin</t>
  </si>
  <si>
    <t>Neeraj</t>
  </si>
  <si>
    <t>Chandan</t>
  </si>
  <si>
    <t>Ruhi</t>
  </si>
  <si>
    <t>Jassy</t>
  </si>
  <si>
    <t xml:space="preserve">Stud, solitaire ring </t>
  </si>
  <si>
    <t>Deepak</t>
  </si>
  <si>
    <t>Radhika Garg</t>
  </si>
  <si>
    <t>Om parkash</t>
  </si>
  <si>
    <t xml:space="preserve">Lal Chand ji </t>
  </si>
  <si>
    <t xml:space="preserve">Lalita Jain </t>
  </si>
  <si>
    <t xml:space="preserve">Vishal Singh Chauhan </t>
  </si>
  <si>
    <t>Anjali Gupta</t>
  </si>
  <si>
    <t xml:space="preserve">pratisha </t>
  </si>
  <si>
    <t xml:space="preserve">Minti Bhatia </t>
  </si>
  <si>
    <t>sapna Tokas</t>
  </si>
  <si>
    <t>Vinod bansal</t>
  </si>
  <si>
    <t xml:space="preserve">Ladies Pendant </t>
  </si>
  <si>
    <t>Umash gupta</t>
  </si>
  <si>
    <t>Rimjhim</t>
  </si>
  <si>
    <t xml:space="preserve">Dr.Sanjay Kumar Singh </t>
  </si>
  <si>
    <t xml:space="preserve">Raj Kumar </t>
  </si>
  <si>
    <t xml:space="preserve">Anshika </t>
  </si>
  <si>
    <t xml:space="preserve">chhavi </t>
  </si>
  <si>
    <t xml:space="preserve">Reema </t>
  </si>
  <si>
    <t>Tripti</t>
  </si>
  <si>
    <t>Parshant agarwal</t>
  </si>
  <si>
    <t xml:space="preserve">Rajinder </t>
  </si>
  <si>
    <t xml:space="preserve">Manju </t>
  </si>
  <si>
    <t>Shiv vachan</t>
  </si>
  <si>
    <t>Anya</t>
  </si>
  <si>
    <t>Vipin</t>
  </si>
  <si>
    <t>https://drive.google.com/open?id=1iIaliAqDIVXB3YHS_zQRzVjd8NGuOKIY</t>
  </si>
  <si>
    <t>Dv arora</t>
  </si>
  <si>
    <t xml:space="preserve">Sanjeev Aggarwal </t>
  </si>
  <si>
    <t>Rajeev Kumar Gupta</t>
  </si>
  <si>
    <t>Bijender Singh</t>
  </si>
  <si>
    <t>Ms monica austin</t>
  </si>
  <si>
    <t>Maya</t>
  </si>
  <si>
    <t>Purab</t>
  </si>
  <si>
    <t>Abhishek Kumar Patel</t>
  </si>
  <si>
    <t>Kanika ji</t>
  </si>
  <si>
    <t>https://drive.google.com/open?id=1-ualOvBhKLLV357EDI5-WQ6isA1dmIln</t>
  </si>
  <si>
    <t xml:space="preserve">Sanjeev </t>
  </si>
  <si>
    <t>Honny Wason</t>
  </si>
  <si>
    <t xml:space="preserve">Geeta goyal </t>
  </si>
  <si>
    <t xml:space="preserve">Anu Ahlawat </t>
  </si>
  <si>
    <t xml:space="preserve">Anjali Singh ji </t>
  </si>
  <si>
    <t>Vikas Tyagi</t>
  </si>
  <si>
    <t xml:space="preserve">Astha Gupta </t>
  </si>
  <si>
    <t>Upender</t>
  </si>
  <si>
    <t>Umesh Arora</t>
  </si>
  <si>
    <t>Kamal malkani</t>
  </si>
  <si>
    <t>Rajat sharma</t>
  </si>
  <si>
    <t>Amod Bajaj</t>
  </si>
  <si>
    <t>Sandhya</t>
  </si>
  <si>
    <t>Abdul</t>
  </si>
  <si>
    <t xml:space="preserve">Nisha Raja wansh </t>
  </si>
  <si>
    <t xml:space="preserve">Kitty and jewellery Malabar coustomer </t>
  </si>
  <si>
    <t>Yogesh kumar</t>
  </si>
  <si>
    <t>kanika</t>
  </si>
  <si>
    <t>Muskan</t>
  </si>
  <si>
    <t xml:space="preserve">Diamond ladies ring </t>
  </si>
  <si>
    <t>Rashmi  Indoria</t>
  </si>
  <si>
    <t xml:space="preserve">Suman </t>
  </si>
  <si>
    <t xml:space="preserve">Rajshree </t>
  </si>
  <si>
    <t>Shaurya vardhan</t>
  </si>
  <si>
    <t>Devender Jain</t>
  </si>
  <si>
    <t>Seema bhatia</t>
  </si>
  <si>
    <t xml:space="preserve">bimla Aggarwal </t>
  </si>
  <si>
    <t>Deepti</t>
  </si>
  <si>
    <t>Anoop</t>
  </si>
  <si>
    <t>Monika kumawat</t>
  </si>
  <si>
    <t>Preeti kumar</t>
  </si>
  <si>
    <t>Ravi Singh</t>
  </si>
  <si>
    <t>saniya</t>
  </si>
  <si>
    <t>Pushpa</t>
  </si>
  <si>
    <t>Nisha sahni</t>
  </si>
  <si>
    <t xml:space="preserve">Parveen </t>
  </si>
  <si>
    <t>Madhu</t>
  </si>
  <si>
    <t>Shimmer Goyal</t>
  </si>
  <si>
    <t>Poonam jain</t>
  </si>
  <si>
    <t>Partima</t>
  </si>
  <si>
    <t>Meena pandey</t>
  </si>
  <si>
    <t>Diamond earrings</t>
  </si>
  <si>
    <t>Arun varma ji</t>
  </si>
  <si>
    <t>Preeti chopra</t>
  </si>
  <si>
    <t>Ashu ji</t>
  </si>
  <si>
    <t>Shivtosh</t>
  </si>
  <si>
    <t>Puneet bansal</t>
  </si>
  <si>
    <t xml:space="preserve">Chirag </t>
  </si>
  <si>
    <t>Lokesh Gupta</t>
  </si>
  <si>
    <t>Manvir</t>
  </si>
  <si>
    <t>P.S Bhatia</t>
  </si>
  <si>
    <t xml:space="preserve">Kamal Kishore </t>
  </si>
  <si>
    <t>dr.Aayushi</t>
  </si>
  <si>
    <t xml:space="preserve">Tarun Singhal </t>
  </si>
  <si>
    <t xml:space="preserve">Diamond Ring gents </t>
  </si>
  <si>
    <t>Anupama</t>
  </si>
  <si>
    <t xml:space="preserve">290 solitaire ring </t>
  </si>
  <si>
    <t>https://drive.google.com/open?id=1D71dkas59AC_Uk2l8dVIm5zPBTLFdJpu</t>
  </si>
  <si>
    <t>Anju Verma</t>
  </si>
  <si>
    <t>Rinsi kohli</t>
  </si>
  <si>
    <t>Rajni</t>
  </si>
  <si>
    <t xml:space="preserve">Pendant set Rubi coloured </t>
  </si>
  <si>
    <t>https://drive.google.com/open?id=1WMOlp80dFxzOxlcLknG1FwyJCQw3UV2f</t>
  </si>
  <si>
    <t xml:space="preserve"> S khan</t>
  </si>
  <si>
    <t>Mitesh Sharma</t>
  </si>
  <si>
    <t>Mansi</t>
  </si>
  <si>
    <t>Intzar</t>
  </si>
  <si>
    <t>Punit</t>
  </si>
  <si>
    <t xml:space="preserve">Charu Malhotra </t>
  </si>
  <si>
    <t>Dia ring 15000 rs</t>
  </si>
  <si>
    <t>Sk Jain</t>
  </si>
  <si>
    <t xml:space="preserve">Amit Maheshwari </t>
  </si>
  <si>
    <t xml:space="preserve">diamond ring, pendant </t>
  </si>
  <si>
    <t>Kundan Kumar Mishra (Roop jewellery Chandni chowk)</t>
  </si>
  <si>
    <t>Loos diamond for shop</t>
  </si>
  <si>
    <t>Satvir singh</t>
  </si>
  <si>
    <t>Harmeet singh</t>
  </si>
  <si>
    <t>Ankit</t>
  </si>
  <si>
    <t>Ankita</t>
  </si>
  <si>
    <t>Ekta singhal</t>
  </si>
  <si>
    <t>Savita</t>
  </si>
  <si>
    <t>Round single stud 1ct</t>
  </si>
  <si>
    <t>Madhu khatri</t>
  </si>
  <si>
    <t>SK nayak</t>
  </si>
  <si>
    <t>Krishna sharma</t>
  </si>
  <si>
    <t>kajal</t>
  </si>
  <si>
    <t>diamond ring around 1 lakh</t>
  </si>
  <si>
    <t xml:space="preserve">Sudhir kushwaha </t>
  </si>
  <si>
    <t>Norin</t>
  </si>
  <si>
    <t xml:space="preserve">Shivangi </t>
  </si>
  <si>
    <t>Shruti gupta</t>
  </si>
  <si>
    <t>Suraj rawat</t>
  </si>
  <si>
    <t>Harshita</t>
  </si>
  <si>
    <t>lucky</t>
  </si>
  <si>
    <t xml:space="preserve">Suresh Kumar </t>
  </si>
  <si>
    <t>Ruchika</t>
  </si>
  <si>
    <t xml:space="preserve">Anju poda </t>
  </si>
  <si>
    <t>neeraj</t>
  </si>
  <si>
    <t>getr</t>
  </si>
  <si>
    <t>Gopal</t>
  </si>
  <si>
    <t xml:space="preserve">Deepak patel ( era diamonds) </t>
  </si>
  <si>
    <t>Rajesh kymar</t>
  </si>
  <si>
    <t>Ratnesh Singh</t>
  </si>
  <si>
    <t xml:space="preserve">Atul bharadwaj ji </t>
  </si>
  <si>
    <t xml:space="preserve">Lab grown and kitty </t>
  </si>
  <si>
    <t>Aayushi</t>
  </si>
  <si>
    <t>Sweety</t>
  </si>
  <si>
    <t xml:space="preserve">Krishna </t>
  </si>
  <si>
    <t xml:space="preserve">Diamond ring gents </t>
  </si>
  <si>
    <t>Kc sharma</t>
  </si>
  <si>
    <t>Shajra</t>
  </si>
  <si>
    <t>Pooja kumari</t>
  </si>
  <si>
    <t>Ashwani</t>
  </si>
  <si>
    <t>Aarti gupta</t>
  </si>
  <si>
    <t>Suman bansal</t>
  </si>
  <si>
    <t>Chandrakala</t>
  </si>
  <si>
    <t>Ravi kumar</t>
  </si>
  <si>
    <t xml:space="preserve">Pooja Sharma </t>
  </si>
  <si>
    <t>stud</t>
  </si>
  <si>
    <t>Yash</t>
  </si>
  <si>
    <t xml:space="preserve">Diksha </t>
  </si>
  <si>
    <t xml:space="preserve">Shelly Aggarwal </t>
  </si>
  <si>
    <t>Gold coins</t>
  </si>
  <si>
    <t>Hari kishan</t>
  </si>
  <si>
    <t>Akash</t>
  </si>
  <si>
    <t>Rohini</t>
  </si>
  <si>
    <t>Diamond 0.46 cent</t>
  </si>
  <si>
    <t>Poonam Gupta</t>
  </si>
  <si>
    <t>Rekha Gupta</t>
  </si>
  <si>
    <t xml:space="preserve">Somesh ji </t>
  </si>
  <si>
    <t xml:space="preserve">Loose diamonds </t>
  </si>
  <si>
    <t>Parul gautam</t>
  </si>
  <si>
    <t xml:space="preserve">Nishant jain </t>
  </si>
  <si>
    <t>Arjun kumar</t>
  </si>
  <si>
    <t>Rajkumar goyal</t>
  </si>
  <si>
    <t>Ramit</t>
  </si>
  <si>
    <t>Kunal bajaj</t>
  </si>
  <si>
    <t xml:space="preserve">Sandhya Sharma </t>
  </si>
  <si>
    <t>1ct loos pc f colour vs1 si1</t>
  </si>
  <si>
    <t xml:space="preserve">Vaibhav </t>
  </si>
  <si>
    <t xml:space="preserve">Neha Sethi </t>
  </si>
  <si>
    <t>suvansh</t>
  </si>
  <si>
    <t>priyasha</t>
  </si>
  <si>
    <t xml:space="preserve">Divyasha </t>
  </si>
  <si>
    <t>Nitika jain</t>
  </si>
  <si>
    <t>Jasmit</t>
  </si>
  <si>
    <t xml:space="preserve">Bharti </t>
  </si>
  <si>
    <t>Sidhant</t>
  </si>
  <si>
    <t>Puneet</t>
  </si>
  <si>
    <t>Sachin mishra</t>
  </si>
  <si>
    <t>Suchi pandy</t>
  </si>
  <si>
    <t>Mitesh Gupta</t>
  </si>
  <si>
    <t>Ayush Sharma</t>
  </si>
  <si>
    <t>isha Gupta</t>
  </si>
  <si>
    <t>Parul</t>
  </si>
  <si>
    <t>Sangeeta Yadav</t>
  </si>
  <si>
    <t xml:space="preserve">Sarika </t>
  </si>
  <si>
    <t>Priya kumar</t>
  </si>
  <si>
    <t>Rajani</t>
  </si>
  <si>
    <t>Unnati</t>
  </si>
  <si>
    <t>indu</t>
  </si>
  <si>
    <t xml:space="preserve">Tops </t>
  </si>
  <si>
    <t>J.S chawla</t>
  </si>
  <si>
    <t>Pooja Saluja</t>
  </si>
  <si>
    <t>Moena</t>
  </si>
  <si>
    <t>Bimla katariya</t>
  </si>
  <si>
    <t>Sunil gupta</t>
  </si>
  <si>
    <t>payal Bansal</t>
  </si>
  <si>
    <t>Alpna Goyal</t>
  </si>
  <si>
    <t>Pinky</t>
  </si>
  <si>
    <t xml:space="preserve">Monika ji </t>
  </si>
  <si>
    <t>Kanta</t>
  </si>
  <si>
    <t>Rajesh Kumar Sharma</t>
  </si>
  <si>
    <t xml:space="preserve">Aman jain </t>
  </si>
  <si>
    <t>https://drive.google.com/open?id=1uog24PQDABM9L2VCqymsNIouV81X0JVp</t>
  </si>
  <si>
    <t>Nitesh</t>
  </si>
  <si>
    <t>Silver</t>
  </si>
  <si>
    <t xml:space="preserve">Ankit ji </t>
  </si>
  <si>
    <t xml:space="preserve">Koka B </t>
  </si>
  <si>
    <t xml:space="preserve">Shalini Singh </t>
  </si>
  <si>
    <t>A ahmen</t>
  </si>
  <si>
    <t xml:space="preserve">Ankur Aggarwal </t>
  </si>
  <si>
    <t xml:space="preserve">Chains,bracelet </t>
  </si>
  <si>
    <t xml:space="preserve">Akansha </t>
  </si>
  <si>
    <t xml:space="preserve">Meena </t>
  </si>
  <si>
    <t>nayna paul</t>
  </si>
  <si>
    <t xml:space="preserve">Krishansh </t>
  </si>
  <si>
    <t>Gents ring 0.68 cent-8.580 grm</t>
  </si>
  <si>
    <t xml:space="preserve">Varun Chauhan </t>
  </si>
  <si>
    <t>Kruti Jain</t>
  </si>
  <si>
    <t xml:space="preserve">Diamond ring ladies </t>
  </si>
  <si>
    <t>Sarita dhawan</t>
  </si>
  <si>
    <t xml:space="preserve">Divya </t>
  </si>
  <si>
    <t>Dikhsha mittal</t>
  </si>
  <si>
    <t>Ravinder</t>
  </si>
  <si>
    <t>Nitin sen</t>
  </si>
  <si>
    <t>Shanu</t>
  </si>
  <si>
    <t>Ruby Goyal</t>
  </si>
  <si>
    <t>Sonu yadav</t>
  </si>
  <si>
    <t>mohd.yusuf</t>
  </si>
  <si>
    <t>M.P Singh</t>
  </si>
  <si>
    <t xml:space="preserve"> diamond</t>
  </si>
  <si>
    <t>Kanishka</t>
  </si>
  <si>
    <t xml:space="preserve">Madan ji </t>
  </si>
  <si>
    <t>Geeta Sharma ji</t>
  </si>
  <si>
    <t>Manish rayo</t>
  </si>
  <si>
    <t xml:space="preserve">Tops range 30 tak </t>
  </si>
  <si>
    <t>R S Maurya</t>
  </si>
  <si>
    <t>nandini</t>
  </si>
  <si>
    <t>A mishra</t>
  </si>
  <si>
    <t>Gunjit Jain</t>
  </si>
  <si>
    <t xml:space="preserve">Ullas </t>
  </si>
  <si>
    <t>Mishant</t>
  </si>
  <si>
    <t>Vinay kumar</t>
  </si>
  <si>
    <t>Heena Gupta</t>
  </si>
  <si>
    <t>Sujal goel</t>
  </si>
  <si>
    <t>Anshul</t>
  </si>
  <si>
    <t xml:space="preserve">Dr ganash Mishra </t>
  </si>
  <si>
    <t>Sumedha</t>
  </si>
  <si>
    <t>Amarjeet vedi</t>
  </si>
  <si>
    <t>Urmila rawat</t>
  </si>
  <si>
    <t>Manish mandal</t>
  </si>
  <si>
    <t xml:space="preserve">Manju Aggarwal </t>
  </si>
  <si>
    <t>Amjad</t>
  </si>
  <si>
    <t>Parveen kumar</t>
  </si>
  <si>
    <t>Nitin kumar</t>
  </si>
  <si>
    <t>Kiran</t>
  </si>
  <si>
    <t xml:space="preserve">Diamond earrings baaliya </t>
  </si>
  <si>
    <t xml:space="preserve">Jai Aggarwal </t>
  </si>
  <si>
    <t>Dinesh kumar</t>
  </si>
  <si>
    <t>Rita singh</t>
  </si>
  <si>
    <t>Kazim</t>
  </si>
  <si>
    <t>Kamil</t>
  </si>
  <si>
    <t>aman sehgal</t>
  </si>
  <si>
    <t>Rituja jain</t>
  </si>
  <si>
    <t>Ajeet ji googal</t>
  </si>
  <si>
    <t>Dinesh Garg</t>
  </si>
  <si>
    <t>Vinish</t>
  </si>
  <si>
    <t xml:space="preserve">Bimresh jha </t>
  </si>
  <si>
    <t>Abhinav malguri</t>
  </si>
  <si>
    <t>Sheetal chauhan</t>
  </si>
  <si>
    <t>S  chhikra</t>
  </si>
  <si>
    <t>Mona</t>
  </si>
  <si>
    <t>Mukesh gupta</t>
  </si>
  <si>
    <t>Parth</t>
  </si>
  <si>
    <t>Rajesh gupta</t>
  </si>
  <si>
    <t xml:space="preserve">beena </t>
  </si>
  <si>
    <t xml:space="preserve">Anju bhala </t>
  </si>
  <si>
    <t xml:space="preserve">Rashi Khanna </t>
  </si>
  <si>
    <t>Hitesh nayyar</t>
  </si>
  <si>
    <t>annd Krishna das</t>
  </si>
  <si>
    <t>Sushma Gupta</t>
  </si>
  <si>
    <t xml:space="preserve">Nalina goyal </t>
  </si>
  <si>
    <t>Avkash Jain</t>
  </si>
  <si>
    <t>Sapna jain</t>
  </si>
  <si>
    <t>Gulistan</t>
  </si>
  <si>
    <t>avkash jain</t>
  </si>
  <si>
    <t>Ankit raghuvanshi</t>
  </si>
  <si>
    <t>Pankaj jindal</t>
  </si>
  <si>
    <t>Ved prakash chawala</t>
  </si>
  <si>
    <t>Ramesh Saluja</t>
  </si>
  <si>
    <t>Ved rattan</t>
  </si>
  <si>
    <t>arjun Dev</t>
  </si>
  <si>
    <t>Ved prakash chawla</t>
  </si>
  <si>
    <t>K L jagia</t>
  </si>
  <si>
    <t>Asha</t>
  </si>
  <si>
    <t>Honey</t>
  </si>
  <si>
    <t>Subia</t>
  </si>
  <si>
    <t>Farah naaz</t>
  </si>
  <si>
    <t>Mahesh</t>
  </si>
  <si>
    <t xml:space="preserve">Mithlesh </t>
  </si>
  <si>
    <t>Islamuddin mohd.asif</t>
  </si>
  <si>
    <t>Pankaj rahoriya</t>
  </si>
  <si>
    <t>Ram Pal Singh</t>
  </si>
  <si>
    <t>Sunil Kumar</t>
  </si>
  <si>
    <t>Raj kumar</t>
  </si>
  <si>
    <t xml:space="preserve">Lalit Kumar </t>
  </si>
  <si>
    <t xml:space="preserve">Sunil sehgal </t>
  </si>
  <si>
    <t>Ishika</t>
  </si>
  <si>
    <t xml:space="preserve">Lalit malhotra </t>
  </si>
  <si>
    <t>Vijay gupta</t>
  </si>
  <si>
    <t>Suman gupta</t>
  </si>
  <si>
    <t>Jitender Singh</t>
  </si>
  <si>
    <t xml:space="preserve">Mudid Aggarwal </t>
  </si>
  <si>
    <t>Naresh garg</t>
  </si>
  <si>
    <t>Vikas Chahal</t>
  </si>
  <si>
    <t>sofi</t>
  </si>
  <si>
    <t>Archana jain</t>
  </si>
  <si>
    <t>manish kumar</t>
  </si>
  <si>
    <t xml:space="preserve">durga Prasad </t>
  </si>
  <si>
    <t>Danish</t>
  </si>
  <si>
    <t xml:space="preserve">Jewellery for wedding </t>
  </si>
  <si>
    <t xml:space="preserve">Radhika </t>
  </si>
  <si>
    <t xml:space="preserve">Yash Upadhyay </t>
  </si>
  <si>
    <t>Asha sharma</t>
  </si>
  <si>
    <t>Ashq</t>
  </si>
  <si>
    <t>Nagama</t>
  </si>
  <si>
    <t xml:space="preserve">Narender ji </t>
  </si>
  <si>
    <t>Tops</t>
  </si>
  <si>
    <t xml:space="preserve">Sunil ji </t>
  </si>
  <si>
    <t>Sunil Kuma</t>
  </si>
  <si>
    <t>lalit</t>
  </si>
  <si>
    <t xml:space="preserve">Sarthak </t>
  </si>
  <si>
    <t>Rishi</t>
  </si>
  <si>
    <t>Seema rani</t>
  </si>
  <si>
    <t>Nazia</t>
  </si>
  <si>
    <t>Ankur</t>
  </si>
  <si>
    <t>Naina</t>
  </si>
  <si>
    <t>Mukesh Jain</t>
  </si>
  <si>
    <t xml:space="preserve">Aishwarya </t>
  </si>
  <si>
    <t>Diamond ring 3.05 ct</t>
  </si>
  <si>
    <t xml:space="preserve">Bobby </t>
  </si>
  <si>
    <t>Rk pandey</t>
  </si>
  <si>
    <t xml:space="preserve">Raj Kumar ji </t>
  </si>
  <si>
    <t>Dikshit Gupta</t>
  </si>
  <si>
    <t>diamond ladies ring</t>
  </si>
  <si>
    <t xml:space="preserve">Sandeep Singh ji </t>
  </si>
  <si>
    <t xml:space="preserve">Nitin Gupta </t>
  </si>
  <si>
    <t>Kishan Kumar</t>
  </si>
  <si>
    <t>Utkarsh mehra</t>
  </si>
  <si>
    <t>Anju Jain</t>
  </si>
  <si>
    <t>Anand</t>
  </si>
  <si>
    <t>Suhail</t>
  </si>
  <si>
    <t>Kabir</t>
  </si>
  <si>
    <t>Prakash Kumar</t>
  </si>
  <si>
    <t>Rinki</t>
  </si>
  <si>
    <t>Sharda</t>
  </si>
  <si>
    <t>Ritik</t>
  </si>
  <si>
    <t>Rashmi Gupta</t>
  </si>
  <si>
    <t xml:space="preserve">Sibodh Bhatnagar </t>
  </si>
  <si>
    <t xml:space="preserve">Sumit </t>
  </si>
  <si>
    <t xml:space="preserve">Subhash Shukla </t>
  </si>
  <si>
    <t xml:space="preserve">Krishan Prasad </t>
  </si>
  <si>
    <t>Adeeb</t>
  </si>
  <si>
    <t>Amrik goel</t>
  </si>
  <si>
    <t>Khushboo gupta</t>
  </si>
  <si>
    <t>jyoti</t>
  </si>
  <si>
    <t>Kamal singh rathore</t>
  </si>
  <si>
    <t>Alisha</t>
  </si>
  <si>
    <t>Sharaniya</t>
  </si>
  <si>
    <t>Rajat gupta</t>
  </si>
  <si>
    <t>Abhishek tyagi</t>
  </si>
  <si>
    <t>General</t>
  </si>
  <si>
    <t xml:space="preserve">Laxmi </t>
  </si>
  <si>
    <t>Hari singh</t>
  </si>
  <si>
    <t>Ladies ring</t>
  </si>
  <si>
    <t>Dr.khushnoor Alam PT</t>
  </si>
  <si>
    <t>diamond ring gents, nose pin</t>
  </si>
  <si>
    <t>Ashok singhal</t>
  </si>
  <si>
    <t>Manush tyagi</t>
  </si>
  <si>
    <t>Brij bhushan rajput</t>
  </si>
  <si>
    <t>Politician gents ring mla lucknow</t>
  </si>
  <si>
    <t xml:space="preserve">Rajesh Kumar Prasad </t>
  </si>
  <si>
    <t>Mukesh Kumar varshney</t>
  </si>
  <si>
    <t>Aayush Aggrawal</t>
  </si>
  <si>
    <t>Rudraksha 1 mukhi</t>
  </si>
  <si>
    <t>Nipun</t>
  </si>
  <si>
    <t>Anuj verma</t>
  </si>
  <si>
    <t xml:space="preserve">Shweta </t>
  </si>
  <si>
    <t xml:space="preserve">Diamond ring , pendant </t>
  </si>
  <si>
    <t>Pinki tapa</t>
  </si>
  <si>
    <t>Ashutosh pratap</t>
  </si>
  <si>
    <t xml:space="preserve">Adin </t>
  </si>
  <si>
    <t>Siddharth</t>
  </si>
  <si>
    <t xml:space="preserve">Ghanshyam </t>
  </si>
  <si>
    <t xml:space="preserve">Gents ring </t>
  </si>
  <si>
    <t>Saksham Chopra</t>
  </si>
  <si>
    <t>Emerald ring 8 ratti @3000</t>
  </si>
  <si>
    <t>Yash kumar</t>
  </si>
  <si>
    <t xml:space="preserve">Rishabh </t>
  </si>
  <si>
    <t xml:space="preserve">Rakesh </t>
  </si>
  <si>
    <t>Anvesha Gupta</t>
  </si>
  <si>
    <t>Preeti Rani</t>
  </si>
  <si>
    <t xml:space="preserve">Bandana </t>
  </si>
  <si>
    <t>Ravi Gupta</t>
  </si>
  <si>
    <t>Vimal</t>
  </si>
  <si>
    <t>Coin 24ct 10 gm</t>
  </si>
  <si>
    <t xml:space="preserve">Himani </t>
  </si>
  <si>
    <t xml:space="preserve">Kiran </t>
  </si>
  <si>
    <t>prerna</t>
  </si>
  <si>
    <t xml:space="preserve">Piyush </t>
  </si>
  <si>
    <t>Raghuvender mishra</t>
  </si>
  <si>
    <t>Sushil</t>
  </si>
  <si>
    <t xml:space="preserve">Diamond ring gents and ladies </t>
  </si>
  <si>
    <t>Abhinav</t>
  </si>
  <si>
    <t xml:space="preserve">Lalit Kumar Verma </t>
  </si>
  <si>
    <t xml:space="preserve">Santosh Kumar Sharma </t>
  </si>
  <si>
    <t>Gupta Ji</t>
  </si>
  <si>
    <t>Varinder Gupta</t>
  </si>
  <si>
    <t>Ramesh</t>
  </si>
  <si>
    <t xml:space="preserve">Praveen </t>
  </si>
  <si>
    <t>Mehtab Alam</t>
  </si>
  <si>
    <t xml:space="preserve">Shahid </t>
  </si>
  <si>
    <t>Poonam</t>
  </si>
  <si>
    <t>Ashi</t>
  </si>
  <si>
    <t>Barkha Gupta</t>
  </si>
  <si>
    <t>Santosh gupta</t>
  </si>
  <si>
    <t xml:space="preserve">Devender </t>
  </si>
  <si>
    <t>Sudarshna</t>
  </si>
  <si>
    <t>Irshad</t>
  </si>
  <si>
    <t>sanjay Kumar</t>
  </si>
  <si>
    <t>Bride and groom rings</t>
  </si>
  <si>
    <t>Uma jain</t>
  </si>
  <si>
    <t>Alka Jain</t>
  </si>
  <si>
    <t xml:space="preserve">Archana </t>
  </si>
  <si>
    <t>Himanshu arora</t>
  </si>
  <si>
    <t>Rimmi</t>
  </si>
  <si>
    <t xml:space="preserve">Poonam rastogi </t>
  </si>
  <si>
    <t>Kuber gupta</t>
  </si>
  <si>
    <t xml:space="preserve">Rajiv rastogi </t>
  </si>
  <si>
    <t>Sneha</t>
  </si>
  <si>
    <t>Diksha</t>
  </si>
  <si>
    <t>Anirudh Tiwari</t>
  </si>
  <si>
    <t>Ak vij</t>
  </si>
  <si>
    <t xml:space="preserve">Wedding jewellery </t>
  </si>
  <si>
    <t>S m zaidi</t>
  </si>
  <si>
    <t xml:space="preserve">Shalu Gupta </t>
  </si>
  <si>
    <t>Sandeep Jain</t>
  </si>
  <si>
    <t>Pawan Kumar</t>
  </si>
  <si>
    <t>Atul</t>
  </si>
  <si>
    <t>Sanya</t>
  </si>
  <si>
    <t>Nivedita Singh</t>
  </si>
  <si>
    <t>Sana</t>
  </si>
  <si>
    <t>junaid</t>
  </si>
  <si>
    <t xml:space="preserve">Ravi Bhardwaj </t>
  </si>
  <si>
    <t>Sushant</t>
  </si>
  <si>
    <t>Pradeep Mittal</t>
  </si>
  <si>
    <t>diamond Gents</t>
  </si>
  <si>
    <t xml:space="preserve">Nidhi Gupta </t>
  </si>
  <si>
    <t>nidhi25gupta@gmail.com</t>
  </si>
  <si>
    <t xml:space="preserve">Statement Necklace </t>
  </si>
  <si>
    <t xml:space="preserve">Akanksha Aggarwal </t>
  </si>
  <si>
    <t>ankuaggarwal5@gmail.com</t>
  </si>
  <si>
    <t>rucha</t>
  </si>
  <si>
    <t xml:space="preserve">Whatsapp Rings and earrings design </t>
  </si>
  <si>
    <t>Rakesh maira</t>
  </si>
  <si>
    <t>Sapna</t>
  </si>
  <si>
    <t>Arvind Agarwal</t>
  </si>
  <si>
    <t>Dharmesh</t>
  </si>
  <si>
    <t>Rashmi</t>
  </si>
  <si>
    <t xml:space="preserve">Shashi </t>
  </si>
  <si>
    <t xml:space="preserve">Vinod </t>
  </si>
  <si>
    <t>L.ring 6pc</t>
  </si>
  <si>
    <t>https://drive.google.com/open?id=1cCSdqh93jbZBwTBxFkUgFf3eSoJyN9O3</t>
  </si>
  <si>
    <t>Manoj jain</t>
  </si>
  <si>
    <t xml:space="preserve">Tops 60+60 </t>
  </si>
  <si>
    <t>https://drive.google.com/open?id=1AMPWh4tayaAd08BeqAJFrSXp4d7U0H-R</t>
  </si>
  <si>
    <t>Ring next year</t>
  </si>
  <si>
    <t>Pardeep kumar</t>
  </si>
  <si>
    <t xml:space="preserve">Whatsapp Ring design </t>
  </si>
  <si>
    <t>Megha</t>
  </si>
  <si>
    <t>Faiz</t>
  </si>
  <si>
    <t>Harleen</t>
  </si>
  <si>
    <t xml:space="preserve">2ct diamond earrings </t>
  </si>
  <si>
    <t>Phone no</t>
  </si>
  <si>
    <t xml:space="preserve">Product </t>
  </si>
  <si>
    <t>Barnd name</t>
  </si>
  <si>
    <t>Product</t>
  </si>
  <si>
    <t>barnd name</t>
  </si>
  <si>
    <t>W2q1qWAQA1a1`</t>
  </si>
  <si>
    <t>MSG</t>
  </si>
  <si>
    <t>Te,plate</t>
  </si>
  <si>
    <t>msg</t>
  </si>
  <si>
    <t>Hi $(Name)! 👋*
Thank you for exploring MYNN at the International Trade Fair! 🌐 We appreciate your time and interest in our lab-grown diamonds.
Quick question: Can we keep you in the loop about our latest designs and offers? Reply with 'YES' or 'STOP' to opt-out. 😊</t>
  </si>
  <si>
    <t xml:space="preserve">Hello $(Name)! 🌟 A sincere thank you for gracing Gemtre's stall at the event. Your interest in our curated collection of gemstones and holistic healing products truly adds sparkle to our journey. Explore more about Gemtre's legacy and offerings!
     - Visit our website to delve into the world of Gemtre:www.gemtre.in
     - Connect with us on social media for a glimpse into our legacy: https://instagram.com/gemtre_certified_gemstones
To Unsubscribe Reply with “STOP”
</t>
  </si>
  <si>
    <t/>
  </si>
  <si>
    <t>Template No.</t>
  </si>
  <si>
    <t>Day</t>
  </si>
  <si>
    <t>Message</t>
  </si>
  <si>
    <t>Send File (Please do not enter any thing)</t>
  </si>
  <si>
    <t>File URL</t>
  </si>
  <si>
    <t>Title (Compulsory for sending buttons)</t>
  </si>
  <si>
    <t>Buttons (Compulsory for sending buttons)</t>
  </si>
  <si>
    <t>**Hi $(Name)! 👋**
Thank you for exploring MYNN at the International Trade Fair! 🌐 We appreciate your time and interest in our lab-grown diamonds.
Quick question: Can we keep you in the loop about our latest designs and offers? Reply with 'YES' or 'STOP' to opt-out. 😊</t>
  </si>
  <si>
    <t>Testing Email</t>
  </si>
  <si>
    <t>Hello $(Name)</t>
  </si>
  <si>
    <t xml:space="preserve">At Sun Sea Group, we've been shaping the jewelry landscape for over 40 years. 💎 Founder, Sanjeev Garg, and his son Saurav Garg, trained globally since 2001, lead us. They bring expertise and passion to our lab-grown diamonds venture. Read More https://sunseajewellers.com/founders
</t>
  </si>
  <si>
    <t>First Email</t>
  </si>
  <si>
    <t xml:space="preserve">Ready to explore brilliance at a fraction of the cost? 🌈 Dive into our free Guide to Buying Lab Grown Diamonds 
Have questions or need advice? Hit reply—we're here for you! 😊
Thank you for being part of the MYNN journey at the International Trade Fair! 🌟
</t>
  </si>
  <si>
    <t>https://shorturl.at/dyANX</t>
  </si>
  <si>
    <t xml:space="preserve">**Hi $(Name)! 👋**
Quick update from MYNN at the International Trade Fair! 🌐 For being awesome, here's an exclusive insight into World Of Diamonds with our Exhibition offering. Just for You Now 1 ct Diamond Will cost you just Rs. 29999 only instead of Rs45000 if booked during the trade fair or till 5 th dec.
To Book in Just Rs 1100 Click here. Your journey to affordable elegance awaits! 💍✨
</t>
  </si>
  <si>
    <t xml:space="preserve">**Hi $(Name)! 👋**
As the International Trade Fair wraps up, we want to express our gratitude for being part of this journey with us! 🌐✨
Exciting things are ahead! Stay connected for future events, launches, and exclusive updates. Want to stay in the loop? Reply with 'YES' or 'STOP' to opt-out.
Thanks for making the International Trade Fair unforgettable! 🙌🌈
</t>
  </si>
  <si>
    <r>
      <rPr>
        <rFont val="Arial, sans-serif"/>
        <color rgb="FF000000"/>
        <sz val="11.0"/>
      </rPr>
      <t xml:space="preserve">**Hi $(Name)! 👋**
Guess what? Another client just found their perfect lab-grown diamond with us at the International Trade Fair! 🌟 Read their story </t>
    </r>
    <r>
      <rPr>
        <rFont val="Arial, sans-serif"/>
        <color rgb="FFFF0000"/>
        <sz val="11.0"/>
      </rPr>
      <t xml:space="preserve">[Include Success Story Link] </t>
    </r>
    <r>
      <rPr>
        <rFont val="Arial, sans-serif"/>
        <color rgb="FF000000"/>
        <sz val="11.0"/>
      </rPr>
      <t xml:space="preserve">and envision your own tale of brilliance.
Any thoughts or questions? Hit reply! We're here to make your story sparkle. 😊💖
</t>
    </r>
  </si>
  <si>
    <t xml:space="preserve">Greetings $(Name)! ✨ At Gemtre, our commitment to holistic well-being is deeply rooted in the essence of each gemstone. Delve into the wisdom behind our collection and discover the unique healing properties that set Gemtre apart.
     - Any queries or specific gemstones in mind? Your journey matters to us – reply to this message for personalized assistance.
     - Explore our catalog for an immersive experience:https://www.gemtre.in/so/38OloOs3K?languageTag=en
</t>
  </si>
  <si>
    <t xml:space="preserve">Hi $(Name)! 🌈 Gemtre extends an exclusive invitation to elevate your holistic journey. Embrace the healing energies of selected gemstones and crystals with a special discount, crafted just for you.
     - Use code GEMLOVE15 for online purchases or visit our store to experience Gemtre's transformative offerings!
     - Dive into our curated selection: www.gemtre.in
</t>
  </si>
  <si>
    <t xml:space="preserve">- Greetings $(Name)! 🌺 The Gemtre family is delighted to share stories of transformation from our cherished customers. Their experiences reflect the profound impact of Gemtre's products on holistic well-being.
     - Immerse yourself in these inspiring testimonials:https://local.google.com/place?id=17551102083129169900&amp;use=srp&amp;ibp=gwp;0,7
     - Share your unique Gemtre experience or seek guidance – your journey is our priority!
</t>
  </si>
  <si>
    <r>
      <rPr>
        <rFont val="Arial, sans-serif"/>
        <color rgb="FF000000"/>
        <sz val="11.0"/>
      </rPr>
      <t xml:space="preserve">Hello $(Name)! 🌟 Gemtre extends heartfelt gratitude for your presence at the event. Reflect on the highlights of our stall and anticipate more enriching experiences on the horizon. Stay tuned for exclusive updates and engagement opportunities!
     - Subscribe to Gemtre's newsletter for privileged insights: </t>
    </r>
    <r>
      <rPr>
        <rFont val="Arial, sans-serif"/>
        <color rgb="FF1155CC"/>
        <sz val="11.0"/>
        <u/>
      </rPr>
      <t>www.gemtre.in</t>
    </r>
    <r>
      <rPr>
        <rFont val="Arial, sans-serif"/>
        <color rgb="FF000000"/>
        <sz val="11.0"/>
      </rPr>
      <t xml:space="preserve">
     - Your queries and aspirations are our focus – feel free to reach out anytime.
</t>
    </r>
  </si>
  <si>
    <t>Send File</t>
  </si>
  <si>
    <t>Option 4</t>
  </si>
  <si>
    <t>Option 5</t>
  </si>
  <si>
    <t>Option 6</t>
  </si>
  <si>
    <t>Option 7</t>
  </si>
  <si>
    <t>New</t>
  </si>
  <si>
    <t>Template</t>
  </si>
  <si>
    <t>First Date</t>
  </si>
  <si>
    <t>Message will go automatically at 12 PM</t>
  </si>
  <si>
    <t>Properties</t>
  </si>
  <si>
    <t>Natural Diamonds</t>
  </si>
  <si>
    <t>Lab-Grown Diamonds</t>
  </si>
  <si>
    <t>Formation</t>
  </si>
  <si>
    <t>Created deep within the Earth's mantle over millions to billions of years through high pressure and temperature.</t>
  </si>
  <si>
    <t>Created in controlled environments using advanced technological processes (HPHT or CVD).</t>
  </si>
  <si>
    <t>Rarity</t>
  </si>
  <si>
    <t>Limited supply due to natural geological processes, making them inherently rare.</t>
  </si>
  <si>
    <t>Can be produced in larger quantities, reducing the rarity factor.</t>
  </si>
  <si>
    <t>Inclusions</t>
  </si>
  <si>
    <t>May contain natural inclusions, considered unique characteristics of the diamond.</t>
  </si>
  <si>
    <t>Typically fewer inclusions and blemishes due to controlled growth conditions.</t>
  </si>
  <si>
    <t>Cost</t>
  </si>
  <si>
    <t>Generally more expensive due to rarity and the complex process of mining and extraction.</t>
  </si>
  <si>
    <t>Generally more affordable, offering a cost-effective alternative.</t>
  </si>
  <si>
    <t>Environmental Friendliness</t>
  </si>
  <si>
    <t>Involves environmental impact from mining and extraction processes.</t>
  </si>
  <si>
    <t>Reduces environmental impact by eliminating the need for mining.</t>
  </si>
  <si>
    <t>Customization Options</t>
  </si>
  <si>
    <t>Limited customization options due to natural formation.</t>
  </si>
  <si>
    <t>Greater customization options, allowing tailored characteristics.</t>
  </si>
  <si>
    <t>text</t>
  </si>
  <si>
    <t>API Product ID -&gt;</t>
  </si>
  <si>
    <t>f16b8f74-f12b-4208-a04c-ca140c15b415</t>
  </si>
  <si>
    <t>API Token -&gt;</t>
  </si>
  <si>
    <t>62f0813f-62b8-4ade-9ca0-a7193ac3fec9</t>
  </si>
  <si>
    <t>API Phone ID -&gt;</t>
  </si>
  <si>
    <t>21859</t>
  </si>
  <si>
    <t xml:space="preserve">Ready to explore brilliance at a fraction of the cost? 🌈 Dive into our free Guide to Buying Lab Grown Diamonds https://shorturl.at/dyANX
Have questions or need advice? Hit reply—we're here for you! 😊
Thank you for being part of the MYNN journey at the International Trade Fair! 🌟
</t>
  </si>
  <si>
    <t>https://drive.google.com/file/d/1UdqMpmapC0vU5MVh1bRR5rG5fAuGidv2/view?usp=sharing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</si>
</sst>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m/yyyy hh:mm:ss"/>
    <numFmt numFmtId="166" formatCode="d&quot; &quot;mmm&quot; &quot;yy"/>
  </numFmts>
  <fonts count="18">
    <font>
      <sz val="10.0"/>
      <color rgb="FF000000"/>
      <name val="Arial"/>
      <scheme val="minor"/>
    </font>
    <font>
      <color theme="1"/>
      <name val="Arial"/>
      <scheme val="minor"/>
    </font>
    <font>
      <u/>
      <color rgb="FF0000FF"/>
    </font>
    <font>
      <sz val="11.0"/>
      <color rgb="FF1F1F1F"/>
      <name val="&quot;Google Sans&quot;"/>
    </font>
    <font>
      <b/>
      <color theme="1"/>
      <name val="Arial"/>
      <scheme val="minor"/>
    </font>
    <font>
      <u/>
      <color rgb="FF0000FF"/>
    </font>
    <font>
      <color rgb="FF000000"/>
      <name val="Arial"/>
      <scheme val="minor"/>
    </font>
    <font>
      <u/>
      <color rgb="FF0000FF"/>
    </font>
    <font>
      <u/>
      <color rgb="FF0000FF"/>
    </font>
    <font>
      <color theme="1"/>
      <name val="Arial"/>
    </font>
    <font>
      <color rgb="FFB31412"/>
      <name val="&quot;Roboto Mono&quot;"/>
    </font>
    <font>
      <sz val="11.0"/>
      <color rgb="FF000000"/>
      <name val="Arial"/>
    </font>
    <font>
      <u/>
      <sz val="11.0"/>
      <color rgb="FF000000"/>
      <name val="Arial"/>
    </font>
    <font>
      <u/>
      <sz val="11.0"/>
      <color rgb="FF000000"/>
      <name val="Arial"/>
    </font>
    <font>
      <sz val="11.0"/>
      <color theme="1"/>
      <name val="Lato"/>
    </font>
    <font/>
    <font>
      <sz val="11.0"/>
      <color rgb="FFFF0000"/>
      <name val="Arial"/>
    </font>
    <font>
      <u/>
      <color rgb="FF0000FF"/>
    </font>
  </fonts>
  <fills count="18">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E6B8AF"/>
        <bgColor rgb="FFE6B8AF"/>
      </patternFill>
    </fill>
    <fill>
      <patternFill patternType="solid">
        <fgColor rgb="FFE69138"/>
        <bgColor rgb="FFE69138"/>
      </patternFill>
    </fill>
    <fill>
      <patternFill patternType="solid">
        <fgColor rgb="FFDD7E6B"/>
        <bgColor rgb="FFDD7E6B"/>
      </patternFill>
    </fill>
    <fill>
      <patternFill patternType="solid">
        <fgColor rgb="FFCC0000"/>
        <bgColor rgb="FFCC0000"/>
      </patternFill>
    </fill>
    <fill>
      <patternFill patternType="solid">
        <fgColor rgb="FFB45F06"/>
        <bgColor rgb="FFB45F06"/>
      </patternFill>
    </fill>
    <fill>
      <patternFill patternType="solid">
        <fgColor rgb="FF990000"/>
        <bgColor rgb="FF990000"/>
      </patternFill>
    </fill>
    <fill>
      <patternFill patternType="solid">
        <fgColor rgb="FFEA9999"/>
        <bgColor rgb="FFEA9999"/>
      </patternFill>
    </fill>
    <fill>
      <patternFill patternType="solid">
        <fgColor rgb="FFE06666"/>
        <bgColor rgb="FFE06666"/>
      </patternFill>
    </fill>
    <fill>
      <patternFill patternType="solid">
        <fgColor rgb="FFFFFF00"/>
        <bgColor rgb="FFFFFF00"/>
      </patternFill>
    </fill>
    <fill>
      <patternFill patternType="solid">
        <fgColor rgb="FF00FF00"/>
        <bgColor rgb="FF00FF00"/>
      </patternFill>
    </fill>
    <fill>
      <patternFill patternType="solid">
        <fgColor rgb="FFF8F9FA"/>
        <bgColor rgb="FFF8F9FA"/>
      </patternFill>
    </fill>
    <fill>
      <patternFill patternType="solid">
        <fgColor rgb="FFB7B7B7"/>
        <bgColor rgb="FFB7B7B7"/>
      </patternFill>
    </fill>
    <fill>
      <patternFill patternType="solid">
        <fgColor rgb="FF999999"/>
        <bgColor rgb="FF999999"/>
      </patternFill>
    </fill>
    <fill>
      <patternFill patternType="solid">
        <fgColor rgb="FFB7E1CD"/>
        <bgColor rgb="FFB7E1CD"/>
      </patternFill>
    </fill>
  </fills>
  <borders count="9">
    <border/>
    <border>
      <top style="thin">
        <color rgb="FF000000"/>
      </top>
    </border>
    <border>
      <left style="thin">
        <color rgb="FF000000"/>
      </left>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right"/>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horizontal="right" readingOrder="0"/>
    </xf>
    <xf borderId="0" fillId="0" fontId="2" numFmtId="0" xfId="0" applyAlignment="1" applyFont="1">
      <alignment readingOrder="0"/>
    </xf>
    <xf borderId="0" fillId="0" fontId="1" numFmtId="0" xfId="0" applyAlignment="1" applyFont="1">
      <alignment readingOrder="0"/>
    </xf>
    <xf borderId="0" fillId="2" fontId="3" numFmtId="0" xfId="0" applyAlignment="1" applyFill="1" applyFont="1">
      <alignment readingOrder="0"/>
    </xf>
    <xf borderId="0" fillId="0" fontId="1" numFmtId="0" xfId="0" applyAlignment="1" applyFont="1">
      <alignment horizontal="right"/>
    </xf>
    <xf borderId="0" fillId="0" fontId="4" numFmtId="0" xfId="0" applyAlignment="1" applyFont="1">
      <alignment readingOrder="0"/>
    </xf>
    <xf borderId="0" fillId="0" fontId="4" numFmtId="0" xfId="0" applyFont="1"/>
    <xf borderId="0" fillId="3" fontId="1" numFmtId="0" xfId="0" applyAlignment="1" applyFill="1" applyFont="1">
      <alignment readingOrder="0"/>
    </xf>
    <xf borderId="0" fillId="3" fontId="1" numFmtId="0" xfId="0" applyAlignment="1" applyFont="1">
      <alignment horizontal="right" readingOrder="0"/>
    </xf>
    <xf borderId="0" fillId="2" fontId="1" numFmtId="0" xfId="0" applyAlignment="1" applyFont="1">
      <alignment readingOrder="0"/>
    </xf>
    <xf borderId="0" fillId="2" fontId="1" numFmtId="0" xfId="0" applyAlignment="1" applyFont="1">
      <alignment horizontal="right" readingOrder="0"/>
    </xf>
    <xf borderId="0" fillId="2" fontId="1" numFmtId="0" xfId="0" applyFont="1"/>
    <xf borderId="0" fillId="2" fontId="5" numFmtId="0" xfId="0" applyAlignment="1" applyFont="1">
      <alignment readingOrder="0"/>
    </xf>
    <xf borderId="0" fillId="3" fontId="1" numFmtId="0" xfId="0" applyFont="1"/>
    <xf borderId="0" fillId="4" fontId="1" numFmtId="0" xfId="0" applyAlignment="1" applyFill="1" applyFont="1">
      <alignment readingOrder="0"/>
    </xf>
    <xf borderId="0" fillId="4" fontId="1" numFmtId="0" xfId="0" applyAlignment="1" applyFont="1">
      <alignment horizontal="right" readingOrder="0"/>
    </xf>
    <xf borderId="0" fillId="4" fontId="1" numFmtId="0" xfId="0" applyFont="1"/>
    <xf borderId="0" fillId="5" fontId="1" numFmtId="0" xfId="0" applyAlignment="1" applyFill="1" applyFont="1">
      <alignment readingOrder="0"/>
    </xf>
    <xf borderId="0" fillId="5" fontId="1" numFmtId="0" xfId="0" applyAlignment="1" applyFont="1">
      <alignment horizontal="right" readingOrder="0"/>
    </xf>
    <xf borderId="0" fillId="5" fontId="1" numFmtId="0" xfId="0" applyFont="1"/>
    <xf borderId="0" fillId="2" fontId="6" numFmtId="0" xfId="0" applyAlignment="1" applyFont="1">
      <alignment readingOrder="0"/>
    </xf>
    <xf borderId="0" fillId="2" fontId="6" numFmtId="0" xfId="0" applyAlignment="1" applyFont="1">
      <alignment horizontal="right" readingOrder="0"/>
    </xf>
    <xf borderId="0" fillId="2" fontId="6" numFmtId="0" xfId="0" applyFont="1"/>
    <xf borderId="0" fillId="3" fontId="7" numFmtId="0" xfId="0" applyAlignment="1" applyFont="1">
      <alignment readingOrder="0"/>
    </xf>
    <xf borderId="0" fillId="6" fontId="1" numFmtId="0" xfId="0" applyAlignment="1" applyFill="1" applyFont="1">
      <alignment readingOrder="0"/>
    </xf>
    <xf borderId="0" fillId="6" fontId="1" numFmtId="0" xfId="0" applyAlignment="1" applyFont="1">
      <alignment horizontal="right" readingOrder="0"/>
    </xf>
    <xf borderId="0" fillId="6" fontId="1" numFmtId="0" xfId="0" applyFont="1"/>
    <xf borderId="0" fillId="7" fontId="1" numFmtId="0" xfId="0" applyAlignment="1" applyFill="1" applyFont="1">
      <alignment readingOrder="0"/>
    </xf>
    <xf borderId="0" fillId="7" fontId="1" numFmtId="0" xfId="0" applyFont="1"/>
    <xf borderId="0" fillId="8" fontId="1" numFmtId="0" xfId="0" applyAlignment="1" applyFill="1" applyFont="1">
      <alignment readingOrder="0"/>
    </xf>
    <xf borderId="0" fillId="8" fontId="1" numFmtId="0" xfId="0" applyFont="1"/>
    <xf borderId="0" fillId="9" fontId="1" numFmtId="0" xfId="0" applyAlignment="1" applyFill="1" applyFont="1">
      <alignment readingOrder="0"/>
    </xf>
    <xf borderId="0" fillId="9" fontId="1" numFmtId="0" xfId="0" applyFont="1"/>
    <xf borderId="0" fillId="10" fontId="1" numFmtId="0" xfId="0" applyAlignment="1" applyFill="1" applyFont="1">
      <alignment readingOrder="0"/>
    </xf>
    <xf borderId="0" fillId="11" fontId="1" numFmtId="0" xfId="0" applyAlignment="1" applyFill="1" applyFont="1">
      <alignment readingOrder="0"/>
    </xf>
    <xf borderId="0" fillId="10" fontId="1" numFmtId="0" xfId="0" applyFont="1"/>
    <xf borderId="0" fillId="11" fontId="1" numFmtId="0" xfId="0" applyFont="1"/>
    <xf borderId="0" fillId="12" fontId="1" numFmtId="0" xfId="0" applyAlignment="1" applyFill="1" applyFont="1">
      <alignment readingOrder="0"/>
    </xf>
    <xf borderId="0" fillId="12" fontId="1" numFmtId="0" xfId="0" applyAlignment="1" applyFont="1">
      <alignment horizontal="right" readingOrder="0"/>
    </xf>
    <xf borderId="0" fillId="12" fontId="1" numFmtId="0" xfId="0" applyFont="1"/>
    <xf borderId="0" fillId="0" fontId="1" numFmtId="0" xfId="0" applyFont="1"/>
    <xf borderId="0" fillId="0" fontId="1" numFmtId="164" xfId="0" applyFont="1" applyNumberFormat="1"/>
    <xf borderId="0" fillId="0" fontId="1" numFmtId="165" xfId="0" applyAlignment="1" applyFont="1" applyNumberFormat="1">
      <alignment readingOrder="0"/>
    </xf>
    <xf borderId="0" fillId="0" fontId="8" numFmtId="0" xfId="0" applyFont="1"/>
    <xf borderId="0" fillId="13" fontId="1" numFmtId="0" xfId="0" applyAlignment="1" applyFill="1" applyFont="1">
      <alignment horizontal="center" readingOrder="0"/>
    </xf>
    <xf borderId="0" fillId="13" fontId="1" numFmtId="0" xfId="0" applyAlignment="1" applyFont="1">
      <alignment readingOrder="0" shrinkToFit="0" wrapText="1"/>
    </xf>
    <xf borderId="0" fillId="12" fontId="1" numFmtId="0" xfId="0" applyAlignment="1" applyFont="1">
      <alignment readingOrder="0" shrinkToFit="0" wrapText="0"/>
    </xf>
    <xf borderId="0" fillId="13" fontId="1" numFmtId="0" xfId="0" applyAlignment="1" applyFont="1">
      <alignment readingOrder="0"/>
    </xf>
    <xf borderId="0" fillId="12" fontId="9" numFmtId="0" xfId="0" applyAlignment="1" applyFont="1">
      <alignment horizontal="center" readingOrder="0" vertical="bottom"/>
    </xf>
    <xf borderId="1" fillId="0" fontId="9" numFmtId="0" xfId="0" applyAlignment="1" applyBorder="1" applyFont="1">
      <alignment readingOrder="0" shrinkToFit="0" vertical="bottom" wrapText="1"/>
    </xf>
    <xf borderId="0" fillId="14" fontId="10" numFmtId="0" xfId="0" applyAlignment="1" applyFill="1" applyFont="1">
      <alignment readingOrder="0"/>
    </xf>
    <xf borderId="0" fillId="0" fontId="11" numFmtId="0" xfId="0" applyAlignment="1" applyFont="1">
      <alignment readingOrder="0" shrinkToFit="0" wrapText="1"/>
    </xf>
    <xf borderId="0" fillId="0" fontId="1" numFmtId="0" xfId="0" applyAlignment="1" applyFont="1">
      <alignment readingOrder="0"/>
    </xf>
    <xf borderId="0" fillId="0" fontId="9" numFmtId="0" xfId="0" applyAlignment="1" applyFont="1">
      <alignment horizontal="center" readingOrder="0" vertical="bottom"/>
    </xf>
    <xf borderId="0" fillId="0" fontId="11" numFmtId="0" xfId="0" applyAlignment="1" applyFont="1">
      <alignment readingOrder="0" shrinkToFit="0" wrapText="1"/>
    </xf>
    <xf borderId="0" fillId="2" fontId="12" numFmtId="0" xfId="0" applyAlignment="1" applyFont="1">
      <alignment horizontal="left" readingOrder="0"/>
    </xf>
    <xf borderId="0" fillId="0" fontId="1" numFmtId="0" xfId="0" applyAlignment="1" applyFont="1">
      <alignment horizontal="center" readingOrder="0"/>
    </xf>
    <xf borderId="0" fillId="0" fontId="11" numFmtId="0" xfId="0" applyAlignment="1" applyFont="1">
      <alignment shrinkToFit="0" wrapText="1"/>
    </xf>
    <xf borderId="0" fillId="2" fontId="9" numFmtId="0" xfId="0" applyAlignment="1" applyFont="1">
      <alignment readingOrder="0" shrinkToFit="0" vertical="bottom" wrapText="1"/>
    </xf>
    <xf borderId="2" fillId="2" fontId="9" numFmtId="0" xfId="0" applyAlignment="1" applyBorder="1" applyFont="1">
      <alignment readingOrder="0" shrinkToFit="0" vertical="bottom" wrapText="1"/>
    </xf>
    <xf borderId="0" fillId="0" fontId="1" numFmtId="0" xfId="0" applyAlignment="1" applyFont="1">
      <alignment shrinkToFit="0" wrapText="1"/>
    </xf>
    <xf borderId="0" fillId="0" fontId="1" numFmtId="0" xfId="0" applyAlignment="1" applyFont="1">
      <alignment horizontal="center"/>
    </xf>
    <xf borderId="0" fillId="0" fontId="13" numFmtId="0" xfId="0" applyAlignment="1" applyFont="1">
      <alignment readingOrder="0" shrinkToFit="0" wrapText="1"/>
    </xf>
    <xf borderId="0" fillId="15" fontId="1" numFmtId="0" xfId="0" applyAlignment="1" applyFill="1" applyFont="1">
      <alignment readingOrder="0"/>
    </xf>
    <xf borderId="0" fillId="16" fontId="1" numFmtId="0" xfId="0" applyAlignment="1" applyFill="1" applyFont="1">
      <alignment readingOrder="0"/>
    </xf>
    <xf borderId="0" fillId="13" fontId="1" numFmtId="0" xfId="0" applyAlignment="1" applyFont="1">
      <alignment readingOrder="0" shrinkToFit="0" wrapText="0"/>
    </xf>
    <xf borderId="0" fillId="13" fontId="1" numFmtId="166" xfId="0" applyAlignment="1" applyFont="1" applyNumberFormat="1">
      <alignment readingOrder="0"/>
    </xf>
    <xf borderId="0" fillId="0" fontId="1" numFmtId="0" xfId="0" applyAlignment="1" applyFont="1">
      <alignment readingOrder="0" shrinkToFit="0" wrapText="0"/>
    </xf>
    <xf borderId="0" fillId="0" fontId="1" numFmtId="166" xfId="0" applyFont="1" applyNumberFormat="1"/>
    <xf borderId="0" fillId="0" fontId="1" numFmtId="166" xfId="0" applyAlignment="1" applyFont="1" applyNumberFormat="1">
      <alignment readingOrder="0"/>
    </xf>
    <xf borderId="0" fillId="0" fontId="1" numFmtId="0" xfId="0" applyAlignment="1" applyFont="1">
      <alignment readingOrder="0" shrinkToFit="0" wrapText="1"/>
    </xf>
    <xf borderId="3" fillId="0" fontId="9" numFmtId="0" xfId="0" applyAlignment="1" applyBorder="1" applyFont="1">
      <alignment vertical="bottom"/>
    </xf>
    <xf borderId="4" fillId="2" fontId="14" numFmtId="49" xfId="0" applyAlignment="1" applyBorder="1" applyFont="1" applyNumberFormat="1">
      <alignment horizontal="center" readingOrder="0" vertical="bottom"/>
    </xf>
    <xf borderId="4" fillId="0" fontId="15" numFmtId="0" xfId="0" applyBorder="1" applyFont="1"/>
    <xf borderId="5" fillId="0" fontId="15" numFmtId="0" xfId="0" applyBorder="1" applyFont="1"/>
    <xf borderId="6" fillId="0" fontId="9" numFmtId="0" xfId="0" applyAlignment="1" applyBorder="1" applyFont="1">
      <alignment vertical="bottom"/>
    </xf>
    <xf borderId="7" fillId="17" fontId="9" numFmtId="49" xfId="0" applyAlignment="1" applyBorder="1" applyFill="1" applyFont="1" applyNumberFormat="1">
      <alignment horizontal="center" readingOrder="0" vertical="bottom"/>
    </xf>
    <xf borderId="7" fillId="0" fontId="15" numFmtId="0" xfId="0" applyBorder="1" applyFont="1"/>
    <xf borderId="8" fillId="0" fontId="15" numFmtId="0" xfId="0" applyBorder="1" applyFont="1"/>
    <xf borderId="1" fillId="0" fontId="9" numFmtId="0" xfId="0" applyAlignment="1" applyBorder="1" applyFont="1">
      <alignment readingOrder="0" shrinkToFit="0" vertical="bottom" wrapText="0"/>
    </xf>
    <xf borderId="0" fillId="0" fontId="16" numFmtId="0" xfId="0" applyAlignment="1" applyFont="1">
      <alignment readingOrder="0"/>
    </xf>
    <xf borderId="0" fillId="0" fontId="17" numFmtId="0" xfId="0" applyAlignment="1" applyFont="1">
      <alignment readingOrder="0"/>
    </xf>
    <xf borderId="0" fillId="0" fontId="16" numFmtId="0" xfId="0" applyFont="1"/>
    <xf borderId="0" fillId="0" fontId="11" numFmtId="0" xfId="0" applyAlignment="1" applyFont="1">
      <alignment readingOrder="0"/>
    </xf>
    <xf borderId="0" fillId="0" fontId="11" numFmtId="0" xfId="0" applyFont="1"/>
    <xf borderId="0" fillId="2" fontId="9" numFmtId="0" xfId="0" applyAlignment="1" applyFont="1">
      <alignment readingOrder="0" shrinkToFit="0" vertical="bottom" wrapText="0"/>
    </xf>
    <xf borderId="2" fillId="2" fontId="9" numFmtId="0" xfId="0" applyAlignment="1" applyBorder="1" applyFont="1">
      <alignment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cCSdqh93jbZBwTBxFkUgFf3eSoJyN9O3" TargetMode="External"/><Relationship Id="rId20" Type="http://schemas.openxmlformats.org/officeDocument/2006/relationships/hyperlink" Target="https://drive.google.com/open?id=1IrsW5fF4haXcSyczw1YBEkcIzcppVDgT" TargetMode="External"/><Relationship Id="rId42" Type="http://schemas.openxmlformats.org/officeDocument/2006/relationships/drawing" Target="../drawings/drawing1.xml"/><Relationship Id="rId41" Type="http://schemas.openxmlformats.org/officeDocument/2006/relationships/hyperlink" Target="https://drive.google.com/open?id=1AMPWh4tayaAd08BeqAJFrSXp4d7U0H-R" TargetMode="External"/><Relationship Id="rId22" Type="http://schemas.openxmlformats.org/officeDocument/2006/relationships/hyperlink" Target="https://drive.google.com/open?id=1NY24-gXA7RzXvTnDCmUMspX5hhtRsB5d" TargetMode="External"/><Relationship Id="rId21" Type="http://schemas.openxmlformats.org/officeDocument/2006/relationships/hyperlink" Target="https://drive.google.com/open?id=1bBORv75h5eTPuRGFOYWwQ_u-m_nsC2j8" TargetMode="External"/><Relationship Id="rId24" Type="http://schemas.openxmlformats.org/officeDocument/2006/relationships/hyperlink" Target="https://drive.google.com/open?id=173WWU5sNdv247L94rwpekiujnxzGPcod" TargetMode="External"/><Relationship Id="rId23" Type="http://schemas.openxmlformats.org/officeDocument/2006/relationships/hyperlink" Target="http://srimanta_deyeyahoo.com.in" TargetMode="External"/><Relationship Id="rId1" Type="http://schemas.openxmlformats.org/officeDocument/2006/relationships/hyperlink" Target="https://drive.google.com/open?id=1xyMyTSw5VVlFyKwNjssv1uaOXfboIi6W" TargetMode="External"/><Relationship Id="rId2" Type="http://schemas.openxmlformats.org/officeDocument/2006/relationships/hyperlink" Target="https://drive.google.com/open?id=1klNDYrJfaqxDZhWf9GrA8U8AjM9YJz9Z" TargetMode="External"/><Relationship Id="rId3" Type="http://schemas.openxmlformats.org/officeDocument/2006/relationships/hyperlink" Target="https://drive.google.com/open?id=1ZjGde92fLSCdfJScizcNi-6tvGr1iRaT" TargetMode="External"/><Relationship Id="rId4" Type="http://schemas.openxmlformats.org/officeDocument/2006/relationships/hyperlink" Target="https://drive.google.com/open?id=16ew4fN3x34oBrcIN1OCAXZ2lefgLXS2j" TargetMode="External"/><Relationship Id="rId9" Type="http://schemas.openxmlformats.org/officeDocument/2006/relationships/hyperlink" Target="https://drive.google.com/open?id=1C0y13R3Ul2REyzNnJqJubJ2DZpuf9BcF" TargetMode="External"/><Relationship Id="rId26" Type="http://schemas.openxmlformats.org/officeDocument/2006/relationships/hyperlink" Target="https://drive.google.com/open?id=15Es3XX0QFTdhHi77a6UNUlkpZWM8qMjx" TargetMode="External"/><Relationship Id="rId25" Type="http://schemas.openxmlformats.org/officeDocument/2006/relationships/hyperlink" Target="https://drive.google.com/open?id=1tY6_YA2ipanPu3MIRV9fI1nEWhSUQLS2" TargetMode="External"/><Relationship Id="rId28" Type="http://schemas.openxmlformats.org/officeDocument/2006/relationships/hyperlink" Target="https://drive.google.com/open?id=1w3FAyViOrL0J_P4CLnAhDOixazAKKDM-" TargetMode="External"/><Relationship Id="rId27" Type="http://schemas.openxmlformats.org/officeDocument/2006/relationships/hyperlink" Target="https://drive.google.com/open?id=1Qrvfht9tLmArKHMpKgDjPOHTNmi4d4XM" TargetMode="External"/><Relationship Id="rId5" Type="http://schemas.openxmlformats.org/officeDocument/2006/relationships/hyperlink" Target="http://brrajnishyahoo.co.in" TargetMode="External"/><Relationship Id="rId6" Type="http://schemas.openxmlformats.org/officeDocument/2006/relationships/hyperlink" Target="https://drive.google.com/open?id=1hQRefrlW1aCELz0hNF_GglwdG1MHmWTf" TargetMode="External"/><Relationship Id="rId29" Type="http://schemas.openxmlformats.org/officeDocument/2006/relationships/hyperlink" Target="https://drive.google.com/open?id=1o0ZfI4h1kVUZ7U5DQYu7B3qo9RTOAgWt" TargetMode="External"/><Relationship Id="rId7" Type="http://schemas.openxmlformats.org/officeDocument/2006/relationships/hyperlink" Target="http://rejirchakogmail.com" TargetMode="External"/><Relationship Id="rId8" Type="http://schemas.openxmlformats.org/officeDocument/2006/relationships/hyperlink" Target="https://drive.google.com/open?id=12Sxy_2vXxlT479AFsbfO6otn8NtkfINW" TargetMode="External"/><Relationship Id="rId31" Type="http://schemas.openxmlformats.org/officeDocument/2006/relationships/hyperlink" Target="https://drive.google.com/open?id=18m6iZMJNGNXwrCmnq86r-tysBYIKIBae" TargetMode="External"/><Relationship Id="rId30" Type="http://schemas.openxmlformats.org/officeDocument/2006/relationships/hyperlink" Target="https://drive.google.com/open?id=1DWjJRfWC5V2Nh03IrDVa4xusRtyFDWTt" TargetMode="External"/><Relationship Id="rId11" Type="http://schemas.openxmlformats.org/officeDocument/2006/relationships/hyperlink" Target="https://drive.google.com/open?id=1e2qjF6KN9DN6_7gf1UBeQfpZQBvsbBah" TargetMode="External"/><Relationship Id="rId33" Type="http://schemas.openxmlformats.org/officeDocument/2006/relationships/hyperlink" Target="https://drive.google.com/open?id=18CykCQCddqK4URJlqJL0Jm5NpcHFfEs6" TargetMode="External"/><Relationship Id="rId10" Type="http://schemas.openxmlformats.org/officeDocument/2006/relationships/hyperlink" Target="https://drive.google.com/open?id=10JUUjLhUFVVIWILzSE750_9EFBM7UlW8" TargetMode="External"/><Relationship Id="rId32" Type="http://schemas.openxmlformats.org/officeDocument/2006/relationships/hyperlink" Target="https://drive.google.com/open?id=18sWYJJHJyUlFnR8lTBtojTJC1URmhXJQ" TargetMode="External"/><Relationship Id="rId13" Type="http://schemas.openxmlformats.org/officeDocument/2006/relationships/hyperlink" Target="https://drive.google.com/open?id=1_V4fzAcZCseIlSqNIpWf3u1JTP9aL0iw" TargetMode="External"/><Relationship Id="rId35" Type="http://schemas.openxmlformats.org/officeDocument/2006/relationships/hyperlink" Target="https://drive.google.com/open?id=1iIaliAqDIVXB3YHS_zQRzVjd8NGuOKIY" TargetMode="External"/><Relationship Id="rId12" Type="http://schemas.openxmlformats.org/officeDocument/2006/relationships/hyperlink" Target="https://drive.google.com/open?id=1wYILRMchPNqO3JXzARzKcqbUzOsfWdhY" TargetMode="External"/><Relationship Id="rId34" Type="http://schemas.openxmlformats.org/officeDocument/2006/relationships/hyperlink" Target="https://drive.google.com/open?id=1ljYaaNkCMXm2mtqR_zrLxEY7oF3QL1-u" TargetMode="External"/><Relationship Id="rId15" Type="http://schemas.openxmlformats.org/officeDocument/2006/relationships/hyperlink" Target="https://drive.google.com/open?id=1pG1Jw8bQJ4rUjye2QM6OkfRdVa9d6hRg" TargetMode="External"/><Relationship Id="rId37" Type="http://schemas.openxmlformats.org/officeDocument/2006/relationships/hyperlink" Target="https://drive.google.com/open?id=1D71dkas59AC_Uk2l8dVIm5zPBTLFdJpu" TargetMode="External"/><Relationship Id="rId14" Type="http://schemas.openxmlformats.org/officeDocument/2006/relationships/hyperlink" Target="https://drive.google.com/open?id=1TpwgQpI_OSw3xx-AK5LSwuIqWqNiuzEX" TargetMode="External"/><Relationship Id="rId36" Type="http://schemas.openxmlformats.org/officeDocument/2006/relationships/hyperlink" Target="https://drive.google.com/open?id=1-ualOvBhKLLV357EDI5-WQ6isA1dmIln" TargetMode="External"/><Relationship Id="rId17" Type="http://schemas.openxmlformats.org/officeDocument/2006/relationships/hyperlink" Target="https://drive.google.com/open?id=1TLeredC5TbZBgAsQe_2VVewbG3MeRJ0f" TargetMode="External"/><Relationship Id="rId39" Type="http://schemas.openxmlformats.org/officeDocument/2006/relationships/hyperlink" Target="https://drive.google.com/open?id=1uog24PQDABM9L2VCqymsNIouV81X0JVp" TargetMode="External"/><Relationship Id="rId16" Type="http://schemas.openxmlformats.org/officeDocument/2006/relationships/hyperlink" Target="https://drive.google.com/open?id=10796lRPa2LOgdXLN5UKclVkgxQhyEdOp" TargetMode="External"/><Relationship Id="rId38" Type="http://schemas.openxmlformats.org/officeDocument/2006/relationships/hyperlink" Target="https://drive.google.com/open?id=1WMOlp80dFxzOxlcLknG1FwyJCQw3UV2f" TargetMode="External"/><Relationship Id="rId19" Type="http://schemas.openxmlformats.org/officeDocument/2006/relationships/hyperlink" Target="https://drive.google.com/open?id=1h07BWSiWtfhW3tStXzcy5p53nt5lymJE" TargetMode="External"/><Relationship Id="rId18" Type="http://schemas.openxmlformats.org/officeDocument/2006/relationships/hyperlink" Target="https://drive.google.com/open?id=1li9AhYQWyBdctrwQYjJEnUsK1hWifLVF"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73WWU5sNdv247L94rwpekiujnxzGPcod" TargetMode="External"/><Relationship Id="rId22" Type="http://schemas.openxmlformats.org/officeDocument/2006/relationships/hyperlink" Target="https://drive.google.com/open?id=15Es3XX0QFTdhHi77a6UNUlkpZWM8qMjx" TargetMode="External"/><Relationship Id="rId21" Type="http://schemas.openxmlformats.org/officeDocument/2006/relationships/hyperlink" Target="https://drive.google.com/open?id=1tY6_YA2ipanPu3MIRV9fI1nEWhSUQLS2" TargetMode="External"/><Relationship Id="rId24" Type="http://schemas.openxmlformats.org/officeDocument/2006/relationships/hyperlink" Target="https://drive.google.com/open?id=1w3FAyViOrL0J_P4CLnAhDOixazAKKDM-" TargetMode="External"/><Relationship Id="rId23" Type="http://schemas.openxmlformats.org/officeDocument/2006/relationships/hyperlink" Target="https://drive.google.com/open?id=1Qrvfht9tLmArKHMpKgDjPOHTNmi4d4XM" TargetMode="External"/><Relationship Id="rId1" Type="http://schemas.openxmlformats.org/officeDocument/2006/relationships/hyperlink" Target="http://brrajnishyahoo.co.in" TargetMode="External"/><Relationship Id="rId2" Type="http://schemas.openxmlformats.org/officeDocument/2006/relationships/hyperlink" Target="https://drive.google.com/open?id=1hQRefrlW1aCELz0hNF_GglwdG1MHmWTf" TargetMode="External"/><Relationship Id="rId3" Type="http://schemas.openxmlformats.org/officeDocument/2006/relationships/hyperlink" Target="http://rejirchakogmail.com" TargetMode="External"/><Relationship Id="rId4" Type="http://schemas.openxmlformats.org/officeDocument/2006/relationships/hyperlink" Target="https://drive.google.com/open?id=12Sxy_2vXxlT479AFsbfO6otn8NtkfINW" TargetMode="External"/><Relationship Id="rId9" Type="http://schemas.openxmlformats.org/officeDocument/2006/relationships/hyperlink" Target="https://drive.google.com/open?id=1_V4fzAcZCseIlSqNIpWf3u1JTP9aL0iw" TargetMode="External"/><Relationship Id="rId26" Type="http://schemas.openxmlformats.org/officeDocument/2006/relationships/hyperlink" Target="https://drive.google.com/open?id=1DWjJRfWC5V2Nh03IrDVa4xusRtyFDWTt" TargetMode="External"/><Relationship Id="rId25" Type="http://schemas.openxmlformats.org/officeDocument/2006/relationships/hyperlink" Target="https://drive.google.com/open?id=1o0ZfI4h1kVUZ7U5DQYu7B3qo9RTOAgWt" TargetMode="External"/><Relationship Id="rId28" Type="http://schemas.openxmlformats.org/officeDocument/2006/relationships/hyperlink" Target="https://drive.google.com/open?id=18sWYJJHJyUlFnR8lTBtojTJC1URmhXJQ" TargetMode="External"/><Relationship Id="rId27" Type="http://schemas.openxmlformats.org/officeDocument/2006/relationships/hyperlink" Target="https://drive.google.com/open?id=18m6iZMJNGNXwrCmnq86r-tysBYIKIBae" TargetMode="External"/><Relationship Id="rId5" Type="http://schemas.openxmlformats.org/officeDocument/2006/relationships/hyperlink" Target="https://drive.google.com/open?id=1C0y13R3Ul2REyzNnJqJubJ2DZpuf9BcF" TargetMode="External"/><Relationship Id="rId6" Type="http://schemas.openxmlformats.org/officeDocument/2006/relationships/hyperlink" Target="https://drive.google.com/open?id=10JUUjLhUFVVIWILzSE750_9EFBM7UlW8" TargetMode="External"/><Relationship Id="rId29" Type="http://schemas.openxmlformats.org/officeDocument/2006/relationships/hyperlink" Target="https://drive.google.com/open?id=18CykCQCddqK4URJlqJL0Jm5NpcHFfEs6" TargetMode="External"/><Relationship Id="rId7" Type="http://schemas.openxmlformats.org/officeDocument/2006/relationships/hyperlink" Target="https://drive.google.com/open?id=1e2qjF6KN9DN6_7gf1UBeQfpZQBvsbBah" TargetMode="External"/><Relationship Id="rId8" Type="http://schemas.openxmlformats.org/officeDocument/2006/relationships/hyperlink" Target="https://drive.google.com/open?id=1wYILRMchPNqO3JXzARzKcqbUzOsfWdhY" TargetMode="External"/><Relationship Id="rId31" Type="http://schemas.openxmlformats.org/officeDocument/2006/relationships/hyperlink" Target="https://drive.google.com/open?id=1iIaliAqDIVXB3YHS_zQRzVjd8NGuOKIY" TargetMode="External"/><Relationship Id="rId30" Type="http://schemas.openxmlformats.org/officeDocument/2006/relationships/hyperlink" Target="https://drive.google.com/open?id=1ljYaaNkCMXm2mtqR_zrLxEY7oF3QL1-u" TargetMode="External"/><Relationship Id="rId11" Type="http://schemas.openxmlformats.org/officeDocument/2006/relationships/hyperlink" Target="https://drive.google.com/open?id=1pG1Jw8bQJ4rUjye2QM6OkfRdVa9d6hRg" TargetMode="External"/><Relationship Id="rId33" Type="http://schemas.openxmlformats.org/officeDocument/2006/relationships/hyperlink" Target="https://drive.google.com/open?id=1D71dkas59AC_Uk2l8dVIm5zPBTLFdJpu" TargetMode="External"/><Relationship Id="rId10" Type="http://schemas.openxmlformats.org/officeDocument/2006/relationships/hyperlink" Target="https://drive.google.com/open?id=1TpwgQpI_OSw3xx-AK5LSwuIqWqNiuzEX" TargetMode="External"/><Relationship Id="rId32" Type="http://schemas.openxmlformats.org/officeDocument/2006/relationships/hyperlink" Target="https://drive.google.com/open?id=1-ualOvBhKLLV357EDI5-WQ6isA1dmIln" TargetMode="External"/><Relationship Id="rId13" Type="http://schemas.openxmlformats.org/officeDocument/2006/relationships/hyperlink" Target="https://drive.google.com/open?id=1TLeredC5TbZBgAsQe_2VVewbG3MeRJ0f" TargetMode="External"/><Relationship Id="rId35" Type="http://schemas.openxmlformats.org/officeDocument/2006/relationships/hyperlink" Target="https://drive.google.com/open?id=1uog24PQDABM9L2VCqymsNIouV81X0JVp" TargetMode="External"/><Relationship Id="rId12" Type="http://schemas.openxmlformats.org/officeDocument/2006/relationships/hyperlink" Target="https://drive.google.com/open?id=10796lRPa2LOgdXLN5UKclVkgxQhyEdOp" TargetMode="External"/><Relationship Id="rId34" Type="http://schemas.openxmlformats.org/officeDocument/2006/relationships/hyperlink" Target="https://drive.google.com/open?id=1WMOlp80dFxzOxlcLknG1FwyJCQw3UV2f" TargetMode="External"/><Relationship Id="rId15" Type="http://schemas.openxmlformats.org/officeDocument/2006/relationships/hyperlink" Target="https://drive.google.com/open?id=1h07BWSiWtfhW3tStXzcy5p53nt5lymJE" TargetMode="External"/><Relationship Id="rId37" Type="http://schemas.openxmlformats.org/officeDocument/2006/relationships/hyperlink" Target="https://drive.google.com/open?id=1AMPWh4tayaAd08BeqAJFrSXp4d7U0H-R" TargetMode="External"/><Relationship Id="rId14" Type="http://schemas.openxmlformats.org/officeDocument/2006/relationships/hyperlink" Target="https://drive.google.com/open?id=1li9AhYQWyBdctrwQYjJEnUsK1hWifLVF" TargetMode="External"/><Relationship Id="rId36" Type="http://schemas.openxmlformats.org/officeDocument/2006/relationships/hyperlink" Target="https://drive.google.com/open?id=1cCSdqh93jbZBwTBxFkUgFf3eSoJyN9O3" TargetMode="External"/><Relationship Id="rId17" Type="http://schemas.openxmlformats.org/officeDocument/2006/relationships/hyperlink" Target="https://drive.google.com/open?id=1bBORv75h5eTPuRGFOYWwQ_u-m_nsC2j8" TargetMode="External"/><Relationship Id="rId16" Type="http://schemas.openxmlformats.org/officeDocument/2006/relationships/hyperlink" Target="https://drive.google.com/open?id=1IrsW5fF4haXcSyczw1YBEkcIzcppVDgT" TargetMode="External"/><Relationship Id="rId38" Type="http://schemas.openxmlformats.org/officeDocument/2006/relationships/drawing" Target="../drawings/drawing2.xml"/><Relationship Id="rId19" Type="http://schemas.openxmlformats.org/officeDocument/2006/relationships/hyperlink" Target="http://srimanta_deyeyahoo.com.in" TargetMode="External"/><Relationship Id="rId18" Type="http://schemas.openxmlformats.org/officeDocument/2006/relationships/hyperlink" Target="https://drive.google.com/open?id=1NY24-gXA7RzXvTnDCmUMspX5hhtRsB5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cCSdqh93jbZBwTBxFkUgFf3eSoJyN9O3" TargetMode="External"/><Relationship Id="rId20" Type="http://schemas.openxmlformats.org/officeDocument/2006/relationships/hyperlink" Target="https://drive.google.com/open?id=1IrsW5fF4haXcSyczw1YBEkcIzcppVDgT" TargetMode="External"/><Relationship Id="rId42" Type="http://schemas.openxmlformats.org/officeDocument/2006/relationships/drawing" Target="../drawings/drawing4.xml"/><Relationship Id="rId41" Type="http://schemas.openxmlformats.org/officeDocument/2006/relationships/hyperlink" Target="https://drive.google.com/open?id=1AMPWh4tayaAd08BeqAJFrSXp4d7U0H-R" TargetMode="External"/><Relationship Id="rId22" Type="http://schemas.openxmlformats.org/officeDocument/2006/relationships/hyperlink" Target="https://drive.google.com/open?id=1NY24-gXA7RzXvTnDCmUMspX5hhtRsB5d" TargetMode="External"/><Relationship Id="rId21" Type="http://schemas.openxmlformats.org/officeDocument/2006/relationships/hyperlink" Target="https://drive.google.com/open?id=1bBORv75h5eTPuRGFOYWwQ_u-m_nsC2j8" TargetMode="External"/><Relationship Id="rId24" Type="http://schemas.openxmlformats.org/officeDocument/2006/relationships/hyperlink" Target="https://drive.google.com/open?id=173WWU5sNdv247L94rwpekiujnxzGPcod" TargetMode="External"/><Relationship Id="rId23" Type="http://schemas.openxmlformats.org/officeDocument/2006/relationships/hyperlink" Target="http://srimanta_deyeyahoo.com.in" TargetMode="External"/><Relationship Id="rId1" Type="http://schemas.openxmlformats.org/officeDocument/2006/relationships/hyperlink" Target="https://drive.google.com/open?id=1xyMyTSw5VVlFyKwNjssv1uaOXfboIi6W" TargetMode="External"/><Relationship Id="rId2" Type="http://schemas.openxmlformats.org/officeDocument/2006/relationships/hyperlink" Target="https://drive.google.com/open?id=1klNDYrJfaqxDZhWf9GrA8U8AjM9YJz9Z" TargetMode="External"/><Relationship Id="rId3" Type="http://schemas.openxmlformats.org/officeDocument/2006/relationships/hyperlink" Target="https://drive.google.com/open?id=1ZjGde92fLSCdfJScizcNi-6tvGr1iRaT" TargetMode="External"/><Relationship Id="rId4" Type="http://schemas.openxmlformats.org/officeDocument/2006/relationships/hyperlink" Target="https://drive.google.com/open?id=16ew4fN3x34oBrcIN1OCAXZ2lefgLXS2j" TargetMode="External"/><Relationship Id="rId9" Type="http://schemas.openxmlformats.org/officeDocument/2006/relationships/hyperlink" Target="https://drive.google.com/open?id=1C0y13R3Ul2REyzNnJqJubJ2DZpuf9BcF" TargetMode="External"/><Relationship Id="rId26" Type="http://schemas.openxmlformats.org/officeDocument/2006/relationships/hyperlink" Target="https://drive.google.com/open?id=15Es3XX0QFTdhHi77a6UNUlkpZWM8qMjx" TargetMode="External"/><Relationship Id="rId25" Type="http://schemas.openxmlformats.org/officeDocument/2006/relationships/hyperlink" Target="https://drive.google.com/open?id=1tY6_YA2ipanPu3MIRV9fI1nEWhSUQLS2" TargetMode="External"/><Relationship Id="rId28" Type="http://schemas.openxmlformats.org/officeDocument/2006/relationships/hyperlink" Target="https://drive.google.com/open?id=1w3FAyViOrL0J_P4CLnAhDOixazAKKDM-" TargetMode="External"/><Relationship Id="rId27" Type="http://schemas.openxmlformats.org/officeDocument/2006/relationships/hyperlink" Target="https://drive.google.com/open?id=1Qrvfht9tLmArKHMpKgDjPOHTNmi4d4XM" TargetMode="External"/><Relationship Id="rId5" Type="http://schemas.openxmlformats.org/officeDocument/2006/relationships/hyperlink" Target="http://brrajnishyahoo.co.in" TargetMode="External"/><Relationship Id="rId6" Type="http://schemas.openxmlformats.org/officeDocument/2006/relationships/hyperlink" Target="https://drive.google.com/open?id=1hQRefrlW1aCELz0hNF_GglwdG1MHmWTf" TargetMode="External"/><Relationship Id="rId29" Type="http://schemas.openxmlformats.org/officeDocument/2006/relationships/hyperlink" Target="https://drive.google.com/open?id=1o0ZfI4h1kVUZ7U5DQYu7B3qo9RTOAgWt" TargetMode="External"/><Relationship Id="rId7" Type="http://schemas.openxmlformats.org/officeDocument/2006/relationships/hyperlink" Target="http://rejirchakogmail.com" TargetMode="External"/><Relationship Id="rId8" Type="http://schemas.openxmlformats.org/officeDocument/2006/relationships/hyperlink" Target="https://drive.google.com/open?id=12Sxy_2vXxlT479AFsbfO6otn8NtkfINW" TargetMode="External"/><Relationship Id="rId31" Type="http://schemas.openxmlformats.org/officeDocument/2006/relationships/hyperlink" Target="https://drive.google.com/open?id=18m6iZMJNGNXwrCmnq86r-tysBYIKIBae" TargetMode="External"/><Relationship Id="rId30" Type="http://schemas.openxmlformats.org/officeDocument/2006/relationships/hyperlink" Target="https://drive.google.com/open?id=1DWjJRfWC5V2Nh03IrDVa4xusRtyFDWTt" TargetMode="External"/><Relationship Id="rId11" Type="http://schemas.openxmlformats.org/officeDocument/2006/relationships/hyperlink" Target="https://drive.google.com/open?id=1e2qjF6KN9DN6_7gf1UBeQfpZQBvsbBah" TargetMode="External"/><Relationship Id="rId33" Type="http://schemas.openxmlformats.org/officeDocument/2006/relationships/hyperlink" Target="https://drive.google.com/open?id=18CykCQCddqK4URJlqJL0Jm5NpcHFfEs6" TargetMode="External"/><Relationship Id="rId10" Type="http://schemas.openxmlformats.org/officeDocument/2006/relationships/hyperlink" Target="https://drive.google.com/open?id=10JUUjLhUFVVIWILzSE750_9EFBM7UlW8" TargetMode="External"/><Relationship Id="rId32" Type="http://schemas.openxmlformats.org/officeDocument/2006/relationships/hyperlink" Target="https://drive.google.com/open?id=18sWYJJHJyUlFnR8lTBtojTJC1URmhXJQ" TargetMode="External"/><Relationship Id="rId13" Type="http://schemas.openxmlformats.org/officeDocument/2006/relationships/hyperlink" Target="https://drive.google.com/open?id=1_V4fzAcZCseIlSqNIpWf3u1JTP9aL0iw" TargetMode="External"/><Relationship Id="rId35" Type="http://schemas.openxmlformats.org/officeDocument/2006/relationships/hyperlink" Target="https://drive.google.com/open?id=1iIaliAqDIVXB3YHS_zQRzVjd8NGuOKIY" TargetMode="External"/><Relationship Id="rId12" Type="http://schemas.openxmlformats.org/officeDocument/2006/relationships/hyperlink" Target="https://drive.google.com/open?id=1wYILRMchPNqO3JXzARzKcqbUzOsfWdhY" TargetMode="External"/><Relationship Id="rId34" Type="http://schemas.openxmlformats.org/officeDocument/2006/relationships/hyperlink" Target="https://drive.google.com/open?id=1ljYaaNkCMXm2mtqR_zrLxEY7oF3QL1-u" TargetMode="External"/><Relationship Id="rId15" Type="http://schemas.openxmlformats.org/officeDocument/2006/relationships/hyperlink" Target="https://drive.google.com/open?id=1pG1Jw8bQJ4rUjye2QM6OkfRdVa9d6hRg" TargetMode="External"/><Relationship Id="rId37" Type="http://schemas.openxmlformats.org/officeDocument/2006/relationships/hyperlink" Target="https://drive.google.com/open?id=1D71dkas59AC_Uk2l8dVIm5zPBTLFdJpu" TargetMode="External"/><Relationship Id="rId14" Type="http://schemas.openxmlformats.org/officeDocument/2006/relationships/hyperlink" Target="https://drive.google.com/open?id=1TpwgQpI_OSw3xx-AK5LSwuIqWqNiuzEX" TargetMode="External"/><Relationship Id="rId36" Type="http://schemas.openxmlformats.org/officeDocument/2006/relationships/hyperlink" Target="https://drive.google.com/open?id=1-ualOvBhKLLV357EDI5-WQ6isA1dmIln" TargetMode="External"/><Relationship Id="rId17" Type="http://schemas.openxmlformats.org/officeDocument/2006/relationships/hyperlink" Target="https://drive.google.com/open?id=1TLeredC5TbZBgAsQe_2VVewbG3MeRJ0f" TargetMode="External"/><Relationship Id="rId39" Type="http://schemas.openxmlformats.org/officeDocument/2006/relationships/hyperlink" Target="https://drive.google.com/open?id=1uog24PQDABM9L2VCqymsNIouV81X0JVp" TargetMode="External"/><Relationship Id="rId16" Type="http://schemas.openxmlformats.org/officeDocument/2006/relationships/hyperlink" Target="https://drive.google.com/open?id=10796lRPa2LOgdXLN5UKclVkgxQhyEdOp" TargetMode="External"/><Relationship Id="rId38" Type="http://schemas.openxmlformats.org/officeDocument/2006/relationships/hyperlink" Target="https://drive.google.com/open?id=1WMOlp80dFxzOxlcLknG1FwyJCQw3UV2f" TargetMode="External"/><Relationship Id="rId19" Type="http://schemas.openxmlformats.org/officeDocument/2006/relationships/hyperlink" Target="https://drive.google.com/open?id=1h07BWSiWtfhW3tStXzcy5p53nt5lymJE" TargetMode="External"/><Relationship Id="rId18" Type="http://schemas.openxmlformats.org/officeDocument/2006/relationships/hyperlink" Target="https://drive.google.com/open?id=1li9AhYQWyBdctrwQYjJEnUsK1hWifLV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horturl.at/dyANX"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gemtre.i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UdqMpmapC0vU5MVh1bRR5rG5fAuGidv2/view?usp=sharing"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0.63"/>
    <col customWidth="1" min="5" max="16" width="18.88"/>
  </cols>
  <sheetData>
    <row r="1">
      <c r="A1" s="1" t="s">
        <v>0</v>
      </c>
      <c r="B1" s="1" t="s">
        <v>1</v>
      </c>
      <c r="C1" s="2" t="s">
        <v>2</v>
      </c>
      <c r="D1" s="1" t="s">
        <v>3</v>
      </c>
      <c r="E1" s="1" t="s">
        <v>4</v>
      </c>
      <c r="F1" s="1" t="s">
        <v>5</v>
      </c>
      <c r="G1" s="1" t="s">
        <v>6</v>
      </c>
      <c r="H1" s="3" t="s">
        <v>7</v>
      </c>
      <c r="I1" s="3" t="s">
        <v>8</v>
      </c>
      <c r="J1" s="3" t="s">
        <v>9</v>
      </c>
    </row>
    <row r="2">
      <c r="A2" s="4">
        <v>45244.54870039352</v>
      </c>
      <c r="B2" s="5" t="s">
        <v>10</v>
      </c>
      <c r="C2" s="6">
        <v>9.136309025E9</v>
      </c>
      <c r="E2" s="5" t="s">
        <v>11</v>
      </c>
    </row>
    <row r="3">
      <c r="A3" s="4">
        <v>45244.57397239583</v>
      </c>
      <c r="B3" s="5" t="s">
        <v>12</v>
      </c>
      <c r="C3" s="6">
        <v>9.810256616E9</v>
      </c>
      <c r="E3" s="5" t="s">
        <v>13</v>
      </c>
    </row>
    <row r="4">
      <c r="A4" s="4">
        <v>45244.582647118055</v>
      </c>
      <c r="B4" s="5" t="s">
        <v>14</v>
      </c>
      <c r="C4" s="6">
        <v>8.744047372E9</v>
      </c>
      <c r="E4" s="5" t="s">
        <v>15</v>
      </c>
    </row>
    <row r="5">
      <c r="A5" s="4">
        <v>45244.589846180555</v>
      </c>
      <c r="B5" s="5" t="s">
        <v>16</v>
      </c>
      <c r="C5" s="6">
        <v>9.891052999E9</v>
      </c>
      <c r="D5" s="5" t="s">
        <v>17</v>
      </c>
      <c r="E5" s="5" t="s">
        <v>18</v>
      </c>
    </row>
    <row r="6">
      <c r="A6" s="4">
        <v>45244.60945173611</v>
      </c>
      <c r="B6" s="5" t="s">
        <v>19</v>
      </c>
      <c r="C6" s="6">
        <v>9.953014175E9</v>
      </c>
      <c r="D6" s="5" t="s">
        <v>20</v>
      </c>
      <c r="E6" s="5" t="s">
        <v>21</v>
      </c>
    </row>
    <row r="7">
      <c r="A7" s="4">
        <v>45244.64004233797</v>
      </c>
      <c r="B7" s="5" t="s">
        <v>22</v>
      </c>
      <c r="C7" s="6">
        <v>7.983254745E9</v>
      </c>
      <c r="D7" s="5" t="s">
        <v>23</v>
      </c>
      <c r="E7" s="5" t="s">
        <v>24</v>
      </c>
    </row>
    <row r="8">
      <c r="A8" s="4">
        <v>45244.64301944444</v>
      </c>
      <c r="B8" s="5" t="s">
        <v>25</v>
      </c>
      <c r="C8" s="6">
        <v>9.810313571E9</v>
      </c>
      <c r="E8" s="5" t="s">
        <v>26</v>
      </c>
    </row>
    <row r="9">
      <c r="A9" s="4">
        <v>45244.71443070602</v>
      </c>
      <c r="B9" s="5" t="s">
        <v>27</v>
      </c>
      <c r="C9" s="6">
        <v>8.368206917E9</v>
      </c>
      <c r="D9" s="5" t="s">
        <v>28</v>
      </c>
      <c r="E9" s="5" t="s">
        <v>29</v>
      </c>
    </row>
    <row r="10">
      <c r="A10" s="4">
        <v>45244.72722326389</v>
      </c>
      <c r="B10" s="5" t="s">
        <v>30</v>
      </c>
      <c r="C10" s="6">
        <v>9.899338965E9</v>
      </c>
      <c r="D10" s="5" t="s">
        <v>31</v>
      </c>
    </row>
    <row r="11">
      <c r="A11" s="4">
        <v>45244.742801747685</v>
      </c>
      <c r="B11" s="5" t="s">
        <v>32</v>
      </c>
      <c r="C11" s="6">
        <v>9.325764045E9</v>
      </c>
      <c r="D11" s="5" t="s">
        <v>33</v>
      </c>
    </row>
    <row r="12">
      <c r="A12" s="4">
        <v>45244.744503587965</v>
      </c>
      <c r="B12" s="5" t="s">
        <v>34</v>
      </c>
      <c r="C12" s="6">
        <v>9.810123936E9</v>
      </c>
      <c r="E12" s="5" t="s">
        <v>26</v>
      </c>
    </row>
    <row r="13">
      <c r="A13" s="4">
        <v>45244.78659159722</v>
      </c>
      <c r="B13" s="5" t="s">
        <v>35</v>
      </c>
      <c r="C13" s="6">
        <v>9.810067621E9</v>
      </c>
      <c r="E13" s="5" t="s">
        <v>36</v>
      </c>
    </row>
    <row r="14">
      <c r="A14" s="4">
        <v>45245.53103525463</v>
      </c>
      <c r="B14" s="5" t="s">
        <v>37</v>
      </c>
      <c r="C14" s="6">
        <v>9.958416989E9</v>
      </c>
      <c r="D14" s="5" t="s">
        <v>38</v>
      </c>
      <c r="E14" s="5" t="s">
        <v>39</v>
      </c>
    </row>
    <row r="15">
      <c r="A15" s="4">
        <v>45245.53163820602</v>
      </c>
      <c r="B15" s="5" t="s">
        <v>40</v>
      </c>
      <c r="C15" s="6">
        <v>9.643169967E9</v>
      </c>
      <c r="E15" s="5" t="s">
        <v>41</v>
      </c>
    </row>
    <row r="16">
      <c r="A16" s="4">
        <v>45245.53328877315</v>
      </c>
      <c r="B16" s="5" t="s">
        <v>42</v>
      </c>
      <c r="C16" s="6">
        <v>9.75556176E9</v>
      </c>
      <c r="D16" s="5" t="s">
        <v>43</v>
      </c>
      <c r="E16" s="5" t="s">
        <v>44</v>
      </c>
    </row>
    <row r="17">
      <c r="A17" s="4">
        <v>45245.53976958334</v>
      </c>
      <c r="B17" s="5" t="s">
        <v>45</v>
      </c>
      <c r="C17" s="6">
        <v>9.868365195E9</v>
      </c>
      <c r="E17" s="5" t="s">
        <v>46</v>
      </c>
      <c r="F17" s="7" t="s">
        <v>47</v>
      </c>
    </row>
    <row r="18">
      <c r="A18" s="4">
        <v>45245.54260236111</v>
      </c>
      <c r="B18" s="5" t="s">
        <v>48</v>
      </c>
      <c r="C18" s="6">
        <v>9.89175525E9</v>
      </c>
      <c r="E18" s="5" t="s">
        <v>13</v>
      </c>
    </row>
    <row r="19">
      <c r="A19" s="4">
        <v>45245.54498453704</v>
      </c>
      <c r="B19" s="5" t="s">
        <v>49</v>
      </c>
      <c r="C19" s="6">
        <v>9.540950717E9</v>
      </c>
      <c r="D19" s="5" t="s">
        <v>50</v>
      </c>
      <c r="E19" s="5" t="s">
        <v>51</v>
      </c>
    </row>
    <row r="20">
      <c r="A20" s="4">
        <v>45245.554801990744</v>
      </c>
      <c r="B20" s="5" t="s">
        <v>52</v>
      </c>
      <c r="C20" s="6">
        <v>9.501385713E9</v>
      </c>
      <c r="D20" s="5" t="s">
        <v>53</v>
      </c>
    </row>
    <row r="21">
      <c r="A21" s="4">
        <v>45245.5638040162</v>
      </c>
      <c r="B21" s="5" t="s">
        <v>54</v>
      </c>
      <c r="C21" s="6">
        <v>9.810725225E9</v>
      </c>
      <c r="D21" s="5" t="s">
        <v>55</v>
      </c>
      <c r="E21" s="5" t="s">
        <v>56</v>
      </c>
    </row>
    <row r="22">
      <c r="A22" s="4">
        <v>45245.56643873843</v>
      </c>
      <c r="B22" s="5" t="s">
        <v>57</v>
      </c>
      <c r="C22" s="6">
        <v>9.811645742E9</v>
      </c>
    </row>
    <row r="23">
      <c r="A23" s="4">
        <v>45245.57094351852</v>
      </c>
      <c r="B23" s="5" t="s">
        <v>58</v>
      </c>
      <c r="C23" s="6">
        <v>9.811959422E9</v>
      </c>
      <c r="D23" s="5" t="s">
        <v>59</v>
      </c>
      <c r="E23" s="5" t="s">
        <v>60</v>
      </c>
    </row>
    <row r="24">
      <c r="A24" s="4">
        <v>45245.57101315972</v>
      </c>
      <c r="B24" s="5" t="s">
        <v>61</v>
      </c>
      <c r="C24" s="6">
        <v>9.958577807E9</v>
      </c>
      <c r="E24" s="5" t="s">
        <v>62</v>
      </c>
    </row>
    <row r="25">
      <c r="A25" s="4">
        <v>45245.57800849537</v>
      </c>
      <c r="B25" s="5" t="s">
        <v>63</v>
      </c>
      <c r="C25" s="6">
        <v>9.811139553E9</v>
      </c>
    </row>
    <row r="26">
      <c r="A26" s="4">
        <v>45245.60786849537</v>
      </c>
      <c r="B26" s="5" t="s">
        <v>64</v>
      </c>
      <c r="C26" s="6">
        <v>9.897794534E9</v>
      </c>
    </row>
    <row r="27">
      <c r="A27" s="4">
        <v>45245.61473645833</v>
      </c>
      <c r="B27" s="5" t="s">
        <v>65</v>
      </c>
      <c r="C27" s="6">
        <v>9.8183603E9</v>
      </c>
      <c r="E27" s="5" t="s">
        <v>21</v>
      </c>
      <c r="F27" s="7" t="s">
        <v>66</v>
      </c>
    </row>
    <row r="28">
      <c r="A28" s="4">
        <v>45245.665042685185</v>
      </c>
      <c r="B28" s="5" t="s">
        <v>67</v>
      </c>
      <c r="C28" s="6">
        <v>8.668653665E9</v>
      </c>
      <c r="E28" s="5" t="s">
        <v>68</v>
      </c>
    </row>
    <row r="29">
      <c r="A29" s="4">
        <v>45245.6797196875</v>
      </c>
      <c r="B29" s="5" t="s">
        <v>69</v>
      </c>
      <c r="C29" s="6">
        <v>9.859344444E9</v>
      </c>
      <c r="D29" s="5" t="s">
        <v>70</v>
      </c>
      <c r="E29" s="5" t="s">
        <v>71</v>
      </c>
    </row>
    <row r="30">
      <c r="A30" s="4">
        <v>45245.68538966435</v>
      </c>
      <c r="B30" s="5" t="s">
        <v>72</v>
      </c>
      <c r="C30" s="6">
        <v>7.838580859E9</v>
      </c>
    </row>
    <row r="31">
      <c r="A31" s="4">
        <v>45245.68673847222</v>
      </c>
      <c r="B31" s="5" t="s">
        <v>73</v>
      </c>
      <c r="C31" s="6">
        <v>8.860741616E9</v>
      </c>
      <c r="D31" s="5" t="s">
        <v>74</v>
      </c>
      <c r="E31" s="5" t="s">
        <v>15</v>
      </c>
    </row>
    <row r="32">
      <c r="A32" s="4">
        <v>45245.70349100695</v>
      </c>
      <c r="B32" s="5" t="s">
        <v>75</v>
      </c>
      <c r="C32" s="6">
        <v>9.773729209E9</v>
      </c>
    </row>
    <row r="33">
      <c r="A33" s="4">
        <v>45245.709797303236</v>
      </c>
      <c r="B33" s="5" t="s">
        <v>76</v>
      </c>
      <c r="C33" s="6">
        <v>9.868041303E9</v>
      </c>
      <c r="E33" s="5" t="s">
        <v>77</v>
      </c>
    </row>
    <row r="34">
      <c r="A34" s="4">
        <v>45245.71006085648</v>
      </c>
      <c r="B34" s="5" t="s">
        <v>78</v>
      </c>
      <c r="C34" s="6">
        <v>8.860353641E9</v>
      </c>
      <c r="E34" s="5" t="s">
        <v>79</v>
      </c>
    </row>
    <row r="35">
      <c r="A35" s="4">
        <v>45245.72213378472</v>
      </c>
      <c r="B35" s="5" t="s">
        <v>80</v>
      </c>
      <c r="C35" s="6">
        <v>7.678651225E9</v>
      </c>
      <c r="D35" s="5" t="s">
        <v>81</v>
      </c>
      <c r="E35" s="5" t="s">
        <v>82</v>
      </c>
    </row>
    <row r="36">
      <c r="A36" s="4">
        <v>45245.737833437495</v>
      </c>
      <c r="B36" s="5" t="s">
        <v>83</v>
      </c>
      <c r="C36" s="6">
        <v>9.871332332E9</v>
      </c>
      <c r="E36" s="5" t="s">
        <v>26</v>
      </c>
    </row>
    <row r="37">
      <c r="A37" s="4">
        <v>45245.743778125005</v>
      </c>
      <c r="B37" s="5" t="s">
        <v>84</v>
      </c>
      <c r="C37" s="6">
        <v>9.818697676E9</v>
      </c>
      <c r="E37" s="5" t="s">
        <v>85</v>
      </c>
    </row>
    <row r="38">
      <c r="A38" s="4">
        <v>45245.76700811343</v>
      </c>
      <c r="B38" s="5" t="s">
        <v>86</v>
      </c>
      <c r="C38" s="6">
        <v>9.799178123E9</v>
      </c>
      <c r="D38" s="5" t="s">
        <v>87</v>
      </c>
      <c r="E38" s="5" t="s">
        <v>15</v>
      </c>
    </row>
    <row r="39">
      <c r="A39" s="4">
        <v>45245.78323559028</v>
      </c>
      <c r="B39" s="5" t="s">
        <v>88</v>
      </c>
      <c r="C39" s="6">
        <v>9.971777645E9</v>
      </c>
      <c r="E39" s="5" t="s">
        <v>89</v>
      </c>
    </row>
    <row r="40">
      <c r="A40" s="4">
        <v>45245.7912741551</v>
      </c>
      <c r="B40" s="5" t="s">
        <v>90</v>
      </c>
      <c r="C40" s="6">
        <v>9.654533002E9</v>
      </c>
      <c r="E40" s="5" t="s">
        <v>15</v>
      </c>
    </row>
    <row r="41">
      <c r="A41" s="4">
        <v>45246.486461967594</v>
      </c>
      <c r="B41" s="5" t="s">
        <v>91</v>
      </c>
      <c r="C41" s="6">
        <v>9.403251827E9</v>
      </c>
      <c r="E41" s="5" t="s">
        <v>51</v>
      </c>
    </row>
    <row r="42">
      <c r="A42" s="4">
        <v>45246.49090719907</v>
      </c>
      <c r="B42" s="5" t="s">
        <v>92</v>
      </c>
      <c r="C42" s="6">
        <v>9.95307529E9</v>
      </c>
    </row>
    <row r="43">
      <c r="A43" s="4">
        <v>45246.49217222222</v>
      </c>
      <c r="B43" s="5" t="s">
        <v>93</v>
      </c>
      <c r="C43" s="6">
        <v>9.899111144E9</v>
      </c>
      <c r="E43" s="5" t="s">
        <v>71</v>
      </c>
    </row>
    <row r="44">
      <c r="A44" s="4">
        <v>45246.49428883102</v>
      </c>
      <c r="B44" s="5" t="s">
        <v>94</v>
      </c>
      <c r="C44" s="6">
        <v>9.868203146E9</v>
      </c>
      <c r="D44" s="5" t="s">
        <v>95</v>
      </c>
      <c r="E44" s="5" t="s">
        <v>96</v>
      </c>
      <c r="F44" s="7" t="s">
        <v>97</v>
      </c>
    </row>
    <row r="45">
      <c r="A45" s="4">
        <v>45246.49539545139</v>
      </c>
      <c r="B45" s="5" t="s">
        <v>98</v>
      </c>
      <c r="C45" s="6">
        <v>9.318417842E9</v>
      </c>
      <c r="E45" s="5" t="s">
        <v>21</v>
      </c>
      <c r="F45" s="7" t="s">
        <v>99</v>
      </c>
    </row>
    <row r="46">
      <c r="A46" s="4">
        <v>45246.524332754634</v>
      </c>
      <c r="B46" s="5" t="s">
        <v>100</v>
      </c>
      <c r="C46" s="6">
        <v>7.742070717E9</v>
      </c>
      <c r="E46" s="5" t="s">
        <v>101</v>
      </c>
    </row>
    <row r="47">
      <c r="A47" s="4">
        <v>45246.53792256945</v>
      </c>
      <c r="B47" s="5" t="s">
        <v>102</v>
      </c>
      <c r="C47" s="6">
        <v>9.711826666E9</v>
      </c>
      <c r="D47" s="5" t="s">
        <v>103</v>
      </c>
    </row>
    <row r="48">
      <c r="A48" s="4">
        <v>45246.53853553241</v>
      </c>
      <c r="B48" s="5" t="s">
        <v>104</v>
      </c>
      <c r="C48" s="6">
        <v>8.860129369E9</v>
      </c>
      <c r="D48" s="5" t="s">
        <v>105</v>
      </c>
      <c r="E48" s="5" t="s">
        <v>106</v>
      </c>
    </row>
    <row r="49">
      <c r="A49" s="4">
        <v>45246.53902016203</v>
      </c>
      <c r="B49" s="5" t="s">
        <v>107</v>
      </c>
      <c r="C49" s="6">
        <v>9.311271315E9</v>
      </c>
      <c r="D49" s="5" t="s">
        <v>108</v>
      </c>
    </row>
    <row r="50">
      <c r="A50" s="4">
        <v>45246.542178159725</v>
      </c>
      <c r="B50" s="5" t="s">
        <v>109</v>
      </c>
      <c r="C50" s="6">
        <v>9.899054217E9</v>
      </c>
    </row>
    <row r="51">
      <c r="A51" s="4">
        <v>45246.5470212963</v>
      </c>
      <c r="B51" s="5" t="s">
        <v>110</v>
      </c>
      <c r="C51" s="6">
        <v>8.860801005E9</v>
      </c>
      <c r="D51" s="5" t="s">
        <v>111</v>
      </c>
      <c r="E51" s="5" t="s">
        <v>46</v>
      </c>
    </row>
    <row r="52">
      <c r="A52" s="4">
        <v>45246.54730471065</v>
      </c>
      <c r="B52" s="5" t="s">
        <v>112</v>
      </c>
      <c r="C52" s="6">
        <v>8.178158017E9</v>
      </c>
      <c r="D52" s="5" t="s">
        <v>113</v>
      </c>
      <c r="E52" s="5" t="s">
        <v>114</v>
      </c>
    </row>
    <row r="53">
      <c r="A53" s="4">
        <v>45246.547527766204</v>
      </c>
      <c r="B53" s="5" t="s">
        <v>52</v>
      </c>
      <c r="C53" s="6">
        <v>8.860801005E9</v>
      </c>
    </row>
    <row r="54">
      <c r="A54" s="4">
        <v>45246.54839193287</v>
      </c>
      <c r="B54" s="5" t="s">
        <v>115</v>
      </c>
      <c r="C54" s="6">
        <v>9.871119756E9</v>
      </c>
      <c r="E54" s="5" t="s">
        <v>116</v>
      </c>
    </row>
    <row r="55">
      <c r="A55" s="4">
        <v>45246.54870966435</v>
      </c>
      <c r="B55" s="5" t="s">
        <v>117</v>
      </c>
      <c r="C55" s="6">
        <v>9.910673608E9</v>
      </c>
      <c r="E55" s="5" t="s">
        <v>71</v>
      </c>
    </row>
    <row r="56">
      <c r="A56" s="4">
        <v>45246.550636932865</v>
      </c>
      <c r="B56" s="5" t="s">
        <v>118</v>
      </c>
      <c r="C56" s="6">
        <v>9.971464446E9</v>
      </c>
      <c r="E56" s="5" t="s">
        <v>119</v>
      </c>
    </row>
    <row r="57">
      <c r="A57" s="4">
        <v>45246.55472206019</v>
      </c>
      <c r="B57" s="5" t="s">
        <v>120</v>
      </c>
      <c r="C57" s="6">
        <v>9.65002113E9</v>
      </c>
    </row>
    <row r="58">
      <c r="A58" s="4">
        <v>45246.557320416665</v>
      </c>
      <c r="B58" s="5" t="s">
        <v>121</v>
      </c>
      <c r="C58" s="6">
        <v>9.646052299E9</v>
      </c>
    </row>
    <row r="59">
      <c r="A59" s="4">
        <v>45246.57417653935</v>
      </c>
      <c r="B59" s="5" t="s">
        <v>122</v>
      </c>
      <c r="C59" s="6">
        <v>8.577878785E9</v>
      </c>
      <c r="D59" s="5" t="s">
        <v>123</v>
      </c>
    </row>
    <row r="60">
      <c r="A60" s="4">
        <v>45246.57755649305</v>
      </c>
      <c r="B60" s="5" t="s">
        <v>124</v>
      </c>
      <c r="C60" s="6">
        <v>9.971171207E9</v>
      </c>
    </row>
    <row r="61">
      <c r="A61" s="4">
        <v>45246.577592789356</v>
      </c>
      <c r="B61" s="5" t="s">
        <v>125</v>
      </c>
      <c r="C61" s="6">
        <v>8.882965014E9</v>
      </c>
      <c r="G61" s="5" t="s">
        <v>126</v>
      </c>
      <c r="H61" s="8"/>
      <c r="I61" s="8"/>
      <c r="J61" s="8"/>
    </row>
    <row r="62">
      <c r="A62" s="4">
        <v>45246.57831990741</v>
      </c>
      <c r="B62" s="5" t="s">
        <v>127</v>
      </c>
      <c r="C62" s="6">
        <v>9.873237758E9</v>
      </c>
      <c r="D62" s="5" t="s">
        <v>128</v>
      </c>
      <c r="E62" s="5" t="s">
        <v>56</v>
      </c>
      <c r="G62" s="5" t="s">
        <v>126</v>
      </c>
      <c r="H62" s="8"/>
      <c r="I62" s="8"/>
      <c r="J62" s="8"/>
    </row>
    <row r="63">
      <c r="A63" s="4">
        <v>45246.58010886574</v>
      </c>
      <c r="B63" s="5" t="s">
        <v>129</v>
      </c>
      <c r="C63" s="6">
        <v>9.999179679E9</v>
      </c>
    </row>
    <row r="64">
      <c r="A64" s="4">
        <v>45246.584591226856</v>
      </c>
      <c r="B64" s="5" t="s">
        <v>130</v>
      </c>
      <c r="C64" s="6">
        <v>9.818351405E9</v>
      </c>
      <c r="D64" s="5" t="s">
        <v>131</v>
      </c>
      <c r="E64" s="5" t="s">
        <v>132</v>
      </c>
      <c r="G64" s="5" t="s">
        <v>126</v>
      </c>
      <c r="H64" s="8"/>
      <c r="I64" s="8"/>
      <c r="J64" s="8"/>
    </row>
    <row r="65">
      <c r="A65" s="4">
        <v>45246.58972710648</v>
      </c>
      <c r="B65" s="5" t="s">
        <v>133</v>
      </c>
      <c r="C65" s="6">
        <v>9.899006886E9</v>
      </c>
      <c r="E65" s="5" t="s">
        <v>134</v>
      </c>
      <c r="G65" s="5" t="s">
        <v>126</v>
      </c>
      <c r="H65" s="8"/>
      <c r="I65" s="8"/>
      <c r="J65" s="8"/>
    </row>
    <row r="66">
      <c r="A66" s="4">
        <v>45246.59384818287</v>
      </c>
      <c r="B66" s="5" t="s">
        <v>135</v>
      </c>
      <c r="C66" s="6">
        <v>9.810806625E9</v>
      </c>
    </row>
    <row r="67">
      <c r="A67" s="4">
        <v>45246.63142960648</v>
      </c>
      <c r="B67" s="5" t="s">
        <v>136</v>
      </c>
      <c r="C67" s="6">
        <v>9.416212767E9</v>
      </c>
      <c r="E67" s="7" t="s">
        <v>137</v>
      </c>
      <c r="G67" s="5" t="s">
        <v>126</v>
      </c>
      <c r="H67" s="8"/>
      <c r="I67" s="8"/>
      <c r="J67" s="8"/>
    </row>
    <row r="68">
      <c r="A68" s="4">
        <v>45246.65235716435</v>
      </c>
      <c r="B68" s="5" t="s">
        <v>138</v>
      </c>
      <c r="C68" s="6">
        <v>7.838808945E9</v>
      </c>
      <c r="E68" s="5" t="s">
        <v>139</v>
      </c>
      <c r="G68" s="5" t="s">
        <v>126</v>
      </c>
      <c r="H68" s="8"/>
      <c r="I68" s="8"/>
      <c r="J68" s="8"/>
    </row>
    <row r="69">
      <c r="A69" s="4">
        <v>45246.66449848379</v>
      </c>
      <c r="B69" s="5" t="s">
        <v>140</v>
      </c>
      <c r="C69" s="6">
        <v>9.508950477E9</v>
      </c>
    </row>
    <row r="70">
      <c r="A70" s="4">
        <v>45246.67852678241</v>
      </c>
      <c r="B70" s="5" t="s">
        <v>141</v>
      </c>
      <c r="C70" s="6">
        <v>7.982909025E9</v>
      </c>
      <c r="D70" s="5" t="s">
        <v>142</v>
      </c>
      <c r="E70" s="5" t="s">
        <v>143</v>
      </c>
      <c r="G70" s="5" t="s">
        <v>126</v>
      </c>
      <c r="H70" s="8"/>
      <c r="I70" s="8"/>
      <c r="J70" s="8"/>
    </row>
    <row r="71">
      <c r="A71" s="4">
        <v>45246.68490767361</v>
      </c>
      <c r="B71" s="5" t="s">
        <v>144</v>
      </c>
      <c r="C71" s="6">
        <v>9.971997121E9</v>
      </c>
      <c r="G71" s="5" t="s">
        <v>126</v>
      </c>
      <c r="H71" s="8"/>
      <c r="I71" s="8"/>
      <c r="J71" s="8"/>
    </row>
    <row r="72">
      <c r="A72" s="4">
        <v>45246.69427740741</v>
      </c>
      <c r="B72" s="5" t="s">
        <v>145</v>
      </c>
      <c r="C72" s="6">
        <v>9.310130869E9</v>
      </c>
      <c r="G72" s="5" t="s">
        <v>126</v>
      </c>
      <c r="H72" s="8"/>
      <c r="I72" s="8"/>
      <c r="J72" s="8"/>
    </row>
    <row r="73">
      <c r="A73" s="4">
        <v>45246.70882685186</v>
      </c>
      <c r="B73" s="5" t="s">
        <v>146</v>
      </c>
      <c r="C73" s="6">
        <v>9.971103645E9</v>
      </c>
      <c r="E73" s="5" t="s">
        <v>147</v>
      </c>
      <c r="G73" s="5" t="s">
        <v>126</v>
      </c>
      <c r="H73" s="8"/>
      <c r="I73" s="8"/>
      <c r="J73" s="8"/>
    </row>
    <row r="74">
      <c r="A74" s="4">
        <v>45246.709219386576</v>
      </c>
      <c r="B74" s="5" t="s">
        <v>148</v>
      </c>
      <c r="C74" s="6">
        <v>9.811073069E9</v>
      </c>
      <c r="G74" s="5" t="s">
        <v>126</v>
      </c>
      <c r="H74" s="8"/>
      <c r="I74" s="8"/>
      <c r="J74" s="8"/>
    </row>
    <row r="75">
      <c r="A75" s="4">
        <v>45246.74905100695</v>
      </c>
      <c r="B75" s="5" t="s">
        <v>149</v>
      </c>
      <c r="C75" s="6">
        <v>9.910228116E9</v>
      </c>
      <c r="E75" s="5" t="s">
        <v>143</v>
      </c>
      <c r="G75" s="5" t="s">
        <v>126</v>
      </c>
      <c r="H75" s="8"/>
      <c r="I75" s="8"/>
      <c r="J75" s="8"/>
    </row>
    <row r="76">
      <c r="A76" s="4">
        <v>45246.77205082176</v>
      </c>
      <c r="B76" s="5" t="s">
        <v>150</v>
      </c>
      <c r="C76" s="6">
        <v>9.045677696E9</v>
      </c>
      <c r="G76" s="5" t="s">
        <v>126</v>
      </c>
      <c r="H76" s="8"/>
      <c r="I76" s="8"/>
      <c r="J76" s="8"/>
    </row>
    <row r="77">
      <c r="A77" s="4">
        <v>45246.7724093287</v>
      </c>
      <c r="B77" s="5" t="s">
        <v>151</v>
      </c>
      <c r="C77" s="6">
        <v>9.997779146E9</v>
      </c>
      <c r="G77" s="5" t="s">
        <v>126</v>
      </c>
      <c r="H77" s="8"/>
      <c r="I77" s="8"/>
      <c r="J77" s="8"/>
    </row>
    <row r="78">
      <c r="A78" s="4">
        <v>45246.77333215278</v>
      </c>
      <c r="B78" s="5" t="s">
        <v>152</v>
      </c>
      <c r="C78" s="6">
        <v>8.218135183E9</v>
      </c>
      <c r="G78" s="5" t="s">
        <v>126</v>
      </c>
      <c r="H78" s="8"/>
      <c r="I78" s="8"/>
      <c r="J78" s="8"/>
    </row>
    <row r="79">
      <c r="A79" s="4">
        <v>45246.786564803246</v>
      </c>
      <c r="B79" s="5" t="s">
        <v>153</v>
      </c>
      <c r="C79" s="6">
        <v>9.65490719E9</v>
      </c>
      <c r="E79" s="5" t="s">
        <v>154</v>
      </c>
      <c r="G79" s="5" t="s">
        <v>126</v>
      </c>
      <c r="H79" s="8"/>
      <c r="I79" s="8"/>
      <c r="J79" s="8"/>
    </row>
    <row r="80">
      <c r="A80" s="4">
        <v>45246.87640016204</v>
      </c>
      <c r="B80" s="5" t="s">
        <v>155</v>
      </c>
      <c r="C80" s="6">
        <v>8.810266707E9</v>
      </c>
      <c r="D80" s="5" t="s">
        <v>156</v>
      </c>
    </row>
    <row r="81">
      <c r="A81" s="4">
        <v>45247.47569707176</v>
      </c>
      <c r="B81" s="5" t="s">
        <v>157</v>
      </c>
      <c r="C81" s="6">
        <v>8.130312E9</v>
      </c>
      <c r="D81" s="5" t="s">
        <v>158</v>
      </c>
      <c r="G81" s="5" t="s">
        <v>126</v>
      </c>
      <c r="H81" s="8"/>
      <c r="I81" s="8"/>
      <c r="J81" s="8"/>
    </row>
    <row r="82">
      <c r="A82" s="4">
        <v>45247.4810822338</v>
      </c>
      <c r="B82" s="5" t="s">
        <v>159</v>
      </c>
      <c r="C82" s="6">
        <v>8.305061443E9</v>
      </c>
      <c r="G82" s="5" t="s">
        <v>126</v>
      </c>
      <c r="H82" s="8"/>
      <c r="I82" s="8"/>
      <c r="J82" s="8"/>
    </row>
    <row r="83">
      <c r="A83" s="4">
        <v>45247.484183356486</v>
      </c>
      <c r="B83" s="5" t="s">
        <v>160</v>
      </c>
      <c r="C83" s="6">
        <v>9.868187296E9</v>
      </c>
      <c r="E83" s="5" t="s">
        <v>11</v>
      </c>
      <c r="G83" s="5" t="s">
        <v>126</v>
      </c>
      <c r="H83" s="8"/>
      <c r="I83" s="8"/>
      <c r="J83" s="8"/>
    </row>
    <row r="84">
      <c r="A84" s="4">
        <v>45247.488623020836</v>
      </c>
      <c r="B84" s="5" t="s">
        <v>161</v>
      </c>
      <c r="C84" s="6">
        <v>9.811202232E9</v>
      </c>
      <c r="G84" s="5" t="s">
        <v>126</v>
      </c>
      <c r="H84" s="8"/>
      <c r="I84" s="8"/>
      <c r="J84" s="8"/>
    </row>
    <row r="85">
      <c r="A85" s="4">
        <v>45247.489849791666</v>
      </c>
      <c r="B85" s="5" t="s">
        <v>162</v>
      </c>
      <c r="C85" s="6">
        <v>8.587875959E9</v>
      </c>
      <c r="D85" s="5" t="s">
        <v>163</v>
      </c>
      <c r="E85" s="5" t="s">
        <v>164</v>
      </c>
      <c r="G85" s="5" t="s">
        <v>126</v>
      </c>
      <c r="H85" s="8"/>
      <c r="I85" s="8"/>
      <c r="J85" s="8"/>
    </row>
    <row r="86">
      <c r="A86" s="4">
        <v>45247.497235069444</v>
      </c>
      <c r="B86" s="5" t="s">
        <v>165</v>
      </c>
      <c r="C86" s="6">
        <v>9.811698569E9</v>
      </c>
      <c r="D86" s="5" t="s">
        <v>166</v>
      </c>
      <c r="E86" s="5" t="s">
        <v>167</v>
      </c>
      <c r="G86" s="5" t="s">
        <v>126</v>
      </c>
      <c r="H86" s="8"/>
      <c r="I86" s="8"/>
      <c r="J86" s="8"/>
    </row>
    <row r="87">
      <c r="A87" s="4">
        <v>45247.498785601856</v>
      </c>
      <c r="B87" s="5" t="s">
        <v>168</v>
      </c>
      <c r="C87" s="6">
        <v>9.868272424E9</v>
      </c>
      <c r="G87" s="5" t="s">
        <v>126</v>
      </c>
      <c r="H87" s="8"/>
      <c r="I87" s="8"/>
      <c r="J87" s="8"/>
    </row>
    <row r="88">
      <c r="A88" s="4">
        <v>45247.499142546294</v>
      </c>
      <c r="B88" s="5" t="s">
        <v>169</v>
      </c>
      <c r="C88" s="6">
        <v>9.811471982E9</v>
      </c>
      <c r="G88" s="5" t="s">
        <v>126</v>
      </c>
      <c r="H88" s="8"/>
      <c r="I88" s="8"/>
      <c r="J88" s="8"/>
    </row>
    <row r="89">
      <c r="A89" s="4">
        <v>45247.50000996528</v>
      </c>
      <c r="B89" s="5" t="s">
        <v>170</v>
      </c>
      <c r="C89" s="6">
        <v>9.810499331E9</v>
      </c>
      <c r="E89" s="5" t="s">
        <v>171</v>
      </c>
      <c r="G89" s="5" t="s">
        <v>126</v>
      </c>
      <c r="H89" s="8"/>
      <c r="I89" s="8"/>
      <c r="J89" s="8"/>
    </row>
    <row r="90">
      <c r="A90" s="4">
        <v>45247.51256203704</v>
      </c>
      <c r="B90" s="5" t="s">
        <v>172</v>
      </c>
      <c r="C90" s="6">
        <v>9.050618274E9</v>
      </c>
      <c r="E90" s="5" t="s">
        <v>119</v>
      </c>
      <c r="G90" s="5" t="s">
        <v>126</v>
      </c>
      <c r="H90" s="8"/>
      <c r="I90" s="8"/>
      <c r="J90" s="8"/>
    </row>
    <row r="91">
      <c r="A91" s="4">
        <v>45247.51266274306</v>
      </c>
      <c r="B91" s="5" t="s">
        <v>173</v>
      </c>
      <c r="C91" s="6">
        <v>9.718310272E9</v>
      </c>
      <c r="D91" s="5" t="s">
        <v>174</v>
      </c>
      <c r="G91" s="5" t="s">
        <v>126</v>
      </c>
      <c r="H91" s="8"/>
      <c r="I91" s="8"/>
      <c r="J91" s="8"/>
    </row>
    <row r="92">
      <c r="A92" s="4">
        <v>45247.51588377314</v>
      </c>
      <c r="B92" s="5" t="s">
        <v>175</v>
      </c>
      <c r="C92" s="6">
        <v>9.810072259E9</v>
      </c>
      <c r="D92" s="5" t="s">
        <v>176</v>
      </c>
      <c r="E92" s="5" t="s">
        <v>177</v>
      </c>
      <c r="F92" s="7" t="s">
        <v>178</v>
      </c>
      <c r="G92" s="5" t="s">
        <v>126</v>
      </c>
      <c r="H92" s="8"/>
      <c r="I92" s="8"/>
      <c r="J92" s="8"/>
    </row>
    <row r="93">
      <c r="A93" s="4">
        <v>45247.51625885417</v>
      </c>
      <c r="B93" s="5" t="s">
        <v>179</v>
      </c>
      <c r="C93" s="6">
        <v>9.71102823E9</v>
      </c>
      <c r="E93" s="5" t="s">
        <v>114</v>
      </c>
      <c r="G93" s="5" t="s">
        <v>126</v>
      </c>
      <c r="H93" s="8"/>
      <c r="I93" s="8"/>
      <c r="J93" s="8"/>
    </row>
    <row r="94">
      <c r="A94" s="4">
        <v>45247.52127950231</v>
      </c>
      <c r="B94" s="5" t="s">
        <v>180</v>
      </c>
      <c r="C94" s="6">
        <v>9.560515597E9</v>
      </c>
      <c r="D94" s="5" t="s">
        <v>181</v>
      </c>
      <c r="E94" s="5" t="s">
        <v>182</v>
      </c>
      <c r="G94" s="5" t="s">
        <v>126</v>
      </c>
      <c r="H94" s="8"/>
      <c r="I94" s="8"/>
      <c r="J94" s="8"/>
    </row>
    <row r="95">
      <c r="A95" s="4">
        <v>45247.52385706019</v>
      </c>
      <c r="B95" s="5" t="s">
        <v>183</v>
      </c>
      <c r="C95" s="6">
        <v>9.868150647E9</v>
      </c>
      <c r="G95" s="5" t="s">
        <v>126</v>
      </c>
      <c r="H95" s="8"/>
      <c r="I95" s="8"/>
      <c r="J95" s="8"/>
    </row>
    <row r="96">
      <c r="A96" s="4">
        <v>45247.52885721065</v>
      </c>
      <c r="B96" s="5" t="s">
        <v>184</v>
      </c>
      <c r="C96" s="6">
        <v>7.862895786E9</v>
      </c>
      <c r="G96" s="5" t="s">
        <v>126</v>
      </c>
      <c r="H96" s="8"/>
      <c r="I96" s="8"/>
      <c r="J96" s="8"/>
    </row>
    <row r="97">
      <c r="A97" s="4">
        <v>45247.53083042824</v>
      </c>
      <c r="B97" s="5" t="s">
        <v>185</v>
      </c>
      <c r="C97" s="6">
        <v>9.212517669E9</v>
      </c>
      <c r="D97" s="5" t="s">
        <v>186</v>
      </c>
      <c r="G97" s="5" t="s">
        <v>126</v>
      </c>
      <c r="H97" s="8"/>
      <c r="I97" s="8"/>
      <c r="J97" s="8"/>
    </row>
    <row r="98">
      <c r="A98" s="4">
        <v>45247.5324112963</v>
      </c>
      <c r="B98" s="5" t="s">
        <v>187</v>
      </c>
      <c r="C98" s="6">
        <v>9.82151433E9</v>
      </c>
      <c r="G98" s="5" t="s">
        <v>126</v>
      </c>
      <c r="H98" s="8"/>
      <c r="I98" s="8"/>
      <c r="J98" s="8"/>
    </row>
    <row r="99">
      <c r="A99" s="4">
        <v>45247.53243965278</v>
      </c>
      <c r="B99" s="5" t="s">
        <v>188</v>
      </c>
      <c r="C99" s="6">
        <v>7.982891368E9</v>
      </c>
      <c r="E99" s="5" t="s">
        <v>119</v>
      </c>
      <c r="G99" s="5" t="s">
        <v>126</v>
      </c>
      <c r="H99" s="8"/>
      <c r="I99" s="8"/>
      <c r="J99" s="8"/>
    </row>
    <row r="100">
      <c r="A100" s="4">
        <v>45247.53388564815</v>
      </c>
      <c r="B100" s="5" t="s">
        <v>189</v>
      </c>
      <c r="C100" s="6">
        <v>9.311089867E9</v>
      </c>
      <c r="E100" s="5" t="s">
        <v>114</v>
      </c>
      <c r="G100" s="5" t="s">
        <v>126</v>
      </c>
      <c r="H100" s="8"/>
      <c r="I100" s="8"/>
      <c r="J100" s="8"/>
    </row>
    <row r="101">
      <c r="A101" s="4">
        <v>45247.53603180556</v>
      </c>
      <c r="B101" s="5" t="s">
        <v>190</v>
      </c>
      <c r="C101" s="6">
        <v>7.982220254E9</v>
      </c>
      <c r="E101" s="5" t="s">
        <v>15</v>
      </c>
      <c r="G101" s="5" t="s">
        <v>126</v>
      </c>
      <c r="H101" s="8"/>
      <c r="I101" s="8"/>
      <c r="J101" s="8"/>
    </row>
    <row r="102">
      <c r="A102" s="4">
        <v>45247.54654553241</v>
      </c>
      <c r="B102" s="5" t="s">
        <v>191</v>
      </c>
      <c r="C102" s="6">
        <v>9.213599845E9</v>
      </c>
      <c r="E102" s="5" t="s">
        <v>192</v>
      </c>
      <c r="G102" s="5" t="s">
        <v>126</v>
      </c>
      <c r="H102" s="8"/>
      <c r="I102" s="8"/>
      <c r="J102" s="8"/>
    </row>
    <row r="103">
      <c r="A103" s="4">
        <v>45247.558549953705</v>
      </c>
      <c r="B103" s="5" t="s">
        <v>193</v>
      </c>
      <c r="C103" s="6">
        <v>8.700977029E9</v>
      </c>
      <c r="D103" s="5" t="s">
        <v>194</v>
      </c>
      <c r="G103" s="5" t="s">
        <v>126</v>
      </c>
      <c r="H103" s="8"/>
      <c r="I103" s="8"/>
      <c r="J103" s="8"/>
    </row>
    <row r="104">
      <c r="A104" s="4">
        <v>45247.56849291667</v>
      </c>
      <c r="B104" s="5" t="s">
        <v>195</v>
      </c>
      <c r="C104" s="6">
        <v>9.811661191E9</v>
      </c>
      <c r="G104" s="5" t="s">
        <v>126</v>
      </c>
      <c r="H104" s="8"/>
      <c r="I104" s="8"/>
      <c r="J104" s="8"/>
    </row>
    <row r="105">
      <c r="A105" s="4">
        <v>45247.569871458334</v>
      </c>
      <c r="B105" s="5" t="s">
        <v>196</v>
      </c>
      <c r="C105" s="6">
        <v>8.799722173E9</v>
      </c>
      <c r="G105" s="5" t="s">
        <v>126</v>
      </c>
      <c r="H105" s="8"/>
      <c r="I105" s="8"/>
      <c r="J105" s="8"/>
    </row>
    <row r="106">
      <c r="A106" s="4">
        <v>45247.57112231481</v>
      </c>
      <c r="B106" s="5" t="s">
        <v>197</v>
      </c>
      <c r="C106" s="6">
        <v>9.910368195E9</v>
      </c>
      <c r="G106" s="5" t="s">
        <v>126</v>
      </c>
      <c r="H106" s="8"/>
      <c r="I106" s="8"/>
      <c r="J106" s="8"/>
    </row>
    <row r="107">
      <c r="A107" s="4">
        <v>45247.571441921296</v>
      </c>
      <c r="B107" s="5" t="s">
        <v>198</v>
      </c>
      <c r="C107" s="6">
        <v>7.827743525E9</v>
      </c>
      <c r="G107" s="5" t="s">
        <v>126</v>
      </c>
      <c r="H107" s="8"/>
      <c r="I107" s="8"/>
      <c r="J107" s="8"/>
    </row>
    <row r="108">
      <c r="A108" s="4">
        <v>45247.571986006944</v>
      </c>
      <c r="B108" s="5" t="s">
        <v>199</v>
      </c>
      <c r="C108" s="6">
        <v>9.4030017E9</v>
      </c>
      <c r="G108" s="5" t="s">
        <v>126</v>
      </c>
      <c r="H108" s="8"/>
      <c r="I108" s="8"/>
      <c r="J108" s="8"/>
    </row>
    <row r="109">
      <c r="A109" s="4">
        <v>45247.57467253473</v>
      </c>
      <c r="B109" s="5" t="s">
        <v>200</v>
      </c>
      <c r="C109" s="6">
        <v>9.818713799E9</v>
      </c>
      <c r="D109" s="5" t="s">
        <v>201</v>
      </c>
      <c r="G109" s="5" t="s">
        <v>126</v>
      </c>
      <c r="H109" s="8"/>
      <c r="I109" s="8"/>
      <c r="J109" s="8"/>
    </row>
    <row r="110">
      <c r="A110" s="4">
        <v>45247.57781086805</v>
      </c>
      <c r="B110" s="5" t="s">
        <v>202</v>
      </c>
      <c r="C110" s="6">
        <v>8.882083128E9</v>
      </c>
      <c r="G110" s="5" t="s">
        <v>126</v>
      </c>
      <c r="H110" s="8"/>
      <c r="I110" s="8"/>
      <c r="J110" s="8"/>
    </row>
    <row r="111">
      <c r="A111" s="4">
        <v>45247.57811479167</v>
      </c>
      <c r="B111" s="5" t="s">
        <v>203</v>
      </c>
      <c r="C111" s="6">
        <v>7.703867722E9</v>
      </c>
      <c r="G111" s="5" t="s">
        <v>126</v>
      </c>
      <c r="H111" s="8"/>
      <c r="I111" s="8"/>
      <c r="J111" s="8"/>
    </row>
    <row r="112">
      <c r="A112" s="4">
        <v>45247.57846550926</v>
      </c>
      <c r="B112" s="5" t="s">
        <v>204</v>
      </c>
      <c r="C112" s="6">
        <v>7.503214251E9</v>
      </c>
      <c r="G112" s="5" t="s">
        <v>126</v>
      </c>
      <c r="H112" s="8"/>
      <c r="I112" s="8"/>
      <c r="J112" s="8"/>
    </row>
    <row r="113">
      <c r="A113" s="4">
        <v>45247.58333115741</v>
      </c>
      <c r="B113" s="5" t="s">
        <v>205</v>
      </c>
      <c r="C113" s="6">
        <v>9.873410316E9</v>
      </c>
      <c r="E113" s="5" t="s">
        <v>21</v>
      </c>
      <c r="G113" s="5" t="s">
        <v>126</v>
      </c>
      <c r="H113" s="8"/>
      <c r="I113" s="8"/>
      <c r="J113" s="8"/>
    </row>
    <row r="114">
      <c r="A114" s="4">
        <v>45247.58713151621</v>
      </c>
      <c r="B114" s="5" t="s">
        <v>206</v>
      </c>
      <c r="C114" s="6">
        <v>9.810432902E9</v>
      </c>
      <c r="G114" s="5" t="s">
        <v>126</v>
      </c>
      <c r="H114" s="8"/>
      <c r="I114" s="8"/>
      <c r="J114" s="8"/>
    </row>
    <row r="115">
      <c r="A115" s="4">
        <v>45247.59061368056</v>
      </c>
      <c r="B115" s="5" t="s">
        <v>207</v>
      </c>
      <c r="C115" s="6">
        <v>7.982334384E9</v>
      </c>
      <c r="G115" s="5" t="s">
        <v>126</v>
      </c>
      <c r="H115" s="8"/>
      <c r="I115" s="8"/>
      <c r="J115" s="8"/>
    </row>
    <row r="116">
      <c r="A116" s="4">
        <v>45247.59184460648</v>
      </c>
      <c r="B116" s="5" t="s">
        <v>208</v>
      </c>
      <c r="C116" s="6">
        <v>9.810156736E9</v>
      </c>
      <c r="D116" s="7" t="s">
        <v>209</v>
      </c>
      <c r="E116" s="5" t="s">
        <v>21</v>
      </c>
      <c r="F116" s="7" t="s">
        <v>210</v>
      </c>
      <c r="G116" s="5" t="s">
        <v>126</v>
      </c>
      <c r="H116" s="8"/>
      <c r="I116" s="8"/>
      <c r="J116" s="8"/>
    </row>
    <row r="117">
      <c r="A117" s="4">
        <v>45247.59766035879</v>
      </c>
      <c r="B117" s="5" t="s">
        <v>211</v>
      </c>
      <c r="C117" s="6">
        <v>9.818468666E9</v>
      </c>
      <c r="G117" s="5" t="s">
        <v>126</v>
      </c>
      <c r="H117" s="8"/>
      <c r="I117" s="8"/>
      <c r="J117" s="8"/>
    </row>
    <row r="118">
      <c r="A118" s="4">
        <v>45247.59800569444</v>
      </c>
      <c r="B118" s="5" t="s">
        <v>212</v>
      </c>
      <c r="C118" s="6">
        <v>8.368568171E9</v>
      </c>
      <c r="G118" s="5" t="s">
        <v>126</v>
      </c>
      <c r="H118" s="8"/>
      <c r="I118" s="8"/>
      <c r="J118" s="8"/>
    </row>
    <row r="119">
      <c r="A119" s="4">
        <v>45247.600795185186</v>
      </c>
      <c r="B119" s="5" t="s">
        <v>213</v>
      </c>
      <c r="C119" s="6">
        <v>9.315928317E9</v>
      </c>
      <c r="E119" s="5" t="s">
        <v>214</v>
      </c>
      <c r="G119" s="5" t="s">
        <v>126</v>
      </c>
      <c r="H119" s="8"/>
      <c r="I119" s="8"/>
      <c r="J119" s="8"/>
    </row>
    <row r="120">
      <c r="A120" s="4">
        <v>45247.60749576389</v>
      </c>
      <c r="B120" s="5" t="s">
        <v>215</v>
      </c>
      <c r="C120" s="6">
        <v>9.958082239E9</v>
      </c>
      <c r="E120" s="5" t="s">
        <v>216</v>
      </c>
      <c r="G120" s="5" t="s">
        <v>126</v>
      </c>
      <c r="H120" s="8"/>
      <c r="I120" s="8"/>
      <c r="J120" s="8"/>
    </row>
    <row r="121">
      <c r="A121" s="4">
        <v>45247.6106872338</v>
      </c>
      <c r="C121" s="6">
        <v>9.811011E9</v>
      </c>
      <c r="E121" s="5" t="s">
        <v>217</v>
      </c>
    </row>
    <row r="122">
      <c r="A122" s="4">
        <v>45247.6136894213</v>
      </c>
      <c r="B122" s="5" t="s">
        <v>218</v>
      </c>
      <c r="C122" s="6">
        <v>9.350223438E9</v>
      </c>
      <c r="E122" s="5" t="s">
        <v>11</v>
      </c>
      <c r="G122" s="5" t="s">
        <v>126</v>
      </c>
      <c r="H122" s="8"/>
      <c r="I122" s="8"/>
      <c r="J122" s="8"/>
    </row>
    <row r="123">
      <c r="A123" s="4">
        <v>45247.62310424769</v>
      </c>
      <c r="B123" s="5" t="s">
        <v>219</v>
      </c>
      <c r="C123" s="6">
        <v>9.868381528E9</v>
      </c>
      <c r="G123" s="5" t="s">
        <v>126</v>
      </c>
      <c r="H123" s="8"/>
      <c r="I123" s="8"/>
      <c r="J123" s="8"/>
    </row>
    <row r="124">
      <c r="A124" s="4">
        <v>45247.63645394676</v>
      </c>
      <c r="B124" s="5" t="s">
        <v>220</v>
      </c>
      <c r="C124" s="6">
        <v>7.906204355E9</v>
      </c>
      <c r="G124" s="5" t="s">
        <v>126</v>
      </c>
      <c r="H124" s="8"/>
      <c r="I124" s="8"/>
      <c r="J124" s="8"/>
    </row>
    <row r="125">
      <c r="A125" s="4">
        <v>45247.637113136574</v>
      </c>
      <c r="B125" s="5" t="s">
        <v>221</v>
      </c>
      <c r="C125" s="6">
        <v>9.871474947E9</v>
      </c>
      <c r="G125" s="5" t="s">
        <v>126</v>
      </c>
      <c r="H125" s="8"/>
      <c r="I125" s="8"/>
      <c r="J125" s="8"/>
    </row>
    <row r="126">
      <c r="A126" s="4">
        <v>45247.642227488424</v>
      </c>
      <c r="B126" s="5" t="s">
        <v>222</v>
      </c>
      <c r="C126" s="6">
        <v>9.266778087E9</v>
      </c>
      <c r="G126" s="5" t="s">
        <v>126</v>
      </c>
      <c r="H126" s="8"/>
      <c r="I126" s="8"/>
      <c r="J126" s="8"/>
    </row>
    <row r="127">
      <c r="A127" s="4">
        <v>45247.64799228009</v>
      </c>
      <c r="B127" s="5" t="s">
        <v>223</v>
      </c>
      <c r="C127" s="6">
        <v>9.81199222E9</v>
      </c>
      <c r="E127" s="5" t="s">
        <v>15</v>
      </c>
      <c r="G127" s="5" t="s">
        <v>126</v>
      </c>
      <c r="H127" s="8"/>
      <c r="I127" s="8"/>
      <c r="J127" s="8"/>
    </row>
    <row r="128">
      <c r="A128" s="4">
        <v>45247.65451930556</v>
      </c>
      <c r="B128" s="5" t="s">
        <v>224</v>
      </c>
      <c r="C128" s="6">
        <v>9.810828927E9</v>
      </c>
      <c r="E128" s="5" t="s">
        <v>13</v>
      </c>
      <c r="G128" s="5" t="s">
        <v>126</v>
      </c>
      <c r="H128" s="8"/>
      <c r="I128" s="8"/>
      <c r="J128" s="8"/>
    </row>
    <row r="129">
      <c r="A129" s="4">
        <v>45247.65677581019</v>
      </c>
      <c r="B129" s="5" t="s">
        <v>225</v>
      </c>
      <c r="C129" s="6">
        <v>9.015383758E9</v>
      </c>
      <c r="E129" s="5" t="s">
        <v>226</v>
      </c>
      <c r="G129" s="5" t="s">
        <v>126</v>
      </c>
      <c r="H129" s="8"/>
      <c r="I129" s="8"/>
      <c r="J129" s="8"/>
    </row>
    <row r="130">
      <c r="A130" s="4">
        <v>45247.661219699075</v>
      </c>
      <c r="B130" s="5" t="s">
        <v>219</v>
      </c>
      <c r="C130" s="6">
        <v>9.711383909E9</v>
      </c>
      <c r="E130" s="5" t="s">
        <v>227</v>
      </c>
      <c r="G130" s="5" t="s">
        <v>126</v>
      </c>
      <c r="H130" s="8"/>
      <c r="I130" s="8"/>
      <c r="J130" s="8"/>
    </row>
    <row r="131">
      <c r="A131" s="4">
        <v>45247.6633544213</v>
      </c>
      <c r="B131" s="5" t="s">
        <v>228</v>
      </c>
      <c r="C131" s="6">
        <v>9.868323227E9</v>
      </c>
      <c r="G131" s="5" t="s">
        <v>126</v>
      </c>
      <c r="H131" s="8"/>
      <c r="I131" s="8"/>
      <c r="J131" s="8"/>
    </row>
    <row r="132">
      <c r="A132" s="4">
        <v>45247.67040480324</v>
      </c>
      <c r="B132" s="5" t="s">
        <v>229</v>
      </c>
      <c r="C132" s="6">
        <v>9.911819068E9</v>
      </c>
      <c r="E132" s="5" t="s">
        <v>116</v>
      </c>
      <c r="G132" s="5" t="s">
        <v>126</v>
      </c>
      <c r="H132" s="8"/>
      <c r="I132" s="8"/>
      <c r="J132" s="8"/>
    </row>
    <row r="133">
      <c r="A133" s="4">
        <v>45247.67188572917</v>
      </c>
      <c r="B133" s="5" t="s">
        <v>230</v>
      </c>
      <c r="C133" s="6">
        <v>9.971743E9</v>
      </c>
      <c r="E133" s="5" t="s">
        <v>15</v>
      </c>
      <c r="G133" s="5" t="s">
        <v>126</v>
      </c>
      <c r="H133" s="8"/>
      <c r="I133" s="8"/>
      <c r="J133" s="8"/>
    </row>
    <row r="134">
      <c r="A134" s="4">
        <v>45247.67306346065</v>
      </c>
      <c r="B134" s="5" t="s">
        <v>231</v>
      </c>
      <c r="C134" s="6">
        <v>9.318181843E9</v>
      </c>
      <c r="E134" s="5" t="s">
        <v>232</v>
      </c>
      <c r="G134" s="5" t="s">
        <v>126</v>
      </c>
      <c r="H134" s="8"/>
      <c r="I134" s="8"/>
      <c r="J134" s="8"/>
    </row>
    <row r="135">
      <c r="A135" s="4">
        <v>45247.67982790509</v>
      </c>
      <c r="B135" s="5" t="s">
        <v>233</v>
      </c>
      <c r="C135" s="6">
        <v>8.470005997E9</v>
      </c>
      <c r="D135" s="5" t="s">
        <v>234</v>
      </c>
      <c r="E135" s="5" t="s">
        <v>26</v>
      </c>
      <c r="F135" s="7" t="s">
        <v>235</v>
      </c>
      <c r="G135" s="5" t="s">
        <v>126</v>
      </c>
      <c r="H135" s="8"/>
      <c r="I135" s="8"/>
      <c r="J135" s="8"/>
    </row>
    <row r="136">
      <c r="A136" s="4">
        <v>45247.68027067129</v>
      </c>
      <c r="B136" s="5" t="s">
        <v>236</v>
      </c>
      <c r="C136" s="6">
        <v>9.861990218E9</v>
      </c>
      <c r="G136" s="5" t="s">
        <v>126</v>
      </c>
      <c r="H136" s="8"/>
      <c r="I136" s="8"/>
      <c r="J136" s="8"/>
    </row>
    <row r="137">
      <c r="A137" s="4">
        <v>45247.68424207176</v>
      </c>
      <c r="B137" s="5" t="s">
        <v>237</v>
      </c>
      <c r="C137" s="6">
        <v>9.910705306E9</v>
      </c>
      <c r="G137" s="5" t="s">
        <v>126</v>
      </c>
      <c r="H137" s="8"/>
      <c r="I137" s="8"/>
      <c r="J137" s="8"/>
    </row>
    <row r="138">
      <c r="A138" s="4">
        <v>45247.68596037037</v>
      </c>
      <c r="B138" s="5" t="s">
        <v>238</v>
      </c>
      <c r="C138" s="6">
        <v>9.58040338E9</v>
      </c>
      <c r="G138" s="5" t="s">
        <v>126</v>
      </c>
      <c r="H138" s="8"/>
      <c r="I138" s="8"/>
      <c r="J138" s="8"/>
    </row>
    <row r="139">
      <c r="A139" s="4">
        <v>45247.68719123842</v>
      </c>
      <c r="B139" s="5" t="s">
        <v>239</v>
      </c>
      <c r="C139" s="6">
        <v>8.130475858E9</v>
      </c>
      <c r="D139" s="5" t="s">
        <v>240</v>
      </c>
      <c r="E139" s="5" t="s">
        <v>21</v>
      </c>
      <c r="F139" s="7" t="s">
        <v>241</v>
      </c>
      <c r="G139" s="5" t="s">
        <v>126</v>
      </c>
      <c r="H139" s="8"/>
      <c r="I139" s="8"/>
      <c r="J139" s="8"/>
    </row>
    <row r="140">
      <c r="A140" s="4">
        <v>45247.69245232639</v>
      </c>
      <c r="B140" s="5" t="s">
        <v>242</v>
      </c>
      <c r="C140" s="6">
        <v>7.275888878E9</v>
      </c>
      <c r="E140" s="5" t="s">
        <v>243</v>
      </c>
      <c r="G140" s="5" t="s">
        <v>126</v>
      </c>
      <c r="H140" s="8"/>
      <c r="I140" s="8"/>
      <c r="J140" s="8"/>
    </row>
    <row r="141">
      <c r="A141" s="4">
        <v>45247.71988849537</v>
      </c>
      <c r="B141" s="5" t="s">
        <v>244</v>
      </c>
      <c r="C141" s="6">
        <v>9.810063069E9</v>
      </c>
      <c r="E141" s="5" t="s">
        <v>26</v>
      </c>
      <c r="F141" s="7" t="s">
        <v>245</v>
      </c>
      <c r="G141" s="5" t="s">
        <v>126</v>
      </c>
      <c r="H141" s="8"/>
      <c r="I141" s="8"/>
      <c r="J141" s="8"/>
    </row>
    <row r="142">
      <c r="A142" s="4">
        <v>45247.72256637731</v>
      </c>
      <c r="B142" s="5" t="s">
        <v>246</v>
      </c>
      <c r="C142" s="6">
        <v>9.818900489E9</v>
      </c>
      <c r="E142" s="5" t="s">
        <v>26</v>
      </c>
      <c r="F142" s="7" t="s">
        <v>247</v>
      </c>
      <c r="G142" s="5" t="s">
        <v>126</v>
      </c>
      <c r="H142" s="8"/>
      <c r="I142" s="8"/>
      <c r="J142" s="8"/>
    </row>
    <row r="143">
      <c r="A143" s="4">
        <v>45247.731041122686</v>
      </c>
      <c r="B143" s="5" t="s">
        <v>248</v>
      </c>
      <c r="C143" s="6">
        <v>9.212168823E9</v>
      </c>
      <c r="E143" s="5" t="s">
        <v>26</v>
      </c>
      <c r="F143" s="7" t="s">
        <v>249</v>
      </c>
      <c r="G143" s="5" t="s">
        <v>126</v>
      </c>
      <c r="H143" s="8"/>
      <c r="I143" s="8"/>
      <c r="J143" s="8"/>
    </row>
    <row r="144">
      <c r="A144" s="4">
        <v>45247.75026188657</v>
      </c>
      <c r="B144" s="5" t="s">
        <v>250</v>
      </c>
      <c r="C144" s="6">
        <v>8.860787306E9</v>
      </c>
      <c r="G144" s="5" t="s">
        <v>126</v>
      </c>
      <c r="H144" s="8"/>
      <c r="I144" s="8"/>
      <c r="J144" s="8"/>
    </row>
    <row r="145">
      <c r="A145" s="4">
        <v>45247.750509317135</v>
      </c>
      <c r="B145" s="5" t="s">
        <v>251</v>
      </c>
      <c r="C145" s="6">
        <v>7.042462567E9</v>
      </c>
      <c r="G145" s="5" t="s">
        <v>126</v>
      </c>
      <c r="H145" s="8"/>
      <c r="I145" s="8"/>
      <c r="J145" s="8"/>
    </row>
    <row r="146">
      <c r="A146" s="4">
        <v>45247.75084204861</v>
      </c>
      <c r="B146" s="5" t="s">
        <v>252</v>
      </c>
      <c r="C146" s="6">
        <v>9.354548931E9</v>
      </c>
      <c r="G146" s="5" t="s">
        <v>126</v>
      </c>
      <c r="H146" s="8"/>
      <c r="I146" s="8"/>
      <c r="J146" s="8"/>
    </row>
    <row r="147">
      <c r="A147" s="4">
        <v>45247.751250138885</v>
      </c>
      <c r="B147" s="5" t="s">
        <v>253</v>
      </c>
      <c r="C147" s="6">
        <v>8.86037224E9</v>
      </c>
      <c r="G147" s="5" t="s">
        <v>126</v>
      </c>
      <c r="H147" s="8"/>
      <c r="I147" s="8"/>
      <c r="J147" s="8"/>
    </row>
    <row r="148">
      <c r="A148" s="4">
        <v>45247.7512621875</v>
      </c>
      <c r="B148" s="5" t="s">
        <v>254</v>
      </c>
      <c r="C148" s="6">
        <v>9.310536E9</v>
      </c>
      <c r="D148" s="5" t="s">
        <v>255</v>
      </c>
      <c r="E148" s="5" t="s">
        <v>26</v>
      </c>
      <c r="F148" s="7" t="s">
        <v>256</v>
      </c>
      <c r="G148" s="5" t="s">
        <v>126</v>
      </c>
      <c r="H148" s="8"/>
      <c r="I148" s="8"/>
      <c r="J148" s="8"/>
    </row>
    <row r="149">
      <c r="A149" s="4">
        <v>45247.75179523148</v>
      </c>
      <c r="B149" s="5" t="s">
        <v>257</v>
      </c>
      <c r="C149" s="6">
        <v>8.800191827E9</v>
      </c>
      <c r="G149" s="5" t="s">
        <v>126</v>
      </c>
      <c r="H149" s="8"/>
      <c r="I149" s="8"/>
      <c r="J149" s="8"/>
    </row>
    <row r="150">
      <c r="A150" s="4">
        <v>45247.763179456015</v>
      </c>
      <c r="B150" s="5" t="s">
        <v>258</v>
      </c>
      <c r="C150" s="6">
        <v>9.65460486E9</v>
      </c>
      <c r="E150" s="5" t="s">
        <v>15</v>
      </c>
      <c r="G150" s="5" t="s">
        <v>126</v>
      </c>
      <c r="H150" s="8"/>
      <c r="I150" s="8"/>
      <c r="J150" s="8"/>
    </row>
    <row r="151">
      <c r="A151" s="4">
        <v>45247.769756249996</v>
      </c>
      <c r="B151" s="5" t="s">
        <v>259</v>
      </c>
      <c r="C151" s="6">
        <v>7.303350761E9</v>
      </c>
      <c r="E151" s="5" t="s">
        <v>26</v>
      </c>
      <c r="F151" s="7" t="s">
        <v>260</v>
      </c>
      <c r="G151" s="5" t="s">
        <v>126</v>
      </c>
      <c r="H151" s="8"/>
      <c r="I151" s="8"/>
      <c r="J151" s="8"/>
    </row>
    <row r="152">
      <c r="A152" s="4">
        <v>45247.79732254629</v>
      </c>
      <c r="C152" s="6">
        <v>9.560770805E9</v>
      </c>
      <c r="D152" s="5" t="s">
        <v>261</v>
      </c>
      <c r="E152" s="5" t="s">
        <v>262</v>
      </c>
      <c r="G152" s="5" t="s">
        <v>126</v>
      </c>
      <c r="H152" s="8"/>
      <c r="I152" s="8"/>
      <c r="J152" s="8"/>
    </row>
    <row r="153">
      <c r="A153" s="4">
        <v>45248.477318923615</v>
      </c>
      <c r="B153" s="5" t="s">
        <v>263</v>
      </c>
      <c r="C153" s="6">
        <v>9.55584441E9</v>
      </c>
      <c r="D153" s="5" t="s">
        <v>264</v>
      </c>
      <c r="E153" s="5" t="s">
        <v>26</v>
      </c>
      <c r="F153" s="7" t="s">
        <v>265</v>
      </c>
      <c r="G153" s="5" t="s">
        <v>126</v>
      </c>
      <c r="H153" s="8"/>
      <c r="I153" s="8"/>
      <c r="J153" s="8"/>
    </row>
    <row r="154">
      <c r="A154" s="4">
        <v>45248.483060300925</v>
      </c>
      <c r="B154" s="5" t="s">
        <v>266</v>
      </c>
      <c r="C154" s="6">
        <v>7.060008973E9</v>
      </c>
      <c r="E154" s="5" t="s">
        <v>15</v>
      </c>
      <c r="G154" s="5" t="s">
        <v>126</v>
      </c>
      <c r="H154" s="8"/>
      <c r="I154" s="8"/>
      <c r="J154" s="8"/>
    </row>
    <row r="155">
      <c r="A155" s="4">
        <v>45248.48353491898</v>
      </c>
      <c r="B155" s="5" t="s">
        <v>267</v>
      </c>
      <c r="C155" s="6">
        <v>9.871991971E9</v>
      </c>
      <c r="D155" s="5" t="s">
        <v>268</v>
      </c>
      <c r="G155" s="5" t="s">
        <v>126</v>
      </c>
      <c r="H155" s="8"/>
      <c r="I155" s="8"/>
      <c r="J155" s="8"/>
    </row>
    <row r="156">
      <c r="A156" s="4">
        <v>45248.48898686343</v>
      </c>
      <c r="B156" s="5" t="s">
        <v>269</v>
      </c>
      <c r="C156" s="6">
        <v>9.899916146E9</v>
      </c>
      <c r="E156" s="5" t="s">
        <v>15</v>
      </c>
      <c r="G156" s="5" t="s">
        <v>126</v>
      </c>
      <c r="H156" s="8"/>
      <c r="I156" s="8"/>
      <c r="J156" s="8"/>
    </row>
    <row r="157">
      <c r="A157" s="4">
        <v>45248.48947530093</v>
      </c>
      <c r="B157" s="5" t="s">
        <v>270</v>
      </c>
      <c r="C157" s="6">
        <v>9.971848148E9</v>
      </c>
      <c r="E157" s="5" t="s">
        <v>79</v>
      </c>
      <c r="G157" s="5" t="s">
        <v>126</v>
      </c>
      <c r="H157" s="8"/>
      <c r="I157" s="8"/>
      <c r="J157" s="8"/>
    </row>
    <row r="158">
      <c r="A158" s="4">
        <v>45248.4924344676</v>
      </c>
      <c r="B158" s="5" t="s">
        <v>271</v>
      </c>
      <c r="C158" s="6">
        <v>9.873705367E9</v>
      </c>
      <c r="G158" s="5" t="s">
        <v>126</v>
      </c>
      <c r="H158" s="8"/>
      <c r="I158" s="8"/>
      <c r="J158" s="8"/>
    </row>
    <row r="159">
      <c r="A159" s="4">
        <v>45248.493579375005</v>
      </c>
      <c r="B159" s="5" t="s">
        <v>272</v>
      </c>
      <c r="C159" s="6">
        <v>9.899883466E9</v>
      </c>
      <c r="E159" s="5" t="s">
        <v>273</v>
      </c>
      <c r="G159" s="5" t="s">
        <v>126</v>
      </c>
      <c r="H159" s="8"/>
      <c r="I159" s="8"/>
      <c r="J159" s="8"/>
    </row>
    <row r="160">
      <c r="A160" s="4">
        <v>45248.49877747685</v>
      </c>
      <c r="B160" s="5" t="s">
        <v>274</v>
      </c>
      <c r="C160" s="6">
        <v>9.306339575E9</v>
      </c>
      <c r="E160" s="5" t="s">
        <v>275</v>
      </c>
      <c r="G160" s="5" t="s">
        <v>276</v>
      </c>
      <c r="H160" s="8"/>
      <c r="I160" s="8"/>
      <c r="J160" s="8"/>
    </row>
    <row r="161">
      <c r="A161" s="4">
        <v>45248.499338912035</v>
      </c>
      <c r="B161" s="5" t="s">
        <v>277</v>
      </c>
      <c r="C161" s="6">
        <v>8.826787393E9</v>
      </c>
      <c r="E161" s="5" t="s">
        <v>275</v>
      </c>
      <c r="G161" s="5" t="s">
        <v>276</v>
      </c>
      <c r="H161" s="8"/>
      <c r="I161" s="8"/>
      <c r="J161" s="8"/>
    </row>
    <row r="162">
      <c r="A162" s="4">
        <v>45248.49972535879</v>
      </c>
      <c r="B162" s="5" t="s">
        <v>278</v>
      </c>
      <c r="C162" s="6">
        <v>9.371039211E9</v>
      </c>
      <c r="E162" s="5" t="s">
        <v>279</v>
      </c>
      <c r="G162" s="5" t="s">
        <v>276</v>
      </c>
      <c r="H162" s="8"/>
      <c r="I162" s="8"/>
      <c r="J162" s="8"/>
    </row>
    <row r="163">
      <c r="A163" s="4">
        <v>45248.50090934028</v>
      </c>
      <c r="B163" s="5" t="s">
        <v>280</v>
      </c>
      <c r="C163" s="6">
        <v>9.893376417E9</v>
      </c>
      <c r="E163" s="5" t="s">
        <v>281</v>
      </c>
      <c r="G163" s="5" t="s">
        <v>276</v>
      </c>
      <c r="H163" s="8"/>
      <c r="I163" s="8"/>
      <c r="J163" s="8"/>
    </row>
    <row r="164">
      <c r="A164" s="4">
        <v>45248.50172479167</v>
      </c>
      <c r="B164" s="5" t="s">
        <v>282</v>
      </c>
      <c r="C164" s="6">
        <v>9.643169967E9</v>
      </c>
      <c r="G164" s="5" t="s">
        <v>276</v>
      </c>
      <c r="H164" s="8"/>
      <c r="I164" s="8"/>
      <c r="J164" s="8"/>
    </row>
    <row r="165">
      <c r="A165" s="4">
        <v>45248.50182336806</v>
      </c>
      <c r="B165" s="5" t="s">
        <v>283</v>
      </c>
      <c r="C165" s="6">
        <v>8.816922333E9</v>
      </c>
      <c r="E165" s="5" t="s">
        <v>13</v>
      </c>
      <c r="G165" s="5" t="s">
        <v>126</v>
      </c>
      <c r="H165" s="8"/>
      <c r="I165" s="8"/>
      <c r="J165" s="8"/>
    </row>
    <row r="166">
      <c r="A166" s="4">
        <v>45248.50222081019</v>
      </c>
      <c r="B166" s="5" t="s">
        <v>284</v>
      </c>
      <c r="C166" s="6">
        <v>9.968473124E9</v>
      </c>
      <c r="G166" s="5" t="s">
        <v>276</v>
      </c>
      <c r="H166" s="8"/>
      <c r="I166" s="8"/>
      <c r="J166" s="8"/>
    </row>
    <row r="167">
      <c r="A167" s="4">
        <v>45248.50277684028</v>
      </c>
      <c r="B167" s="5" t="s">
        <v>285</v>
      </c>
      <c r="C167" s="6">
        <v>9.89177124E9</v>
      </c>
      <c r="E167" s="5" t="s">
        <v>286</v>
      </c>
      <c r="G167" s="5" t="s">
        <v>276</v>
      </c>
      <c r="H167" s="8"/>
      <c r="I167" s="8"/>
      <c r="J167" s="8"/>
    </row>
    <row r="168">
      <c r="A168" s="4">
        <v>45248.50844315972</v>
      </c>
      <c r="B168" s="5" t="s">
        <v>287</v>
      </c>
      <c r="C168" s="6">
        <v>9.75556176E9</v>
      </c>
      <c r="E168" s="5" t="s">
        <v>288</v>
      </c>
      <c r="G168" s="5" t="s">
        <v>289</v>
      </c>
      <c r="H168" s="8"/>
      <c r="I168" s="8"/>
      <c r="J168" s="8"/>
    </row>
    <row r="169">
      <c r="A169" s="4">
        <v>45248.508801805554</v>
      </c>
      <c r="B169" s="5" t="s">
        <v>290</v>
      </c>
      <c r="C169" s="6">
        <v>9.810725225E9</v>
      </c>
      <c r="G169" s="5" t="s">
        <v>289</v>
      </c>
      <c r="H169" s="8"/>
      <c r="I169" s="8"/>
      <c r="J169" s="8"/>
    </row>
    <row r="170">
      <c r="A170" s="4">
        <v>45248.5091709375</v>
      </c>
      <c r="B170" s="5" t="s">
        <v>291</v>
      </c>
      <c r="C170" s="6">
        <v>9.811959422E9</v>
      </c>
      <c r="E170" s="5" t="s">
        <v>292</v>
      </c>
      <c r="G170" s="5" t="s">
        <v>289</v>
      </c>
      <c r="H170" s="8"/>
      <c r="I170" s="8"/>
      <c r="J170" s="8"/>
    </row>
    <row r="171">
      <c r="A171" s="4">
        <v>45248.509456678235</v>
      </c>
      <c r="B171" s="5" t="s">
        <v>293</v>
      </c>
      <c r="C171" s="6">
        <v>9.999008388E9</v>
      </c>
      <c r="E171" s="5" t="s">
        <v>294</v>
      </c>
      <c r="G171" s="5" t="s">
        <v>289</v>
      </c>
      <c r="H171" s="8"/>
      <c r="I171" s="8"/>
      <c r="J171" s="8"/>
    </row>
    <row r="172">
      <c r="A172" s="4">
        <v>45248.50982921296</v>
      </c>
      <c r="B172" s="5" t="s">
        <v>295</v>
      </c>
      <c r="C172" s="6">
        <v>8.077754287E9</v>
      </c>
      <c r="E172" s="5" t="s">
        <v>286</v>
      </c>
      <c r="G172" s="5" t="s">
        <v>289</v>
      </c>
      <c r="H172" s="8"/>
      <c r="I172" s="8"/>
      <c r="J172" s="8"/>
    </row>
    <row r="173">
      <c r="A173" s="4">
        <v>45248.510367256946</v>
      </c>
      <c r="B173" s="5" t="s">
        <v>296</v>
      </c>
      <c r="C173" s="6">
        <v>8.588819515E9</v>
      </c>
      <c r="E173" s="5" t="s">
        <v>297</v>
      </c>
      <c r="G173" s="5" t="s">
        <v>289</v>
      </c>
      <c r="H173" s="8"/>
      <c r="I173" s="8"/>
      <c r="J173" s="8"/>
    </row>
    <row r="174">
      <c r="A174" s="4">
        <v>45248.51086465278</v>
      </c>
      <c r="B174" s="5" t="s">
        <v>298</v>
      </c>
      <c r="C174" s="6">
        <v>8.076658304E9</v>
      </c>
      <c r="E174" s="5" t="s">
        <v>299</v>
      </c>
      <c r="G174" s="5" t="s">
        <v>289</v>
      </c>
      <c r="H174" s="8"/>
      <c r="I174" s="8"/>
      <c r="J174" s="8"/>
    </row>
    <row r="175">
      <c r="A175" s="4">
        <v>45248.51124309028</v>
      </c>
      <c r="B175" s="5" t="s">
        <v>300</v>
      </c>
      <c r="C175" s="6">
        <v>9.810902904E9</v>
      </c>
      <c r="E175" s="5" t="s">
        <v>301</v>
      </c>
      <c r="G175" s="5" t="s">
        <v>289</v>
      </c>
      <c r="H175" s="8"/>
      <c r="I175" s="8"/>
      <c r="J175" s="8"/>
    </row>
    <row r="176">
      <c r="A176" s="4">
        <v>45248.511477141205</v>
      </c>
      <c r="B176" s="5" t="s">
        <v>302</v>
      </c>
      <c r="C176" s="6">
        <v>8.233131716E9</v>
      </c>
      <c r="G176" s="5" t="s">
        <v>303</v>
      </c>
      <c r="H176" s="8"/>
      <c r="I176" s="8"/>
      <c r="J176" s="8"/>
    </row>
    <row r="177">
      <c r="A177" s="4">
        <v>45248.511882245366</v>
      </c>
      <c r="B177" s="5" t="s">
        <v>304</v>
      </c>
      <c r="C177" s="6">
        <v>9.821543409E9</v>
      </c>
      <c r="E177" s="5" t="s">
        <v>305</v>
      </c>
      <c r="G177" s="5" t="s">
        <v>289</v>
      </c>
      <c r="H177" s="8"/>
      <c r="I177" s="8"/>
      <c r="J177" s="8"/>
    </row>
    <row r="178">
      <c r="A178" s="4">
        <v>45248.51222266204</v>
      </c>
      <c r="B178" s="5" t="s">
        <v>121</v>
      </c>
      <c r="C178" s="6">
        <v>9.646202299E9</v>
      </c>
      <c r="E178" s="5" t="s">
        <v>306</v>
      </c>
      <c r="G178" s="5" t="s">
        <v>289</v>
      </c>
      <c r="H178" s="8"/>
      <c r="I178" s="8"/>
      <c r="J178" s="8"/>
    </row>
    <row r="179">
      <c r="A179" s="4">
        <v>45248.51237589121</v>
      </c>
      <c r="B179" s="5" t="s">
        <v>307</v>
      </c>
      <c r="C179" s="6">
        <v>9.603929783E9</v>
      </c>
      <c r="E179" s="5" t="s">
        <v>15</v>
      </c>
      <c r="G179" s="5" t="s">
        <v>303</v>
      </c>
      <c r="H179" s="8"/>
      <c r="I179" s="8"/>
      <c r="J179" s="8"/>
    </row>
    <row r="180">
      <c r="A180" s="4">
        <v>45248.512604131945</v>
      </c>
      <c r="B180" s="5" t="s">
        <v>308</v>
      </c>
      <c r="C180" s="6">
        <v>9.999009647E9</v>
      </c>
      <c r="E180" s="5" t="s">
        <v>286</v>
      </c>
      <c r="G180" s="5" t="s">
        <v>289</v>
      </c>
      <c r="H180" s="8"/>
      <c r="I180" s="8"/>
      <c r="J180" s="8"/>
    </row>
    <row r="181">
      <c r="A181" s="4">
        <v>45248.51308224537</v>
      </c>
      <c r="B181" s="5" t="s">
        <v>309</v>
      </c>
      <c r="C181" s="6">
        <v>9.868145145E9</v>
      </c>
      <c r="E181" s="5" t="s">
        <v>310</v>
      </c>
      <c r="G181" s="5" t="s">
        <v>289</v>
      </c>
      <c r="H181" s="8"/>
      <c r="I181" s="8"/>
      <c r="J181" s="8"/>
    </row>
    <row r="182">
      <c r="A182" s="4">
        <v>45248.51371277778</v>
      </c>
      <c r="B182" s="5" t="s">
        <v>311</v>
      </c>
      <c r="C182" s="6">
        <v>9.958989812E9</v>
      </c>
      <c r="E182" s="5" t="s">
        <v>312</v>
      </c>
      <c r="G182" s="5" t="s">
        <v>289</v>
      </c>
      <c r="H182" s="8"/>
      <c r="I182" s="8"/>
      <c r="J182" s="8"/>
    </row>
    <row r="183">
      <c r="A183" s="4">
        <v>45248.51424696759</v>
      </c>
      <c r="B183" s="5" t="s">
        <v>313</v>
      </c>
      <c r="C183" s="6">
        <v>9.050618274E9</v>
      </c>
      <c r="E183" s="5" t="s">
        <v>314</v>
      </c>
      <c r="G183" s="5" t="s">
        <v>289</v>
      </c>
      <c r="H183" s="8"/>
      <c r="I183" s="8"/>
      <c r="J183" s="8"/>
    </row>
    <row r="184">
      <c r="A184" s="4">
        <v>45248.51471855324</v>
      </c>
      <c r="B184" s="5" t="s">
        <v>315</v>
      </c>
      <c r="C184" s="6">
        <v>9.212517669E9</v>
      </c>
      <c r="E184" s="5" t="s">
        <v>305</v>
      </c>
      <c r="G184" s="5" t="s">
        <v>289</v>
      </c>
      <c r="H184" s="8"/>
      <c r="I184" s="8"/>
      <c r="J184" s="8"/>
    </row>
    <row r="185">
      <c r="A185" s="4">
        <v>45248.515662129634</v>
      </c>
      <c r="B185" s="5" t="s">
        <v>316</v>
      </c>
      <c r="C185" s="6">
        <v>9.891477748E9</v>
      </c>
      <c r="D185" s="5" t="s">
        <v>317</v>
      </c>
      <c r="G185" s="5" t="s">
        <v>303</v>
      </c>
      <c r="H185" s="8"/>
      <c r="I185" s="8"/>
      <c r="J185" s="8"/>
    </row>
    <row r="186">
      <c r="A186" s="4">
        <v>45248.515768032405</v>
      </c>
      <c r="B186" s="5" t="s">
        <v>318</v>
      </c>
      <c r="C186" s="6">
        <v>9.599317993E9</v>
      </c>
      <c r="E186" s="5" t="s">
        <v>319</v>
      </c>
      <c r="G186" s="5" t="s">
        <v>289</v>
      </c>
      <c r="H186" s="8"/>
      <c r="I186" s="8"/>
      <c r="J186" s="8"/>
    </row>
    <row r="187">
      <c r="A187" s="4">
        <v>45248.51580821759</v>
      </c>
      <c r="B187" s="5" t="s">
        <v>320</v>
      </c>
      <c r="C187" s="6">
        <v>9.891477748E9</v>
      </c>
      <c r="D187" s="5" t="s">
        <v>321</v>
      </c>
      <c r="G187" s="5" t="s">
        <v>303</v>
      </c>
      <c r="H187" s="8"/>
      <c r="I187" s="8"/>
      <c r="J187" s="8"/>
    </row>
    <row r="188">
      <c r="A188" s="4">
        <v>45248.515955104165</v>
      </c>
      <c r="B188" s="5" t="s">
        <v>322</v>
      </c>
      <c r="C188" s="6">
        <v>9.958379191E9</v>
      </c>
      <c r="E188" s="5" t="s">
        <v>15</v>
      </c>
      <c r="G188" s="5" t="s">
        <v>303</v>
      </c>
      <c r="H188" s="8"/>
      <c r="I188" s="8"/>
      <c r="J188" s="8"/>
    </row>
    <row r="189">
      <c r="A189" s="4">
        <v>45248.51616346065</v>
      </c>
      <c r="B189" s="5" t="s">
        <v>323</v>
      </c>
      <c r="C189" s="6">
        <v>9.210479043E9</v>
      </c>
      <c r="E189" s="5" t="s">
        <v>324</v>
      </c>
      <c r="G189" s="5" t="s">
        <v>289</v>
      </c>
      <c r="H189" s="8"/>
      <c r="I189" s="8"/>
      <c r="J189" s="8"/>
    </row>
    <row r="190">
      <c r="A190" s="4">
        <v>45248.51661978009</v>
      </c>
      <c r="B190" s="5" t="s">
        <v>325</v>
      </c>
      <c r="C190" s="6">
        <v>9.811131753E9</v>
      </c>
      <c r="G190" s="5" t="s">
        <v>303</v>
      </c>
      <c r="H190" s="8"/>
      <c r="I190" s="8"/>
      <c r="J190" s="8"/>
    </row>
    <row r="191">
      <c r="A191" s="4">
        <v>45248.51729056713</v>
      </c>
      <c r="B191" s="5" t="s">
        <v>326</v>
      </c>
      <c r="C191" s="6">
        <v>8.527443388E9</v>
      </c>
      <c r="E191" s="5" t="s">
        <v>306</v>
      </c>
      <c r="G191" s="5" t="s">
        <v>289</v>
      </c>
      <c r="H191" s="8"/>
      <c r="I191" s="8"/>
      <c r="J191" s="8"/>
    </row>
    <row r="192">
      <c r="A192" s="4">
        <v>45248.519400474535</v>
      </c>
      <c r="B192" s="5" t="s">
        <v>327</v>
      </c>
      <c r="C192" s="6">
        <v>9.311417626E9</v>
      </c>
      <c r="E192" s="5" t="s">
        <v>11</v>
      </c>
      <c r="G192" s="5" t="s">
        <v>303</v>
      </c>
      <c r="H192" s="8"/>
      <c r="I192" s="8"/>
      <c r="J192" s="8"/>
    </row>
    <row r="193">
      <c r="A193" s="4">
        <v>45248.51974847222</v>
      </c>
      <c r="B193" s="5" t="s">
        <v>328</v>
      </c>
      <c r="C193" s="6">
        <v>9.899887681E9</v>
      </c>
      <c r="G193" s="5" t="s">
        <v>289</v>
      </c>
      <c r="H193" s="8"/>
      <c r="I193" s="8"/>
      <c r="J193" s="8"/>
    </row>
    <row r="194">
      <c r="A194" s="4">
        <v>45248.520094907406</v>
      </c>
      <c r="B194" s="5" t="s">
        <v>329</v>
      </c>
      <c r="C194" s="6">
        <v>9.81126124E9</v>
      </c>
      <c r="E194" s="5" t="s">
        <v>294</v>
      </c>
      <c r="G194" s="5" t="s">
        <v>289</v>
      </c>
      <c r="H194" s="8"/>
      <c r="I194" s="8"/>
      <c r="J194" s="8"/>
    </row>
    <row r="195">
      <c r="A195" s="4">
        <v>45248.52058243056</v>
      </c>
      <c r="B195" s="5" t="s">
        <v>330</v>
      </c>
      <c r="C195" s="6">
        <v>8.295375731E9</v>
      </c>
      <c r="E195" s="5" t="s">
        <v>310</v>
      </c>
      <c r="G195" s="5" t="s">
        <v>289</v>
      </c>
      <c r="H195" s="8"/>
      <c r="I195" s="8"/>
      <c r="J195" s="8"/>
    </row>
    <row r="196">
      <c r="A196" s="4">
        <v>45248.52102173612</v>
      </c>
      <c r="B196" s="5" t="s">
        <v>331</v>
      </c>
      <c r="C196" s="6">
        <v>9.810204425E9</v>
      </c>
      <c r="E196" s="5" t="s">
        <v>332</v>
      </c>
      <c r="G196" s="5" t="s">
        <v>289</v>
      </c>
      <c r="H196" s="8"/>
      <c r="I196" s="8"/>
      <c r="J196" s="8"/>
    </row>
    <row r="197">
      <c r="A197" s="4">
        <v>45248.521432546295</v>
      </c>
      <c r="B197" s="5" t="s">
        <v>333</v>
      </c>
      <c r="C197" s="6">
        <v>8.448704567E9</v>
      </c>
      <c r="E197" s="5" t="s">
        <v>334</v>
      </c>
      <c r="G197" s="5" t="s">
        <v>289</v>
      </c>
      <c r="H197" s="8"/>
      <c r="I197" s="8"/>
      <c r="J197" s="8"/>
    </row>
    <row r="198">
      <c r="A198" s="4">
        <v>45248.52204354167</v>
      </c>
      <c r="B198" s="5" t="s">
        <v>335</v>
      </c>
      <c r="C198" s="6">
        <v>9.667155569E9</v>
      </c>
      <c r="E198" s="5" t="s">
        <v>336</v>
      </c>
      <c r="G198" s="5" t="s">
        <v>289</v>
      </c>
      <c r="H198" s="8"/>
      <c r="I198" s="8"/>
      <c r="J198" s="8"/>
    </row>
    <row r="199">
      <c r="A199" s="4">
        <v>45248.52294582176</v>
      </c>
      <c r="B199" s="5" t="s">
        <v>337</v>
      </c>
      <c r="C199" s="6">
        <v>9.603929783E9</v>
      </c>
      <c r="G199" s="5" t="s">
        <v>289</v>
      </c>
      <c r="H199" s="8"/>
      <c r="I199" s="8"/>
      <c r="J199" s="8"/>
    </row>
    <row r="200">
      <c r="A200" s="4">
        <v>45248.523251122686</v>
      </c>
      <c r="B200" s="5" t="s">
        <v>338</v>
      </c>
      <c r="C200" s="6">
        <v>9.711010603E9</v>
      </c>
      <c r="E200" s="5" t="s">
        <v>310</v>
      </c>
      <c r="G200" s="5" t="s">
        <v>289</v>
      </c>
      <c r="H200" s="8"/>
      <c r="I200" s="8"/>
      <c r="J200" s="8"/>
    </row>
    <row r="201">
      <c r="A201" s="4">
        <v>45248.52796619213</v>
      </c>
      <c r="B201" s="5" t="s">
        <v>339</v>
      </c>
      <c r="C201" s="6">
        <v>9.31015627E9</v>
      </c>
      <c r="E201" s="5" t="s">
        <v>340</v>
      </c>
      <c r="G201" s="5" t="s">
        <v>303</v>
      </c>
      <c r="H201" s="8"/>
      <c r="I201" s="8"/>
      <c r="J201" s="8"/>
    </row>
    <row r="202">
      <c r="A202" s="4">
        <v>45248.52884136574</v>
      </c>
      <c r="B202" s="5" t="s">
        <v>341</v>
      </c>
      <c r="C202" s="6">
        <v>8.851002687E9</v>
      </c>
      <c r="E202" s="5" t="s">
        <v>243</v>
      </c>
      <c r="G202" s="5" t="s">
        <v>303</v>
      </c>
      <c r="H202" s="8"/>
      <c r="I202" s="8"/>
      <c r="J202" s="8"/>
    </row>
    <row r="203">
      <c r="A203" s="4">
        <v>45248.52990486111</v>
      </c>
      <c r="B203" s="5" t="s">
        <v>342</v>
      </c>
      <c r="C203" s="6">
        <v>9.540294686E9</v>
      </c>
      <c r="D203" s="5" t="s">
        <v>343</v>
      </c>
      <c r="E203" s="5" t="s">
        <v>344</v>
      </c>
      <c r="F203" s="7" t="s">
        <v>345</v>
      </c>
      <c r="G203" s="5" t="s">
        <v>303</v>
      </c>
      <c r="H203" s="8"/>
      <c r="I203" s="8"/>
      <c r="J203" s="8"/>
    </row>
    <row r="204">
      <c r="A204" s="4">
        <v>45248.53472938658</v>
      </c>
      <c r="B204" s="5" t="s">
        <v>346</v>
      </c>
      <c r="C204" s="6">
        <v>9.918690211E9</v>
      </c>
      <c r="D204" s="5" t="s">
        <v>347</v>
      </c>
      <c r="E204" s="5" t="s">
        <v>348</v>
      </c>
      <c r="G204" s="5" t="s">
        <v>303</v>
      </c>
      <c r="H204" s="8"/>
      <c r="I204" s="8"/>
      <c r="J204" s="8"/>
    </row>
    <row r="205">
      <c r="A205" s="4">
        <v>45248.540331446755</v>
      </c>
      <c r="B205" s="5" t="s">
        <v>349</v>
      </c>
      <c r="C205" s="6">
        <v>9.971916298E9</v>
      </c>
      <c r="D205" s="5" t="s">
        <v>350</v>
      </c>
      <c r="E205" s="5" t="s">
        <v>21</v>
      </c>
      <c r="F205" s="7" t="s">
        <v>351</v>
      </c>
      <c r="G205" s="5" t="s">
        <v>303</v>
      </c>
      <c r="H205" s="8"/>
      <c r="I205" s="8"/>
      <c r="J205" s="8"/>
    </row>
    <row r="206">
      <c r="A206" s="4">
        <v>45248.543044039354</v>
      </c>
      <c r="B206" s="5" t="s">
        <v>352</v>
      </c>
      <c r="C206" s="6">
        <v>9.814197351E9</v>
      </c>
      <c r="E206" s="5" t="s">
        <v>39</v>
      </c>
      <c r="G206" s="5" t="s">
        <v>303</v>
      </c>
      <c r="H206" s="8"/>
      <c r="I206" s="8"/>
      <c r="J206" s="8"/>
    </row>
    <row r="207">
      <c r="A207" s="4">
        <v>45248.543398229165</v>
      </c>
      <c r="B207" s="5" t="s">
        <v>353</v>
      </c>
      <c r="C207" s="6">
        <v>9.31111125E9</v>
      </c>
      <c r="E207" s="5" t="s">
        <v>344</v>
      </c>
      <c r="F207" s="7" t="s">
        <v>354</v>
      </c>
      <c r="G207" s="5" t="s">
        <v>303</v>
      </c>
      <c r="H207" s="8"/>
      <c r="I207" s="8"/>
      <c r="J207" s="8"/>
    </row>
    <row r="208">
      <c r="A208" s="4">
        <v>45248.54398498843</v>
      </c>
      <c r="B208" s="5" t="s">
        <v>355</v>
      </c>
      <c r="C208" s="6">
        <v>7.678695876E9</v>
      </c>
      <c r="D208" s="5" t="s">
        <v>356</v>
      </c>
      <c r="G208" s="5" t="s">
        <v>303</v>
      </c>
      <c r="H208" s="8"/>
      <c r="I208" s="8"/>
      <c r="J208" s="8"/>
    </row>
    <row r="209">
      <c r="A209" s="4">
        <v>45248.54693783565</v>
      </c>
      <c r="B209" s="5" t="s">
        <v>357</v>
      </c>
      <c r="C209" s="6">
        <v>9.718176206E9</v>
      </c>
      <c r="G209" s="5" t="s">
        <v>303</v>
      </c>
      <c r="H209" s="8"/>
      <c r="I209" s="8"/>
      <c r="J209" s="8"/>
    </row>
    <row r="210">
      <c r="A210" s="4">
        <v>45248.55273460648</v>
      </c>
      <c r="B210" s="5" t="s">
        <v>358</v>
      </c>
      <c r="C210" s="6">
        <v>9.213887979E9</v>
      </c>
      <c r="E210" s="5" t="s">
        <v>359</v>
      </c>
      <c r="G210" s="5" t="s">
        <v>303</v>
      </c>
      <c r="H210" s="8"/>
      <c r="I210" s="8"/>
      <c r="J210" s="8"/>
    </row>
    <row r="211">
      <c r="A211" s="4">
        <v>45248.55281521991</v>
      </c>
      <c r="B211" s="5" t="s">
        <v>360</v>
      </c>
      <c r="C211" s="6">
        <v>9.911338801E9</v>
      </c>
      <c r="G211" s="5" t="s">
        <v>303</v>
      </c>
      <c r="H211" s="8"/>
      <c r="I211" s="8"/>
      <c r="J211" s="8"/>
    </row>
    <row r="212">
      <c r="A212" s="4">
        <v>45248.55306042824</v>
      </c>
      <c r="B212" s="5" t="s">
        <v>361</v>
      </c>
      <c r="C212" s="6">
        <v>9.953710995E9</v>
      </c>
      <c r="E212" s="5" t="s">
        <v>362</v>
      </c>
      <c r="G212" s="5" t="s">
        <v>303</v>
      </c>
      <c r="H212" s="8"/>
      <c r="I212" s="8"/>
      <c r="J212" s="8"/>
    </row>
    <row r="213">
      <c r="A213" s="4">
        <v>45248.55354354167</v>
      </c>
      <c r="B213" s="5" t="s">
        <v>363</v>
      </c>
      <c r="C213" s="6">
        <v>9.871434511E9</v>
      </c>
      <c r="G213" s="5" t="s">
        <v>303</v>
      </c>
      <c r="H213" s="8"/>
      <c r="I213" s="8"/>
      <c r="J213" s="8"/>
    </row>
    <row r="214">
      <c r="A214" s="4">
        <v>45248.55412342593</v>
      </c>
      <c r="B214" s="5" t="s">
        <v>364</v>
      </c>
      <c r="C214" s="6">
        <v>9.315053207E9</v>
      </c>
      <c r="G214" s="5" t="s">
        <v>303</v>
      </c>
      <c r="H214" s="8"/>
      <c r="I214" s="8"/>
      <c r="J214" s="8"/>
    </row>
    <row r="215">
      <c r="A215" s="4">
        <v>45248.56108585648</v>
      </c>
      <c r="B215" s="5" t="s">
        <v>365</v>
      </c>
      <c r="C215" s="6">
        <v>9.871193489E9</v>
      </c>
      <c r="D215" s="5" t="s">
        <v>366</v>
      </c>
      <c r="E215" s="5" t="s">
        <v>79</v>
      </c>
      <c r="G215" s="5" t="s">
        <v>303</v>
      </c>
      <c r="H215" s="8"/>
      <c r="I215" s="8"/>
      <c r="J215" s="8"/>
    </row>
    <row r="216">
      <c r="A216" s="4">
        <v>45248.56604265046</v>
      </c>
      <c r="B216" s="5" t="s">
        <v>367</v>
      </c>
      <c r="C216" s="6">
        <v>9.71193235E9</v>
      </c>
      <c r="D216" s="5" t="s">
        <v>368</v>
      </c>
      <c r="E216" s="5" t="s">
        <v>227</v>
      </c>
      <c r="G216" s="5" t="s">
        <v>303</v>
      </c>
      <c r="H216" s="8"/>
      <c r="I216" s="8"/>
      <c r="J216" s="8"/>
    </row>
    <row r="217">
      <c r="A217" s="4">
        <v>45248.56649875</v>
      </c>
      <c r="B217" s="5" t="s">
        <v>369</v>
      </c>
      <c r="C217" s="6">
        <v>9.711010603E9</v>
      </c>
      <c r="E217" s="5" t="s">
        <v>310</v>
      </c>
      <c r="G217" s="5" t="s">
        <v>289</v>
      </c>
      <c r="H217" s="8"/>
      <c r="I217" s="8"/>
      <c r="J217" s="8"/>
    </row>
    <row r="218">
      <c r="A218" s="4">
        <v>45248.566862893524</v>
      </c>
      <c r="B218" s="5" t="s">
        <v>370</v>
      </c>
      <c r="C218" s="6">
        <v>9.810483592E9</v>
      </c>
      <c r="G218" s="5" t="s">
        <v>289</v>
      </c>
      <c r="H218" s="8"/>
      <c r="I218" s="8"/>
      <c r="J218" s="8"/>
    </row>
    <row r="219">
      <c r="A219" s="4">
        <v>45248.56717231481</v>
      </c>
      <c r="B219" s="5" t="s">
        <v>371</v>
      </c>
      <c r="C219" s="6">
        <v>9.811550014E9</v>
      </c>
      <c r="E219" s="5" t="s">
        <v>305</v>
      </c>
      <c r="G219" s="5" t="s">
        <v>289</v>
      </c>
      <c r="H219" s="8"/>
      <c r="I219" s="8"/>
      <c r="J219" s="8"/>
    </row>
    <row r="220">
      <c r="A220" s="4">
        <v>45248.56751162037</v>
      </c>
      <c r="B220" s="5" t="s">
        <v>372</v>
      </c>
      <c r="C220" s="9">
        <v>7.011650745E9</v>
      </c>
      <c r="E220" s="5" t="s">
        <v>373</v>
      </c>
      <c r="G220" s="5" t="s">
        <v>289</v>
      </c>
      <c r="H220" s="8"/>
      <c r="I220" s="8"/>
      <c r="J220" s="8"/>
    </row>
    <row r="221">
      <c r="A221" s="4">
        <v>45248.56811025463</v>
      </c>
      <c r="B221" s="5" t="s">
        <v>374</v>
      </c>
      <c r="C221" s="6">
        <v>9.899894096E9</v>
      </c>
      <c r="D221" s="5" t="s">
        <v>375</v>
      </c>
      <c r="E221" s="5" t="s">
        <v>376</v>
      </c>
      <c r="G221" s="5" t="s">
        <v>303</v>
      </c>
      <c r="H221" s="8"/>
      <c r="I221" s="8"/>
      <c r="J221" s="8"/>
    </row>
    <row r="222">
      <c r="A222" s="4">
        <v>45248.568366817126</v>
      </c>
      <c r="B222" s="5" t="s">
        <v>377</v>
      </c>
      <c r="C222" s="6">
        <v>9.910536646E9</v>
      </c>
      <c r="E222" s="5" t="s">
        <v>378</v>
      </c>
      <c r="G222" s="5" t="s">
        <v>303</v>
      </c>
      <c r="H222" s="8"/>
      <c r="I222" s="8"/>
      <c r="J222" s="8"/>
    </row>
    <row r="223">
      <c r="A223" s="4">
        <v>45248.56954084491</v>
      </c>
      <c r="B223" s="5" t="s">
        <v>379</v>
      </c>
      <c r="C223" s="6">
        <v>9.871952223E9</v>
      </c>
      <c r="G223" s="5" t="s">
        <v>303</v>
      </c>
      <c r="H223" s="8"/>
      <c r="I223" s="8"/>
      <c r="J223" s="8"/>
    </row>
    <row r="224">
      <c r="A224" s="4">
        <v>45248.56977545139</v>
      </c>
      <c r="B224" s="5" t="s">
        <v>380</v>
      </c>
      <c r="C224" s="6">
        <v>9.999830464E9</v>
      </c>
      <c r="E224" s="5" t="s">
        <v>15</v>
      </c>
      <c r="G224" s="5" t="s">
        <v>303</v>
      </c>
      <c r="H224" s="8"/>
      <c r="I224" s="8"/>
      <c r="J224" s="8"/>
    </row>
    <row r="225">
      <c r="A225" s="4">
        <v>45248.57065818287</v>
      </c>
      <c r="B225" s="5" t="s">
        <v>381</v>
      </c>
      <c r="C225" s="6">
        <v>8.287333626E9</v>
      </c>
      <c r="E225" s="5" t="s">
        <v>382</v>
      </c>
      <c r="G225" s="5" t="s">
        <v>289</v>
      </c>
      <c r="H225" s="8"/>
      <c r="I225" s="8"/>
      <c r="J225" s="8"/>
    </row>
    <row r="226">
      <c r="A226" s="4">
        <v>45248.57246053241</v>
      </c>
      <c r="B226" s="5" t="s">
        <v>383</v>
      </c>
      <c r="C226" s="6">
        <v>7.906163599E9</v>
      </c>
      <c r="G226" s="5" t="s">
        <v>289</v>
      </c>
      <c r="H226" s="8"/>
      <c r="I226" s="8"/>
      <c r="J226" s="8"/>
    </row>
    <row r="227">
      <c r="A227" s="4">
        <v>45248.57278487268</v>
      </c>
      <c r="B227" s="5" t="s">
        <v>384</v>
      </c>
      <c r="C227" s="6">
        <v>9.953249522E9</v>
      </c>
      <c r="G227" s="5" t="s">
        <v>289</v>
      </c>
      <c r="H227" s="8"/>
      <c r="I227" s="8"/>
      <c r="J227" s="8"/>
    </row>
    <row r="228">
      <c r="A228" s="4">
        <v>45248.573090034726</v>
      </c>
      <c r="B228" s="5" t="s">
        <v>385</v>
      </c>
      <c r="C228" s="6">
        <v>9.871740343E9</v>
      </c>
      <c r="E228" s="5" t="s">
        <v>297</v>
      </c>
      <c r="G228" s="5" t="s">
        <v>289</v>
      </c>
      <c r="H228" s="8"/>
      <c r="I228" s="8"/>
      <c r="J228" s="8"/>
    </row>
    <row r="229">
      <c r="A229" s="4">
        <v>45248.573709432865</v>
      </c>
      <c r="B229" s="5" t="s">
        <v>386</v>
      </c>
      <c r="C229" s="6">
        <v>9.81859917E9</v>
      </c>
      <c r="E229" s="5" t="s">
        <v>387</v>
      </c>
      <c r="G229" s="5" t="s">
        <v>289</v>
      </c>
      <c r="H229" s="8"/>
      <c r="I229" s="8"/>
      <c r="J229" s="8"/>
    </row>
    <row r="230">
      <c r="A230" s="4">
        <v>45248.57886572917</v>
      </c>
      <c r="B230" s="5" t="s">
        <v>388</v>
      </c>
      <c r="C230" s="6">
        <v>9.891112708E9</v>
      </c>
      <c r="G230" s="5" t="s">
        <v>289</v>
      </c>
      <c r="H230" s="8"/>
      <c r="I230" s="8"/>
      <c r="J230" s="8"/>
    </row>
    <row r="231">
      <c r="A231" s="4">
        <v>45248.58335449074</v>
      </c>
      <c r="B231" s="5" t="s">
        <v>389</v>
      </c>
      <c r="C231" s="6">
        <v>9.315837731E9</v>
      </c>
      <c r="E231" s="5" t="s">
        <v>362</v>
      </c>
      <c r="G231" s="5" t="s">
        <v>303</v>
      </c>
      <c r="H231" s="8"/>
      <c r="I231" s="8"/>
      <c r="J231" s="8"/>
    </row>
    <row r="232">
      <c r="A232" s="4">
        <v>45248.58630780093</v>
      </c>
      <c r="B232" s="5" t="s">
        <v>390</v>
      </c>
      <c r="C232" s="6">
        <v>9.896524444E9</v>
      </c>
      <c r="G232" s="5" t="s">
        <v>289</v>
      </c>
      <c r="H232" s="8"/>
      <c r="I232" s="8"/>
      <c r="J232" s="8"/>
    </row>
    <row r="233">
      <c r="A233" s="4">
        <v>45248.60136601852</v>
      </c>
      <c r="B233" s="5" t="s">
        <v>391</v>
      </c>
      <c r="C233" s="6">
        <v>9.891209008E9</v>
      </c>
      <c r="G233" s="5" t="s">
        <v>303</v>
      </c>
      <c r="H233" s="8"/>
      <c r="I233" s="8"/>
      <c r="J233" s="8"/>
    </row>
    <row r="234">
      <c r="A234" s="4">
        <v>45248.60667072917</v>
      </c>
      <c r="B234" s="5" t="s">
        <v>392</v>
      </c>
      <c r="C234" s="6">
        <v>8.882377506E9</v>
      </c>
      <c r="D234" s="5" t="s">
        <v>393</v>
      </c>
      <c r="E234" s="5" t="s">
        <v>15</v>
      </c>
      <c r="G234" s="5" t="s">
        <v>303</v>
      </c>
      <c r="H234" s="8"/>
      <c r="I234" s="8"/>
      <c r="J234" s="8"/>
    </row>
    <row r="235">
      <c r="A235" s="4">
        <v>45248.6192212037</v>
      </c>
      <c r="B235" s="5" t="s">
        <v>394</v>
      </c>
      <c r="C235" s="6">
        <v>9.81886679E9</v>
      </c>
      <c r="E235" s="5" t="s">
        <v>21</v>
      </c>
      <c r="F235" s="7" t="s">
        <v>395</v>
      </c>
      <c r="G235" s="5" t="s">
        <v>303</v>
      </c>
      <c r="H235" s="8"/>
      <c r="I235" s="8"/>
      <c r="J235" s="8"/>
    </row>
    <row r="236">
      <c r="A236" s="4">
        <v>45248.61962719908</v>
      </c>
      <c r="B236" s="5" t="s">
        <v>396</v>
      </c>
      <c r="C236" s="6">
        <v>9.958370703E9</v>
      </c>
      <c r="D236" s="5" t="s">
        <v>397</v>
      </c>
      <c r="E236" s="5" t="s">
        <v>398</v>
      </c>
      <c r="G236" s="5" t="s">
        <v>303</v>
      </c>
      <c r="H236" s="8"/>
      <c r="I236" s="8"/>
      <c r="J236" s="8"/>
    </row>
    <row r="237">
      <c r="A237" s="4">
        <v>45248.619843506945</v>
      </c>
      <c r="B237" s="5" t="s">
        <v>399</v>
      </c>
      <c r="C237" s="6">
        <v>9.266123588E9</v>
      </c>
      <c r="G237" s="5" t="s">
        <v>303</v>
      </c>
      <c r="H237" s="8"/>
      <c r="I237" s="8"/>
      <c r="J237" s="8"/>
    </row>
    <row r="238">
      <c r="A238" s="4">
        <v>45248.620101203705</v>
      </c>
      <c r="B238" s="5" t="s">
        <v>400</v>
      </c>
      <c r="C238" s="6">
        <v>9.213938727E9</v>
      </c>
      <c r="G238" s="5" t="s">
        <v>303</v>
      </c>
      <c r="H238" s="8"/>
      <c r="I238" s="8"/>
      <c r="J238" s="8"/>
    </row>
    <row r="239">
      <c r="A239" s="4">
        <v>45248.62012670139</v>
      </c>
      <c r="B239" s="5" t="s">
        <v>401</v>
      </c>
      <c r="C239" s="6">
        <v>9.999926937E9</v>
      </c>
      <c r="D239" s="5" t="s">
        <v>402</v>
      </c>
      <c r="G239" s="5" t="s">
        <v>303</v>
      </c>
      <c r="H239" s="8"/>
      <c r="I239" s="8"/>
      <c r="J239" s="8"/>
    </row>
    <row r="240">
      <c r="A240" s="4">
        <v>45248.622541875</v>
      </c>
      <c r="B240" s="5" t="s">
        <v>403</v>
      </c>
      <c r="C240" s="6">
        <v>9.81886679E9</v>
      </c>
      <c r="G240" s="5" t="s">
        <v>289</v>
      </c>
      <c r="H240" s="8"/>
      <c r="I240" s="8"/>
      <c r="J240" s="8"/>
    </row>
    <row r="241">
      <c r="A241" s="4">
        <v>45248.62257554398</v>
      </c>
      <c r="B241" s="5" t="s">
        <v>404</v>
      </c>
      <c r="C241" s="6">
        <v>9.871071756E9</v>
      </c>
      <c r="G241" s="5" t="s">
        <v>303</v>
      </c>
      <c r="H241" s="8"/>
      <c r="I241" s="8"/>
      <c r="J241" s="8"/>
    </row>
    <row r="242">
      <c r="A242" s="4">
        <v>45248.62681194444</v>
      </c>
      <c r="B242" s="5" t="s">
        <v>405</v>
      </c>
      <c r="C242" s="6">
        <v>9.213872247E9</v>
      </c>
      <c r="E242" s="5" t="s">
        <v>406</v>
      </c>
      <c r="G242" s="5" t="s">
        <v>303</v>
      </c>
      <c r="H242" s="8"/>
      <c r="I242" s="8"/>
      <c r="J242" s="8"/>
    </row>
    <row r="243">
      <c r="A243" s="4">
        <v>45248.62902680556</v>
      </c>
      <c r="B243" s="5" t="s">
        <v>52</v>
      </c>
      <c r="C243" s="6">
        <v>7.018285791E9</v>
      </c>
      <c r="D243" s="5" t="s">
        <v>407</v>
      </c>
      <c r="G243" s="5" t="s">
        <v>303</v>
      </c>
      <c r="H243" s="8"/>
      <c r="I243" s="8"/>
      <c r="J243" s="8"/>
    </row>
    <row r="244">
      <c r="A244" s="4">
        <v>45248.63096515046</v>
      </c>
      <c r="B244" s="5" t="s">
        <v>408</v>
      </c>
      <c r="C244" s="6">
        <v>8.802307409E9</v>
      </c>
      <c r="G244" s="5" t="s">
        <v>303</v>
      </c>
      <c r="H244" s="8"/>
      <c r="I244" s="8"/>
      <c r="J244" s="8"/>
    </row>
    <row r="245">
      <c r="A245" s="4">
        <v>45248.63482721065</v>
      </c>
      <c r="B245" s="5" t="s">
        <v>409</v>
      </c>
      <c r="C245" s="6">
        <v>9.811137056E9</v>
      </c>
      <c r="E245" s="5" t="s">
        <v>15</v>
      </c>
      <c r="G245" s="5" t="s">
        <v>303</v>
      </c>
      <c r="H245" s="8"/>
      <c r="I245" s="8"/>
      <c r="J245" s="8"/>
    </row>
    <row r="246">
      <c r="A246" s="4">
        <v>45248.64026306713</v>
      </c>
      <c r="B246" s="5" t="s">
        <v>410</v>
      </c>
      <c r="C246" s="6">
        <v>9.315070998E9</v>
      </c>
      <c r="E246" s="5" t="s">
        <v>411</v>
      </c>
      <c r="G246" s="5" t="s">
        <v>303</v>
      </c>
      <c r="H246" s="8"/>
      <c r="I246" s="8"/>
      <c r="J246" s="8"/>
    </row>
    <row r="247">
      <c r="A247" s="4">
        <v>45248.64814666667</v>
      </c>
      <c r="B247" s="5" t="s">
        <v>412</v>
      </c>
      <c r="C247" s="6">
        <v>9.868922637E9</v>
      </c>
      <c r="D247" s="5" t="s">
        <v>413</v>
      </c>
      <c r="G247" s="5" t="s">
        <v>303</v>
      </c>
      <c r="H247" s="8"/>
      <c r="I247" s="8"/>
      <c r="J247" s="8"/>
    </row>
    <row r="248">
      <c r="A248" s="4">
        <v>45248.654626944444</v>
      </c>
      <c r="B248" s="5" t="s">
        <v>414</v>
      </c>
      <c r="C248" s="6">
        <v>9.871137526E9</v>
      </c>
      <c r="E248" s="5" t="s">
        <v>227</v>
      </c>
      <c r="G248" s="5" t="s">
        <v>303</v>
      </c>
      <c r="H248" s="8"/>
      <c r="I248" s="8"/>
      <c r="J248" s="8"/>
    </row>
    <row r="249">
      <c r="A249" s="4">
        <v>45248.660507974535</v>
      </c>
      <c r="B249" s="5" t="s">
        <v>415</v>
      </c>
      <c r="C249" s="6">
        <v>9.971960101E9</v>
      </c>
      <c r="E249" s="5" t="s">
        <v>15</v>
      </c>
      <c r="G249" s="5" t="s">
        <v>303</v>
      </c>
      <c r="H249" s="8"/>
      <c r="I249" s="8"/>
      <c r="J249" s="8"/>
    </row>
    <row r="250">
      <c r="A250" s="4">
        <v>45248.6621077662</v>
      </c>
      <c r="B250" s="5" t="s">
        <v>416</v>
      </c>
      <c r="C250" s="6">
        <v>9.911115452E9</v>
      </c>
      <c r="G250" s="5" t="s">
        <v>303</v>
      </c>
      <c r="H250" s="8"/>
      <c r="I250" s="8"/>
      <c r="J250" s="8"/>
    </row>
    <row r="251">
      <c r="A251" s="4">
        <v>45248.6621967824</v>
      </c>
      <c r="B251" s="5" t="s">
        <v>417</v>
      </c>
      <c r="C251" s="6">
        <v>9.111659999E9</v>
      </c>
      <c r="D251" s="5" t="s">
        <v>418</v>
      </c>
      <c r="E251" s="5" t="s">
        <v>419</v>
      </c>
      <c r="G251" s="5" t="s">
        <v>303</v>
      </c>
      <c r="H251" s="8"/>
      <c r="I251" s="8"/>
      <c r="J251" s="8"/>
    </row>
    <row r="252">
      <c r="A252" s="4">
        <v>45248.662634872686</v>
      </c>
      <c r="B252" s="5" t="s">
        <v>420</v>
      </c>
      <c r="C252" s="6">
        <v>8.851507298E9</v>
      </c>
      <c r="G252" s="5" t="s">
        <v>303</v>
      </c>
      <c r="H252" s="8"/>
      <c r="I252" s="8"/>
      <c r="J252" s="8"/>
    </row>
    <row r="253">
      <c r="A253" s="4">
        <v>45248.6631494676</v>
      </c>
      <c r="B253" s="5" t="s">
        <v>421</v>
      </c>
      <c r="C253" s="6">
        <v>9.999697707E9</v>
      </c>
      <c r="E253" s="5" t="s">
        <v>13</v>
      </c>
      <c r="G253" s="5" t="s">
        <v>303</v>
      </c>
      <c r="H253" s="8"/>
      <c r="I253" s="8"/>
      <c r="J253" s="8"/>
    </row>
    <row r="254">
      <c r="A254" s="4">
        <v>45248.66401465278</v>
      </c>
      <c r="B254" s="5" t="s">
        <v>422</v>
      </c>
      <c r="C254" s="6">
        <v>9.911614449E9</v>
      </c>
      <c r="G254" s="5" t="s">
        <v>303</v>
      </c>
      <c r="H254" s="8"/>
      <c r="I254" s="8"/>
      <c r="J254" s="8"/>
    </row>
    <row r="255">
      <c r="A255" s="4">
        <v>45248.669272430554</v>
      </c>
      <c r="B255" s="5" t="s">
        <v>179</v>
      </c>
      <c r="C255" s="6">
        <v>9.87320992E9</v>
      </c>
      <c r="G255" s="5" t="s">
        <v>303</v>
      </c>
      <c r="H255" s="8"/>
      <c r="I255" s="8"/>
      <c r="J255" s="8"/>
    </row>
    <row r="256">
      <c r="A256" s="4">
        <v>45248.67980280092</v>
      </c>
      <c r="B256" s="5" t="s">
        <v>423</v>
      </c>
      <c r="C256" s="6">
        <v>9.868141042E9</v>
      </c>
      <c r="E256" s="5" t="s">
        <v>424</v>
      </c>
      <c r="G256" s="5" t="s">
        <v>303</v>
      </c>
      <c r="H256" s="8"/>
      <c r="I256" s="8"/>
      <c r="J256" s="8"/>
    </row>
    <row r="257">
      <c r="A257" s="4">
        <v>45248.68385664352</v>
      </c>
      <c r="B257" s="5" t="s">
        <v>425</v>
      </c>
      <c r="C257" s="6">
        <v>9.313468566E9</v>
      </c>
      <c r="G257" s="5" t="s">
        <v>289</v>
      </c>
      <c r="H257" s="8"/>
      <c r="I257" s="8"/>
      <c r="J257" s="8"/>
    </row>
    <row r="258">
      <c r="A258" s="4">
        <v>45248.69614862269</v>
      </c>
      <c r="B258" s="5" t="s">
        <v>426</v>
      </c>
      <c r="C258" s="6">
        <v>9.91162781E9</v>
      </c>
      <c r="G258" s="5" t="s">
        <v>303</v>
      </c>
      <c r="H258" s="8"/>
      <c r="I258" s="8"/>
      <c r="J258" s="8"/>
    </row>
    <row r="259">
      <c r="A259" s="4">
        <v>45248.70333798611</v>
      </c>
      <c r="B259" s="5" t="s">
        <v>427</v>
      </c>
      <c r="C259" s="5">
        <v>9.999873448E9</v>
      </c>
      <c r="E259" s="5" t="s">
        <v>227</v>
      </c>
      <c r="G259" s="5" t="s">
        <v>303</v>
      </c>
      <c r="H259" s="8"/>
      <c r="I259" s="8"/>
      <c r="J259" s="8"/>
    </row>
    <row r="260">
      <c r="A260" s="4">
        <v>45248.718247048615</v>
      </c>
      <c r="B260" s="5" t="s">
        <v>428</v>
      </c>
      <c r="C260" s="5">
        <v>9.310382244E9</v>
      </c>
      <c r="E260" s="5" t="s">
        <v>227</v>
      </c>
      <c r="G260" s="5" t="s">
        <v>303</v>
      </c>
      <c r="H260" s="8"/>
      <c r="I260" s="8"/>
      <c r="J260" s="8"/>
    </row>
    <row r="261">
      <c r="A261" s="4">
        <v>45248.722506122685</v>
      </c>
      <c r="B261" s="5" t="s">
        <v>429</v>
      </c>
      <c r="C261" s="5">
        <v>9.891907806E9</v>
      </c>
      <c r="E261" s="5" t="s">
        <v>79</v>
      </c>
      <c r="G261" s="5" t="s">
        <v>303</v>
      </c>
      <c r="H261" s="8"/>
      <c r="I261" s="8"/>
      <c r="J261" s="8"/>
    </row>
    <row r="262">
      <c r="A262" s="4">
        <v>45248.72592679398</v>
      </c>
      <c r="B262" s="5" t="s">
        <v>430</v>
      </c>
      <c r="C262" s="5">
        <v>9.538924001E9</v>
      </c>
      <c r="D262" s="5" t="s">
        <v>431</v>
      </c>
      <c r="G262" s="5" t="s">
        <v>303</v>
      </c>
      <c r="H262" s="8"/>
      <c r="I262" s="8"/>
      <c r="J262" s="8"/>
    </row>
    <row r="263">
      <c r="A263" s="4">
        <v>45248.72781790509</v>
      </c>
      <c r="B263" s="5" t="s">
        <v>432</v>
      </c>
      <c r="C263" s="5">
        <v>9.654237028E9</v>
      </c>
      <c r="D263" s="5" t="s">
        <v>433</v>
      </c>
      <c r="G263" s="5" t="s">
        <v>303</v>
      </c>
      <c r="H263" s="8"/>
      <c r="I263" s="8"/>
      <c r="J263" s="8"/>
    </row>
    <row r="264">
      <c r="A264" s="4">
        <v>45248.728564791665</v>
      </c>
      <c r="B264" s="5" t="s">
        <v>434</v>
      </c>
      <c r="C264" s="5">
        <v>9.319157833E9</v>
      </c>
      <c r="D264" s="5" t="s">
        <v>435</v>
      </c>
      <c r="G264" s="5" t="s">
        <v>303</v>
      </c>
      <c r="H264" s="8"/>
      <c r="I264" s="8"/>
      <c r="J264" s="8"/>
    </row>
    <row r="265">
      <c r="A265" s="4">
        <v>45248.734692881946</v>
      </c>
      <c r="B265" s="5" t="s">
        <v>436</v>
      </c>
      <c r="C265" s="5">
        <v>9.810003635E9</v>
      </c>
      <c r="E265" s="5" t="s">
        <v>437</v>
      </c>
      <c r="G265" s="5" t="s">
        <v>303</v>
      </c>
      <c r="H265" s="8"/>
      <c r="I265" s="8"/>
      <c r="J265" s="8"/>
    </row>
    <row r="266">
      <c r="A266" s="4">
        <v>45248.737211678235</v>
      </c>
      <c r="B266" s="5" t="s">
        <v>438</v>
      </c>
      <c r="C266" s="5">
        <v>9.315260228E9</v>
      </c>
      <c r="D266" s="5" t="s">
        <v>439</v>
      </c>
      <c r="G266" s="5" t="s">
        <v>303</v>
      </c>
      <c r="H266" s="8"/>
      <c r="I266" s="8"/>
      <c r="J266" s="8"/>
    </row>
    <row r="267">
      <c r="A267" s="4">
        <v>45248.738784953704</v>
      </c>
      <c r="B267" s="5" t="s">
        <v>440</v>
      </c>
      <c r="C267" s="5">
        <v>8.882071166E9</v>
      </c>
      <c r="E267" s="5" t="s">
        <v>273</v>
      </c>
      <c r="G267" s="5" t="s">
        <v>303</v>
      </c>
      <c r="H267" s="8"/>
      <c r="I267" s="8"/>
      <c r="J267" s="8"/>
    </row>
    <row r="268">
      <c r="A268" s="4">
        <v>45248.74273559028</v>
      </c>
      <c r="B268" s="5" t="s">
        <v>441</v>
      </c>
      <c r="C268" s="5">
        <v>9.654175618E9</v>
      </c>
      <c r="E268" s="5" t="s">
        <v>13</v>
      </c>
      <c r="G268" s="5" t="s">
        <v>303</v>
      </c>
      <c r="H268" s="8"/>
      <c r="I268" s="8"/>
      <c r="J268" s="8"/>
    </row>
    <row r="269">
      <c r="A269" s="4">
        <v>45248.7448671875</v>
      </c>
      <c r="B269" s="5" t="s">
        <v>442</v>
      </c>
      <c r="C269" s="5">
        <v>9.654175618E9</v>
      </c>
      <c r="E269" s="5" t="s">
        <v>443</v>
      </c>
      <c r="G269" s="5" t="s">
        <v>289</v>
      </c>
      <c r="H269" s="8"/>
      <c r="I269" s="8"/>
      <c r="J269" s="8"/>
    </row>
    <row r="270">
      <c r="A270" s="4">
        <v>45248.74587263889</v>
      </c>
      <c r="B270" s="5" t="s">
        <v>444</v>
      </c>
      <c r="C270" s="5">
        <v>9.727484347E9</v>
      </c>
      <c r="D270" s="5" t="s">
        <v>445</v>
      </c>
      <c r="E270" s="5" t="s">
        <v>26</v>
      </c>
      <c r="F270" s="7" t="s">
        <v>446</v>
      </c>
      <c r="G270" s="5" t="s">
        <v>303</v>
      </c>
      <c r="H270" s="8"/>
      <c r="I270" s="8"/>
      <c r="J270" s="8"/>
    </row>
    <row r="271">
      <c r="A271" s="4">
        <v>45248.7496912037</v>
      </c>
      <c r="B271" s="5" t="s">
        <v>447</v>
      </c>
      <c r="C271" s="5">
        <v>9.811198839E9</v>
      </c>
      <c r="D271" s="5" t="s">
        <v>448</v>
      </c>
      <c r="E271" s="5" t="s">
        <v>227</v>
      </c>
      <c r="G271" s="5" t="s">
        <v>303</v>
      </c>
      <c r="H271" s="8"/>
      <c r="I271" s="8"/>
      <c r="J271" s="8"/>
    </row>
    <row r="272">
      <c r="A272" s="4">
        <v>45248.74981462963</v>
      </c>
      <c r="B272" s="5" t="s">
        <v>449</v>
      </c>
      <c r="C272" s="5">
        <v>7.835981515E9</v>
      </c>
      <c r="D272" s="5" t="s">
        <v>450</v>
      </c>
      <c r="E272" s="5" t="s">
        <v>451</v>
      </c>
      <c r="F272" s="7" t="s">
        <v>452</v>
      </c>
      <c r="G272" s="5" t="s">
        <v>303</v>
      </c>
      <c r="H272" s="8"/>
      <c r="I272" s="8"/>
      <c r="J272" s="8"/>
    </row>
    <row r="273">
      <c r="A273" s="4">
        <v>45248.751236400465</v>
      </c>
      <c r="B273" s="5" t="s">
        <v>453</v>
      </c>
      <c r="C273" s="5">
        <v>7.280930368E9</v>
      </c>
      <c r="E273" s="5" t="s">
        <v>79</v>
      </c>
      <c r="G273" s="5" t="s">
        <v>303</v>
      </c>
      <c r="H273" s="8"/>
      <c r="I273" s="8"/>
      <c r="J273" s="8"/>
    </row>
    <row r="274">
      <c r="A274" s="4">
        <v>45248.75348465278</v>
      </c>
      <c r="B274" s="5" t="s">
        <v>454</v>
      </c>
      <c r="C274" s="5">
        <v>8.920818897E9</v>
      </c>
      <c r="D274" s="7" t="s">
        <v>455</v>
      </c>
      <c r="E274" s="5" t="s">
        <v>26</v>
      </c>
      <c r="G274" s="5" t="s">
        <v>303</v>
      </c>
      <c r="H274" s="8"/>
      <c r="I274" s="8"/>
      <c r="J274" s="8"/>
    </row>
    <row r="275">
      <c r="A275" s="4">
        <v>45248.76178298611</v>
      </c>
      <c r="B275" s="5" t="s">
        <v>456</v>
      </c>
      <c r="C275" s="5">
        <v>9.811471267E9</v>
      </c>
      <c r="D275" s="5" t="s">
        <v>457</v>
      </c>
      <c r="E275" s="5" t="s">
        <v>458</v>
      </c>
      <c r="G275" s="5" t="s">
        <v>303</v>
      </c>
      <c r="H275" s="8"/>
      <c r="I275" s="8"/>
      <c r="J275" s="8"/>
    </row>
    <row r="276">
      <c r="A276" s="4">
        <v>45248.7764775463</v>
      </c>
      <c r="B276" s="5" t="s">
        <v>120</v>
      </c>
      <c r="C276" s="5">
        <v>9.871349567E9</v>
      </c>
      <c r="E276" s="5" t="s">
        <v>459</v>
      </c>
      <c r="G276" s="5" t="s">
        <v>303</v>
      </c>
      <c r="H276" s="8"/>
      <c r="I276" s="8"/>
      <c r="J276" s="8"/>
    </row>
    <row r="277">
      <c r="A277" s="4">
        <v>45248.79100701389</v>
      </c>
      <c r="B277" s="5" t="s">
        <v>460</v>
      </c>
      <c r="C277" s="5">
        <v>8.384022854E9</v>
      </c>
      <c r="D277" s="5" t="s">
        <v>461</v>
      </c>
      <c r="E277" s="5" t="s">
        <v>79</v>
      </c>
      <c r="G277" s="5" t="s">
        <v>303</v>
      </c>
      <c r="H277" s="8"/>
      <c r="I277" s="8"/>
      <c r="J277" s="8"/>
    </row>
    <row r="278">
      <c r="A278" s="4">
        <v>45248.80332841435</v>
      </c>
      <c r="B278" s="5" t="s">
        <v>462</v>
      </c>
      <c r="C278" s="5">
        <v>7.289937648E9</v>
      </c>
      <c r="D278" s="5" t="s">
        <v>463</v>
      </c>
      <c r="E278" s="5" t="s">
        <v>464</v>
      </c>
      <c r="G278" s="5" t="s">
        <v>303</v>
      </c>
      <c r="H278" s="8"/>
      <c r="I278" s="8"/>
      <c r="J278" s="8"/>
    </row>
    <row r="279">
      <c r="A279" s="4">
        <v>45248.80720364583</v>
      </c>
      <c r="B279" s="5" t="s">
        <v>465</v>
      </c>
      <c r="C279" s="5">
        <v>9.971695993E9</v>
      </c>
      <c r="D279" s="5" t="s">
        <v>466</v>
      </c>
      <c r="E279" s="5" t="s">
        <v>467</v>
      </c>
      <c r="G279" s="5" t="s">
        <v>303</v>
      </c>
      <c r="H279" s="8"/>
      <c r="I279" s="8"/>
      <c r="J279" s="8"/>
    </row>
    <row r="280">
      <c r="A280" s="4">
        <v>45248.814020555554</v>
      </c>
      <c r="B280" s="5" t="s">
        <v>468</v>
      </c>
      <c r="C280" s="5">
        <v>8.851229264E9</v>
      </c>
      <c r="E280" s="5" t="s">
        <v>469</v>
      </c>
      <c r="G280" s="5" t="s">
        <v>303</v>
      </c>
      <c r="H280" s="8"/>
      <c r="I280" s="8"/>
      <c r="J280" s="8"/>
    </row>
    <row r="281">
      <c r="A281" s="4">
        <v>45248.82265354166</v>
      </c>
      <c r="B281" s="5" t="s">
        <v>390</v>
      </c>
      <c r="C281" s="5">
        <v>9.810595267E9</v>
      </c>
      <c r="E281" s="5" t="s">
        <v>79</v>
      </c>
      <c r="G281" s="5" t="s">
        <v>303</v>
      </c>
      <c r="H281" s="8"/>
      <c r="I281" s="8"/>
      <c r="J281" s="8"/>
    </row>
    <row r="282">
      <c r="A282" s="4">
        <v>45249.467315393515</v>
      </c>
      <c r="B282" s="5" t="s">
        <v>470</v>
      </c>
      <c r="C282" s="5">
        <v>9.990361779E9</v>
      </c>
      <c r="D282" s="5" t="s">
        <v>471</v>
      </c>
      <c r="E282" s="5" t="s">
        <v>472</v>
      </c>
      <c r="G282" s="5" t="s">
        <v>303</v>
      </c>
      <c r="H282" s="8"/>
      <c r="I282" s="8"/>
      <c r="J282" s="8"/>
    </row>
    <row r="283">
      <c r="A283" s="4">
        <v>45249.474995972225</v>
      </c>
      <c r="B283" s="5" t="s">
        <v>473</v>
      </c>
      <c r="C283" s="5">
        <v>8.810214823E9</v>
      </c>
      <c r="D283" s="5" t="s">
        <v>474</v>
      </c>
      <c r="E283" s="5" t="s">
        <v>79</v>
      </c>
      <c r="G283" s="5" t="s">
        <v>303</v>
      </c>
      <c r="H283" s="8"/>
      <c r="I283" s="8"/>
      <c r="J283" s="8"/>
    </row>
    <row r="284">
      <c r="A284" s="4">
        <v>45249.47627846064</v>
      </c>
      <c r="B284" s="5" t="s">
        <v>475</v>
      </c>
      <c r="C284" s="5">
        <v>8.076143164E9</v>
      </c>
      <c r="D284" s="5" t="s">
        <v>476</v>
      </c>
      <c r="E284" s="5" t="s">
        <v>116</v>
      </c>
      <c r="G284" s="5" t="s">
        <v>303</v>
      </c>
      <c r="H284" s="8"/>
      <c r="I284" s="8"/>
      <c r="J284" s="8"/>
    </row>
    <row r="285">
      <c r="A285" s="4">
        <v>45249.48491951389</v>
      </c>
      <c r="B285" s="5" t="s">
        <v>477</v>
      </c>
      <c r="C285" s="5">
        <v>9.837445E9</v>
      </c>
      <c r="E285" s="5" t="s">
        <v>13</v>
      </c>
      <c r="G285" s="5" t="s">
        <v>303</v>
      </c>
      <c r="H285" s="8"/>
      <c r="I285" s="8"/>
      <c r="J285" s="8"/>
    </row>
    <row r="286">
      <c r="A286" s="4">
        <v>45249.4851546412</v>
      </c>
      <c r="B286" s="5" t="s">
        <v>478</v>
      </c>
      <c r="C286" s="5">
        <v>9.837010736E9</v>
      </c>
      <c r="G286" s="5" t="s">
        <v>303</v>
      </c>
      <c r="H286" s="8"/>
      <c r="I286" s="8"/>
      <c r="J286" s="8"/>
    </row>
    <row r="287">
      <c r="A287" s="4">
        <v>45249.48648133102</v>
      </c>
      <c r="B287" s="5" t="s">
        <v>479</v>
      </c>
      <c r="C287" s="5">
        <v>8.882856762E9</v>
      </c>
      <c r="D287" s="5" t="s">
        <v>480</v>
      </c>
      <c r="E287" s="5" t="s">
        <v>481</v>
      </c>
      <c r="G287" s="5" t="s">
        <v>303</v>
      </c>
      <c r="H287" s="8"/>
      <c r="I287" s="8"/>
      <c r="J287" s="8"/>
    </row>
    <row r="288">
      <c r="A288" s="4">
        <v>45249.488143912036</v>
      </c>
      <c r="B288" s="5" t="s">
        <v>482</v>
      </c>
      <c r="C288" s="5">
        <v>8.800613336E9</v>
      </c>
      <c r="E288" s="5" t="s">
        <v>26</v>
      </c>
      <c r="F288" s="7" t="s">
        <v>483</v>
      </c>
      <c r="G288" s="5" t="s">
        <v>303</v>
      </c>
      <c r="H288" s="8"/>
      <c r="I288" s="8"/>
      <c r="J288" s="8"/>
    </row>
    <row r="289">
      <c r="A289" s="4">
        <v>45249.48913958333</v>
      </c>
      <c r="B289" s="5" t="s">
        <v>484</v>
      </c>
      <c r="C289" s="5">
        <v>9.811683208E9</v>
      </c>
      <c r="G289" s="5" t="s">
        <v>289</v>
      </c>
      <c r="H289" s="8"/>
      <c r="I289" s="8"/>
      <c r="J289" s="8"/>
    </row>
    <row r="290">
      <c r="A290" s="4">
        <v>45249.49329939815</v>
      </c>
      <c r="B290" s="5" t="s">
        <v>485</v>
      </c>
      <c r="C290" s="5">
        <v>9.818009247E9</v>
      </c>
      <c r="E290" s="5" t="s">
        <v>11</v>
      </c>
      <c r="G290" s="5" t="s">
        <v>303</v>
      </c>
      <c r="H290" s="8"/>
      <c r="I290" s="8"/>
      <c r="J290" s="8"/>
    </row>
    <row r="291">
      <c r="A291" s="4">
        <v>45249.49519465277</v>
      </c>
      <c r="B291" s="5" t="s">
        <v>486</v>
      </c>
      <c r="C291" s="5">
        <v>9.95891963E9</v>
      </c>
      <c r="E291" s="5" t="s">
        <v>487</v>
      </c>
      <c r="G291" s="5" t="s">
        <v>289</v>
      </c>
      <c r="H291" s="8"/>
      <c r="I291" s="8"/>
      <c r="J291" s="8"/>
    </row>
    <row r="292">
      <c r="A292" s="4">
        <v>45249.49858064815</v>
      </c>
      <c r="B292" s="5" t="s">
        <v>488</v>
      </c>
      <c r="C292" s="5">
        <v>9.711170176E9</v>
      </c>
      <c r="D292" s="5" t="s">
        <v>489</v>
      </c>
      <c r="E292" s="5" t="s">
        <v>79</v>
      </c>
      <c r="G292" s="5" t="s">
        <v>303</v>
      </c>
      <c r="H292" s="8"/>
      <c r="I292" s="8"/>
      <c r="J292" s="8"/>
    </row>
    <row r="293">
      <c r="A293" s="4">
        <v>45249.502159537034</v>
      </c>
      <c r="B293" s="5" t="s">
        <v>490</v>
      </c>
      <c r="C293" s="5">
        <v>7.68306741E9</v>
      </c>
      <c r="G293" s="5" t="s">
        <v>303</v>
      </c>
      <c r="H293" s="8"/>
      <c r="I293" s="8"/>
      <c r="J293" s="8"/>
    </row>
    <row r="294">
      <c r="A294" s="4">
        <v>45249.50243879629</v>
      </c>
      <c r="B294" s="5" t="s">
        <v>491</v>
      </c>
      <c r="C294" s="5">
        <v>9.671853414E9</v>
      </c>
      <c r="D294" s="5" t="s">
        <v>492</v>
      </c>
      <c r="E294" s="5" t="s">
        <v>39</v>
      </c>
      <c r="G294" s="5" t="s">
        <v>303</v>
      </c>
      <c r="H294" s="8"/>
      <c r="I294" s="8"/>
      <c r="J294" s="8"/>
    </row>
    <row r="295">
      <c r="A295" s="4">
        <v>45249.50519831019</v>
      </c>
      <c r="B295" s="5" t="s">
        <v>493</v>
      </c>
      <c r="C295" s="5">
        <v>8.29540703E9</v>
      </c>
      <c r="D295" s="5" t="s">
        <v>494</v>
      </c>
      <c r="G295" s="5" t="s">
        <v>303</v>
      </c>
      <c r="H295" s="8"/>
      <c r="I295" s="8"/>
      <c r="J295" s="8"/>
    </row>
    <row r="296">
      <c r="A296" s="4">
        <v>45249.50821996528</v>
      </c>
      <c r="B296" s="5" t="s">
        <v>495</v>
      </c>
      <c r="C296" s="5">
        <v>8.895734798E9</v>
      </c>
      <c r="G296" s="5" t="s">
        <v>289</v>
      </c>
      <c r="H296" s="8"/>
      <c r="I296" s="8"/>
      <c r="J296" s="8"/>
    </row>
    <row r="297">
      <c r="A297" s="4">
        <v>45249.5118846875</v>
      </c>
      <c r="B297" s="5" t="s">
        <v>496</v>
      </c>
      <c r="C297" s="5">
        <v>8.826893089E9</v>
      </c>
      <c r="D297" s="5" t="s">
        <v>497</v>
      </c>
      <c r="E297" s="5" t="s">
        <v>15</v>
      </c>
      <c r="G297" s="5" t="s">
        <v>303</v>
      </c>
      <c r="H297" s="8"/>
      <c r="I297" s="8"/>
      <c r="J297" s="8"/>
    </row>
    <row r="298">
      <c r="A298" s="4">
        <v>45249.51282164352</v>
      </c>
      <c r="B298" s="5" t="s">
        <v>498</v>
      </c>
      <c r="C298" s="5">
        <v>7.503459351E9</v>
      </c>
      <c r="D298" s="5" t="s">
        <v>499</v>
      </c>
      <c r="E298" s="5" t="s">
        <v>13</v>
      </c>
      <c r="G298" s="5" t="s">
        <v>303</v>
      </c>
      <c r="H298" s="8"/>
      <c r="I298" s="8"/>
      <c r="J298" s="8"/>
    </row>
    <row r="299">
      <c r="A299" s="4">
        <v>45249.51284633102</v>
      </c>
      <c r="B299" s="5" t="s">
        <v>500</v>
      </c>
      <c r="C299" s="5">
        <v>9.72940152E9</v>
      </c>
      <c r="D299" s="5" t="s">
        <v>501</v>
      </c>
      <c r="G299" s="5" t="s">
        <v>303</v>
      </c>
      <c r="H299" s="8"/>
      <c r="I299" s="8"/>
      <c r="J299" s="8"/>
    </row>
    <row r="300">
      <c r="A300" s="4">
        <v>45249.51391995371</v>
      </c>
      <c r="B300" s="5" t="s">
        <v>502</v>
      </c>
      <c r="C300" s="5">
        <v>7.056037777E9</v>
      </c>
      <c r="D300" s="5" t="s">
        <v>503</v>
      </c>
      <c r="G300" s="5" t="s">
        <v>303</v>
      </c>
      <c r="H300" s="8"/>
      <c r="I300" s="8"/>
      <c r="J300" s="8"/>
    </row>
    <row r="301">
      <c r="A301" s="4">
        <v>45249.51422070602</v>
      </c>
      <c r="B301" s="5" t="s">
        <v>504</v>
      </c>
      <c r="C301" s="5">
        <v>7.827617333E9</v>
      </c>
      <c r="D301" s="5" t="s">
        <v>505</v>
      </c>
      <c r="G301" s="5" t="s">
        <v>303</v>
      </c>
      <c r="H301" s="8"/>
      <c r="I301" s="8"/>
      <c r="J301" s="8"/>
    </row>
    <row r="302">
      <c r="A302" s="4">
        <v>45249.515298541664</v>
      </c>
      <c r="B302" s="5" t="s">
        <v>506</v>
      </c>
      <c r="C302" s="5">
        <v>7.706904591E9</v>
      </c>
      <c r="G302" s="5" t="s">
        <v>303</v>
      </c>
      <c r="H302" s="8"/>
      <c r="I302" s="8"/>
      <c r="J302" s="8"/>
    </row>
    <row r="303">
      <c r="A303" s="4">
        <v>45249.51613229167</v>
      </c>
      <c r="B303" s="5" t="s">
        <v>507</v>
      </c>
      <c r="C303" s="5">
        <v>7.053086007E9</v>
      </c>
      <c r="D303" s="5" t="s">
        <v>508</v>
      </c>
      <c r="G303" s="5" t="s">
        <v>303</v>
      </c>
      <c r="H303" s="8"/>
      <c r="I303" s="8"/>
      <c r="J303" s="8"/>
    </row>
    <row r="304">
      <c r="A304" s="4">
        <v>45249.51732111111</v>
      </c>
      <c r="B304" s="5" t="s">
        <v>509</v>
      </c>
      <c r="C304" s="5">
        <v>9.217663281E9</v>
      </c>
      <c r="E304" s="5" t="s">
        <v>114</v>
      </c>
      <c r="G304" s="5" t="s">
        <v>303</v>
      </c>
      <c r="H304" s="8"/>
      <c r="I304" s="8"/>
      <c r="J304" s="8"/>
    </row>
    <row r="305">
      <c r="A305" s="4">
        <v>45249.52138575232</v>
      </c>
      <c r="B305" s="5" t="s">
        <v>35</v>
      </c>
      <c r="C305" s="5">
        <v>8.398992983E9</v>
      </c>
      <c r="G305" s="5" t="s">
        <v>303</v>
      </c>
      <c r="H305" s="8"/>
      <c r="I305" s="8"/>
      <c r="J305" s="8"/>
    </row>
    <row r="306">
      <c r="A306" s="4">
        <v>45249.52222241898</v>
      </c>
      <c r="B306" s="5" t="s">
        <v>510</v>
      </c>
      <c r="C306" s="5">
        <v>9.899949365E9</v>
      </c>
      <c r="E306" s="5" t="s">
        <v>511</v>
      </c>
      <c r="G306" s="5" t="s">
        <v>289</v>
      </c>
      <c r="H306" s="8"/>
      <c r="I306" s="8"/>
      <c r="J306" s="8"/>
    </row>
    <row r="307">
      <c r="A307" s="4">
        <v>45249.522546099535</v>
      </c>
      <c r="B307" s="5" t="s">
        <v>161</v>
      </c>
      <c r="C307" s="5">
        <v>7.217655299E9</v>
      </c>
      <c r="G307" s="5" t="s">
        <v>303</v>
      </c>
      <c r="H307" s="8"/>
      <c r="I307" s="8"/>
      <c r="J307" s="8"/>
    </row>
    <row r="308">
      <c r="A308" s="4">
        <v>45249.524952141204</v>
      </c>
      <c r="B308" s="5" t="s">
        <v>512</v>
      </c>
      <c r="C308" s="5">
        <v>9.416080018E9</v>
      </c>
      <c r="D308" s="5" t="s">
        <v>513</v>
      </c>
      <c r="E308" s="5" t="s">
        <v>11</v>
      </c>
      <c r="G308" s="5" t="s">
        <v>303</v>
      </c>
      <c r="H308" s="8"/>
      <c r="I308" s="8"/>
      <c r="J308" s="8"/>
    </row>
    <row r="309">
      <c r="A309" s="4">
        <v>45249.52781586806</v>
      </c>
      <c r="B309" s="5" t="s">
        <v>514</v>
      </c>
      <c r="C309" s="5">
        <v>9.560593114E9</v>
      </c>
      <c r="E309" s="5" t="s">
        <v>15</v>
      </c>
      <c r="G309" s="5" t="s">
        <v>303</v>
      </c>
      <c r="H309" s="8"/>
      <c r="I309" s="8"/>
      <c r="J309" s="8"/>
    </row>
    <row r="310">
      <c r="A310" s="4">
        <v>45249.53098802084</v>
      </c>
      <c r="B310" s="5" t="s">
        <v>515</v>
      </c>
      <c r="C310" s="5">
        <v>7.982341882E9</v>
      </c>
      <c r="G310" s="5" t="s">
        <v>303</v>
      </c>
      <c r="H310" s="8"/>
      <c r="I310" s="8"/>
      <c r="J310" s="8"/>
    </row>
    <row r="311">
      <c r="A311" s="4">
        <v>45249.531199895835</v>
      </c>
      <c r="B311" s="5" t="s">
        <v>516</v>
      </c>
      <c r="C311" s="5">
        <v>8.81039181E9</v>
      </c>
      <c r="G311" s="5" t="s">
        <v>303</v>
      </c>
      <c r="H311" s="8"/>
      <c r="I311" s="8"/>
      <c r="J311" s="8"/>
    </row>
    <row r="312">
      <c r="A312" s="4">
        <v>45249.531297511574</v>
      </c>
      <c r="B312" s="5" t="s">
        <v>517</v>
      </c>
      <c r="C312" s="5">
        <v>9.958052326E9</v>
      </c>
      <c r="G312" s="5" t="s">
        <v>303</v>
      </c>
      <c r="H312" s="8"/>
      <c r="I312" s="8"/>
      <c r="J312" s="8"/>
    </row>
    <row r="313">
      <c r="A313" s="4">
        <v>45249.531401099535</v>
      </c>
      <c r="B313" s="5" t="s">
        <v>518</v>
      </c>
      <c r="C313" s="5">
        <v>7.037855976E9</v>
      </c>
      <c r="E313" s="5" t="s">
        <v>15</v>
      </c>
      <c r="G313" s="5" t="s">
        <v>303</v>
      </c>
      <c r="H313" s="8"/>
      <c r="I313" s="8"/>
      <c r="J313" s="8"/>
    </row>
    <row r="314">
      <c r="A314" s="4">
        <v>45249.53275435185</v>
      </c>
      <c r="B314" s="5" t="s">
        <v>519</v>
      </c>
      <c r="C314" s="5">
        <v>9.818358636E9</v>
      </c>
      <c r="G314" s="5" t="s">
        <v>303</v>
      </c>
      <c r="H314" s="8"/>
      <c r="I314" s="8"/>
      <c r="J314" s="8"/>
    </row>
    <row r="315">
      <c r="A315" s="4">
        <v>45249.53776355324</v>
      </c>
      <c r="B315" s="5" t="s">
        <v>520</v>
      </c>
      <c r="C315" s="5">
        <v>9.95365389E9</v>
      </c>
      <c r="D315" s="5" t="s">
        <v>521</v>
      </c>
      <c r="E315" s="5" t="s">
        <v>522</v>
      </c>
      <c r="G315" s="5" t="s">
        <v>303</v>
      </c>
      <c r="H315" s="8"/>
      <c r="I315" s="8"/>
      <c r="J315" s="8"/>
    </row>
    <row r="316">
      <c r="A316" s="4">
        <v>45249.53942934028</v>
      </c>
      <c r="B316" s="5" t="s">
        <v>523</v>
      </c>
      <c r="C316" s="5">
        <v>6.398522478E9</v>
      </c>
      <c r="D316" s="5" t="s">
        <v>524</v>
      </c>
      <c r="G316" s="5" t="s">
        <v>303</v>
      </c>
      <c r="H316" s="8"/>
      <c r="I316" s="8"/>
      <c r="J316" s="8"/>
    </row>
    <row r="317">
      <c r="A317" s="4">
        <v>45249.54002133102</v>
      </c>
      <c r="B317" s="5" t="s">
        <v>525</v>
      </c>
      <c r="C317" s="5">
        <v>9.896220127E9</v>
      </c>
      <c r="G317" s="5" t="s">
        <v>289</v>
      </c>
      <c r="H317" s="8"/>
      <c r="I317" s="8"/>
      <c r="J317" s="8"/>
    </row>
    <row r="318">
      <c r="A318" s="4">
        <v>45249.54026245371</v>
      </c>
      <c r="B318" s="5" t="s">
        <v>526</v>
      </c>
      <c r="C318" s="5">
        <v>9.034748409E9</v>
      </c>
      <c r="D318" s="5" t="s">
        <v>527</v>
      </c>
      <c r="E318" s="5" t="s">
        <v>79</v>
      </c>
      <c r="G318" s="5" t="s">
        <v>303</v>
      </c>
      <c r="H318" s="8"/>
      <c r="I318" s="8"/>
      <c r="J318" s="8"/>
    </row>
    <row r="319">
      <c r="A319" s="4">
        <v>45249.540995324074</v>
      </c>
      <c r="B319" s="5" t="s">
        <v>528</v>
      </c>
      <c r="C319" s="5">
        <v>9.654323271E9</v>
      </c>
      <c r="G319" s="5" t="s">
        <v>303</v>
      </c>
      <c r="H319" s="8"/>
      <c r="I319" s="8"/>
      <c r="J319" s="8"/>
    </row>
    <row r="320">
      <c r="A320" s="4">
        <v>45249.548770925925</v>
      </c>
      <c r="B320" s="5" t="s">
        <v>529</v>
      </c>
      <c r="C320" s="5">
        <v>9.752644854E9</v>
      </c>
      <c r="G320" s="5" t="s">
        <v>303</v>
      </c>
      <c r="H320" s="8"/>
      <c r="I320" s="8"/>
      <c r="J320" s="8"/>
    </row>
    <row r="321">
      <c r="A321" s="4">
        <v>45249.54893899306</v>
      </c>
      <c r="B321" s="5" t="s">
        <v>530</v>
      </c>
      <c r="C321" s="5">
        <v>8.5272626E9</v>
      </c>
      <c r="G321" s="5" t="s">
        <v>303</v>
      </c>
      <c r="H321" s="8"/>
      <c r="I321" s="8"/>
      <c r="J321" s="8"/>
    </row>
    <row r="322">
      <c r="A322" s="4">
        <v>45249.54955358796</v>
      </c>
      <c r="B322" s="5" t="s">
        <v>531</v>
      </c>
      <c r="C322" s="5">
        <v>8.36825676E9</v>
      </c>
      <c r="G322" s="5" t="s">
        <v>303</v>
      </c>
      <c r="H322" s="8"/>
      <c r="I322" s="8"/>
      <c r="J322" s="8"/>
    </row>
    <row r="323">
      <c r="A323" s="4">
        <v>45249.54970585648</v>
      </c>
      <c r="B323" s="5" t="s">
        <v>532</v>
      </c>
      <c r="C323" s="5">
        <v>7.004491675E9</v>
      </c>
      <c r="G323" s="5" t="s">
        <v>303</v>
      </c>
      <c r="H323" s="8"/>
      <c r="I323" s="8"/>
      <c r="J323" s="8"/>
    </row>
    <row r="324">
      <c r="A324" s="4">
        <v>45249.55003436343</v>
      </c>
      <c r="B324" s="5" t="s">
        <v>533</v>
      </c>
      <c r="C324" s="5">
        <v>8.882190498E9</v>
      </c>
      <c r="G324" s="5" t="s">
        <v>303</v>
      </c>
      <c r="H324" s="8"/>
      <c r="I324" s="8"/>
      <c r="J324" s="8"/>
    </row>
    <row r="325">
      <c r="A325" s="4">
        <v>45249.550593125</v>
      </c>
      <c r="B325" s="5" t="s">
        <v>534</v>
      </c>
      <c r="C325" s="5">
        <v>7.838305155E9</v>
      </c>
      <c r="G325" s="5" t="s">
        <v>303</v>
      </c>
      <c r="H325" s="8"/>
      <c r="I325" s="8"/>
      <c r="J325" s="8"/>
    </row>
    <row r="326">
      <c r="A326" s="4">
        <v>45249.55096822917</v>
      </c>
      <c r="B326" s="5" t="s">
        <v>109</v>
      </c>
      <c r="C326" s="5">
        <v>9.01330727E9</v>
      </c>
      <c r="G326" s="5" t="s">
        <v>289</v>
      </c>
      <c r="H326" s="8"/>
      <c r="I326" s="8"/>
      <c r="J326" s="8"/>
    </row>
    <row r="327">
      <c r="A327" s="4">
        <v>45249.55099326389</v>
      </c>
      <c r="B327" s="5" t="s">
        <v>535</v>
      </c>
      <c r="C327" s="5">
        <v>9.650063938E9</v>
      </c>
      <c r="G327" s="5" t="s">
        <v>303</v>
      </c>
      <c r="H327" s="8"/>
      <c r="I327" s="8"/>
      <c r="J327" s="8"/>
    </row>
    <row r="328">
      <c r="A328" s="4">
        <v>45249.551047754634</v>
      </c>
      <c r="B328" s="5" t="s">
        <v>536</v>
      </c>
      <c r="C328" s="5">
        <v>9.013444353E9</v>
      </c>
      <c r="G328" s="5" t="s">
        <v>303</v>
      </c>
      <c r="H328" s="8"/>
      <c r="I328" s="8"/>
      <c r="J328" s="8"/>
    </row>
    <row r="329">
      <c r="A329" s="4">
        <v>45249.55292164352</v>
      </c>
      <c r="B329" s="5" t="s">
        <v>537</v>
      </c>
      <c r="C329" s="5">
        <v>9.255135789E9</v>
      </c>
      <c r="E329" s="5" t="s">
        <v>538</v>
      </c>
      <c r="G329" s="5" t="s">
        <v>289</v>
      </c>
      <c r="H329" s="8"/>
      <c r="I329" s="8"/>
      <c r="J329" s="8"/>
    </row>
    <row r="330">
      <c r="A330" s="4">
        <v>45249.55515396991</v>
      </c>
      <c r="B330" s="5" t="s">
        <v>539</v>
      </c>
      <c r="C330" s="5">
        <v>8.948618421E9</v>
      </c>
      <c r="D330" s="5" t="s">
        <v>540</v>
      </c>
      <c r="G330" s="5" t="s">
        <v>303</v>
      </c>
      <c r="H330" s="8"/>
      <c r="I330" s="8"/>
      <c r="J330" s="8"/>
    </row>
    <row r="331">
      <c r="A331" s="4">
        <v>45249.55576747685</v>
      </c>
      <c r="B331" s="5" t="s">
        <v>541</v>
      </c>
      <c r="C331" s="5">
        <v>8.384082024E9</v>
      </c>
      <c r="G331" s="5" t="s">
        <v>289</v>
      </c>
      <c r="H331" s="8"/>
      <c r="I331" s="8"/>
      <c r="J331" s="8"/>
    </row>
    <row r="332">
      <c r="A332" s="4">
        <v>45249.55748952546</v>
      </c>
      <c r="B332" s="5" t="s">
        <v>207</v>
      </c>
      <c r="C332" s="5">
        <v>8.076918882E9</v>
      </c>
      <c r="D332" s="5" t="s">
        <v>542</v>
      </c>
      <c r="G332" s="5" t="s">
        <v>303</v>
      </c>
      <c r="H332" s="8"/>
      <c r="I332" s="8"/>
      <c r="J332" s="8"/>
    </row>
    <row r="333">
      <c r="A333" s="4">
        <v>45249.561527858794</v>
      </c>
      <c r="B333" s="5" t="s">
        <v>543</v>
      </c>
      <c r="C333" s="5">
        <v>9.810107784E9</v>
      </c>
      <c r="G333" s="5" t="s">
        <v>303</v>
      </c>
      <c r="H333" s="8"/>
      <c r="I333" s="8"/>
      <c r="J333" s="8"/>
    </row>
    <row r="334">
      <c r="A334" s="4">
        <v>45249.56351946759</v>
      </c>
      <c r="B334" s="5" t="s">
        <v>544</v>
      </c>
      <c r="C334" s="5">
        <v>9.310417035E9</v>
      </c>
      <c r="G334" s="5" t="s">
        <v>289</v>
      </c>
      <c r="H334" s="8"/>
      <c r="I334" s="8"/>
      <c r="J334" s="8"/>
    </row>
    <row r="335">
      <c r="A335" s="4">
        <v>45249.56358725694</v>
      </c>
      <c r="B335" s="5" t="s">
        <v>545</v>
      </c>
      <c r="C335" s="5">
        <v>8.168563385E9</v>
      </c>
      <c r="D335" s="5" t="s">
        <v>546</v>
      </c>
      <c r="G335" s="5" t="s">
        <v>303</v>
      </c>
      <c r="H335" s="8"/>
      <c r="I335" s="8"/>
      <c r="J335" s="8"/>
    </row>
    <row r="336">
      <c r="A336" s="4">
        <v>45249.56387344908</v>
      </c>
      <c r="B336" s="5" t="s">
        <v>547</v>
      </c>
      <c r="C336" s="5">
        <v>8.586088906E9</v>
      </c>
      <c r="G336" s="5" t="s">
        <v>289</v>
      </c>
      <c r="H336" s="8"/>
      <c r="I336" s="8"/>
      <c r="J336" s="8"/>
    </row>
    <row r="337">
      <c r="A337" s="4">
        <v>45249.563896747684</v>
      </c>
      <c r="B337" s="5" t="s">
        <v>548</v>
      </c>
      <c r="C337" s="5">
        <v>9.518490658E9</v>
      </c>
      <c r="D337" s="5" t="s">
        <v>549</v>
      </c>
      <c r="E337" s="5" t="s">
        <v>79</v>
      </c>
      <c r="G337" s="5" t="s">
        <v>303</v>
      </c>
      <c r="H337" s="8"/>
      <c r="I337" s="8"/>
      <c r="J337" s="8"/>
    </row>
    <row r="338">
      <c r="A338" s="4">
        <v>45249.56433403935</v>
      </c>
      <c r="B338" s="5" t="s">
        <v>550</v>
      </c>
      <c r="C338" s="5">
        <v>9.971784005E9</v>
      </c>
      <c r="G338" s="5" t="s">
        <v>303</v>
      </c>
      <c r="H338" s="8"/>
      <c r="I338" s="8"/>
      <c r="J338" s="8"/>
    </row>
    <row r="339">
      <c r="A339" s="4">
        <v>45249.56650267361</v>
      </c>
      <c r="B339" s="5" t="s">
        <v>551</v>
      </c>
      <c r="C339" s="5">
        <v>9.717980689E9</v>
      </c>
      <c r="E339" s="5" t="s">
        <v>552</v>
      </c>
      <c r="G339" s="5" t="s">
        <v>289</v>
      </c>
      <c r="H339" s="8"/>
      <c r="I339" s="8"/>
      <c r="J339" s="8"/>
    </row>
    <row r="340">
      <c r="A340" s="4">
        <v>45249.56700996528</v>
      </c>
      <c r="B340" s="5" t="s">
        <v>553</v>
      </c>
      <c r="C340" s="5">
        <v>7.834963496E9</v>
      </c>
      <c r="G340" s="5" t="s">
        <v>289</v>
      </c>
      <c r="H340" s="8"/>
      <c r="I340" s="8"/>
      <c r="J340" s="8"/>
    </row>
    <row r="341">
      <c r="A341" s="4">
        <v>45249.56776628472</v>
      </c>
      <c r="B341" s="5" t="s">
        <v>554</v>
      </c>
      <c r="C341" s="5">
        <v>9.818193519E9</v>
      </c>
      <c r="E341" s="5" t="s">
        <v>555</v>
      </c>
      <c r="G341" s="5" t="s">
        <v>303</v>
      </c>
      <c r="H341" s="8"/>
      <c r="I341" s="8"/>
      <c r="J341" s="8"/>
    </row>
    <row r="342">
      <c r="A342" s="4">
        <v>45249.570335474535</v>
      </c>
      <c r="B342" s="5" t="s">
        <v>556</v>
      </c>
      <c r="C342" s="5">
        <v>9.999532228E9</v>
      </c>
      <c r="G342" s="5" t="s">
        <v>289</v>
      </c>
      <c r="H342" s="8"/>
      <c r="I342" s="8"/>
      <c r="J342" s="8"/>
    </row>
    <row r="343">
      <c r="A343" s="4">
        <v>45249.57075063657</v>
      </c>
      <c r="B343" s="5" t="s">
        <v>557</v>
      </c>
      <c r="C343" s="5">
        <v>8.299528607E9</v>
      </c>
      <c r="G343" s="5" t="s">
        <v>289</v>
      </c>
      <c r="H343" s="8"/>
      <c r="I343" s="8"/>
      <c r="J343" s="8"/>
    </row>
    <row r="344">
      <c r="A344" s="4">
        <v>45249.57110527778</v>
      </c>
      <c r="B344" s="5" t="s">
        <v>318</v>
      </c>
      <c r="C344" s="5">
        <v>9.930568005E9</v>
      </c>
      <c r="G344" s="5" t="s">
        <v>289</v>
      </c>
      <c r="H344" s="8"/>
      <c r="I344" s="8"/>
      <c r="J344" s="8"/>
    </row>
    <row r="345">
      <c r="A345" s="4">
        <v>45249.57187478009</v>
      </c>
      <c r="B345" s="5" t="s">
        <v>558</v>
      </c>
      <c r="C345" s="5">
        <v>7.863020777E9</v>
      </c>
      <c r="G345" s="5" t="s">
        <v>289</v>
      </c>
      <c r="H345" s="8"/>
      <c r="I345" s="8"/>
      <c r="J345" s="8"/>
    </row>
    <row r="346">
      <c r="A346" s="4">
        <v>45249.57218175926</v>
      </c>
      <c r="B346" s="5" t="s">
        <v>559</v>
      </c>
      <c r="C346" s="5">
        <v>8.588013307E9</v>
      </c>
      <c r="G346" s="5" t="s">
        <v>289</v>
      </c>
      <c r="H346" s="8"/>
      <c r="I346" s="8"/>
      <c r="J346" s="8"/>
    </row>
    <row r="347">
      <c r="A347" s="4">
        <v>45249.57501019676</v>
      </c>
      <c r="B347" s="5" t="s">
        <v>560</v>
      </c>
      <c r="C347" s="5">
        <v>8.920035535E9</v>
      </c>
      <c r="F347" s="7" t="s">
        <v>561</v>
      </c>
      <c r="G347" s="5" t="s">
        <v>303</v>
      </c>
      <c r="H347" s="8"/>
      <c r="I347" s="8"/>
      <c r="J347" s="8"/>
    </row>
    <row r="348">
      <c r="A348" s="4">
        <v>45249.575425324074</v>
      </c>
      <c r="B348" s="5" t="s">
        <v>562</v>
      </c>
      <c r="C348" s="5">
        <v>8.920069012E9</v>
      </c>
      <c r="G348" s="5" t="s">
        <v>289</v>
      </c>
      <c r="H348" s="8"/>
      <c r="I348" s="8"/>
      <c r="J348" s="8"/>
    </row>
    <row r="349">
      <c r="A349" s="4">
        <v>45249.57551759259</v>
      </c>
      <c r="B349" s="5" t="s">
        <v>563</v>
      </c>
      <c r="C349" s="5">
        <v>8.448443885E9</v>
      </c>
      <c r="D349" s="5" t="s">
        <v>564</v>
      </c>
      <c r="E349" s="5" t="s">
        <v>565</v>
      </c>
      <c r="G349" s="5" t="s">
        <v>303</v>
      </c>
      <c r="H349" s="8"/>
      <c r="I349" s="8"/>
      <c r="J349" s="8"/>
    </row>
    <row r="350">
      <c r="A350" s="4">
        <v>45249.575682361115</v>
      </c>
      <c r="B350" s="5" t="s">
        <v>566</v>
      </c>
      <c r="C350" s="5">
        <v>9.958350501E9</v>
      </c>
      <c r="E350" s="5" t="s">
        <v>567</v>
      </c>
      <c r="G350" s="5" t="s">
        <v>303</v>
      </c>
      <c r="H350" s="8"/>
      <c r="I350" s="8"/>
      <c r="J350" s="8"/>
    </row>
    <row r="351">
      <c r="A351" s="4">
        <v>45249.57832597222</v>
      </c>
      <c r="B351" s="5" t="s">
        <v>568</v>
      </c>
      <c r="C351" s="5">
        <v>9.810661504E9</v>
      </c>
      <c r="G351" s="5" t="s">
        <v>289</v>
      </c>
      <c r="H351" s="8"/>
      <c r="I351" s="8"/>
      <c r="J351" s="8"/>
    </row>
    <row r="352">
      <c r="A352" s="4">
        <v>45249.581347025465</v>
      </c>
      <c r="B352" s="5" t="s">
        <v>569</v>
      </c>
      <c r="C352" s="5">
        <v>9.899300593E9</v>
      </c>
      <c r="E352" s="5" t="s">
        <v>15</v>
      </c>
      <c r="G352" s="5" t="s">
        <v>303</v>
      </c>
      <c r="H352" s="8"/>
      <c r="I352" s="8"/>
      <c r="J352" s="8"/>
    </row>
    <row r="353">
      <c r="A353" s="4">
        <v>45249.58397357639</v>
      </c>
      <c r="B353" s="5" t="s">
        <v>570</v>
      </c>
      <c r="C353" s="5">
        <v>9.350242772E9</v>
      </c>
      <c r="F353" s="7" t="s">
        <v>571</v>
      </c>
      <c r="G353" s="5" t="s">
        <v>303</v>
      </c>
      <c r="H353" s="8"/>
      <c r="I353" s="8"/>
      <c r="J353" s="8"/>
    </row>
    <row r="354">
      <c r="A354" s="4">
        <v>45249.58725751158</v>
      </c>
      <c r="B354" s="5" t="s">
        <v>572</v>
      </c>
      <c r="C354" s="5">
        <v>8.882312076E9</v>
      </c>
      <c r="G354" s="5" t="s">
        <v>289</v>
      </c>
      <c r="H354" s="8"/>
      <c r="I354" s="8"/>
      <c r="J354" s="8"/>
    </row>
    <row r="355">
      <c r="A355" s="4">
        <v>45249.58975356481</v>
      </c>
      <c r="B355" s="5" t="s">
        <v>573</v>
      </c>
      <c r="C355" s="5">
        <v>9.813387044E9</v>
      </c>
      <c r="G355" s="5" t="s">
        <v>303</v>
      </c>
      <c r="H355" s="8"/>
      <c r="I355" s="8"/>
      <c r="J355" s="8"/>
    </row>
    <row r="356">
      <c r="A356" s="4">
        <v>45249.590367094905</v>
      </c>
      <c r="B356" s="5" t="s">
        <v>574</v>
      </c>
      <c r="C356" s="5">
        <v>9.650341401E9</v>
      </c>
      <c r="G356" s="5" t="s">
        <v>289</v>
      </c>
      <c r="H356" s="8"/>
      <c r="I356" s="8"/>
      <c r="J356" s="8"/>
    </row>
    <row r="357">
      <c r="A357" s="4">
        <v>45249.59105420139</v>
      </c>
      <c r="B357" s="5" t="s">
        <v>575</v>
      </c>
      <c r="C357" s="5">
        <v>8.950343046E9</v>
      </c>
      <c r="G357" s="5" t="s">
        <v>303</v>
      </c>
      <c r="H357" s="8"/>
      <c r="I357" s="8"/>
      <c r="J357" s="8"/>
    </row>
    <row r="358">
      <c r="A358" s="4">
        <v>45249.59135853009</v>
      </c>
      <c r="B358" s="5" t="s">
        <v>576</v>
      </c>
      <c r="C358" s="5">
        <v>9.278722251E9</v>
      </c>
      <c r="G358" s="5" t="s">
        <v>289</v>
      </c>
      <c r="H358" s="8"/>
      <c r="I358" s="8"/>
      <c r="J358" s="8"/>
    </row>
    <row r="359">
      <c r="A359" s="4">
        <v>45249.59156681713</v>
      </c>
      <c r="B359" s="5" t="s">
        <v>254</v>
      </c>
      <c r="C359" s="5">
        <v>9.31307011E9</v>
      </c>
      <c r="G359" s="5" t="s">
        <v>303</v>
      </c>
      <c r="H359" s="8"/>
      <c r="I359" s="8"/>
      <c r="J359" s="8"/>
    </row>
    <row r="360">
      <c r="A360" s="4">
        <v>45249.59158262731</v>
      </c>
      <c r="B360" s="5" t="s">
        <v>577</v>
      </c>
      <c r="G360" s="5" t="s">
        <v>289</v>
      </c>
      <c r="H360" s="8"/>
      <c r="I360" s="8"/>
      <c r="J360" s="8"/>
    </row>
    <row r="361">
      <c r="A361" s="4">
        <v>45249.59589423611</v>
      </c>
      <c r="B361" s="5" t="s">
        <v>578</v>
      </c>
      <c r="C361" s="5">
        <v>9.810638093E9</v>
      </c>
      <c r="D361" s="5" t="s">
        <v>579</v>
      </c>
      <c r="E361" s="5" t="s">
        <v>26</v>
      </c>
      <c r="G361" s="5" t="s">
        <v>303</v>
      </c>
      <c r="H361" s="8"/>
      <c r="I361" s="8"/>
      <c r="J361" s="8"/>
    </row>
    <row r="362">
      <c r="A362" s="4">
        <v>45249.59602354167</v>
      </c>
      <c r="B362" s="5" t="s">
        <v>580</v>
      </c>
      <c r="C362" s="5">
        <v>9.871477706E9</v>
      </c>
      <c r="E362" s="5" t="s">
        <v>39</v>
      </c>
      <c r="G362" s="5" t="s">
        <v>303</v>
      </c>
      <c r="H362" s="8"/>
      <c r="I362" s="8"/>
      <c r="J362" s="8"/>
    </row>
    <row r="363">
      <c r="A363" s="4">
        <v>45249.5989274537</v>
      </c>
      <c r="B363" s="5" t="s">
        <v>581</v>
      </c>
      <c r="C363" s="5">
        <v>9.918101555E9</v>
      </c>
      <c r="G363" s="5" t="s">
        <v>289</v>
      </c>
      <c r="H363" s="8"/>
      <c r="I363" s="8"/>
      <c r="J363" s="8"/>
    </row>
    <row r="364">
      <c r="A364" s="4">
        <v>45249.601957997686</v>
      </c>
      <c r="B364" s="5" t="s">
        <v>270</v>
      </c>
      <c r="C364" s="5">
        <v>9.953317903E9</v>
      </c>
      <c r="E364" s="5" t="s">
        <v>15</v>
      </c>
      <c r="G364" s="5" t="s">
        <v>303</v>
      </c>
      <c r="H364" s="8"/>
      <c r="I364" s="8"/>
      <c r="J364" s="8"/>
    </row>
    <row r="365">
      <c r="A365" s="4">
        <v>45249.60603700232</v>
      </c>
      <c r="B365" s="5" t="s">
        <v>582</v>
      </c>
      <c r="C365" s="5">
        <v>9.999888671E9</v>
      </c>
      <c r="D365" s="5" t="s">
        <v>583</v>
      </c>
      <c r="E365" s="5" t="s">
        <v>584</v>
      </c>
      <c r="G365" s="5" t="s">
        <v>303</v>
      </c>
      <c r="H365" s="8"/>
      <c r="I365" s="8"/>
      <c r="J365" s="8"/>
    </row>
    <row r="366">
      <c r="A366" s="4">
        <v>45249.608808391204</v>
      </c>
      <c r="B366" s="5" t="s">
        <v>585</v>
      </c>
      <c r="C366" s="5">
        <v>8.708750857E9</v>
      </c>
      <c r="E366" s="5" t="s">
        <v>586</v>
      </c>
      <c r="G366" s="5" t="s">
        <v>289</v>
      </c>
      <c r="H366" s="8"/>
      <c r="I366" s="8"/>
      <c r="J366" s="8"/>
    </row>
    <row r="367">
      <c r="A367" s="4">
        <v>45249.61114951389</v>
      </c>
      <c r="B367" s="5" t="s">
        <v>587</v>
      </c>
      <c r="C367" s="5">
        <v>8.800895723E9</v>
      </c>
      <c r="G367" s="5" t="s">
        <v>289</v>
      </c>
      <c r="H367" s="8"/>
      <c r="I367" s="8"/>
      <c r="J367" s="8"/>
    </row>
    <row r="368">
      <c r="A368" s="4">
        <v>45249.6114289699</v>
      </c>
      <c r="B368" s="5" t="s">
        <v>588</v>
      </c>
      <c r="C368" s="5">
        <v>9.811228697E9</v>
      </c>
      <c r="E368" s="5" t="s">
        <v>21</v>
      </c>
      <c r="G368" s="5" t="s">
        <v>303</v>
      </c>
      <c r="H368" s="8"/>
      <c r="I368" s="8"/>
      <c r="J368" s="8"/>
    </row>
    <row r="369">
      <c r="A369" s="4">
        <v>45249.612133981485</v>
      </c>
      <c r="B369" s="5" t="s">
        <v>589</v>
      </c>
      <c r="C369" s="5">
        <v>8.800927065E9</v>
      </c>
      <c r="G369" s="5" t="s">
        <v>289</v>
      </c>
      <c r="H369" s="8"/>
      <c r="I369" s="8"/>
      <c r="J369" s="8"/>
    </row>
    <row r="370">
      <c r="A370" s="4">
        <v>45249.613206967595</v>
      </c>
      <c r="B370" s="5" t="s">
        <v>590</v>
      </c>
      <c r="C370" s="5">
        <v>9.891815228E9</v>
      </c>
      <c r="E370" s="5" t="s">
        <v>15</v>
      </c>
      <c r="G370" s="5" t="s">
        <v>303</v>
      </c>
      <c r="H370" s="8"/>
      <c r="I370" s="8"/>
      <c r="J370" s="8"/>
    </row>
    <row r="371">
      <c r="A371" s="4">
        <v>45249.61360251157</v>
      </c>
      <c r="B371" s="5" t="s">
        <v>591</v>
      </c>
      <c r="C371" s="5">
        <v>9.136131719E9</v>
      </c>
      <c r="G371" s="5" t="s">
        <v>289</v>
      </c>
      <c r="H371" s="8"/>
      <c r="I371" s="8"/>
      <c r="J371" s="8"/>
    </row>
    <row r="372">
      <c r="A372" s="4">
        <v>45249.62106157407</v>
      </c>
      <c r="B372" s="5" t="s">
        <v>592</v>
      </c>
      <c r="C372" s="5">
        <v>9.999205324E9</v>
      </c>
      <c r="D372" s="5" t="s">
        <v>593</v>
      </c>
      <c r="E372" s="5" t="s">
        <v>594</v>
      </c>
      <c r="G372" s="5" t="s">
        <v>303</v>
      </c>
      <c r="H372" s="8"/>
      <c r="I372" s="8"/>
      <c r="J372" s="8"/>
    </row>
    <row r="373">
      <c r="A373" s="4">
        <v>45249.62159758102</v>
      </c>
      <c r="B373" s="5" t="s">
        <v>595</v>
      </c>
      <c r="C373" s="5">
        <v>9.868593561E9</v>
      </c>
      <c r="E373" s="5" t="s">
        <v>273</v>
      </c>
      <c r="G373" s="5" t="s">
        <v>303</v>
      </c>
      <c r="H373" s="8"/>
      <c r="I373" s="8"/>
      <c r="J373" s="8"/>
    </row>
    <row r="374">
      <c r="A374" s="4">
        <v>45249.62586017361</v>
      </c>
      <c r="B374" s="5" t="s">
        <v>596</v>
      </c>
      <c r="C374" s="5">
        <v>9.310507886E9</v>
      </c>
      <c r="D374" s="5" t="s">
        <v>597</v>
      </c>
      <c r="G374" s="5" t="s">
        <v>303</v>
      </c>
      <c r="H374" s="8"/>
      <c r="I374" s="8"/>
      <c r="J374" s="8"/>
    </row>
    <row r="375">
      <c r="A375" s="4">
        <v>45249.62827385416</v>
      </c>
      <c r="B375" s="5" t="s">
        <v>598</v>
      </c>
      <c r="C375" s="5">
        <v>9.354521341E9</v>
      </c>
      <c r="E375" s="5" t="s">
        <v>599</v>
      </c>
      <c r="G375" s="5" t="s">
        <v>303</v>
      </c>
      <c r="H375" s="8"/>
      <c r="I375" s="8"/>
      <c r="J375" s="8"/>
    </row>
    <row r="376">
      <c r="A376" s="4">
        <v>45249.62950701389</v>
      </c>
      <c r="B376" s="5" t="s">
        <v>600</v>
      </c>
      <c r="C376" s="5">
        <v>9.899748572E9</v>
      </c>
      <c r="G376" s="5" t="s">
        <v>289</v>
      </c>
      <c r="H376" s="8"/>
      <c r="I376" s="8"/>
      <c r="J376" s="8"/>
    </row>
    <row r="377">
      <c r="A377" s="4">
        <v>45249.6298592824</v>
      </c>
      <c r="B377" s="5" t="s">
        <v>601</v>
      </c>
      <c r="C377" s="5">
        <v>8.447750845E9</v>
      </c>
      <c r="E377" s="5" t="s">
        <v>602</v>
      </c>
      <c r="G377" s="5" t="s">
        <v>303</v>
      </c>
      <c r="H377" s="8"/>
      <c r="I377" s="8"/>
      <c r="J377" s="8"/>
    </row>
    <row r="378">
      <c r="A378" s="4">
        <v>45249.63014886574</v>
      </c>
      <c r="B378" s="5" t="s">
        <v>603</v>
      </c>
      <c r="C378" s="5">
        <v>8.447750849E9</v>
      </c>
      <c r="G378" s="5" t="s">
        <v>303</v>
      </c>
      <c r="H378" s="8"/>
      <c r="I378" s="8"/>
      <c r="J378" s="8"/>
    </row>
    <row r="379">
      <c r="A379" s="4">
        <v>45249.630456886574</v>
      </c>
      <c r="B379" s="5" t="s">
        <v>390</v>
      </c>
      <c r="C379" s="5">
        <v>9.540658998E9</v>
      </c>
      <c r="G379" s="5" t="s">
        <v>303</v>
      </c>
      <c r="H379" s="8"/>
      <c r="I379" s="8"/>
      <c r="J379" s="8"/>
    </row>
    <row r="380">
      <c r="A380" s="4">
        <v>45249.63185979167</v>
      </c>
      <c r="B380" s="5" t="s">
        <v>290</v>
      </c>
      <c r="C380" s="5">
        <v>7.015977544E9</v>
      </c>
      <c r="G380" s="5" t="s">
        <v>289</v>
      </c>
      <c r="H380" s="8"/>
      <c r="I380" s="8"/>
      <c r="J380" s="8"/>
    </row>
    <row r="381">
      <c r="A381" s="4">
        <v>45249.634708819445</v>
      </c>
      <c r="B381" s="5" t="s">
        <v>604</v>
      </c>
      <c r="C381" s="5">
        <v>9.711128103E9</v>
      </c>
      <c r="E381" s="5" t="s">
        <v>605</v>
      </c>
      <c r="G381" s="5" t="s">
        <v>303</v>
      </c>
      <c r="H381" s="8"/>
      <c r="I381" s="8"/>
      <c r="J381" s="8"/>
    </row>
    <row r="382">
      <c r="A382" s="4">
        <v>45249.63516799769</v>
      </c>
      <c r="B382" s="5" t="s">
        <v>606</v>
      </c>
      <c r="C382" s="5">
        <v>9.87370116E9</v>
      </c>
      <c r="G382" s="5" t="s">
        <v>289</v>
      </c>
      <c r="H382" s="8"/>
      <c r="I382" s="8"/>
      <c r="J382" s="8"/>
    </row>
    <row r="383">
      <c r="A383" s="4">
        <v>45249.635521006945</v>
      </c>
      <c r="B383" s="5" t="s">
        <v>371</v>
      </c>
      <c r="C383" s="5">
        <v>9.412235113E9</v>
      </c>
      <c r="G383" s="5" t="s">
        <v>289</v>
      </c>
      <c r="H383" s="8"/>
      <c r="I383" s="8"/>
      <c r="J383" s="8"/>
    </row>
    <row r="384">
      <c r="A384" s="4">
        <v>45249.63640930556</v>
      </c>
      <c r="B384" s="5" t="s">
        <v>607</v>
      </c>
      <c r="C384" s="5">
        <v>9.81816743E9</v>
      </c>
      <c r="E384" s="5" t="s">
        <v>608</v>
      </c>
      <c r="G384" s="5" t="s">
        <v>303</v>
      </c>
      <c r="H384" s="8"/>
      <c r="I384" s="8"/>
      <c r="J384" s="8"/>
    </row>
    <row r="385">
      <c r="A385" s="4">
        <v>45249.63670368056</v>
      </c>
      <c r="B385" s="5" t="s">
        <v>609</v>
      </c>
      <c r="C385" s="5">
        <v>9.557701702E9</v>
      </c>
      <c r="G385" s="5" t="s">
        <v>289</v>
      </c>
      <c r="H385" s="8"/>
      <c r="I385" s="8"/>
      <c r="J385" s="8"/>
    </row>
    <row r="386">
      <c r="A386" s="4">
        <v>45249.640509467594</v>
      </c>
      <c r="B386" s="5" t="s">
        <v>610</v>
      </c>
      <c r="C386" s="5">
        <v>7.50343398E9</v>
      </c>
      <c r="G386" s="5" t="s">
        <v>303</v>
      </c>
      <c r="H386" s="8"/>
      <c r="I386" s="8"/>
      <c r="J386" s="8"/>
    </row>
    <row r="387">
      <c r="A387" s="4">
        <v>45249.64395190972</v>
      </c>
      <c r="B387" s="5" t="s">
        <v>611</v>
      </c>
      <c r="C387" s="5">
        <v>8.860607579E9</v>
      </c>
      <c r="E387" s="5" t="s">
        <v>21</v>
      </c>
      <c r="G387" s="5" t="s">
        <v>303</v>
      </c>
      <c r="H387" s="8"/>
      <c r="I387" s="8"/>
      <c r="J387" s="8"/>
    </row>
    <row r="388">
      <c r="A388" s="4">
        <v>45249.64477571759</v>
      </c>
      <c r="B388" s="5" t="s">
        <v>612</v>
      </c>
      <c r="C388" s="5">
        <v>9.8113783E9</v>
      </c>
      <c r="G388" s="5" t="s">
        <v>289</v>
      </c>
      <c r="H388" s="8"/>
      <c r="I388" s="8"/>
      <c r="J388" s="8"/>
    </row>
    <row r="389">
      <c r="A389" s="4">
        <v>45249.64493659722</v>
      </c>
      <c r="B389" s="5" t="s">
        <v>613</v>
      </c>
      <c r="C389" s="5">
        <v>8.285298978E9</v>
      </c>
      <c r="G389" s="5" t="s">
        <v>303</v>
      </c>
      <c r="H389" s="8"/>
      <c r="I389" s="8"/>
      <c r="J389" s="8"/>
    </row>
    <row r="390">
      <c r="A390" s="4">
        <v>45249.64562563658</v>
      </c>
      <c r="B390" s="5" t="s">
        <v>614</v>
      </c>
      <c r="C390" s="5">
        <v>9.999426629E9</v>
      </c>
      <c r="G390" s="5" t="s">
        <v>289</v>
      </c>
      <c r="H390" s="8"/>
      <c r="I390" s="8"/>
      <c r="J390" s="8"/>
    </row>
    <row r="391">
      <c r="A391" s="4">
        <v>45249.65236743056</v>
      </c>
      <c r="B391" s="5" t="s">
        <v>615</v>
      </c>
      <c r="C391" s="5">
        <v>8.882486802E9</v>
      </c>
      <c r="E391" s="5" t="s">
        <v>599</v>
      </c>
      <c r="G391" s="5" t="s">
        <v>303</v>
      </c>
      <c r="H391" s="8"/>
      <c r="I391" s="8"/>
      <c r="J391" s="8"/>
    </row>
    <row r="392">
      <c r="A392" s="4">
        <v>45249.652913321755</v>
      </c>
      <c r="B392" s="5" t="s">
        <v>616</v>
      </c>
      <c r="C392" s="5">
        <v>9.560974127E9</v>
      </c>
      <c r="G392" s="5" t="s">
        <v>289</v>
      </c>
      <c r="H392" s="8"/>
      <c r="I392" s="8"/>
      <c r="J392" s="8"/>
    </row>
    <row r="393">
      <c r="A393" s="4">
        <v>45249.65406690972</v>
      </c>
      <c r="B393" s="5" t="s">
        <v>179</v>
      </c>
      <c r="C393" s="5">
        <v>9.625556855E9</v>
      </c>
      <c r="G393" s="5" t="s">
        <v>289</v>
      </c>
      <c r="H393" s="8"/>
      <c r="I393" s="8"/>
      <c r="J393" s="8"/>
    </row>
    <row r="394">
      <c r="A394" s="4">
        <v>45249.65731047453</v>
      </c>
      <c r="B394" s="5" t="s">
        <v>371</v>
      </c>
      <c r="C394" s="5">
        <v>7.838454508E9</v>
      </c>
      <c r="E394" s="5" t="s">
        <v>608</v>
      </c>
      <c r="G394" s="5" t="s">
        <v>303</v>
      </c>
      <c r="H394" s="8"/>
      <c r="I394" s="8"/>
      <c r="J394" s="8"/>
    </row>
    <row r="395">
      <c r="A395" s="4">
        <v>45249.65917594907</v>
      </c>
      <c r="B395" s="5" t="s">
        <v>617</v>
      </c>
      <c r="C395" s="5">
        <v>7.015517269E9</v>
      </c>
      <c r="E395" s="5" t="s">
        <v>79</v>
      </c>
      <c r="G395" s="5" t="s">
        <v>303</v>
      </c>
      <c r="H395" s="8"/>
      <c r="I395" s="8"/>
      <c r="J395" s="8"/>
    </row>
    <row r="396">
      <c r="A396" s="4">
        <v>45249.65919443287</v>
      </c>
      <c r="B396" s="5" t="s">
        <v>618</v>
      </c>
      <c r="C396" s="5">
        <v>9.81832918E9</v>
      </c>
      <c r="G396" s="5" t="s">
        <v>303</v>
      </c>
      <c r="H396" s="8"/>
      <c r="I396" s="8"/>
      <c r="J396" s="8"/>
    </row>
    <row r="397">
      <c r="A397" s="4">
        <v>45249.66113998843</v>
      </c>
      <c r="B397" s="5" t="s">
        <v>619</v>
      </c>
      <c r="C397" s="5">
        <v>9.899187501E9</v>
      </c>
      <c r="E397" s="5" t="s">
        <v>620</v>
      </c>
      <c r="G397" s="5" t="s">
        <v>303</v>
      </c>
      <c r="H397" s="8"/>
      <c r="I397" s="8"/>
      <c r="J397" s="8"/>
    </row>
    <row r="398">
      <c r="A398" s="4">
        <v>45249.66284725694</v>
      </c>
      <c r="B398" s="5" t="s">
        <v>621</v>
      </c>
      <c r="C398" s="5">
        <v>9.43715219E9</v>
      </c>
      <c r="G398" s="5" t="s">
        <v>289</v>
      </c>
      <c r="H398" s="8"/>
      <c r="I398" s="8"/>
      <c r="J398" s="8"/>
    </row>
    <row r="399">
      <c r="A399" s="4">
        <v>45249.66613158565</v>
      </c>
      <c r="B399" s="5" t="s">
        <v>622</v>
      </c>
      <c r="C399" s="5">
        <v>9.728500002E9</v>
      </c>
      <c r="E399" s="5" t="s">
        <v>378</v>
      </c>
      <c r="G399" s="5" t="s">
        <v>303</v>
      </c>
      <c r="H399" s="8"/>
      <c r="I399" s="8"/>
      <c r="J399" s="8"/>
    </row>
    <row r="400">
      <c r="A400" s="4">
        <v>45249.67558038194</v>
      </c>
      <c r="B400" s="5" t="s">
        <v>623</v>
      </c>
      <c r="C400" s="5">
        <v>9.990090212E9</v>
      </c>
      <c r="E400" s="5" t="s">
        <v>15</v>
      </c>
      <c r="G400" s="5" t="s">
        <v>303</v>
      </c>
      <c r="H400" s="8"/>
      <c r="I400" s="8"/>
      <c r="J400" s="8"/>
    </row>
    <row r="401">
      <c r="A401" s="4">
        <v>45249.676426631944</v>
      </c>
      <c r="B401" s="5" t="s">
        <v>624</v>
      </c>
      <c r="C401" s="5">
        <v>9.999355536E9</v>
      </c>
      <c r="E401" s="5" t="s">
        <v>15</v>
      </c>
      <c r="G401" s="5" t="s">
        <v>303</v>
      </c>
      <c r="H401" s="8"/>
      <c r="I401" s="8"/>
      <c r="J401" s="8"/>
    </row>
    <row r="402">
      <c r="A402" s="4">
        <v>45249.677584641206</v>
      </c>
      <c r="B402" s="5" t="s">
        <v>625</v>
      </c>
      <c r="C402" s="5">
        <v>9.643593168E9</v>
      </c>
      <c r="E402" s="5" t="s">
        <v>626</v>
      </c>
      <c r="G402" s="5" t="s">
        <v>303</v>
      </c>
      <c r="H402" s="8"/>
      <c r="I402" s="8"/>
      <c r="J402" s="8"/>
    </row>
    <row r="403">
      <c r="A403" s="4">
        <v>45249.67769884259</v>
      </c>
      <c r="B403" s="5" t="s">
        <v>627</v>
      </c>
      <c r="C403" s="5">
        <v>9.357777547E9</v>
      </c>
      <c r="E403" s="5" t="s">
        <v>21</v>
      </c>
      <c r="G403" s="5" t="s">
        <v>303</v>
      </c>
      <c r="H403" s="8"/>
      <c r="I403" s="8"/>
      <c r="J403" s="8"/>
    </row>
    <row r="404">
      <c r="A404" s="4">
        <v>45249.67779292824</v>
      </c>
      <c r="B404" s="5" t="s">
        <v>628</v>
      </c>
      <c r="C404" s="5">
        <v>8.558932188E9</v>
      </c>
      <c r="D404" s="5" t="s">
        <v>629</v>
      </c>
      <c r="E404" s="5" t="s">
        <v>114</v>
      </c>
      <c r="G404" s="5" t="s">
        <v>303</v>
      </c>
      <c r="H404" s="8"/>
      <c r="I404" s="8"/>
      <c r="J404" s="8"/>
    </row>
    <row r="405">
      <c r="A405" s="4">
        <v>45249.67802677084</v>
      </c>
      <c r="B405" s="5" t="s">
        <v>628</v>
      </c>
      <c r="C405" s="5">
        <v>8.558932188E9</v>
      </c>
      <c r="E405" s="5" t="s">
        <v>15</v>
      </c>
      <c r="G405" s="5" t="s">
        <v>303</v>
      </c>
      <c r="H405" s="8"/>
      <c r="I405" s="8"/>
      <c r="J405" s="8"/>
    </row>
    <row r="406">
      <c r="A406" s="4">
        <v>45249.68018152778</v>
      </c>
      <c r="B406" s="5" t="s">
        <v>630</v>
      </c>
      <c r="C406" s="5">
        <v>9.717633424E9</v>
      </c>
      <c r="G406" s="5" t="s">
        <v>303</v>
      </c>
      <c r="H406" s="8"/>
      <c r="I406" s="8"/>
      <c r="J406" s="8"/>
    </row>
    <row r="407">
      <c r="A407" s="4">
        <v>45249.68064910879</v>
      </c>
      <c r="B407" s="5" t="s">
        <v>204</v>
      </c>
      <c r="C407" s="5">
        <v>9.899195175E9</v>
      </c>
      <c r="G407" s="5" t="s">
        <v>303</v>
      </c>
      <c r="H407" s="8"/>
      <c r="I407" s="8"/>
      <c r="J407" s="8"/>
    </row>
    <row r="408">
      <c r="A408" s="4">
        <v>45249.68118564815</v>
      </c>
      <c r="B408" s="5" t="s">
        <v>631</v>
      </c>
      <c r="C408" s="5">
        <v>9.958598121E9</v>
      </c>
      <c r="G408" s="5" t="s">
        <v>303</v>
      </c>
      <c r="H408" s="8"/>
      <c r="I408" s="8"/>
      <c r="J408" s="8"/>
    </row>
    <row r="409">
      <c r="A409" s="4">
        <v>45249.68334462963</v>
      </c>
      <c r="B409" s="5" t="s">
        <v>632</v>
      </c>
      <c r="C409" s="5">
        <v>7.982053421E9</v>
      </c>
      <c r="G409" s="5" t="s">
        <v>303</v>
      </c>
      <c r="H409" s="8"/>
      <c r="I409" s="8"/>
      <c r="J409" s="8"/>
    </row>
    <row r="410">
      <c r="A410" s="4">
        <v>45249.68381805556</v>
      </c>
      <c r="B410" s="5" t="s">
        <v>633</v>
      </c>
      <c r="C410" s="5">
        <v>8.860441442E9</v>
      </c>
      <c r="D410" s="5" t="s">
        <v>634</v>
      </c>
      <c r="E410" s="5" t="s">
        <v>635</v>
      </c>
      <c r="G410" s="5" t="s">
        <v>303</v>
      </c>
      <c r="H410" s="8"/>
      <c r="I410" s="8"/>
      <c r="J410" s="8"/>
    </row>
    <row r="411">
      <c r="A411" s="4">
        <v>45249.686893171296</v>
      </c>
      <c r="B411" s="5" t="s">
        <v>636</v>
      </c>
      <c r="C411" s="5">
        <v>7.98290861E9</v>
      </c>
      <c r="E411" s="5" t="s">
        <v>637</v>
      </c>
      <c r="G411" s="5" t="s">
        <v>303</v>
      </c>
      <c r="H411" s="8"/>
      <c r="I411" s="8"/>
      <c r="J411" s="8"/>
    </row>
    <row r="412">
      <c r="A412" s="4">
        <v>45249.68812818287</v>
      </c>
      <c r="B412" s="5" t="s">
        <v>470</v>
      </c>
      <c r="C412" s="5">
        <v>9.810500352E9</v>
      </c>
      <c r="E412" s="5" t="s">
        <v>638</v>
      </c>
      <c r="G412" s="5" t="s">
        <v>303</v>
      </c>
      <c r="H412" s="8"/>
      <c r="I412" s="8"/>
      <c r="J412" s="8"/>
    </row>
    <row r="413">
      <c r="A413" s="4">
        <v>45249.6910775463</v>
      </c>
      <c r="B413" s="5" t="s">
        <v>639</v>
      </c>
      <c r="C413" s="5">
        <v>9.810455005E9</v>
      </c>
      <c r="E413" s="5" t="s">
        <v>71</v>
      </c>
      <c r="G413" s="5" t="s">
        <v>303</v>
      </c>
      <c r="H413" s="8"/>
      <c r="I413" s="8"/>
      <c r="J413" s="8"/>
    </row>
    <row r="414">
      <c r="A414" s="4">
        <v>45249.691565</v>
      </c>
      <c r="B414" s="5" t="s">
        <v>640</v>
      </c>
      <c r="C414" s="5">
        <v>9.911021076E9</v>
      </c>
      <c r="E414" s="5" t="s">
        <v>641</v>
      </c>
      <c r="G414" s="5" t="s">
        <v>303</v>
      </c>
      <c r="H414" s="8"/>
      <c r="I414" s="8"/>
      <c r="J414" s="8"/>
    </row>
    <row r="415">
      <c r="A415" s="4">
        <v>45249.69219847222</v>
      </c>
      <c r="B415" s="5" t="s">
        <v>642</v>
      </c>
      <c r="C415" s="5">
        <v>9.212189755E9</v>
      </c>
      <c r="E415" s="5" t="s">
        <v>79</v>
      </c>
      <c r="G415" s="5" t="s">
        <v>303</v>
      </c>
      <c r="H415" s="8"/>
      <c r="I415" s="8"/>
      <c r="J415" s="8"/>
    </row>
    <row r="416">
      <c r="A416" s="4">
        <v>45249.69306469907</v>
      </c>
      <c r="B416" s="5" t="s">
        <v>643</v>
      </c>
      <c r="C416" s="5">
        <v>9.967587582E9</v>
      </c>
      <c r="G416" s="5" t="s">
        <v>303</v>
      </c>
      <c r="H416" s="8"/>
      <c r="I416" s="8"/>
      <c r="J416" s="8"/>
    </row>
    <row r="417">
      <c r="A417" s="4">
        <v>45249.69554140046</v>
      </c>
      <c r="B417" s="5" t="s">
        <v>644</v>
      </c>
      <c r="C417" s="5">
        <v>9.821717097E9</v>
      </c>
      <c r="D417" s="5" t="s">
        <v>645</v>
      </c>
      <c r="E417" s="5" t="s">
        <v>71</v>
      </c>
      <c r="G417" s="5" t="s">
        <v>303</v>
      </c>
      <c r="H417" s="8"/>
      <c r="I417" s="8"/>
      <c r="J417" s="8"/>
    </row>
    <row r="418">
      <c r="A418" s="4">
        <v>45249.69728596065</v>
      </c>
      <c r="B418" s="5" t="s">
        <v>646</v>
      </c>
      <c r="C418" s="5">
        <v>8.233131816E9</v>
      </c>
      <c r="G418" s="5" t="s">
        <v>303</v>
      </c>
      <c r="H418" s="8"/>
      <c r="I418" s="8"/>
      <c r="J418" s="8"/>
    </row>
    <row r="419">
      <c r="A419" s="4">
        <v>45249.69825233796</v>
      </c>
      <c r="B419" s="5" t="s">
        <v>647</v>
      </c>
      <c r="C419" s="5">
        <v>9.810683324E9</v>
      </c>
      <c r="E419" s="5" t="s">
        <v>648</v>
      </c>
      <c r="G419" s="5" t="s">
        <v>289</v>
      </c>
      <c r="H419" s="8"/>
      <c r="I419" s="8"/>
      <c r="J419" s="8"/>
    </row>
    <row r="420">
      <c r="A420" s="4">
        <v>45249.69837265046</v>
      </c>
      <c r="B420" s="5" t="s">
        <v>649</v>
      </c>
      <c r="C420" s="5">
        <v>9.899193221E9</v>
      </c>
      <c r="G420" s="5" t="s">
        <v>303</v>
      </c>
      <c r="H420" s="8"/>
      <c r="I420" s="8"/>
      <c r="J420" s="8"/>
    </row>
    <row r="421">
      <c r="A421" s="4">
        <v>45249.70057368056</v>
      </c>
      <c r="B421" s="5" t="s">
        <v>650</v>
      </c>
      <c r="C421" s="5">
        <v>9.31525881E9</v>
      </c>
      <c r="G421" s="5" t="s">
        <v>303</v>
      </c>
      <c r="H421" s="8"/>
      <c r="I421" s="8"/>
      <c r="J421" s="8"/>
    </row>
    <row r="422">
      <c r="A422" s="4">
        <v>45249.701694166666</v>
      </c>
      <c r="B422" s="5" t="s">
        <v>651</v>
      </c>
      <c r="C422" s="5">
        <v>9.671932719E9</v>
      </c>
      <c r="G422" s="5" t="s">
        <v>303</v>
      </c>
      <c r="H422" s="8"/>
      <c r="I422" s="8"/>
      <c r="J422" s="8"/>
    </row>
    <row r="423">
      <c r="A423" s="4">
        <v>45249.70192226852</v>
      </c>
      <c r="B423" s="5" t="s">
        <v>652</v>
      </c>
      <c r="C423" s="5">
        <v>9.911329213E9</v>
      </c>
      <c r="G423" s="5" t="s">
        <v>289</v>
      </c>
      <c r="H423" s="8"/>
      <c r="I423" s="8"/>
      <c r="J423" s="8"/>
    </row>
    <row r="424">
      <c r="A424" s="4">
        <v>45249.702517488426</v>
      </c>
      <c r="B424" s="5" t="s">
        <v>653</v>
      </c>
      <c r="C424" s="5">
        <v>9.911329213E9</v>
      </c>
      <c r="G424" s="5" t="s">
        <v>289</v>
      </c>
      <c r="H424" s="8"/>
      <c r="I424" s="8"/>
      <c r="J424" s="8"/>
    </row>
    <row r="425">
      <c r="A425" s="4">
        <v>45249.70277421296</v>
      </c>
      <c r="B425" s="5" t="s">
        <v>654</v>
      </c>
      <c r="C425" s="5">
        <v>9.990215164E9</v>
      </c>
      <c r="G425" s="5" t="s">
        <v>289</v>
      </c>
      <c r="H425" s="8"/>
      <c r="I425" s="8"/>
      <c r="J425" s="8"/>
    </row>
    <row r="426">
      <c r="A426" s="4">
        <v>45249.70369446759</v>
      </c>
      <c r="B426" s="5" t="s">
        <v>655</v>
      </c>
      <c r="C426" s="5">
        <v>9.81188726E9</v>
      </c>
      <c r="G426" s="5" t="s">
        <v>303</v>
      </c>
      <c r="H426" s="8"/>
      <c r="I426" s="8"/>
      <c r="J426" s="8"/>
    </row>
    <row r="427">
      <c r="A427" s="4">
        <v>45249.70428215278</v>
      </c>
      <c r="B427" s="5" t="s">
        <v>656</v>
      </c>
      <c r="C427" s="5">
        <v>9.911883588E9</v>
      </c>
      <c r="G427" s="5" t="s">
        <v>303</v>
      </c>
      <c r="H427" s="8"/>
      <c r="I427" s="8"/>
      <c r="J427" s="8"/>
    </row>
    <row r="428">
      <c r="A428" s="4">
        <v>45249.70454042824</v>
      </c>
      <c r="B428" s="5" t="s">
        <v>179</v>
      </c>
      <c r="C428" s="5">
        <v>9.21525881E9</v>
      </c>
      <c r="G428" s="5" t="s">
        <v>289</v>
      </c>
      <c r="H428" s="8"/>
      <c r="I428" s="8"/>
      <c r="J428" s="8"/>
    </row>
    <row r="429">
      <c r="A429" s="4">
        <v>45249.7053491088</v>
      </c>
      <c r="B429" s="5" t="s">
        <v>657</v>
      </c>
      <c r="C429" s="5">
        <v>7.527053735E9</v>
      </c>
      <c r="G429" s="5" t="s">
        <v>303</v>
      </c>
      <c r="H429" s="8"/>
      <c r="I429" s="8"/>
      <c r="J429" s="8"/>
    </row>
    <row r="430">
      <c r="A430" s="4">
        <v>45249.70625585648</v>
      </c>
      <c r="B430" s="5" t="s">
        <v>658</v>
      </c>
      <c r="C430" s="5">
        <v>7.04242042E9</v>
      </c>
      <c r="G430" s="5" t="s">
        <v>303</v>
      </c>
      <c r="H430" s="8"/>
      <c r="I430" s="8"/>
      <c r="J430" s="8"/>
    </row>
    <row r="431">
      <c r="A431" s="4">
        <v>45249.70913689815</v>
      </c>
      <c r="B431" s="5" t="s">
        <v>659</v>
      </c>
      <c r="C431" s="5">
        <v>9.817433373E9</v>
      </c>
      <c r="G431" s="5" t="s">
        <v>303</v>
      </c>
      <c r="H431" s="8"/>
      <c r="I431" s="8"/>
      <c r="J431" s="8"/>
    </row>
    <row r="432">
      <c r="A432" s="4">
        <v>45249.70978765046</v>
      </c>
      <c r="B432" s="5" t="s">
        <v>660</v>
      </c>
      <c r="C432" s="5">
        <v>8.368214545E9</v>
      </c>
      <c r="G432" s="5" t="s">
        <v>303</v>
      </c>
      <c r="H432" s="8"/>
      <c r="I432" s="8"/>
      <c r="J432" s="8"/>
    </row>
    <row r="433">
      <c r="A433" s="4">
        <v>45249.71036822916</v>
      </c>
      <c r="B433" s="5" t="s">
        <v>661</v>
      </c>
      <c r="C433" s="5">
        <v>9.6530181E9</v>
      </c>
      <c r="E433" s="5" t="s">
        <v>662</v>
      </c>
      <c r="G433" s="5" t="s">
        <v>303</v>
      </c>
      <c r="H433" s="8"/>
      <c r="I433" s="8"/>
      <c r="J433" s="8"/>
    </row>
    <row r="434">
      <c r="A434" s="4">
        <v>45249.71197296296</v>
      </c>
      <c r="B434" s="5" t="s">
        <v>663</v>
      </c>
      <c r="C434" s="5">
        <v>9.971712516E9</v>
      </c>
      <c r="G434" s="5" t="s">
        <v>303</v>
      </c>
      <c r="H434" s="8"/>
      <c r="I434" s="8"/>
      <c r="J434" s="8"/>
    </row>
    <row r="435">
      <c r="A435" s="4">
        <v>45249.712268240735</v>
      </c>
      <c r="B435" s="5" t="s">
        <v>664</v>
      </c>
      <c r="C435" s="5">
        <v>7.290997505E9</v>
      </c>
      <c r="D435" s="5" t="s">
        <v>665</v>
      </c>
      <c r="E435" s="5" t="s">
        <v>15</v>
      </c>
      <c r="G435" s="5" t="s">
        <v>303</v>
      </c>
      <c r="H435" s="8"/>
      <c r="I435" s="8"/>
      <c r="J435" s="8"/>
    </row>
    <row r="436">
      <c r="A436" s="4">
        <v>45249.71297811343</v>
      </c>
      <c r="B436" s="5" t="s">
        <v>666</v>
      </c>
      <c r="C436" s="5">
        <v>7.982978397E9</v>
      </c>
      <c r="D436" s="5" t="s">
        <v>667</v>
      </c>
      <c r="E436" s="5" t="s">
        <v>599</v>
      </c>
      <c r="G436" s="5" t="s">
        <v>303</v>
      </c>
      <c r="H436" s="8"/>
      <c r="I436" s="8"/>
      <c r="J436" s="8"/>
    </row>
    <row r="437">
      <c r="A437" s="4">
        <v>45249.71590200231</v>
      </c>
      <c r="B437" s="5" t="s">
        <v>668</v>
      </c>
      <c r="C437" s="5">
        <v>9.870521545E9</v>
      </c>
      <c r="G437" s="5" t="s">
        <v>303</v>
      </c>
      <c r="H437" s="8"/>
      <c r="I437" s="8"/>
      <c r="J437" s="8"/>
    </row>
    <row r="438">
      <c r="A438" s="4">
        <v>45249.71886108797</v>
      </c>
      <c r="B438" s="5" t="s">
        <v>539</v>
      </c>
      <c r="C438" s="5">
        <v>8.58687987E9</v>
      </c>
      <c r="E438" s="5" t="s">
        <v>599</v>
      </c>
      <c r="G438" s="5" t="s">
        <v>303</v>
      </c>
      <c r="H438" s="8"/>
      <c r="I438" s="8"/>
      <c r="J438" s="8"/>
    </row>
    <row r="439">
      <c r="A439" s="4">
        <v>45249.72211778935</v>
      </c>
      <c r="B439" s="5" t="s">
        <v>669</v>
      </c>
      <c r="C439" s="5">
        <v>8.901388384E9</v>
      </c>
      <c r="G439" s="5" t="s">
        <v>303</v>
      </c>
      <c r="H439" s="8"/>
      <c r="I439" s="8"/>
      <c r="J439" s="8"/>
    </row>
    <row r="440">
      <c r="A440" s="4">
        <v>45249.722461840276</v>
      </c>
      <c r="B440" s="5" t="s">
        <v>670</v>
      </c>
      <c r="C440" s="5">
        <v>8.800787853E9</v>
      </c>
      <c r="G440" s="5" t="s">
        <v>303</v>
      </c>
      <c r="H440" s="8"/>
      <c r="I440" s="8"/>
      <c r="J440" s="8"/>
    </row>
    <row r="441">
      <c r="A441" s="4">
        <v>45249.72309775463</v>
      </c>
      <c r="B441" s="5" t="s">
        <v>671</v>
      </c>
      <c r="C441" s="5">
        <v>9.692897928E9</v>
      </c>
      <c r="G441" s="5" t="s">
        <v>303</v>
      </c>
      <c r="H441" s="8"/>
      <c r="I441" s="8"/>
      <c r="J441" s="8"/>
    </row>
    <row r="442">
      <c r="A442" s="4">
        <v>45249.72448252315</v>
      </c>
      <c r="B442" s="5" t="s">
        <v>525</v>
      </c>
      <c r="C442" s="5">
        <v>9.210029848E9</v>
      </c>
      <c r="E442" s="5" t="s">
        <v>672</v>
      </c>
      <c r="G442" s="5" t="s">
        <v>289</v>
      </c>
      <c r="H442" s="8"/>
      <c r="I442" s="8"/>
      <c r="J442" s="8"/>
    </row>
    <row r="443">
      <c r="A443" s="4">
        <v>45249.72479094907</v>
      </c>
      <c r="B443" s="5" t="s">
        <v>673</v>
      </c>
      <c r="C443" s="5">
        <v>9.910310221E9</v>
      </c>
      <c r="E443" s="5" t="s">
        <v>599</v>
      </c>
      <c r="G443" s="5" t="s">
        <v>303</v>
      </c>
      <c r="H443" s="8"/>
      <c r="I443" s="8"/>
      <c r="J443" s="8"/>
    </row>
    <row r="444">
      <c r="A444" s="4">
        <v>45249.72499980324</v>
      </c>
      <c r="B444" s="5" t="s">
        <v>674</v>
      </c>
      <c r="C444" s="5">
        <v>8.368685491E9</v>
      </c>
      <c r="G444" s="5" t="s">
        <v>289</v>
      </c>
      <c r="H444" s="8"/>
      <c r="I444" s="8"/>
      <c r="J444" s="8"/>
    </row>
    <row r="445">
      <c r="A445" s="4">
        <v>45249.7255100926</v>
      </c>
      <c r="B445" s="5" t="s">
        <v>675</v>
      </c>
      <c r="C445" s="5">
        <v>9.136117195E9</v>
      </c>
      <c r="G445" s="5" t="s">
        <v>289</v>
      </c>
      <c r="H445" s="8"/>
      <c r="I445" s="8"/>
      <c r="J445" s="8"/>
    </row>
    <row r="446">
      <c r="A446" s="4">
        <v>45249.72565118056</v>
      </c>
      <c r="B446" s="5" t="s">
        <v>676</v>
      </c>
      <c r="C446" s="5">
        <v>9.57204501E9</v>
      </c>
      <c r="E446" s="5" t="s">
        <v>599</v>
      </c>
      <c r="G446" s="5" t="s">
        <v>303</v>
      </c>
      <c r="H446" s="8"/>
      <c r="I446" s="8"/>
      <c r="J446" s="8"/>
    </row>
    <row r="447">
      <c r="A447" s="4">
        <v>45249.7258674537</v>
      </c>
      <c r="B447" s="5" t="s">
        <v>677</v>
      </c>
      <c r="C447" s="5">
        <v>9.582645551E9</v>
      </c>
      <c r="G447" s="5" t="s">
        <v>289</v>
      </c>
      <c r="H447" s="8"/>
      <c r="I447" s="8"/>
      <c r="J447" s="8"/>
    </row>
    <row r="448">
      <c r="A448" s="4">
        <v>45249.72624912037</v>
      </c>
      <c r="B448" s="5" t="s">
        <v>678</v>
      </c>
      <c r="C448" s="5">
        <v>8.076516975E9</v>
      </c>
      <c r="G448" s="5" t="s">
        <v>289</v>
      </c>
      <c r="H448" s="8"/>
      <c r="I448" s="8"/>
      <c r="J448" s="8"/>
    </row>
    <row r="449">
      <c r="A449" s="4">
        <v>45249.72662001157</v>
      </c>
      <c r="B449" s="5" t="s">
        <v>679</v>
      </c>
      <c r="C449" s="5">
        <v>9.64395943E9</v>
      </c>
      <c r="D449" s="5" t="s">
        <v>680</v>
      </c>
      <c r="E449" s="5" t="s">
        <v>681</v>
      </c>
      <c r="G449" s="5" t="s">
        <v>303</v>
      </c>
      <c r="H449" s="8"/>
      <c r="I449" s="8"/>
      <c r="J449" s="8"/>
    </row>
    <row r="450">
      <c r="A450" s="4">
        <v>45249.72675783565</v>
      </c>
      <c r="B450" s="5" t="s">
        <v>486</v>
      </c>
      <c r="C450" s="5">
        <v>8.448663897E9</v>
      </c>
      <c r="G450" s="5" t="s">
        <v>289</v>
      </c>
      <c r="H450" s="8"/>
      <c r="I450" s="8"/>
      <c r="J450" s="8"/>
    </row>
    <row r="451">
      <c r="A451" s="4">
        <v>45249.72707671297</v>
      </c>
      <c r="B451" s="5" t="s">
        <v>682</v>
      </c>
      <c r="C451" s="5">
        <v>8.3768369E9</v>
      </c>
      <c r="G451" s="5" t="s">
        <v>289</v>
      </c>
      <c r="H451" s="8"/>
      <c r="I451" s="8"/>
      <c r="J451" s="8"/>
    </row>
    <row r="452">
      <c r="A452" s="4">
        <v>45249.72746444444</v>
      </c>
      <c r="B452" s="5" t="s">
        <v>683</v>
      </c>
      <c r="C452" s="5">
        <v>9.540658998E9</v>
      </c>
      <c r="G452" s="5" t="s">
        <v>289</v>
      </c>
      <c r="H452" s="8"/>
      <c r="I452" s="8"/>
      <c r="J452" s="8"/>
    </row>
    <row r="453">
      <c r="A453" s="4">
        <v>45249.727978553245</v>
      </c>
      <c r="B453" s="5" t="s">
        <v>684</v>
      </c>
      <c r="C453" s="5">
        <v>9.717170333E9</v>
      </c>
      <c r="E453" s="5" t="s">
        <v>685</v>
      </c>
      <c r="G453" s="5" t="s">
        <v>289</v>
      </c>
      <c r="H453" s="8"/>
      <c r="I453" s="8"/>
      <c r="J453" s="8"/>
    </row>
    <row r="454">
      <c r="A454" s="4">
        <v>45249.72830701389</v>
      </c>
      <c r="B454" s="5" t="s">
        <v>686</v>
      </c>
      <c r="C454" s="5">
        <v>7.009614365E9</v>
      </c>
      <c r="G454" s="5" t="s">
        <v>289</v>
      </c>
      <c r="H454" s="8"/>
      <c r="I454" s="8"/>
      <c r="J454" s="8"/>
    </row>
    <row r="455">
      <c r="A455" s="4">
        <v>45249.72879930555</v>
      </c>
      <c r="B455" s="5" t="s">
        <v>687</v>
      </c>
      <c r="C455" s="5">
        <v>9.716161698E9</v>
      </c>
      <c r="E455" s="5" t="s">
        <v>688</v>
      </c>
      <c r="G455" s="5" t="s">
        <v>289</v>
      </c>
      <c r="H455" s="8"/>
      <c r="I455" s="8"/>
      <c r="J455" s="8"/>
    </row>
    <row r="456">
      <c r="A456" s="4">
        <v>45249.72928584491</v>
      </c>
      <c r="B456" s="5" t="s">
        <v>689</v>
      </c>
      <c r="C456" s="5">
        <v>9.991381E9</v>
      </c>
      <c r="G456" s="5" t="s">
        <v>289</v>
      </c>
      <c r="H456" s="8"/>
      <c r="I456" s="8"/>
      <c r="J456" s="8"/>
    </row>
    <row r="457">
      <c r="A457" s="4">
        <v>45249.729722118056</v>
      </c>
      <c r="B457" s="5" t="s">
        <v>690</v>
      </c>
      <c r="C457" s="5">
        <v>9.99012078E9</v>
      </c>
      <c r="G457" s="5" t="s">
        <v>289</v>
      </c>
      <c r="H457" s="8"/>
      <c r="I457" s="8"/>
      <c r="J457" s="8"/>
    </row>
    <row r="458">
      <c r="A458" s="4">
        <v>45249.73004277778</v>
      </c>
      <c r="B458" s="5" t="s">
        <v>691</v>
      </c>
      <c r="C458" s="5">
        <v>8.368922378E9</v>
      </c>
      <c r="G458" s="5" t="s">
        <v>289</v>
      </c>
      <c r="H458" s="8"/>
      <c r="I458" s="8"/>
      <c r="J458" s="8"/>
    </row>
    <row r="459">
      <c r="A459" s="4">
        <v>45249.73081392361</v>
      </c>
      <c r="B459" s="5" t="s">
        <v>692</v>
      </c>
      <c r="C459" s="5">
        <v>9.812902533E9</v>
      </c>
      <c r="G459" s="5" t="s">
        <v>289</v>
      </c>
      <c r="H459" s="8"/>
      <c r="I459" s="8"/>
      <c r="J459" s="8"/>
    </row>
    <row r="460">
      <c r="A460" s="4">
        <v>45249.73137222222</v>
      </c>
      <c r="B460" s="5" t="s">
        <v>693</v>
      </c>
      <c r="C460" s="5">
        <v>9.871578787E9</v>
      </c>
      <c r="G460" s="5" t="s">
        <v>289</v>
      </c>
      <c r="H460" s="8"/>
      <c r="I460" s="8"/>
      <c r="J460" s="8"/>
    </row>
    <row r="461">
      <c r="A461" s="4">
        <v>45249.7318568287</v>
      </c>
      <c r="B461" s="5" t="s">
        <v>694</v>
      </c>
      <c r="C461" s="5">
        <v>9.958097438E9</v>
      </c>
      <c r="E461" s="5" t="s">
        <v>695</v>
      </c>
      <c r="G461" s="5" t="s">
        <v>289</v>
      </c>
      <c r="H461" s="8"/>
      <c r="I461" s="8"/>
      <c r="J461" s="8"/>
    </row>
    <row r="462">
      <c r="A462" s="4">
        <v>45249.73231765046</v>
      </c>
      <c r="B462" s="5" t="s">
        <v>696</v>
      </c>
      <c r="C462" s="5">
        <v>9.953960602E9</v>
      </c>
      <c r="E462" s="5" t="s">
        <v>697</v>
      </c>
      <c r="G462" s="5" t="s">
        <v>289</v>
      </c>
      <c r="H462" s="8"/>
      <c r="I462" s="8"/>
      <c r="J462" s="8"/>
    </row>
    <row r="463">
      <c r="A463" s="4">
        <v>45249.73262231481</v>
      </c>
      <c r="B463" s="5" t="s">
        <v>698</v>
      </c>
      <c r="C463" s="5">
        <v>9.891815228E9</v>
      </c>
      <c r="G463" s="5" t="s">
        <v>289</v>
      </c>
      <c r="H463" s="8"/>
      <c r="I463" s="8"/>
      <c r="J463" s="8"/>
    </row>
    <row r="464">
      <c r="A464" s="4">
        <v>45249.73267981481</v>
      </c>
      <c r="B464" s="5" t="s">
        <v>169</v>
      </c>
      <c r="C464" s="5">
        <v>8.802571074E9</v>
      </c>
      <c r="G464" s="5" t="s">
        <v>303</v>
      </c>
      <c r="H464" s="8"/>
      <c r="I464" s="8"/>
      <c r="J464" s="8"/>
    </row>
    <row r="465">
      <c r="A465" s="4">
        <v>45249.73385538194</v>
      </c>
      <c r="B465" s="5" t="s">
        <v>699</v>
      </c>
      <c r="C465" s="5">
        <v>9.555311183E9</v>
      </c>
      <c r="G465" s="5" t="s">
        <v>303</v>
      </c>
      <c r="H465" s="8"/>
      <c r="I465" s="8"/>
      <c r="J465" s="8"/>
    </row>
    <row r="466">
      <c r="A466" s="4">
        <v>45249.73685565972</v>
      </c>
      <c r="B466" s="5" t="s">
        <v>700</v>
      </c>
      <c r="C466" s="5">
        <v>7.83836025E9</v>
      </c>
      <c r="G466" s="5" t="s">
        <v>303</v>
      </c>
      <c r="H466" s="5" t="s">
        <v>701</v>
      </c>
      <c r="I466" s="8"/>
      <c r="J466" s="8"/>
    </row>
    <row r="467">
      <c r="A467" s="4">
        <v>45249.74004021991</v>
      </c>
      <c r="B467" s="5" t="s">
        <v>702</v>
      </c>
      <c r="C467" s="5">
        <v>7.72889472E9</v>
      </c>
      <c r="G467" s="5" t="s">
        <v>303</v>
      </c>
      <c r="H467" s="5" t="s">
        <v>701</v>
      </c>
      <c r="I467" s="8"/>
      <c r="J467" s="8"/>
    </row>
    <row r="468">
      <c r="A468" s="4">
        <v>45249.740414722226</v>
      </c>
      <c r="B468" s="5" t="s">
        <v>703</v>
      </c>
      <c r="C468" s="5">
        <v>8.826269262E9</v>
      </c>
      <c r="D468" s="5" t="s">
        <v>704</v>
      </c>
      <c r="E468" s="5" t="s">
        <v>705</v>
      </c>
      <c r="G468" s="5" t="s">
        <v>303</v>
      </c>
      <c r="H468" s="5" t="s">
        <v>706</v>
      </c>
      <c r="I468" s="8"/>
      <c r="J468" s="8"/>
    </row>
    <row r="469">
      <c r="A469" s="4">
        <v>45249.74090204861</v>
      </c>
      <c r="B469" s="5" t="s">
        <v>707</v>
      </c>
      <c r="C469" s="5">
        <v>7.428676767E9</v>
      </c>
      <c r="G469" s="5" t="s">
        <v>303</v>
      </c>
      <c r="H469" s="5" t="s">
        <v>701</v>
      </c>
      <c r="I469" s="8"/>
      <c r="J469" s="8"/>
    </row>
    <row r="470">
      <c r="A470" s="4">
        <v>45249.74566054398</v>
      </c>
      <c r="B470" s="5" t="s">
        <v>708</v>
      </c>
      <c r="C470" s="5">
        <v>8.37699338E9</v>
      </c>
      <c r="E470" s="5" t="s">
        <v>79</v>
      </c>
      <c r="G470" s="5" t="s">
        <v>303</v>
      </c>
      <c r="H470" s="5" t="s">
        <v>706</v>
      </c>
      <c r="I470" s="8"/>
      <c r="J470" s="8"/>
    </row>
    <row r="471">
      <c r="A471" s="4">
        <v>45249.7482537037</v>
      </c>
      <c r="B471" s="5" t="s">
        <v>709</v>
      </c>
      <c r="C471" s="5">
        <v>9.729600811E9</v>
      </c>
      <c r="E471" s="5" t="s">
        <v>71</v>
      </c>
      <c r="G471" s="5" t="s">
        <v>303</v>
      </c>
      <c r="H471" s="5" t="s">
        <v>706</v>
      </c>
      <c r="I471" s="8"/>
      <c r="J471" s="8"/>
    </row>
    <row r="472">
      <c r="A472" s="4">
        <v>45249.748484421296</v>
      </c>
      <c r="B472" s="5" t="s">
        <v>710</v>
      </c>
      <c r="C472" s="5">
        <v>9.255555983E9</v>
      </c>
      <c r="G472" s="5" t="s">
        <v>303</v>
      </c>
      <c r="H472" s="5" t="s">
        <v>701</v>
      </c>
      <c r="I472" s="8"/>
      <c r="J472" s="8"/>
    </row>
    <row r="473">
      <c r="A473" s="4">
        <v>45249.749922268515</v>
      </c>
      <c r="B473" s="5" t="s">
        <v>649</v>
      </c>
      <c r="C473" s="5">
        <v>7.678427428E9</v>
      </c>
      <c r="G473" s="5" t="s">
        <v>303</v>
      </c>
      <c r="H473" s="5" t="s">
        <v>701</v>
      </c>
      <c r="I473" s="8"/>
      <c r="J473" s="8"/>
    </row>
    <row r="474">
      <c r="A474" s="4">
        <v>45249.75049364583</v>
      </c>
      <c r="B474" s="5" t="s">
        <v>711</v>
      </c>
      <c r="C474" s="5">
        <v>9.999456491E9</v>
      </c>
      <c r="D474" s="5" t="s">
        <v>712</v>
      </c>
      <c r="G474" s="5" t="s">
        <v>303</v>
      </c>
      <c r="H474" s="5" t="s">
        <v>701</v>
      </c>
      <c r="I474" s="8"/>
      <c r="J474" s="8"/>
    </row>
    <row r="475">
      <c r="A475" s="4">
        <v>45249.75121592593</v>
      </c>
      <c r="B475" s="5" t="s">
        <v>713</v>
      </c>
      <c r="C475" s="5">
        <v>9.871041701E9</v>
      </c>
      <c r="D475" s="5" t="s">
        <v>714</v>
      </c>
      <c r="G475" s="5" t="s">
        <v>303</v>
      </c>
      <c r="H475" s="5" t="s">
        <v>701</v>
      </c>
      <c r="I475" s="8"/>
      <c r="J475" s="8"/>
    </row>
    <row r="476">
      <c r="A476" s="4">
        <v>45249.76481289352</v>
      </c>
      <c r="B476" s="5" t="s">
        <v>715</v>
      </c>
      <c r="C476" s="5">
        <v>9.510980962E9</v>
      </c>
      <c r="G476" s="5" t="s">
        <v>303</v>
      </c>
      <c r="H476" s="5" t="s">
        <v>701</v>
      </c>
      <c r="I476" s="8"/>
      <c r="J476" s="5" t="s">
        <v>716</v>
      </c>
    </row>
    <row r="477">
      <c r="A477" s="4">
        <v>45249.76579336806</v>
      </c>
      <c r="B477" s="5" t="s">
        <v>717</v>
      </c>
      <c r="C477" s="5">
        <v>9.729999195E9</v>
      </c>
      <c r="E477" s="5" t="s">
        <v>718</v>
      </c>
      <c r="G477" s="5" t="s">
        <v>303</v>
      </c>
      <c r="H477" s="5" t="s">
        <v>706</v>
      </c>
      <c r="I477" s="8"/>
      <c r="J477" s="5" t="s">
        <v>719</v>
      </c>
    </row>
    <row r="478">
      <c r="A478" s="4">
        <v>45249.7678971875</v>
      </c>
      <c r="B478" s="5" t="s">
        <v>720</v>
      </c>
      <c r="C478" s="5">
        <v>9.43196959E9</v>
      </c>
      <c r="E478" s="5" t="s">
        <v>721</v>
      </c>
      <c r="G478" s="5" t="s">
        <v>303</v>
      </c>
      <c r="H478" s="5" t="s">
        <v>722</v>
      </c>
      <c r="I478" s="8"/>
      <c r="J478" s="5" t="s">
        <v>723</v>
      </c>
    </row>
    <row r="479">
      <c r="A479" s="4">
        <v>45249.76817789352</v>
      </c>
      <c r="B479" s="5" t="s">
        <v>724</v>
      </c>
      <c r="C479" s="5">
        <v>7.983758686E9</v>
      </c>
      <c r="E479" s="5" t="s">
        <v>725</v>
      </c>
      <c r="G479" s="5" t="s">
        <v>303</v>
      </c>
      <c r="H479" s="5" t="s">
        <v>706</v>
      </c>
      <c r="I479" s="8"/>
      <c r="J479" s="5" t="s">
        <v>719</v>
      </c>
    </row>
    <row r="480">
      <c r="A480" s="4">
        <v>45249.77062391204</v>
      </c>
      <c r="B480" s="5" t="s">
        <v>726</v>
      </c>
      <c r="C480" s="5">
        <v>7.503600259E9</v>
      </c>
      <c r="E480" s="5" t="s">
        <v>79</v>
      </c>
      <c r="G480" s="5" t="s">
        <v>303</v>
      </c>
      <c r="H480" s="5" t="s">
        <v>706</v>
      </c>
      <c r="I480" s="8"/>
      <c r="J480" s="5" t="s">
        <v>719</v>
      </c>
    </row>
    <row r="481">
      <c r="A481" s="4">
        <v>45249.77083342592</v>
      </c>
      <c r="B481" s="5" t="s">
        <v>727</v>
      </c>
      <c r="C481" s="5">
        <v>9.667713321E9</v>
      </c>
      <c r="G481" s="5" t="s">
        <v>303</v>
      </c>
      <c r="H481" s="5" t="s">
        <v>701</v>
      </c>
      <c r="I481" s="8"/>
      <c r="J481" s="5" t="s">
        <v>716</v>
      </c>
    </row>
    <row r="482">
      <c r="A482" s="4">
        <v>45249.77417209491</v>
      </c>
      <c r="B482" s="5" t="s">
        <v>414</v>
      </c>
      <c r="C482" s="5">
        <v>9.310108131E9</v>
      </c>
      <c r="E482" s="5" t="s">
        <v>728</v>
      </c>
      <c r="G482" s="5" t="s">
        <v>303</v>
      </c>
      <c r="H482" s="5" t="s">
        <v>706</v>
      </c>
      <c r="I482" s="8"/>
      <c r="J482" s="5" t="s">
        <v>719</v>
      </c>
    </row>
    <row r="483">
      <c r="A483" s="4">
        <v>45249.778657372684</v>
      </c>
      <c r="B483" s="5" t="s">
        <v>729</v>
      </c>
      <c r="C483" s="5">
        <v>8.447697639E9</v>
      </c>
      <c r="D483" s="5" t="s">
        <v>730</v>
      </c>
      <c r="E483" s="5" t="s">
        <v>79</v>
      </c>
      <c r="G483" s="5" t="s">
        <v>303</v>
      </c>
      <c r="H483" s="5" t="s">
        <v>706</v>
      </c>
      <c r="I483" s="8"/>
      <c r="J483" s="5" t="s">
        <v>719</v>
      </c>
    </row>
    <row r="484">
      <c r="A484" s="4">
        <v>45249.77876439814</v>
      </c>
      <c r="B484" s="5" t="s">
        <v>731</v>
      </c>
      <c r="C484" s="5">
        <v>8.447697639E9</v>
      </c>
      <c r="D484" s="5" t="s">
        <v>732</v>
      </c>
      <c r="G484" s="5" t="s">
        <v>303</v>
      </c>
      <c r="H484" s="5" t="s">
        <v>701</v>
      </c>
      <c r="I484" s="8"/>
      <c r="J484" s="5" t="s">
        <v>716</v>
      </c>
    </row>
    <row r="485">
      <c r="A485" s="4">
        <v>45249.78027775463</v>
      </c>
      <c r="B485" s="5" t="s">
        <v>733</v>
      </c>
      <c r="C485" s="5">
        <v>9.910000632E9</v>
      </c>
      <c r="D485" s="5" t="s">
        <v>734</v>
      </c>
      <c r="G485" s="5" t="s">
        <v>303</v>
      </c>
      <c r="H485" s="5" t="s">
        <v>701</v>
      </c>
      <c r="I485" s="8"/>
      <c r="J485" s="5" t="s">
        <v>716</v>
      </c>
    </row>
    <row r="486">
      <c r="A486" s="4">
        <v>45249.78288438657</v>
      </c>
      <c r="B486" s="5" t="s">
        <v>735</v>
      </c>
      <c r="C486" s="5">
        <v>9.968162461E9</v>
      </c>
      <c r="G486" s="5" t="s">
        <v>289</v>
      </c>
      <c r="H486" s="5" t="s">
        <v>701</v>
      </c>
      <c r="I486" s="8"/>
      <c r="J486" s="5" t="s">
        <v>736</v>
      </c>
    </row>
    <row r="487">
      <c r="A487" s="4">
        <v>45249.78365146991</v>
      </c>
      <c r="B487" s="5" t="s">
        <v>737</v>
      </c>
      <c r="C487" s="5">
        <v>8.82696449E9</v>
      </c>
      <c r="G487" s="5" t="s">
        <v>289</v>
      </c>
      <c r="H487" s="5" t="s">
        <v>701</v>
      </c>
      <c r="I487" s="8"/>
      <c r="J487" s="5" t="s">
        <v>738</v>
      </c>
    </row>
    <row r="488">
      <c r="A488" s="4">
        <v>45249.784154629626</v>
      </c>
      <c r="B488" s="5" t="s">
        <v>739</v>
      </c>
      <c r="C488" s="5">
        <v>9.810609464E9</v>
      </c>
      <c r="G488" s="5" t="s">
        <v>289</v>
      </c>
      <c r="H488" s="5" t="s">
        <v>701</v>
      </c>
      <c r="I488" s="8"/>
      <c r="J488" s="5" t="s">
        <v>490</v>
      </c>
    </row>
    <row r="489">
      <c r="A489" s="4">
        <v>45249.78437828703</v>
      </c>
      <c r="B489" s="5" t="s">
        <v>740</v>
      </c>
      <c r="C489" s="5">
        <v>8.802343445E9</v>
      </c>
      <c r="G489" s="5" t="s">
        <v>303</v>
      </c>
      <c r="H489" s="5" t="s">
        <v>701</v>
      </c>
      <c r="I489" s="8"/>
      <c r="J489" s="5" t="s">
        <v>723</v>
      </c>
    </row>
    <row r="490">
      <c r="A490" s="4">
        <v>45249.78489765046</v>
      </c>
      <c r="B490" s="5" t="s">
        <v>741</v>
      </c>
      <c r="C490" s="5">
        <v>9.911838993E9</v>
      </c>
      <c r="G490" s="5" t="s">
        <v>289</v>
      </c>
      <c r="H490" s="5" t="s">
        <v>706</v>
      </c>
      <c r="I490" s="8"/>
      <c r="J490" s="5" t="s">
        <v>736</v>
      </c>
    </row>
    <row r="491">
      <c r="A491" s="4">
        <v>45249.78538613426</v>
      </c>
      <c r="B491" s="5" t="s">
        <v>742</v>
      </c>
      <c r="C491" s="5">
        <v>7.500651712E9</v>
      </c>
      <c r="E491" s="5" t="s">
        <v>743</v>
      </c>
      <c r="G491" s="5" t="s">
        <v>289</v>
      </c>
      <c r="H491" s="5" t="s">
        <v>706</v>
      </c>
      <c r="I491" s="8"/>
    </row>
    <row r="492">
      <c r="A492" s="4">
        <v>45249.78592731481</v>
      </c>
      <c r="B492" s="5" t="s">
        <v>744</v>
      </c>
      <c r="C492" s="5">
        <v>9.560023362E9</v>
      </c>
      <c r="E492" s="5" t="s">
        <v>459</v>
      </c>
      <c r="G492" s="5" t="s">
        <v>289</v>
      </c>
      <c r="H492" s="5" t="s">
        <v>722</v>
      </c>
      <c r="I492" s="8"/>
    </row>
    <row r="493">
      <c r="A493" s="4">
        <v>45249.786444363424</v>
      </c>
      <c r="B493" s="5" t="s">
        <v>745</v>
      </c>
      <c r="C493" s="5">
        <v>9.897628823E9</v>
      </c>
      <c r="E493" s="5" t="s">
        <v>79</v>
      </c>
      <c r="G493" s="5" t="s">
        <v>303</v>
      </c>
      <c r="H493" s="5" t="s">
        <v>706</v>
      </c>
      <c r="I493" s="8"/>
    </row>
    <row r="494">
      <c r="A494" s="4">
        <v>45249.79064302084</v>
      </c>
      <c r="B494" s="5" t="s">
        <v>746</v>
      </c>
      <c r="C494" s="5">
        <v>9.560818599E9</v>
      </c>
      <c r="G494" s="5" t="s">
        <v>303</v>
      </c>
      <c r="H494" s="5" t="s">
        <v>701</v>
      </c>
      <c r="I494" s="8"/>
    </row>
    <row r="495">
      <c r="A495" s="4">
        <v>45249.79097890046</v>
      </c>
      <c r="B495" s="5" t="s">
        <v>747</v>
      </c>
      <c r="C495" s="5">
        <v>9.810850496E9</v>
      </c>
      <c r="E495" s="5" t="s">
        <v>748</v>
      </c>
      <c r="G495" s="5" t="s">
        <v>303</v>
      </c>
      <c r="H495" s="5" t="s">
        <v>706</v>
      </c>
      <c r="I495" s="8"/>
    </row>
    <row r="496">
      <c r="A496" s="4">
        <v>45249.79140793982</v>
      </c>
      <c r="B496" s="5" t="s">
        <v>749</v>
      </c>
      <c r="C496" s="5">
        <v>9.899807013E9</v>
      </c>
      <c r="E496" s="5" t="s">
        <v>51</v>
      </c>
      <c r="G496" s="5" t="s">
        <v>303</v>
      </c>
      <c r="H496" s="5" t="s">
        <v>706</v>
      </c>
      <c r="I496" s="8"/>
    </row>
    <row r="497">
      <c r="A497" s="4">
        <v>45249.79190150463</v>
      </c>
      <c r="B497" s="5" t="s">
        <v>750</v>
      </c>
      <c r="C497" s="5">
        <v>9.873078134E9</v>
      </c>
      <c r="E497" s="5" t="s">
        <v>79</v>
      </c>
      <c r="G497" s="5" t="s">
        <v>303</v>
      </c>
      <c r="H497" s="5" t="s">
        <v>706</v>
      </c>
      <c r="I497" s="8"/>
    </row>
    <row r="498">
      <c r="A498" s="4">
        <v>45249.793019317134</v>
      </c>
      <c r="B498" s="5" t="s">
        <v>751</v>
      </c>
      <c r="C498" s="5">
        <v>9.821538053E9</v>
      </c>
      <c r="E498" s="5" t="s">
        <v>79</v>
      </c>
      <c r="G498" s="5" t="s">
        <v>303</v>
      </c>
      <c r="H498" s="5" t="s">
        <v>706</v>
      </c>
      <c r="I498" s="8"/>
    </row>
    <row r="499">
      <c r="A499" s="4">
        <v>45249.793288229164</v>
      </c>
      <c r="B499" s="5" t="s">
        <v>752</v>
      </c>
      <c r="C499" s="5">
        <v>9.99794739E9</v>
      </c>
      <c r="G499" s="5" t="s">
        <v>303</v>
      </c>
      <c r="H499" s="5" t="s">
        <v>701</v>
      </c>
      <c r="I499" s="8"/>
    </row>
    <row r="500">
      <c r="A500" s="4">
        <v>45249.79384092592</v>
      </c>
      <c r="B500" s="5" t="s">
        <v>753</v>
      </c>
      <c r="C500" s="5">
        <v>9.358011988E9</v>
      </c>
      <c r="E500" s="5" t="s">
        <v>21</v>
      </c>
      <c r="F500" s="7" t="s">
        <v>754</v>
      </c>
      <c r="G500" s="5" t="s">
        <v>303</v>
      </c>
      <c r="H500" s="5" t="s">
        <v>706</v>
      </c>
      <c r="I500" s="8"/>
    </row>
    <row r="501">
      <c r="A501" s="4">
        <v>45249.79970376157</v>
      </c>
      <c r="B501" s="5" t="s">
        <v>755</v>
      </c>
      <c r="C501" s="5">
        <v>9.810850496E9</v>
      </c>
      <c r="G501" s="5" t="s">
        <v>303</v>
      </c>
      <c r="H501" s="5" t="s">
        <v>722</v>
      </c>
      <c r="I501" s="8"/>
    </row>
    <row r="502">
      <c r="A502" s="4">
        <v>45249.8025044213</v>
      </c>
      <c r="B502" s="5" t="s">
        <v>756</v>
      </c>
      <c r="C502" s="5">
        <v>9.310055032E9</v>
      </c>
      <c r="D502" s="5" t="s">
        <v>757</v>
      </c>
      <c r="G502" s="5" t="s">
        <v>303</v>
      </c>
      <c r="H502" s="5" t="s">
        <v>701</v>
      </c>
      <c r="I502" s="8"/>
    </row>
    <row r="503">
      <c r="A503" s="4">
        <v>45249.81770771991</v>
      </c>
      <c r="B503" s="5" t="s">
        <v>758</v>
      </c>
      <c r="C503" s="5">
        <v>9.8680933E9</v>
      </c>
      <c r="E503" s="5" t="s">
        <v>759</v>
      </c>
      <c r="G503" s="5" t="s">
        <v>303</v>
      </c>
      <c r="H503" s="5" t="s">
        <v>722</v>
      </c>
      <c r="I503" s="8"/>
    </row>
    <row r="504">
      <c r="A504" s="4">
        <v>45250.49728486111</v>
      </c>
      <c r="B504" s="5" t="s">
        <v>760</v>
      </c>
      <c r="C504" s="5">
        <v>9.105564802E9</v>
      </c>
      <c r="D504" s="5" t="s">
        <v>761</v>
      </c>
      <c r="G504" s="5" t="s">
        <v>303</v>
      </c>
      <c r="H504" s="5" t="s">
        <v>701</v>
      </c>
      <c r="I504" s="8"/>
    </row>
    <row r="505">
      <c r="A505" s="4">
        <v>45250.502795266206</v>
      </c>
      <c r="B505" s="5" t="s">
        <v>762</v>
      </c>
      <c r="C505" s="5">
        <v>9.89758288E9</v>
      </c>
      <c r="G505" s="5" t="s">
        <v>303</v>
      </c>
      <c r="H505" s="5" t="s">
        <v>701</v>
      </c>
      <c r="I505" s="8"/>
    </row>
    <row r="506">
      <c r="A506" s="4">
        <v>45250.50407701389</v>
      </c>
      <c r="B506" s="5" t="s">
        <v>763</v>
      </c>
      <c r="C506" s="5">
        <v>9.990729019E9</v>
      </c>
      <c r="E506" s="5" t="s">
        <v>764</v>
      </c>
      <c r="G506" s="5" t="s">
        <v>303</v>
      </c>
      <c r="H506" s="5" t="s">
        <v>706</v>
      </c>
      <c r="I506" s="8"/>
    </row>
    <row r="507">
      <c r="A507" s="4">
        <v>45250.5059768287</v>
      </c>
      <c r="B507" s="5" t="s">
        <v>765</v>
      </c>
      <c r="C507" s="5">
        <v>9.971139277E9</v>
      </c>
      <c r="D507" s="5" t="s">
        <v>766</v>
      </c>
      <c r="G507" s="5" t="s">
        <v>303</v>
      </c>
      <c r="H507" s="5" t="s">
        <v>701</v>
      </c>
      <c r="I507" s="8"/>
    </row>
    <row r="508">
      <c r="A508" s="4">
        <v>45250.508675324076</v>
      </c>
      <c r="B508" s="5" t="s">
        <v>767</v>
      </c>
      <c r="C508" s="5">
        <v>9.968278496E9</v>
      </c>
      <c r="G508" s="5" t="s">
        <v>303</v>
      </c>
      <c r="H508" s="5" t="s">
        <v>701</v>
      </c>
      <c r="I508" s="8"/>
    </row>
    <row r="509">
      <c r="A509" s="4">
        <v>45250.51073260416</v>
      </c>
      <c r="B509" s="5" t="s">
        <v>768</v>
      </c>
      <c r="C509" s="5">
        <v>9.015292013E9</v>
      </c>
      <c r="E509" s="5" t="s">
        <v>769</v>
      </c>
      <c r="G509" s="5" t="s">
        <v>303</v>
      </c>
      <c r="H509" s="5" t="s">
        <v>706</v>
      </c>
      <c r="I509" s="8"/>
    </row>
    <row r="510">
      <c r="A510" s="4">
        <v>45250.517828854165</v>
      </c>
      <c r="B510" s="5" t="s">
        <v>770</v>
      </c>
      <c r="C510" s="5">
        <v>9.315574697E9</v>
      </c>
      <c r="G510" s="5" t="s">
        <v>303</v>
      </c>
      <c r="H510" s="5" t="s">
        <v>701</v>
      </c>
      <c r="I510" s="8"/>
    </row>
    <row r="511">
      <c r="A511" s="4">
        <v>45250.52102236111</v>
      </c>
      <c r="B511" s="5" t="s">
        <v>771</v>
      </c>
      <c r="C511" s="5">
        <v>9.810702912E9</v>
      </c>
      <c r="G511" s="5" t="s">
        <v>303</v>
      </c>
      <c r="H511" s="5" t="s">
        <v>701</v>
      </c>
      <c r="I511" s="8"/>
    </row>
    <row r="512">
      <c r="A512" s="4">
        <v>45250.52302930555</v>
      </c>
      <c r="B512" s="5" t="s">
        <v>772</v>
      </c>
      <c r="C512" s="5">
        <v>9.86863402E9</v>
      </c>
      <c r="G512" s="5" t="s">
        <v>303</v>
      </c>
      <c r="H512" s="5" t="s">
        <v>701</v>
      </c>
      <c r="I512" s="8"/>
    </row>
    <row r="513">
      <c r="A513" s="4">
        <v>45250.52310630787</v>
      </c>
      <c r="B513" s="5" t="s">
        <v>291</v>
      </c>
      <c r="C513" s="5">
        <v>9.953202106E9</v>
      </c>
      <c r="D513" s="5" t="s">
        <v>773</v>
      </c>
      <c r="G513" s="5" t="s">
        <v>303</v>
      </c>
      <c r="H513" s="5" t="s">
        <v>701</v>
      </c>
      <c r="I513" s="8"/>
    </row>
    <row r="514">
      <c r="A514" s="4">
        <v>45250.52623087963</v>
      </c>
      <c r="B514" s="5" t="s">
        <v>774</v>
      </c>
      <c r="C514" s="5">
        <v>9.711004903E9</v>
      </c>
      <c r="G514" s="5" t="s">
        <v>303</v>
      </c>
      <c r="H514" s="5" t="s">
        <v>701</v>
      </c>
      <c r="I514" s="8"/>
    </row>
    <row r="515">
      <c r="A515" s="4">
        <v>45250.53590364583</v>
      </c>
      <c r="B515" s="5" t="s">
        <v>775</v>
      </c>
      <c r="C515" s="5">
        <v>9.540325879E9</v>
      </c>
      <c r="E515" s="5" t="s">
        <v>79</v>
      </c>
      <c r="G515" s="5" t="s">
        <v>303</v>
      </c>
      <c r="H515" s="5" t="s">
        <v>706</v>
      </c>
      <c r="I515" s="8"/>
    </row>
    <row r="516">
      <c r="A516" s="4">
        <v>45250.537424131944</v>
      </c>
      <c r="B516" s="5" t="s">
        <v>776</v>
      </c>
      <c r="C516" s="5">
        <v>9.868429229E9</v>
      </c>
      <c r="G516" s="5" t="s">
        <v>303</v>
      </c>
      <c r="H516" s="5" t="s">
        <v>701</v>
      </c>
      <c r="I516" s="8"/>
    </row>
    <row r="517">
      <c r="A517" s="4">
        <v>45250.54060453703</v>
      </c>
      <c r="B517" s="5" t="s">
        <v>777</v>
      </c>
      <c r="C517" s="5">
        <v>8.527283567E9</v>
      </c>
      <c r="D517" s="5" t="s">
        <v>778</v>
      </c>
      <c r="G517" s="5" t="s">
        <v>303</v>
      </c>
      <c r="H517" s="5" t="s">
        <v>701</v>
      </c>
      <c r="I517" s="8"/>
    </row>
    <row r="518">
      <c r="A518" s="4">
        <v>45250.54117253472</v>
      </c>
      <c r="B518" s="5" t="s">
        <v>516</v>
      </c>
      <c r="C518" s="5">
        <v>9.650766897E9</v>
      </c>
      <c r="D518" s="5" t="s">
        <v>779</v>
      </c>
      <c r="G518" s="5" t="s">
        <v>303</v>
      </c>
      <c r="H518" s="5" t="s">
        <v>701</v>
      </c>
      <c r="I518" s="8"/>
    </row>
    <row r="519">
      <c r="A519" s="4">
        <v>45250.541978379624</v>
      </c>
      <c r="B519" s="5" t="s">
        <v>780</v>
      </c>
      <c r="C519" s="5">
        <v>7.835992121E9</v>
      </c>
      <c r="D519" s="5" t="s">
        <v>781</v>
      </c>
      <c r="G519" s="5" t="s">
        <v>303</v>
      </c>
      <c r="H519" s="5" t="s">
        <v>701</v>
      </c>
      <c r="I519" s="8"/>
    </row>
    <row r="520">
      <c r="A520" s="4">
        <v>45250.54478077547</v>
      </c>
      <c r="B520" s="5" t="s">
        <v>782</v>
      </c>
      <c r="C520" s="5">
        <v>8.587975931E9</v>
      </c>
      <c r="G520" s="5" t="s">
        <v>303</v>
      </c>
      <c r="H520" s="5" t="s">
        <v>701</v>
      </c>
      <c r="I520" s="8"/>
    </row>
    <row r="521">
      <c r="A521" s="4">
        <v>45250.54578443287</v>
      </c>
      <c r="B521" s="5" t="s">
        <v>783</v>
      </c>
      <c r="C521" s="5">
        <v>9.911189092E9</v>
      </c>
      <c r="G521" s="5" t="s">
        <v>303</v>
      </c>
      <c r="H521" s="5" t="s">
        <v>701</v>
      </c>
      <c r="I521" s="8"/>
    </row>
    <row r="522">
      <c r="A522" s="4">
        <v>45250.55040047454</v>
      </c>
      <c r="B522" s="5" t="s">
        <v>784</v>
      </c>
      <c r="C522" s="5">
        <v>9.819808647E9</v>
      </c>
      <c r="D522" s="5" t="s">
        <v>785</v>
      </c>
      <c r="E522" s="5" t="s">
        <v>786</v>
      </c>
      <c r="F522" s="7" t="s">
        <v>787</v>
      </c>
      <c r="G522" s="5" t="s">
        <v>303</v>
      </c>
      <c r="H522" s="5" t="s">
        <v>706</v>
      </c>
      <c r="I522" s="8"/>
    </row>
    <row r="523">
      <c r="A523" s="4">
        <v>45250.556455162034</v>
      </c>
      <c r="B523" s="5" t="s">
        <v>788</v>
      </c>
      <c r="C523" s="5">
        <v>9.289846101E9</v>
      </c>
      <c r="E523" s="5" t="s">
        <v>79</v>
      </c>
      <c r="G523" s="5" t="s">
        <v>303</v>
      </c>
      <c r="H523" s="5" t="s">
        <v>706</v>
      </c>
      <c r="I523" s="8"/>
    </row>
    <row r="524">
      <c r="A524" s="4">
        <v>45250.556652847226</v>
      </c>
      <c r="B524" s="5" t="s">
        <v>789</v>
      </c>
      <c r="C524" s="5">
        <v>7.838134901E9</v>
      </c>
      <c r="G524" s="5" t="s">
        <v>303</v>
      </c>
      <c r="H524" s="5" t="s">
        <v>701</v>
      </c>
      <c r="I524" s="8"/>
    </row>
    <row r="525">
      <c r="A525" s="4">
        <v>45250.55742631944</v>
      </c>
      <c r="B525" s="5" t="s">
        <v>790</v>
      </c>
      <c r="C525" s="5">
        <v>7.011511636E9</v>
      </c>
      <c r="G525" s="5" t="s">
        <v>303</v>
      </c>
      <c r="H525" s="5" t="s">
        <v>701</v>
      </c>
      <c r="I525" s="8"/>
    </row>
    <row r="526">
      <c r="A526" s="4">
        <v>45250.56089178241</v>
      </c>
      <c r="B526" s="5" t="s">
        <v>791</v>
      </c>
      <c r="C526" s="5">
        <v>8.05393043E9</v>
      </c>
      <c r="G526" s="5" t="s">
        <v>303</v>
      </c>
      <c r="H526" s="5" t="s">
        <v>701</v>
      </c>
      <c r="I526" s="8"/>
    </row>
    <row r="527">
      <c r="A527" s="4">
        <v>45250.56252715278</v>
      </c>
      <c r="B527" s="5" t="s">
        <v>792</v>
      </c>
      <c r="C527" s="5">
        <v>8.813882129E9</v>
      </c>
      <c r="E527" s="5" t="s">
        <v>793</v>
      </c>
      <c r="G527" s="5" t="s">
        <v>303</v>
      </c>
      <c r="H527" s="5" t="s">
        <v>706</v>
      </c>
      <c r="I527" s="8"/>
    </row>
    <row r="528">
      <c r="A528" s="4">
        <v>45250.5666782176</v>
      </c>
      <c r="B528" s="5" t="s">
        <v>794</v>
      </c>
      <c r="C528" s="5">
        <v>9.8710642E9</v>
      </c>
      <c r="E528" s="5" t="s">
        <v>795</v>
      </c>
      <c r="G528" s="5" t="s">
        <v>303</v>
      </c>
      <c r="H528" s="5" t="s">
        <v>706</v>
      </c>
      <c r="I528" s="8"/>
    </row>
    <row r="529">
      <c r="A529" s="4">
        <v>45250.57616690973</v>
      </c>
      <c r="B529" s="5" t="s">
        <v>796</v>
      </c>
      <c r="C529" s="5">
        <v>9.650243333E9</v>
      </c>
      <c r="D529" s="5" t="s">
        <v>797</v>
      </c>
      <c r="G529" s="5" t="s">
        <v>303</v>
      </c>
      <c r="H529" s="5" t="s">
        <v>701</v>
      </c>
      <c r="I529" s="8"/>
    </row>
    <row r="530">
      <c r="A530" s="4">
        <v>45250.587122557874</v>
      </c>
      <c r="B530" s="5" t="s">
        <v>798</v>
      </c>
      <c r="C530" s="5">
        <v>9.667993383E9</v>
      </c>
      <c r="D530" s="5" t="s">
        <v>799</v>
      </c>
      <c r="G530" s="5" t="s">
        <v>303</v>
      </c>
      <c r="H530" s="5" t="s">
        <v>701</v>
      </c>
      <c r="I530" s="8"/>
    </row>
    <row r="531">
      <c r="A531" s="4">
        <v>45250.58743875</v>
      </c>
      <c r="B531" s="5" t="s">
        <v>371</v>
      </c>
      <c r="C531" s="5">
        <v>8.764035354E9</v>
      </c>
      <c r="G531" s="5" t="s">
        <v>303</v>
      </c>
      <c r="H531" s="5" t="s">
        <v>701</v>
      </c>
      <c r="I531" s="8"/>
    </row>
    <row r="532">
      <c r="A532" s="4">
        <v>45250.59233407407</v>
      </c>
      <c r="B532" s="5" t="s">
        <v>800</v>
      </c>
      <c r="C532" s="5">
        <v>9.818926496E9</v>
      </c>
      <c r="D532" s="5" t="s">
        <v>801</v>
      </c>
      <c r="G532" s="5" t="s">
        <v>303</v>
      </c>
      <c r="H532" s="5" t="s">
        <v>701</v>
      </c>
      <c r="I532" s="8"/>
    </row>
    <row r="533">
      <c r="A533" s="4">
        <v>45250.59334420139</v>
      </c>
      <c r="B533" s="5" t="s">
        <v>802</v>
      </c>
      <c r="C533" s="5">
        <v>9.810490279E9</v>
      </c>
      <c r="D533" s="5" t="s">
        <v>803</v>
      </c>
      <c r="G533" s="5" t="s">
        <v>303</v>
      </c>
      <c r="H533" s="5" t="s">
        <v>701</v>
      </c>
      <c r="I533" s="8"/>
    </row>
    <row r="534">
      <c r="A534" s="4">
        <v>45250.59685909722</v>
      </c>
      <c r="B534" s="5" t="s">
        <v>804</v>
      </c>
      <c r="C534" s="5">
        <v>9.354316687E9</v>
      </c>
      <c r="E534" s="5" t="s">
        <v>143</v>
      </c>
      <c r="G534" s="5" t="s">
        <v>303</v>
      </c>
      <c r="H534" s="5" t="s">
        <v>706</v>
      </c>
      <c r="I534" s="8"/>
    </row>
    <row r="535">
      <c r="A535" s="4">
        <v>45250.60228853009</v>
      </c>
      <c r="B535" s="5" t="s">
        <v>805</v>
      </c>
      <c r="C535" s="5">
        <v>9.929074118E9</v>
      </c>
      <c r="E535" s="5" t="s">
        <v>79</v>
      </c>
      <c r="G535" s="5" t="s">
        <v>303</v>
      </c>
      <c r="H535" s="5" t="s">
        <v>706</v>
      </c>
      <c r="I535" s="8"/>
    </row>
    <row r="536">
      <c r="A536" s="4">
        <v>45250.60580880787</v>
      </c>
      <c r="B536" s="5" t="s">
        <v>806</v>
      </c>
      <c r="C536" s="5">
        <v>9.910044303E9</v>
      </c>
      <c r="E536" s="5" t="s">
        <v>769</v>
      </c>
      <c r="G536" s="5" t="s">
        <v>303</v>
      </c>
      <c r="H536" s="5" t="s">
        <v>706</v>
      </c>
      <c r="I536" s="8"/>
    </row>
    <row r="537">
      <c r="A537" s="4">
        <v>45250.60748914352</v>
      </c>
      <c r="B537" s="5" t="s">
        <v>807</v>
      </c>
      <c r="C537" s="5">
        <v>9.818989744E9</v>
      </c>
      <c r="G537" s="5" t="s">
        <v>303</v>
      </c>
      <c r="H537" s="5" t="s">
        <v>722</v>
      </c>
      <c r="I537" s="8"/>
    </row>
    <row r="538">
      <c r="A538" s="4">
        <v>45250.610033634264</v>
      </c>
      <c r="B538" s="5" t="s">
        <v>808</v>
      </c>
      <c r="C538" s="5">
        <v>7.678122408E9</v>
      </c>
      <c r="G538" s="5" t="s">
        <v>303</v>
      </c>
      <c r="H538" s="5" t="s">
        <v>701</v>
      </c>
      <c r="I538" s="8"/>
    </row>
    <row r="539">
      <c r="A539" s="4">
        <v>45250.61123928241</v>
      </c>
      <c r="B539" s="5" t="s">
        <v>809</v>
      </c>
      <c r="C539" s="5">
        <v>7.982527397E9</v>
      </c>
      <c r="G539" s="5" t="s">
        <v>303</v>
      </c>
      <c r="H539" s="5" t="s">
        <v>701</v>
      </c>
      <c r="I539" s="8"/>
    </row>
    <row r="540">
      <c r="A540" s="4">
        <v>45250.61411400463</v>
      </c>
      <c r="B540" s="5" t="s">
        <v>810</v>
      </c>
      <c r="C540" s="5">
        <v>9.971237514E9</v>
      </c>
      <c r="G540" s="5" t="s">
        <v>303</v>
      </c>
      <c r="H540" s="5" t="s">
        <v>701</v>
      </c>
      <c r="I540" s="8"/>
    </row>
    <row r="541">
      <c r="A541" s="4">
        <v>45250.61538657408</v>
      </c>
      <c r="B541" s="5" t="s">
        <v>811</v>
      </c>
      <c r="C541" s="5">
        <v>9.416032444E9</v>
      </c>
      <c r="G541" s="5" t="s">
        <v>303</v>
      </c>
      <c r="H541" s="5" t="s">
        <v>701</v>
      </c>
      <c r="I541" s="8"/>
    </row>
    <row r="542">
      <c r="A542" s="4">
        <v>45250.61784861111</v>
      </c>
      <c r="B542" s="5" t="s">
        <v>812</v>
      </c>
      <c r="C542" s="5">
        <v>8.860382778E9</v>
      </c>
      <c r="E542" s="5" t="s">
        <v>79</v>
      </c>
      <c r="G542" s="5" t="s">
        <v>303</v>
      </c>
      <c r="H542" s="5" t="s">
        <v>706</v>
      </c>
      <c r="I542" s="8"/>
    </row>
    <row r="543">
      <c r="A543" s="4">
        <v>45250.618286655095</v>
      </c>
      <c r="B543" s="5" t="s">
        <v>813</v>
      </c>
      <c r="C543" s="5">
        <v>8.595701213E9</v>
      </c>
      <c r="G543" s="5" t="s">
        <v>303</v>
      </c>
      <c r="H543" s="5" t="s">
        <v>701</v>
      </c>
      <c r="I543" s="8"/>
    </row>
    <row r="544">
      <c r="A544" s="4">
        <v>45250.61991298611</v>
      </c>
      <c r="B544" s="5" t="s">
        <v>109</v>
      </c>
      <c r="C544" s="5">
        <v>9.818364903E9</v>
      </c>
      <c r="E544" s="5" t="s">
        <v>814</v>
      </c>
      <c r="G544" s="5" t="s">
        <v>303</v>
      </c>
      <c r="H544" s="5" t="s">
        <v>706</v>
      </c>
      <c r="I544" s="8"/>
    </row>
    <row r="545">
      <c r="A545" s="4">
        <v>45250.62133087963</v>
      </c>
      <c r="B545" s="5" t="s">
        <v>815</v>
      </c>
      <c r="C545" s="5">
        <v>9.990087872E9</v>
      </c>
      <c r="G545" s="5" t="s">
        <v>303</v>
      </c>
      <c r="H545" s="5" t="s">
        <v>701</v>
      </c>
      <c r="I545" s="8"/>
    </row>
    <row r="546">
      <c r="A546" s="4">
        <v>45250.6218503125</v>
      </c>
      <c r="B546" s="5" t="s">
        <v>816</v>
      </c>
      <c r="C546" s="5">
        <v>7.042168871E9</v>
      </c>
      <c r="E546" s="5" t="s">
        <v>143</v>
      </c>
      <c r="G546" s="5" t="s">
        <v>303</v>
      </c>
      <c r="H546" s="5" t="s">
        <v>706</v>
      </c>
      <c r="I546" s="8"/>
    </row>
    <row r="547">
      <c r="A547" s="4">
        <v>45250.62282554398</v>
      </c>
      <c r="B547" s="5" t="s">
        <v>817</v>
      </c>
      <c r="C547" s="5">
        <v>8.285968093E9</v>
      </c>
      <c r="E547" s="5" t="s">
        <v>227</v>
      </c>
      <c r="G547" s="5" t="s">
        <v>303</v>
      </c>
      <c r="H547" s="5" t="s">
        <v>706</v>
      </c>
      <c r="I547" s="8"/>
    </row>
    <row r="548">
      <c r="A548" s="4">
        <v>45250.623615185184</v>
      </c>
      <c r="B548" s="5" t="s">
        <v>818</v>
      </c>
      <c r="C548" s="5">
        <v>9.999217858E9</v>
      </c>
      <c r="D548" s="5" t="s">
        <v>819</v>
      </c>
      <c r="G548" s="5" t="s">
        <v>303</v>
      </c>
      <c r="H548" s="5" t="s">
        <v>701</v>
      </c>
      <c r="I548" s="8"/>
    </row>
    <row r="549">
      <c r="A549" s="4">
        <v>45250.62639928241</v>
      </c>
      <c r="B549" s="5" t="s">
        <v>820</v>
      </c>
      <c r="C549" s="5">
        <v>8.447410447E9</v>
      </c>
      <c r="E549" s="5" t="s">
        <v>227</v>
      </c>
      <c r="G549" s="5" t="s">
        <v>303</v>
      </c>
      <c r="H549" s="5" t="s">
        <v>706</v>
      </c>
      <c r="I549" s="8"/>
    </row>
    <row r="550">
      <c r="A550" s="4">
        <v>45250.63017125</v>
      </c>
      <c r="B550" s="5" t="s">
        <v>821</v>
      </c>
      <c r="C550" s="5">
        <v>9.811425384E9</v>
      </c>
      <c r="E550" s="5" t="s">
        <v>79</v>
      </c>
      <c r="G550" s="5" t="s">
        <v>303</v>
      </c>
      <c r="H550" s="5" t="s">
        <v>706</v>
      </c>
      <c r="I550" s="8"/>
    </row>
    <row r="551">
      <c r="A551" s="4">
        <v>45250.6340113426</v>
      </c>
      <c r="B551" s="5" t="s">
        <v>822</v>
      </c>
      <c r="C551" s="5">
        <v>7.042556601E9</v>
      </c>
      <c r="E551" s="5" t="s">
        <v>823</v>
      </c>
      <c r="G551" s="5" t="s">
        <v>303</v>
      </c>
      <c r="H551" s="5" t="s">
        <v>706</v>
      </c>
      <c r="I551" s="8"/>
    </row>
    <row r="552">
      <c r="A552" s="4">
        <v>45250.635436261575</v>
      </c>
      <c r="B552" s="5" t="s">
        <v>824</v>
      </c>
      <c r="C552" s="5">
        <v>9.62595893E9</v>
      </c>
      <c r="G552" s="5" t="s">
        <v>303</v>
      </c>
      <c r="H552" s="5" t="s">
        <v>701</v>
      </c>
      <c r="I552" s="8"/>
    </row>
    <row r="553">
      <c r="A553" s="4">
        <v>45250.64000900463</v>
      </c>
      <c r="B553" s="5" t="s">
        <v>825</v>
      </c>
      <c r="C553" s="5">
        <v>9.210586675E9</v>
      </c>
      <c r="G553" s="5" t="s">
        <v>303</v>
      </c>
      <c r="H553" s="5" t="s">
        <v>701</v>
      </c>
      <c r="I553" s="8"/>
    </row>
    <row r="554">
      <c r="A554" s="4">
        <v>45250.64057758102</v>
      </c>
      <c r="B554" s="5" t="s">
        <v>826</v>
      </c>
      <c r="C554" s="5">
        <v>9.212459436E9</v>
      </c>
      <c r="G554" s="5" t="s">
        <v>303</v>
      </c>
      <c r="H554" s="5" t="s">
        <v>701</v>
      </c>
      <c r="I554" s="8"/>
    </row>
    <row r="555">
      <c r="A555" s="4">
        <v>45250.64847829861</v>
      </c>
      <c r="B555" s="5" t="s">
        <v>827</v>
      </c>
      <c r="C555" s="5">
        <v>8.287455411E9</v>
      </c>
      <c r="E555" s="5" t="s">
        <v>227</v>
      </c>
      <c r="G555" s="5" t="s">
        <v>303</v>
      </c>
      <c r="H555" s="5" t="s">
        <v>706</v>
      </c>
      <c r="I555" s="8"/>
    </row>
    <row r="556">
      <c r="A556" s="4">
        <v>45250.64933539352</v>
      </c>
      <c r="B556" s="5" t="s">
        <v>828</v>
      </c>
      <c r="C556" s="5">
        <v>9.810033194E9</v>
      </c>
      <c r="D556" s="5" t="s">
        <v>829</v>
      </c>
      <c r="G556" s="5" t="s">
        <v>303</v>
      </c>
      <c r="H556" s="5" t="s">
        <v>701</v>
      </c>
      <c r="I556" s="8"/>
    </row>
    <row r="557">
      <c r="A557" s="4">
        <v>45250.64974709491</v>
      </c>
      <c r="B557" s="5" t="s">
        <v>830</v>
      </c>
      <c r="C557" s="5">
        <v>8.130655666E9</v>
      </c>
      <c r="D557" s="5" t="s">
        <v>831</v>
      </c>
      <c r="G557" s="5" t="s">
        <v>303</v>
      </c>
      <c r="H557" s="5" t="s">
        <v>701</v>
      </c>
      <c r="I557" s="8"/>
    </row>
    <row r="558">
      <c r="A558" s="4">
        <v>45250.650157638884</v>
      </c>
      <c r="B558" s="5" t="s">
        <v>832</v>
      </c>
      <c r="C558" s="5">
        <v>8.860773648E9</v>
      </c>
      <c r="D558" s="5" t="s">
        <v>833</v>
      </c>
      <c r="E558" s="5" t="s">
        <v>79</v>
      </c>
      <c r="G558" s="5" t="s">
        <v>303</v>
      </c>
      <c r="H558" s="5" t="s">
        <v>706</v>
      </c>
      <c r="I558" s="8"/>
    </row>
    <row r="559">
      <c r="A559" s="4">
        <v>45250.65106771991</v>
      </c>
      <c r="B559" s="5" t="s">
        <v>834</v>
      </c>
      <c r="C559" s="5">
        <v>9.871150444E9</v>
      </c>
      <c r="G559" s="5" t="s">
        <v>303</v>
      </c>
      <c r="H559" s="5" t="s">
        <v>701</v>
      </c>
      <c r="I559" s="8"/>
    </row>
    <row r="560">
      <c r="A560" s="4">
        <v>45250.65200943287</v>
      </c>
      <c r="B560" s="5" t="s">
        <v>835</v>
      </c>
      <c r="C560" s="5">
        <v>9.911574217E9</v>
      </c>
      <c r="E560" s="5" t="s">
        <v>79</v>
      </c>
      <c r="G560" s="5" t="s">
        <v>303</v>
      </c>
      <c r="H560" s="5" t="s">
        <v>706</v>
      </c>
      <c r="I560" s="8"/>
    </row>
    <row r="561">
      <c r="A561" s="4">
        <v>45250.65374623843</v>
      </c>
      <c r="B561" s="5" t="s">
        <v>836</v>
      </c>
      <c r="C561" s="5">
        <v>9.999962973E9</v>
      </c>
      <c r="E561" s="5" t="s">
        <v>26</v>
      </c>
      <c r="G561" s="5" t="s">
        <v>303</v>
      </c>
      <c r="H561" s="5" t="s">
        <v>706</v>
      </c>
      <c r="I561" s="8"/>
    </row>
    <row r="562">
      <c r="A562" s="4">
        <v>45250.656011134255</v>
      </c>
      <c r="B562" s="5" t="s">
        <v>385</v>
      </c>
      <c r="C562" s="5">
        <v>9.81352136E9</v>
      </c>
      <c r="E562" s="5" t="s">
        <v>837</v>
      </c>
      <c r="G562" s="5" t="s">
        <v>303</v>
      </c>
      <c r="H562" s="5" t="s">
        <v>706</v>
      </c>
      <c r="I562" s="8"/>
    </row>
    <row r="563">
      <c r="A563" s="4">
        <v>45250.65761846065</v>
      </c>
      <c r="B563" s="5" t="s">
        <v>838</v>
      </c>
      <c r="C563" s="5">
        <v>9.289315307E9</v>
      </c>
      <c r="G563" s="5" t="s">
        <v>303</v>
      </c>
      <c r="H563" s="5" t="s">
        <v>706</v>
      </c>
      <c r="I563" s="8"/>
    </row>
    <row r="564">
      <c r="A564" s="4">
        <v>45250.65858587963</v>
      </c>
      <c r="B564" s="5" t="s">
        <v>839</v>
      </c>
      <c r="C564" s="5">
        <v>9.350007424E9</v>
      </c>
      <c r="E564" s="5" t="s">
        <v>15</v>
      </c>
      <c r="G564" s="5" t="s">
        <v>303</v>
      </c>
      <c r="H564" s="5" t="s">
        <v>706</v>
      </c>
      <c r="I564" s="8"/>
    </row>
    <row r="565">
      <c r="A565" s="4">
        <v>45250.65979638889</v>
      </c>
      <c r="B565" s="5" t="s">
        <v>840</v>
      </c>
      <c r="C565" s="5">
        <v>9.818412381E9</v>
      </c>
      <c r="E565" s="5" t="s">
        <v>841</v>
      </c>
      <c r="G565" s="5" t="s">
        <v>303</v>
      </c>
      <c r="H565" s="5" t="s">
        <v>706</v>
      </c>
      <c r="I565" s="8"/>
    </row>
    <row r="566">
      <c r="A566" s="4">
        <v>45250.66103809028</v>
      </c>
      <c r="B566" s="5" t="s">
        <v>842</v>
      </c>
      <c r="C566" s="5">
        <v>8.755677291E9</v>
      </c>
      <c r="G566" s="5" t="s">
        <v>303</v>
      </c>
      <c r="H566" s="5" t="s">
        <v>701</v>
      </c>
      <c r="I566" s="8"/>
    </row>
    <row r="567">
      <c r="A567" s="4">
        <v>45250.66479065972</v>
      </c>
      <c r="B567" s="5" t="s">
        <v>204</v>
      </c>
      <c r="C567" s="5">
        <v>9.654334311E9</v>
      </c>
      <c r="E567" s="5" t="s">
        <v>79</v>
      </c>
      <c r="G567" s="5" t="s">
        <v>303</v>
      </c>
      <c r="H567" s="5" t="s">
        <v>706</v>
      </c>
      <c r="I567" s="8"/>
    </row>
    <row r="568">
      <c r="A568" s="4">
        <v>45250.66639275463</v>
      </c>
      <c r="B568" s="5" t="s">
        <v>843</v>
      </c>
      <c r="C568" s="5">
        <v>9.891170912E9</v>
      </c>
      <c r="E568" s="5" t="s">
        <v>769</v>
      </c>
      <c r="G568" s="5" t="s">
        <v>303</v>
      </c>
      <c r="H568" s="5" t="s">
        <v>706</v>
      </c>
      <c r="I568" s="8"/>
    </row>
    <row r="569">
      <c r="A569" s="4">
        <v>45250.671360057866</v>
      </c>
      <c r="B569" s="5" t="s">
        <v>649</v>
      </c>
      <c r="C569" s="5">
        <v>9.958746147E9</v>
      </c>
      <c r="E569" s="5" t="s">
        <v>143</v>
      </c>
      <c r="G569" s="5" t="s">
        <v>303</v>
      </c>
      <c r="H569" s="5" t="s">
        <v>706</v>
      </c>
      <c r="I569" s="8"/>
    </row>
    <row r="570">
      <c r="A570" s="4">
        <v>45250.6731960301</v>
      </c>
      <c r="B570" s="5" t="s">
        <v>844</v>
      </c>
      <c r="C570" s="5">
        <v>9.871489556E9</v>
      </c>
      <c r="E570" s="5" t="s">
        <v>15</v>
      </c>
      <c r="G570" s="5" t="s">
        <v>303</v>
      </c>
      <c r="H570" s="5" t="s">
        <v>706</v>
      </c>
      <c r="I570" s="8"/>
    </row>
    <row r="571">
      <c r="A571" s="4">
        <v>45250.673443078704</v>
      </c>
      <c r="B571" s="5" t="s">
        <v>845</v>
      </c>
      <c r="C571" s="5">
        <v>8.076413835E9</v>
      </c>
      <c r="G571" s="5" t="s">
        <v>303</v>
      </c>
      <c r="H571" s="5" t="s">
        <v>701</v>
      </c>
      <c r="I571" s="8"/>
    </row>
    <row r="572">
      <c r="A572" s="4">
        <v>45250.68289171296</v>
      </c>
      <c r="B572" s="5" t="s">
        <v>846</v>
      </c>
      <c r="C572" s="5">
        <v>9.891766693E9</v>
      </c>
      <c r="E572" s="5" t="s">
        <v>71</v>
      </c>
      <c r="G572" s="5" t="s">
        <v>303</v>
      </c>
      <c r="H572" s="5" t="s">
        <v>706</v>
      </c>
      <c r="I572" s="8"/>
    </row>
    <row r="573">
      <c r="A573" s="4">
        <v>45250.68531664352</v>
      </c>
      <c r="B573" s="5" t="s">
        <v>847</v>
      </c>
      <c r="C573" s="5">
        <v>8.1711798E9</v>
      </c>
      <c r="E573" s="5" t="s">
        <v>15</v>
      </c>
      <c r="G573" s="5" t="s">
        <v>303</v>
      </c>
      <c r="H573" s="5" t="s">
        <v>706</v>
      </c>
      <c r="I573" s="8"/>
    </row>
    <row r="574">
      <c r="A574" s="4">
        <v>45250.6855612037</v>
      </c>
      <c r="B574" s="5" t="s">
        <v>848</v>
      </c>
      <c r="C574" s="5">
        <v>9.837330846E9</v>
      </c>
      <c r="E574" s="5" t="s">
        <v>79</v>
      </c>
      <c r="G574" s="5" t="s">
        <v>303</v>
      </c>
      <c r="H574" s="5" t="s">
        <v>706</v>
      </c>
      <c r="I574" s="8"/>
    </row>
    <row r="575">
      <c r="A575" s="4">
        <v>45250.68560465278</v>
      </c>
      <c r="B575" s="5" t="s">
        <v>849</v>
      </c>
      <c r="C575" s="5">
        <v>9.213650565E9</v>
      </c>
      <c r="G575" s="5" t="s">
        <v>303</v>
      </c>
      <c r="H575" s="5" t="s">
        <v>706</v>
      </c>
      <c r="I575" s="8"/>
    </row>
    <row r="576">
      <c r="A576" s="4">
        <v>45250.68599174768</v>
      </c>
      <c r="B576" s="5" t="s">
        <v>850</v>
      </c>
      <c r="C576" s="5">
        <v>9.910549664E9</v>
      </c>
      <c r="E576" s="5" t="s">
        <v>26</v>
      </c>
      <c r="G576" s="5" t="s">
        <v>303</v>
      </c>
      <c r="H576" s="5" t="s">
        <v>706</v>
      </c>
      <c r="I576" s="8"/>
    </row>
    <row r="577">
      <c r="A577" s="4">
        <v>45250.687210648146</v>
      </c>
      <c r="B577" s="5" t="s">
        <v>851</v>
      </c>
      <c r="C577" s="5">
        <v>9.81159611E9</v>
      </c>
      <c r="E577" s="5" t="s">
        <v>79</v>
      </c>
      <c r="G577" s="5" t="s">
        <v>303</v>
      </c>
      <c r="H577" s="5" t="s">
        <v>706</v>
      </c>
      <c r="I577" s="8"/>
    </row>
    <row r="578">
      <c r="A578" s="4">
        <v>45250.69097167824</v>
      </c>
      <c r="B578" s="5" t="s">
        <v>852</v>
      </c>
      <c r="C578" s="5">
        <v>7.042459239E9</v>
      </c>
      <c r="G578" s="5" t="s">
        <v>303</v>
      </c>
      <c r="H578" s="5" t="s">
        <v>701</v>
      </c>
      <c r="I578" s="8"/>
    </row>
    <row r="579">
      <c r="A579" s="4">
        <v>45250.69504818287</v>
      </c>
      <c r="B579" s="5" t="s">
        <v>709</v>
      </c>
      <c r="C579" s="5">
        <v>8.076546728E9</v>
      </c>
      <c r="E579" s="5" t="s">
        <v>853</v>
      </c>
      <c r="G579" s="5" t="s">
        <v>303</v>
      </c>
      <c r="H579" s="5" t="s">
        <v>706</v>
      </c>
      <c r="I579" s="8"/>
    </row>
    <row r="580">
      <c r="A580" s="4">
        <v>45250.69894672454</v>
      </c>
      <c r="B580" s="5" t="s">
        <v>854</v>
      </c>
      <c r="C580" s="5">
        <v>9.498082453E9</v>
      </c>
      <c r="E580" s="5" t="s">
        <v>26</v>
      </c>
      <c r="F580" s="7" t="s">
        <v>855</v>
      </c>
      <c r="G580" s="5" t="s">
        <v>303</v>
      </c>
      <c r="H580" s="5" t="s">
        <v>706</v>
      </c>
      <c r="I580" s="8"/>
    </row>
    <row r="581">
      <c r="A581" s="4">
        <v>45250.69980993056</v>
      </c>
      <c r="B581" s="5" t="s">
        <v>856</v>
      </c>
      <c r="C581" s="5">
        <v>9.650038833E9</v>
      </c>
      <c r="G581" s="5" t="s">
        <v>303</v>
      </c>
      <c r="H581" s="5" t="s">
        <v>701</v>
      </c>
      <c r="I581" s="8"/>
    </row>
    <row r="582">
      <c r="A582" s="4">
        <v>45250.704968668986</v>
      </c>
      <c r="B582" s="5" t="s">
        <v>857</v>
      </c>
      <c r="C582" s="5">
        <v>7.683042525E9</v>
      </c>
      <c r="D582" s="5" t="s">
        <v>858</v>
      </c>
      <c r="G582" s="5" t="s">
        <v>303</v>
      </c>
      <c r="H582" s="5" t="s">
        <v>701</v>
      </c>
    </row>
    <row r="583">
      <c r="A583" s="4">
        <v>45250.705771863424</v>
      </c>
      <c r="B583" s="5" t="s">
        <v>859</v>
      </c>
      <c r="C583" s="5">
        <v>9.811140702E9</v>
      </c>
      <c r="D583" s="5" t="s">
        <v>860</v>
      </c>
      <c r="G583" s="5" t="s">
        <v>303</v>
      </c>
      <c r="H583" s="5" t="s">
        <v>701</v>
      </c>
    </row>
    <row r="584">
      <c r="A584" s="4">
        <v>45250.70682302084</v>
      </c>
      <c r="B584" s="5" t="s">
        <v>861</v>
      </c>
      <c r="C584" s="5">
        <v>9.971607405E9</v>
      </c>
      <c r="E584" s="5" t="s">
        <v>862</v>
      </c>
      <c r="G584" s="5" t="s">
        <v>303</v>
      </c>
      <c r="H584" s="5" t="s">
        <v>701</v>
      </c>
    </row>
    <row r="585">
      <c r="A585" s="4">
        <v>45250.723284907406</v>
      </c>
      <c r="B585" s="5" t="s">
        <v>863</v>
      </c>
      <c r="C585" s="5">
        <v>7.42820344E9</v>
      </c>
      <c r="E585" s="5" t="s">
        <v>864</v>
      </c>
      <c r="G585" s="5" t="s">
        <v>303</v>
      </c>
      <c r="H585" s="5" t="s">
        <v>706</v>
      </c>
    </row>
    <row r="586">
      <c r="A586" s="4">
        <v>45250.73134832176</v>
      </c>
      <c r="B586" s="5" t="s">
        <v>865</v>
      </c>
      <c r="C586" s="5">
        <v>9.968003624E9</v>
      </c>
      <c r="E586" s="5" t="s">
        <v>21</v>
      </c>
      <c r="G586" s="5" t="s">
        <v>303</v>
      </c>
      <c r="H586" s="5" t="s">
        <v>706</v>
      </c>
    </row>
    <row r="587">
      <c r="A587" s="4">
        <v>45250.7328570949</v>
      </c>
      <c r="B587" s="5" t="s">
        <v>630</v>
      </c>
      <c r="C587" s="5">
        <v>9.811228477E9</v>
      </c>
      <c r="G587" s="5" t="s">
        <v>303</v>
      </c>
      <c r="H587" s="5" t="s">
        <v>701</v>
      </c>
    </row>
    <row r="588">
      <c r="A588" s="4">
        <v>45250.73440064814</v>
      </c>
      <c r="B588" s="5" t="s">
        <v>866</v>
      </c>
      <c r="C588" s="5">
        <v>9.910137295E9</v>
      </c>
      <c r="E588" s="5" t="s">
        <v>867</v>
      </c>
      <c r="G588" s="5" t="s">
        <v>303</v>
      </c>
      <c r="H588" s="5" t="s">
        <v>706</v>
      </c>
    </row>
    <row r="589">
      <c r="A589" s="4">
        <v>45250.73574181713</v>
      </c>
      <c r="B589" s="5" t="s">
        <v>868</v>
      </c>
      <c r="C589" s="5">
        <v>9.711947445E9</v>
      </c>
      <c r="E589" s="5" t="s">
        <v>15</v>
      </c>
      <c r="G589" s="5" t="s">
        <v>303</v>
      </c>
      <c r="H589" s="5" t="s">
        <v>706</v>
      </c>
    </row>
    <row r="590">
      <c r="A590" s="4">
        <v>45250.74648915509</v>
      </c>
      <c r="B590" s="5" t="s">
        <v>869</v>
      </c>
      <c r="C590" s="5">
        <v>9.650745331E9</v>
      </c>
      <c r="G590" s="5" t="s">
        <v>303</v>
      </c>
      <c r="H590" s="5" t="s">
        <v>701</v>
      </c>
    </row>
    <row r="591">
      <c r="A591" s="4">
        <v>45250.74729134259</v>
      </c>
      <c r="B591" s="5" t="s">
        <v>870</v>
      </c>
      <c r="C591" s="5">
        <v>9.212007023E9</v>
      </c>
      <c r="G591" s="5" t="s">
        <v>303</v>
      </c>
      <c r="H591" s="5" t="s">
        <v>701</v>
      </c>
    </row>
    <row r="592">
      <c r="A592" s="4">
        <v>45250.74803630787</v>
      </c>
      <c r="B592" s="5" t="s">
        <v>871</v>
      </c>
      <c r="C592" s="5">
        <v>9.87111801E9</v>
      </c>
      <c r="D592" s="5" t="s">
        <v>872</v>
      </c>
      <c r="E592" s="5" t="s">
        <v>873</v>
      </c>
      <c r="G592" s="5" t="s">
        <v>303</v>
      </c>
      <c r="H592" s="5" t="s">
        <v>706</v>
      </c>
    </row>
    <row r="593">
      <c r="A593" s="4">
        <v>45250.750396400465</v>
      </c>
      <c r="B593" s="5" t="s">
        <v>874</v>
      </c>
      <c r="C593" s="5">
        <v>9.315000642E9</v>
      </c>
      <c r="E593" s="5" t="s">
        <v>13</v>
      </c>
      <c r="G593" s="5" t="s">
        <v>303</v>
      </c>
      <c r="H593" s="5" t="s">
        <v>706</v>
      </c>
    </row>
    <row r="594">
      <c r="A594" s="4">
        <v>45250.75932395834</v>
      </c>
      <c r="B594" s="5" t="s">
        <v>875</v>
      </c>
      <c r="C594" s="5">
        <v>8.700854695E9</v>
      </c>
      <c r="E594" s="5" t="s">
        <v>79</v>
      </c>
      <c r="G594" s="5" t="s">
        <v>303</v>
      </c>
      <c r="H594" s="5" t="s">
        <v>706</v>
      </c>
    </row>
    <row r="595">
      <c r="A595" s="4">
        <v>45250.759535219906</v>
      </c>
      <c r="B595" s="5" t="s">
        <v>876</v>
      </c>
      <c r="C595" s="5">
        <v>9.810339516E9</v>
      </c>
      <c r="G595" s="5" t="s">
        <v>303</v>
      </c>
      <c r="H595" s="5" t="s">
        <v>701</v>
      </c>
    </row>
    <row r="596">
      <c r="A596" s="4">
        <v>45250.75978361111</v>
      </c>
      <c r="B596" s="5" t="s">
        <v>877</v>
      </c>
      <c r="C596" s="5">
        <v>9.811956918E9</v>
      </c>
      <c r="E596" s="5" t="s">
        <v>79</v>
      </c>
      <c r="G596" s="5" t="s">
        <v>303</v>
      </c>
      <c r="H596" s="5" t="s">
        <v>706</v>
      </c>
    </row>
    <row r="597">
      <c r="A597" s="4">
        <v>45250.760804108795</v>
      </c>
      <c r="B597" s="5" t="s">
        <v>878</v>
      </c>
      <c r="C597" s="5">
        <v>9.648536015E9</v>
      </c>
      <c r="E597" s="5" t="s">
        <v>879</v>
      </c>
      <c r="G597" s="5" t="s">
        <v>303</v>
      </c>
      <c r="H597" s="5" t="s">
        <v>706</v>
      </c>
    </row>
    <row r="598">
      <c r="A598" s="4">
        <v>45250.76110210648</v>
      </c>
      <c r="B598" s="5" t="s">
        <v>880</v>
      </c>
      <c r="C598" s="5">
        <v>9.95309502E9</v>
      </c>
      <c r="E598" s="5" t="s">
        <v>79</v>
      </c>
      <c r="G598" s="5" t="s">
        <v>303</v>
      </c>
      <c r="H598" s="5" t="s">
        <v>706</v>
      </c>
    </row>
    <row r="599">
      <c r="A599" s="4">
        <v>45250.76148385416</v>
      </c>
      <c r="B599" s="5" t="s">
        <v>75</v>
      </c>
      <c r="C599" s="5">
        <v>9.89918112E9</v>
      </c>
      <c r="E599" s="5" t="s">
        <v>21</v>
      </c>
      <c r="G599" s="5" t="s">
        <v>303</v>
      </c>
      <c r="H599" s="5" t="s">
        <v>706</v>
      </c>
    </row>
    <row r="600">
      <c r="A600" s="4">
        <v>45250.76246203703</v>
      </c>
      <c r="B600" s="5" t="s">
        <v>881</v>
      </c>
      <c r="C600" s="5">
        <v>8.586844339E9</v>
      </c>
      <c r="G600" s="5" t="s">
        <v>303</v>
      </c>
      <c r="H600" s="5" t="s">
        <v>722</v>
      </c>
    </row>
    <row r="601">
      <c r="A601" s="4">
        <v>45250.762729016205</v>
      </c>
      <c r="B601" s="5" t="s">
        <v>882</v>
      </c>
      <c r="C601" s="5">
        <v>7.838785123E9</v>
      </c>
      <c r="G601" s="5" t="s">
        <v>303</v>
      </c>
      <c r="H601" s="5" t="s">
        <v>701</v>
      </c>
    </row>
    <row r="602">
      <c r="A602" s="4">
        <v>45250.76455050926</v>
      </c>
      <c r="B602" s="5" t="s">
        <v>883</v>
      </c>
      <c r="C602" s="5">
        <v>9.278319726E9</v>
      </c>
      <c r="E602" s="5" t="s">
        <v>71</v>
      </c>
      <c r="G602" s="5" t="s">
        <v>303</v>
      </c>
      <c r="H602" s="5" t="s">
        <v>706</v>
      </c>
    </row>
    <row r="603">
      <c r="A603" s="4">
        <v>45250.769703287035</v>
      </c>
      <c r="B603" s="5" t="s">
        <v>606</v>
      </c>
      <c r="C603" s="5">
        <v>9.310579045E9</v>
      </c>
      <c r="G603" s="5" t="s">
        <v>303</v>
      </c>
      <c r="H603" s="5" t="s">
        <v>701</v>
      </c>
    </row>
    <row r="604">
      <c r="A604" s="4">
        <v>45250.77218636574</v>
      </c>
      <c r="B604" s="5" t="s">
        <v>884</v>
      </c>
      <c r="C604" s="5">
        <v>8.860333929E9</v>
      </c>
      <c r="G604" s="5" t="s">
        <v>303</v>
      </c>
      <c r="H604" s="5" t="s">
        <v>701</v>
      </c>
    </row>
    <row r="605">
      <c r="A605" s="4">
        <v>45250.77249685185</v>
      </c>
      <c r="B605" s="5" t="s">
        <v>885</v>
      </c>
      <c r="C605" s="5">
        <v>9.891073026E9</v>
      </c>
      <c r="G605" s="5" t="s">
        <v>303</v>
      </c>
      <c r="H605" s="5" t="s">
        <v>701</v>
      </c>
    </row>
    <row r="606">
      <c r="A606" s="4">
        <v>45250.7727958912</v>
      </c>
      <c r="B606" s="5" t="s">
        <v>886</v>
      </c>
      <c r="C606" s="5">
        <v>9.210599666E9</v>
      </c>
      <c r="G606" s="5" t="s">
        <v>303</v>
      </c>
      <c r="H606" s="5" t="s">
        <v>701</v>
      </c>
    </row>
    <row r="607">
      <c r="A607" s="4">
        <v>45250.784214328705</v>
      </c>
      <c r="B607" s="5" t="s">
        <v>887</v>
      </c>
      <c r="C607" s="5">
        <v>8.010083688E9</v>
      </c>
      <c r="E607" s="5" t="s">
        <v>13</v>
      </c>
      <c r="G607" s="5" t="s">
        <v>303</v>
      </c>
      <c r="H607" s="5" t="s">
        <v>706</v>
      </c>
    </row>
    <row r="608">
      <c r="A608" s="4">
        <v>45250.78779844908</v>
      </c>
      <c r="B608" s="5" t="s">
        <v>888</v>
      </c>
      <c r="C608" s="5">
        <v>7.428640742E9</v>
      </c>
      <c r="E608" s="5" t="s">
        <v>297</v>
      </c>
      <c r="G608" s="5" t="s">
        <v>303</v>
      </c>
      <c r="H608" s="5" t="s">
        <v>706</v>
      </c>
    </row>
    <row r="609">
      <c r="A609" s="4">
        <v>45250.80159902778</v>
      </c>
      <c r="B609" s="5" t="s">
        <v>889</v>
      </c>
      <c r="C609" s="5">
        <v>9.810856174E9</v>
      </c>
      <c r="G609" s="5" t="s">
        <v>303</v>
      </c>
      <c r="H609" s="5" t="s">
        <v>701</v>
      </c>
    </row>
    <row r="610">
      <c r="A610" s="4">
        <v>45250.802077939814</v>
      </c>
      <c r="B610" s="5" t="s">
        <v>890</v>
      </c>
      <c r="C610" s="5">
        <v>9.211406027E9</v>
      </c>
      <c r="G610" s="5" t="s">
        <v>303</v>
      </c>
      <c r="H610" s="5" t="s">
        <v>701</v>
      </c>
    </row>
    <row r="611">
      <c r="A611" s="4">
        <v>45250.80387231482</v>
      </c>
      <c r="B611" s="5" t="s">
        <v>606</v>
      </c>
      <c r="C611" s="5">
        <v>9.910299194E9</v>
      </c>
      <c r="E611" s="5" t="s">
        <v>891</v>
      </c>
      <c r="G611" s="5" t="s">
        <v>303</v>
      </c>
      <c r="H611" s="5" t="s">
        <v>706</v>
      </c>
    </row>
    <row r="612">
      <c r="A612" s="4">
        <v>45250.80454939815</v>
      </c>
      <c r="B612" s="5" t="s">
        <v>892</v>
      </c>
      <c r="C612" s="5">
        <v>9.311731358E9</v>
      </c>
      <c r="G612" s="5" t="s">
        <v>303</v>
      </c>
      <c r="H612" s="5" t="s">
        <v>722</v>
      </c>
    </row>
    <row r="613">
      <c r="A613" s="4">
        <v>45251.474600497684</v>
      </c>
      <c r="B613" s="5" t="s">
        <v>893</v>
      </c>
      <c r="C613" s="5">
        <v>9.412411768E9</v>
      </c>
      <c r="G613" s="5" t="s">
        <v>303</v>
      </c>
      <c r="H613" s="5" t="s">
        <v>701</v>
      </c>
    </row>
    <row r="614">
      <c r="A614" s="4">
        <v>45251.496007222224</v>
      </c>
      <c r="B614" s="5" t="s">
        <v>894</v>
      </c>
      <c r="C614" s="5">
        <v>9.891910994E9</v>
      </c>
      <c r="E614" s="5" t="s">
        <v>11</v>
      </c>
      <c r="G614" s="5" t="s">
        <v>303</v>
      </c>
      <c r="H614" s="5" t="s">
        <v>706</v>
      </c>
    </row>
    <row r="615">
      <c r="A615" s="4">
        <v>45251.496654305556</v>
      </c>
      <c r="B615" s="5" t="s">
        <v>490</v>
      </c>
      <c r="C615" s="5">
        <v>9.868668475E9</v>
      </c>
      <c r="E615" s="5" t="s">
        <v>15</v>
      </c>
      <c r="G615" s="5" t="s">
        <v>303</v>
      </c>
      <c r="H615" s="5" t="s">
        <v>706</v>
      </c>
    </row>
    <row r="616">
      <c r="A616" s="4">
        <v>45251.500240416666</v>
      </c>
      <c r="B616" s="5" t="s">
        <v>895</v>
      </c>
      <c r="C616" s="5">
        <v>9.891565625E9</v>
      </c>
      <c r="G616" s="5" t="s">
        <v>303</v>
      </c>
      <c r="H616" s="5" t="s">
        <v>701</v>
      </c>
    </row>
    <row r="617">
      <c r="A617" s="4">
        <v>45251.503511863426</v>
      </c>
      <c r="B617" s="5" t="s">
        <v>896</v>
      </c>
      <c r="C617" s="5">
        <v>9.868200531E9</v>
      </c>
      <c r="G617" s="5" t="s">
        <v>303</v>
      </c>
      <c r="H617" s="5" t="s">
        <v>701</v>
      </c>
    </row>
    <row r="618">
      <c r="A618" s="4">
        <v>45251.50380258102</v>
      </c>
      <c r="B618" s="5" t="s">
        <v>897</v>
      </c>
      <c r="C618" s="5">
        <v>9.811262577E9</v>
      </c>
      <c r="G618" s="5" t="s">
        <v>303</v>
      </c>
      <c r="H618" s="5" t="s">
        <v>701</v>
      </c>
    </row>
    <row r="619">
      <c r="A619" s="4">
        <v>45251.50454285879</v>
      </c>
      <c r="B619" s="5" t="s">
        <v>898</v>
      </c>
      <c r="C619" s="5">
        <v>8.074445603E9</v>
      </c>
      <c r="E619" s="5" t="s">
        <v>899</v>
      </c>
      <c r="G619" s="5" t="s">
        <v>303</v>
      </c>
      <c r="H619" s="5" t="s">
        <v>706</v>
      </c>
    </row>
    <row r="620">
      <c r="A620" s="4">
        <v>45251.50515668982</v>
      </c>
      <c r="B620" s="5" t="s">
        <v>900</v>
      </c>
      <c r="C620" s="5">
        <v>8.800955909E9</v>
      </c>
      <c r="D620" s="5" t="s">
        <v>901</v>
      </c>
      <c r="G620" s="5" t="s">
        <v>303</v>
      </c>
      <c r="H620" s="5" t="s">
        <v>701</v>
      </c>
    </row>
    <row r="621">
      <c r="A621" s="4">
        <v>45251.50565178241</v>
      </c>
      <c r="B621" s="5" t="s">
        <v>902</v>
      </c>
      <c r="C621" s="5">
        <v>9.899415802E9</v>
      </c>
      <c r="D621" s="5" t="s">
        <v>903</v>
      </c>
      <c r="G621" s="5" t="s">
        <v>303</v>
      </c>
      <c r="H621" s="5" t="s">
        <v>701</v>
      </c>
    </row>
    <row r="622">
      <c r="A622" s="4">
        <v>45251.50710857639</v>
      </c>
      <c r="B622" s="5" t="s">
        <v>390</v>
      </c>
      <c r="C622" s="5">
        <v>9.871377641E9</v>
      </c>
      <c r="G622" s="5" t="s">
        <v>303</v>
      </c>
      <c r="H622" s="5" t="s">
        <v>701</v>
      </c>
    </row>
    <row r="623">
      <c r="A623" s="4">
        <v>45251.508769155094</v>
      </c>
      <c r="B623" s="5" t="s">
        <v>904</v>
      </c>
      <c r="C623" s="5">
        <v>8.882446736E9</v>
      </c>
      <c r="E623" s="5" t="s">
        <v>15</v>
      </c>
      <c r="G623" s="5" t="s">
        <v>303</v>
      </c>
      <c r="H623" s="5" t="s">
        <v>706</v>
      </c>
    </row>
    <row r="624">
      <c r="A624" s="4">
        <v>45251.50887556713</v>
      </c>
      <c r="B624" s="5" t="s">
        <v>905</v>
      </c>
      <c r="C624" s="5">
        <v>8.97905488E9</v>
      </c>
      <c r="G624" s="5" t="s">
        <v>303</v>
      </c>
      <c r="H624" s="5" t="s">
        <v>701</v>
      </c>
    </row>
    <row r="625">
      <c r="A625" s="4">
        <v>45251.509250358795</v>
      </c>
      <c r="B625" s="5" t="s">
        <v>906</v>
      </c>
      <c r="C625" s="5">
        <v>9.389406565E9</v>
      </c>
      <c r="G625" s="5" t="s">
        <v>303</v>
      </c>
      <c r="H625" s="5" t="s">
        <v>701</v>
      </c>
    </row>
    <row r="626">
      <c r="A626" s="4">
        <v>45251.51046605324</v>
      </c>
      <c r="B626" s="5" t="s">
        <v>907</v>
      </c>
      <c r="C626" s="5">
        <v>9.441432207E9</v>
      </c>
      <c r="D626" s="5" t="s">
        <v>908</v>
      </c>
      <c r="G626" s="5" t="s">
        <v>303</v>
      </c>
      <c r="H626" s="5" t="s">
        <v>701</v>
      </c>
    </row>
    <row r="627">
      <c r="A627" s="4">
        <v>45251.51126467592</v>
      </c>
      <c r="B627" s="5" t="s">
        <v>909</v>
      </c>
      <c r="C627" s="5">
        <v>8.810307887E9</v>
      </c>
      <c r="E627" s="5" t="s">
        <v>424</v>
      </c>
      <c r="G627" s="5" t="s">
        <v>303</v>
      </c>
      <c r="H627" s="5" t="s">
        <v>706</v>
      </c>
    </row>
    <row r="628">
      <c r="A628" s="4">
        <v>45251.512087951385</v>
      </c>
      <c r="B628" s="5" t="s">
        <v>910</v>
      </c>
      <c r="C628" s="5">
        <v>9.8283271E9</v>
      </c>
      <c r="G628" s="5" t="s">
        <v>303</v>
      </c>
      <c r="H628" s="5" t="s">
        <v>701</v>
      </c>
    </row>
    <row r="629">
      <c r="A629" s="4">
        <v>45251.514505520834</v>
      </c>
      <c r="B629" s="5" t="s">
        <v>911</v>
      </c>
      <c r="C629" s="5">
        <v>9.891359335E9</v>
      </c>
      <c r="G629" s="5" t="s">
        <v>303</v>
      </c>
      <c r="H629" s="5" t="s">
        <v>701</v>
      </c>
    </row>
    <row r="630">
      <c r="A630" s="4">
        <v>45251.51524850694</v>
      </c>
      <c r="B630" s="5" t="s">
        <v>912</v>
      </c>
      <c r="C630" s="5">
        <v>9.99008755E9</v>
      </c>
      <c r="G630" s="5" t="s">
        <v>303</v>
      </c>
      <c r="H630" s="5" t="s">
        <v>701</v>
      </c>
    </row>
    <row r="631">
      <c r="A631" s="4">
        <v>45251.5157927199</v>
      </c>
      <c r="B631" s="5" t="s">
        <v>913</v>
      </c>
      <c r="C631" s="5">
        <v>8.800498351E9</v>
      </c>
      <c r="E631" s="5" t="s">
        <v>15</v>
      </c>
      <c r="G631" s="5" t="s">
        <v>303</v>
      </c>
      <c r="H631" s="5" t="s">
        <v>706</v>
      </c>
    </row>
    <row r="632">
      <c r="A632" s="4">
        <v>45251.5223569213</v>
      </c>
      <c r="B632" s="5" t="s">
        <v>914</v>
      </c>
      <c r="C632" s="5">
        <v>8.076392071E9</v>
      </c>
      <c r="E632" s="5" t="s">
        <v>21</v>
      </c>
      <c r="G632" s="5" t="s">
        <v>303</v>
      </c>
      <c r="H632" s="5" t="s">
        <v>706</v>
      </c>
    </row>
    <row r="633">
      <c r="A633" s="4">
        <v>45251.52259145833</v>
      </c>
      <c r="B633" s="5" t="s">
        <v>711</v>
      </c>
      <c r="C633" s="5">
        <v>8.860568021E9</v>
      </c>
      <c r="G633" s="5" t="s">
        <v>303</v>
      </c>
      <c r="H633" s="5" t="s">
        <v>701</v>
      </c>
    </row>
    <row r="634">
      <c r="A634" s="4">
        <v>45251.523497118054</v>
      </c>
      <c r="B634" s="5" t="s">
        <v>915</v>
      </c>
      <c r="C634" s="5">
        <v>9.899122033E9</v>
      </c>
      <c r="G634" s="5" t="s">
        <v>303</v>
      </c>
      <c r="H634" s="5" t="s">
        <v>701</v>
      </c>
    </row>
    <row r="635">
      <c r="A635" s="4">
        <v>45251.5272490625</v>
      </c>
      <c r="B635" s="5" t="s">
        <v>916</v>
      </c>
      <c r="C635" s="5">
        <v>9.3118929E9</v>
      </c>
      <c r="G635" s="5" t="s">
        <v>303</v>
      </c>
      <c r="H635" s="5" t="s">
        <v>701</v>
      </c>
    </row>
    <row r="636">
      <c r="A636" s="4">
        <v>45251.528844155095</v>
      </c>
      <c r="B636" s="5" t="s">
        <v>917</v>
      </c>
      <c r="C636" s="5">
        <v>9.810676701E9</v>
      </c>
      <c r="E636" s="5" t="s">
        <v>918</v>
      </c>
      <c r="F636" s="7" t="s">
        <v>919</v>
      </c>
      <c r="G636" s="5" t="s">
        <v>303</v>
      </c>
      <c r="H636" s="5" t="s">
        <v>701</v>
      </c>
    </row>
    <row r="637">
      <c r="A637" s="4">
        <v>45251.52972490741</v>
      </c>
      <c r="B637" s="5" t="s">
        <v>920</v>
      </c>
      <c r="C637" s="5">
        <v>8.826584991E9</v>
      </c>
      <c r="E637" s="5" t="s">
        <v>15</v>
      </c>
      <c r="G637" s="5" t="s">
        <v>303</v>
      </c>
      <c r="H637" s="5" t="s">
        <v>706</v>
      </c>
    </row>
    <row r="638">
      <c r="A638" s="4">
        <v>45251.53373638889</v>
      </c>
      <c r="B638" s="5" t="s">
        <v>921</v>
      </c>
      <c r="C638" s="5">
        <v>9.140000675E9</v>
      </c>
      <c r="E638" s="5" t="s">
        <v>71</v>
      </c>
      <c r="G638" s="5" t="s">
        <v>303</v>
      </c>
      <c r="H638" s="5" t="s">
        <v>706</v>
      </c>
    </row>
    <row r="639">
      <c r="A639" s="4">
        <v>45251.53563395834</v>
      </c>
      <c r="B639" s="5" t="s">
        <v>922</v>
      </c>
      <c r="C639" s="5">
        <v>7.011881757E9</v>
      </c>
      <c r="G639" s="5" t="s">
        <v>303</v>
      </c>
      <c r="H639" s="5" t="s">
        <v>706</v>
      </c>
    </row>
    <row r="640">
      <c r="A640" s="4">
        <v>45251.53667855324</v>
      </c>
      <c r="B640" s="5" t="s">
        <v>923</v>
      </c>
      <c r="C640" s="5">
        <v>9.968312164E9</v>
      </c>
      <c r="E640" s="5" t="s">
        <v>71</v>
      </c>
      <c r="G640" s="5" t="s">
        <v>303</v>
      </c>
      <c r="H640" s="5" t="s">
        <v>706</v>
      </c>
    </row>
    <row r="641">
      <c r="A641" s="4">
        <v>45251.53797849537</v>
      </c>
      <c r="B641" s="5" t="s">
        <v>924</v>
      </c>
      <c r="C641" s="5">
        <v>7.011312243E9</v>
      </c>
      <c r="G641" s="5" t="s">
        <v>303</v>
      </c>
      <c r="H641" s="5" t="s">
        <v>701</v>
      </c>
    </row>
    <row r="642">
      <c r="A642" s="4">
        <v>45251.540183703706</v>
      </c>
      <c r="B642" s="5" t="s">
        <v>529</v>
      </c>
      <c r="C642" s="5">
        <v>9.319447459E9</v>
      </c>
      <c r="G642" s="5" t="s">
        <v>303</v>
      </c>
      <c r="H642" s="5" t="s">
        <v>701</v>
      </c>
    </row>
    <row r="643">
      <c r="A643" s="4">
        <v>45251.54024398148</v>
      </c>
      <c r="B643" s="5" t="s">
        <v>925</v>
      </c>
      <c r="C643" s="5">
        <v>9.3194292E9</v>
      </c>
      <c r="G643" s="5" t="s">
        <v>303</v>
      </c>
      <c r="H643" s="5" t="s">
        <v>701</v>
      </c>
    </row>
    <row r="644">
      <c r="A644" s="4">
        <v>45251.54049537037</v>
      </c>
      <c r="B644" s="5" t="s">
        <v>926</v>
      </c>
      <c r="C644" s="5">
        <v>9.318356185E9</v>
      </c>
      <c r="G644" s="5" t="s">
        <v>303</v>
      </c>
      <c r="H644" s="5" t="s">
        <v>701</v>
      </c>
    </row>
    <row r="645">
      <c r="A645" s="4">
        <v>45251.54057932871</v>
      </c>
      <c r="B645" s="5" t="s">
        <v>927</v>
      </c>
      <c r="C645" s="5">
        <v>8.74492049E9</v>
      </c>
      <c r="G645" s="5" t="s">
        <v>303</v>
      </c>
      <c r="H645" s="5" t="s">
        <v>701</v>
      </c>
    </row>
    <row r="646">
      <c r="A646" s="4">
        <v>45251.541227395835</v>
      </c>
      <c r="B646" s="5" t="s">
        <v>928</v>
      </c>
      <c r="C646" s="5">
        <v>9.837779696E9</v>
      </c>
      <c r="G646" s="5" t="s">
        <v>303</v>
      </c>
      <c r="H646" s="5" t="s">
        <v>701</v>
      </c>
    </row>
    <row r="647">
      <c r="A647" s="4">
        <v>45251.541419236106</v>
      </c>
      <c r="B647" s="5" t="s">
        <v>929</v>
      </c>
      <c r="C647" s="5">
        <v>7.50399586E9</v>
      </c>
      <c r="G647" s="5" t="s">
        <v>303</v>
      </c>
      <c r="H647" s="5" t="s">
        <v>701</v>
      </c>
    </row>
    <row r="648">
      <c r="A648" s="4">
        <v>45251.541527615744</v>
      </c>
      <c r="B648" s="5" t="s">
        <v>930</v>
      </c>
      <c r="C648" s="5">
        <v>9.837846489E9</v>
      </c>
      <c r="G648" s="5" t="s">
        <v>303</v>
      </c>
      <c r="H648" s="5" t="s">
        <v>701</v>
      </c>
    </row>
    <row r="649">
      <c r="A649" s="4">
        <v>45251.542329606484</v>
      </c>
      <c r="B649" s="5" t="s">
        <v>931</v>
      </c>
      <c r="C649" s="5">
        <v>9.821024357E9</v>
      </c>
      <c r="D649" s="5" t="s">
        <v>932</v>
      </c>
      <c r="G649" s="5" t="s">
        <v>303</v>
      </c>
      <c r="H649" s="5" t="s">
        <v>701</v>
      </c>
    </row>
    <row r="650">
      <c r="A650" s="4">
        <v>45251.542582187496</v>
      </c>
      <c r="B650" s="5" t="s">
        <v>121</v>
      </c>
      <c r="C650" s="5">
        <v>7.042633543E9</v>
      </c>
      <c r="G650" s="5" t="s">
        <v>303</v>
      </c>
      <c r="H650" s="5" t="s">
        <v>701</v>
      </c>
    </row>
    <row r="651">
      <c r="A651" s="4">
        <v>45251.54275832176</v>
      </c>
      <c r="B651" s="5" t="s">
        <v>933</v>
      </c>
      <c r="C651" s="5">
        <v>9.821024357E9</v>
      </c>
      <c r="D651" s="5" t="s">
        <v>934</v>
      </c>
      <c r="G651" s="5" t="s">
        <v>303</v>
      </c>
      <c r="H651" s="5" t="s">
        <v>701</v>
      </c>
    </row>
    <row r="652">
      <c r="A652" s="4">
        <v>45251.54318541667</v>
      </c>
      <c r="B652" s="5" t="s">
        <v>935</v>
      </c>
      <c r="C652" s="5">
        <v>8.28777919E9</v>
      </c>
      <c r="G652" s="5" t="s">
        <v>303</v>
      </c>
      <c r="H652" s="5" t="s">
        <v>701</v>
      </c>
    </row>
    <row r="653">
      <c r="A653" s="4">
        <v>45251.54348707176</v>
      </c>
      <c r="B653" s="5" t="s">
        <v>936</v>
      </c>
      <c r="C653" s="5">
        <v>8.708933674E9</v>
      </c>
      <c r="G653" s="5" t="s">
        <v>303</v>
      </c>
      <c r="H653" s="5" t="s">
        <v>701</v>
      </c>
    </row>
    <row r="654">
      <c r="A654" s="4">
        <v>45251.54365787037</v>
      </c>
      <c r="B654" s="5" t="s">
        <v>937</v>
      </c>
      <c r="C654" s="5">
        <v>9.31551315E9</v>
      </c>
      <c r="D654" s="5" t="s">
        <v>938</v>
      </c>
      <c r="G654" s="5" t="s">
        <v>303</v>
      </c>
      <c r="H654" s="5" t="s">
        <v>701</v>
      </c>
    </row>
    <row r="655">
      <c r="A655" s="4">
        <v>45251.544078402774</v>
      </c>
      <c r="B655" s="5" t="s">
        <v>939</v>
      </c>
      <c r="C655" s="5">
        <v>7.042077936E9</v>
      </c>
      <c r="D655" s="5" t="s">
        <v>940</v>
      </c>
      <c r="G655" s="5" t="s">
        <v>303</v>
      </c>
      <c r="H655" s="5" t="s">
        <v>701</v>
      </c>
    </row>
    <row r="656">
      <c r="A656" s="4">
        <v>45251.544340671295</v>
      </c>
      <c r="B656" s="5" t="s">
        <v>933</v>
      </c>
      <c r="C656" s="5">
        <v>9.821024357E9</v>
      </c>
      <c r="G656" s="5" t="s">
        <v>303</v>
      </c>
      <c r="H656" s="5" t="s">
        <v>701</v>
      </c>
    </row>
    <row r="657">
      <c r="A657" s="4">
        <v>45251.54638719907</v>
      </c>
      <c r="B657" s="5" t="s">
        <v>941</v>
      </c>
      <c r="C657" s="5">
        <v>9.810824286E9</v>
      </c>
      <c r="E657" s="5" t="s">
        <v>79</v>
      </c>
      <c r="G657" s="5" t="s">
        <v>303</v>
      </c>
      <c r="H657" s="5" t="s">
        <v>706</v>
      </c>
    </row>
    <row r="658">
      <c r="A658" s="4">
        <v>45251.54678625</v>
      </c>
      <c r="B658" s="5" t="s">
        <v>942</v>
      </c>
      <c r="C658" s="5">
        <v>9.891108125E9</v>
      </c>
      <c r="E658" s="5" t="s">
        <v>79</v>
      </c>
      <c r="G658" s="5" t="s">
        <v>303</v>
      </c>
      <c r="H658" s="5" t="s">
        <v>706</v>
      </c>
    </row>
    <row r="659">
      <c r="A659" s="4">
        <v>45251.54731217593</v>
      </c>
      <c r="B659" s="5" t="s">
        <v>943</v>
      </c>
      <c r="C659" s="5">
        <v>9.899925289E9</v>
      </c>
      <c r="G659" s="5" t="s">
        <v>303</v>
      </c>
      <c r="H659" s="5" t="s">
        <v>701</v>
      </c>
    </row>
    <row r="660">
      <c r="A660" s="4">
        <v>45251.54748731482</v>
      </c>
      <c r="B660" s="5" t="s">
        <v>944</v>
      </c>
      <c r="C660" s="5">
        <v>9.958797582E9</v>
      </c>
      <c r="G660" s="5" t="s">
        <v>303</v>
      </c>
      <c r="H660" s="5" t="s">
        <v>701</v>
      </c>
    </row>
    <row r="661">
      <c r="A661" s="4">
        <v>45251.54847417824</v>
      </c>
      <c r="B661" s="5" t="s">
        <v>945</v>
      </c>
      <c r="C661" s="5">
        <v>9.999222644E9</v>
      </c>
      <c r="E661" s="5" t="s">
        <v>79</v>
      </c>
      <c r="G661" s="5" t="s">
        <v>303</v>
      </c>
      <c r="H661" s="5" t="s">
        <v>706</v>
      </c>
    </row>
    <row r="662">
      <c r="A662" s="4">
        <v>45251.5487244213</v>
      </c>
      <c r="B662" s="5" t="s">
        <v>946</v>
      </c>
      <c r="C662" s="5">
        <v>8.750919253E9</v>
      </c>
      <c r="G662" s="5" t="s">
        <v>303</v>
      </c>
      <c r="H662" s="5" t="s">
        <v>701</v>
      </c>
    </row>
    <row r="663">
      <c r="A663" s="4">
        <v>45251.54906005787</v>
      </c>
      <c r="B663" s="5" t="s">
        <v>947</v>
      </c>
      <c r="C663" s="5">
        <v>7.053586786E9</v>
      </c>
      <c r="G663" s="5" t="s">
        <v>303</v>
      </c>
      <c r="H663" s="5" t="s">
        <v>701</v>
      </c>
    </row>
    <row r="664">
      <c r="A664" s="4">
        <v>45251.55079826389</v>
      </c>
      <c r="B664" s="5" t="s">
        <v>948</v>
      </c>
      <c r="C664" s="5">
        <v>9.711843859E9</v>
      </c>
      <c r="E664" s="5" t="s">
        <v>79</v>
      </c>
      <c r="G664" s="5" t="s">
        <v>303</v>
      </c>
      <c r="H664" s="5" t="s">
        <v>706</v>
      </c>
    </row>
    <row r="665">
      <c r="A665" s="4">
        <v>45251.551151377316</v>
      </c>
      <c r="B665" s="5" t="s">
        <v>949</v>
      </c>
      <c r="C665" s="5">
        <v>9.991511771E9</v>
      </c>
      <c r="G665" s="5" t="s">
        <v>303</v>
      </c>
      <c r="H665" s="5" t="s">
        <v>701</v>
      </c>
    </row>
    <row r="666">
      <c r="A666" s="4">
        <v>45251.55173993055</v>
      </c>
      <c r="B666" s="5" t="s">
        <v>950</v>
      </c>
      <c r="C666" s="5">
        <v>9.013448282E9</v>
      </c>
      <c r="E666" s="5" t="s">
        <v>79</v>
      </c>
      <c r="G666" s="5" t="s">
        <v>303</v>
      </c>
      <c r="H666" s="5" t="s">
        <v>706</v>
      </c>
    </row>
    <row r="667">
      <c r="A667" s="4">
        <v>45251.55231849537</v>
      </c>
      <c r="B667" s="5" t="s">
        <v>951</v>
      </c>
      <c r="C667" s="5">
        <v>9.431083833E9</v>
      </c>
      <c r="G667" s="5" t="s">
        <v>303</v>
      </c>
      <c r="H667" s="5" t="s">
        <v>701</v>
      </c>
    </row>
    <row r="668">
      <c r="A668" s="4">
        <v>45251.554223831015</v>
      </c>
      <c r="B668" s="5" t="s">
        <v>952</v>
      </c>
      <c r="C668" s="5">
        <v>9.467204416E9</v>
      </c>
      <c r="G668" s="5" t="s">
        <v>303</v>
      </c>
      <c r="H668" s="5" t="s">
        <v>701</v>
      </c>
    </row>
    <row r="669">
      <c r="A669" s="4">
        <v>45251.55530166667</v>
      </c>
      <c r="B669" s="5" t="s">
        <v>953</v>
      </c>
      <c r="C669" s="5">
        <v>9.981533372E9</v>
      </c>
      <c r="G669" s="5" t="s">
        <v>303</v>
      </c>
      <c r="H669" s="5" t="s">
        <v>701</v>
      </c>
    </row>
    <row r="670">
      <c r="A670" s="4">
        <v>45251.55546585648</v>
      </c>
      <c r="B670" s="5" t="s">
        <v>954</v>
      </c>
      <c r="C670" s="5">
        <v>9.958565432E9</v>
      </c>
      <c r="E670" s="5" t="s">
        <v>227</v>
      </c>
      <c r="G670" s="5" t="s">
        <v>303</v>
      </c>
      <c r="H670" s="5" t="s">
        <v>706</v>
      </c>
    </row>
    <row r="671">
      <c r="A671" s="4">
        <v>45251.55864783565</v>
      </c>
      <c r="B671" s="5" t="s">
        <v>955</v>
      </c>
      <c r="C671" s="5">
        <v>8.459447702E9</v>
      </c>
      <c r="G671" s="5" t="s">
        <v>303</v>
      </c>
      <c r="H671" s="5" t="s">
        <v>701</v>
      </c>
    </row>
    <row r="672">
      <c r="A672" s="4">
        <v>45251.55937120371</v>
      </c>
      <c r="B672" s="5" t="s">
        <v>956</v>
      </c>
      <c r="C672" s="5">
        <v>9.012151617E9</v>
      </c>
      <c r="E672" s="5" t="s">
        <v>957</v>
      </c>
      <c r="G672" s="5" t="s">
        <v>303</v>
      </c>
      <c r="H672" s="5" t="s">
        <v>706</v>
      </c>
    </row>
    <row r="673">
      <c r="A673" s="4">
        <v>45251.560586168984</v>
      </c>
      <c r="B673" s="5" t="s">
        <v>390</v>
      </c>
      <c r="C673" s="5">
        <v>7.703881613E9</v>
      </c>
      <c r="G673" s="5" t="s">
        <v>303</v>
      </c>
      <c r="H673" s="5" t="s">
        <v>701</v>
      </c>
    </row>
    <row r="674">
      <c r="A674" s="4">
        <v>45251.56273936343</v>
      </c>
      <c r="B674" s="5" t="s">
        <v>958</v>
      </c>
      <c r="C674" s="5">
        <v>9.891872916E9</v>
      </c>
      <c r="G674" s="5" t="s">
        <v>303</v>
      </c>
      <c r="H674" s="5" t="s">
        <v>701</v>
      </c>
    </row>
    <row r="675">
      <c r="A675" s="4">
        <v>45251.56297122686</v>
      </c>
      <c r="B675" s="5" t="s">
        <v>959</v>
      </c>
      <c r="C675" s="5">
        <v>9.711561566E9</v>
      </c>
      <c r="E675" s="5" t="s">
        <v>960</v>
      </c>
      <c r="G675" s="5" t="s">
        <v>303</v>
      </c>
      <c r="H675" s="5" t="s">
        <v>706</v>
      </c>
    </row>
    <row r="676">
      <c r="A676" s="4">
        <v>45251.57125607639</v>
      </c>
      <c r="B676" s="5" t="s">
        <v>124</v>
      </c>
      <c r="C676" s="5">
        <v>9.811237684E9</v>
      </c>
      <c r="G676" s="5" t="s">
        <v>303</v>
      </c>
      <c r="H676" s="5" t="s">
        <v>701</v>
      </c>
    </row>
    <row r="677">
      <c r="A677" s="4">
        <v>45251.572141122684</v>
      </c>
      <c r="B677" s="5" t="s">
        <v>961</v>
      </c>
      <c r="C677" s="5">
        <v>9.811284065E9</v>
      </c>
      <c r="E677" s="5" t="s">
        <v>71</v>
      </c>
      <c r="G677" s="5" t="s">
        <v>303</v>
      </c>
      <c r="H677" s="5" t="s">
        <v>706</v>
      </c>
    </row>
    <row r="678">
      <c r="A678" s="4">
        <v>45251.57625899305</v>
      </c>
      <c r="B678" s="5" t="s">
        <v>962</v>
      </c>
      <c r="C678" s="5">
        <v>9.810013958E9</v>
      </c>
      <c r="E678" s="5" t="s">
        <v>963</v>
      </c>
      <c r="G678" s="5" t="s">
        <v>303</v>
      </c>
      <c r="H678" s="5" t="s">
        <v>706</v>
      </c>
    </row>
    <row r="679">
      <c r="A679" s="4">
        <v>45251.5776966088</v>
      </c>
      <c r="B679" s="5" t="s">
        <v>964</v>
      </c>
      <c r="C679" s="5">
        <v>9.818640261E9</v>
      </c>
      <c r="E679" s="5" t="s">
        <v>227</v>
      </c>
      <c r="G679" s="5" t="s">
        <v>303</v>
      </c>
      <c r="H679" s="5" t="s">
        <v>706</v>
      </c>
    </row>
    <row r="680">
      <c r="A680" s="4">
        <v>45251.57858099537</v>
      </c>
      <c r="B680" s="5" t="s">
        <v>965</v>
      </c>
      <c r="C680" s="5">
        <v>9.811066932E9</v>
      </c>
      <c r="G680" s="5" t="s">
        <v>303</v>
      </c>
      <c r="H680" s="5" t="s">
        <v>701</v>
      </c>
    </row>
    <row r="681">
      <c r="A681" s="4">
        <v>45251.57880077546</v>
      </c>
      <c r="B681" s="5" t="s">
        <v>966</v>
      </c>
      <c r="C681" s="5">
        <v>9.958543101E9</v>
      </c>
      <c r="E681" s="5" t="s">
        <v>227</v>
      </c>
      <c r="G681" s="5" t="s">
        <v>303</v>
      </c>
      <c r="H681" s="5" t="s">
        <v>706</v>
      </c>
    </row>
    <row r="682">
      <c r="A682" s="4">
        <v>45251.579769062504</v>
      </c>
      <c r="B682" s="5" t="s">
        <v>967</v>
      </c>
      <c r="C682" s="5">
        <v>9.198938545E9</v>
      </c>
      <c r="G682" s="5" t="s">
        <v>303</v>
      </c>
      <c r="H682" s="5" t="s">
        <v>701</v>
      </c>
    </row>
    <row r="683">
      <c r="A683" s="4">
        <v>45251.58264421296</v>
      </c>
      <c r="B683" s="5" t="s">
        <v>516</v>
      </c>
      <c r="C683" s="5">
        <v>9.717200052E9</v>
      </c>
      <c r="E683" s="5" t="s">
        <v>79</v>
      </c>
      <c r="G683" s="5" t="s">
        <v>303</v>
      </c>
      <c r="H683" s="5" t="s">
        <v>706</v>
      </c>
    </row>
    <row r="684">
      <c r="A684" s="4">
        <v>45251.58513127315</v>
      </c>
      <c r="B684" s="5" t="s">
        <v>968</v>
      </c>
      <c r="C684" s="5">
        <v>8.076975798E9</v>
      </c>
      <c r="E684" s="5" t="s">
        <v>79</v>
      </c>
      <c r="G684" s="5" t="s">
        <v>303</v>
      </c>
      <c r="H684" s="5" t="s">
        <v>706</v>
      </c>
    </row>
    <row r="685">
      <c r="A685" s="4">
        <v>45251.5919612037</v>
      </c>
      <c r="B685" s="5" t="s">
        <v>969</v>
      </c>
      <c r="C685" s="5">
        <v>9.818032161E9</v>
      </c>
      <c r="G685" s="5" t="s">
        <v>303</v>
      </c>
      <c r="H685" s="5" t="s">
        <v>701</v>
      </c>
    </row>
    <row r="686">
      <c r="A686" s="4">
        <v>45251.592377141205</v>
      </c>
      <c r="B686" s="5" t="s">
        <v>970</v>
      </c>
      <c r="C686" s="5">
        <v>8.360446177E9</v>
      </c>
      <c r="G686" s="5" t="s">
        <v>303</v>
      </c>
      <c r="H686" s="5" t="s">
        <v>701</v>
      </c>
    </row>
    <row r="687">
      <c r="A687" s="4">
        <v>45251.594674293985</v>
      </c>
      <c r="B687" s="5" t="s">
        <v>971</v>
      </c>
      <c r="C687" s="5">
        <v>9.818636535E9</v>
      </c>
      <c r="G687" s="5" t="s">
        <v>303</v>
      </c>
      <c r="H687" s="5" t="s">
        <v>701</v>
      </c>
    </row>
    <row r="688">
      <c r="A688" s="4">
        <v>45251.595123969906</v>
      </c>
      <c r="B688" s="5" t="s">
        <v>972</v>
      </c>
      <c r="C688" s="5">
        <v>9.99055662E9</v>
      </c>
      <c r="G688" s="5" t="s">
        <v>303</v>
      </c>
      <c r="H688" s="5" t="s">
        <v>701</v>
      </c>
    </row>
    <row r="689">
      <c r="A689" s="4">
        <v>45251.59550292824</v>
      </c>
      <c r="B689" s="5" t="s">
        <v>566</v>
      </c>
      <c r="C689" s="5">
        <v>8.468961059E9</v>
      </c>
      <c r="G689" s="5" t="s">
        <v>303</v>
      </c>
      <c r="H689" s="5" t="s">
        <v>701</v>
      </c>
    </row>
    <row r="690">
      <c r="A690" s="4">
        <v>45251.596492199074</v>
      </c>
      <c r="B690" s="5" t="s">
        <v>973</v>
      </c>
      <c r="C690" s="5">
        <v>9.65068026E9</v>
      </c>
      <c r="G690" s="5" t="s">
        <v>303</v>
      </c>
      <c r="H690" s="5" t="s">
        <v>701</v>
      </c>
    </row>
    <row r="691">
      <c r="A691" s="4">
        <v>45251.59777851852</v>
      </c>
      <c r="B691" s="5" t="s">
        <v>974</v>
      </c>
      <c r="C691" s="5">
        <v>9.999060881E9</v>
      </c>
      <c r="G691" s="5" t="s">
        <v>303</v>
      </c>
      <c r="H691" s="5" t="s">
        <v>701</v>
      </c>
    </row>
    <row r="692">
      <c r="A692" s="4">
        <v>45251.59962819444</v>
      </c>
      <c r="B692" s="5" t="s">
        <v>975</v>
      </c>
      <c r="C692" s="5">
        <v>8.010572273E9</v>
      </c>
      <c r="E692" s="5" t="s">
        <v>976</v>
      </c>
      <c r="G692" s="5" t="s">
        <v>303</v>
      </c>
      <c r="H692" s="5" t="s">
        <v>701</v>
      </c>
    </row>
    <row r="693">
      <c r="A693" s="4">
        <v>45251.600533055556</v>
      </c>
      <c r="B693" s="5" t="s">
        <v>977</v>
      </c>
      <c r="C693" s="5">
        <v>8.860939122E9</v>
      </c>
      <c r="G693" s="5" t="s">
        <v>303</v>
      </c>
      <c r="H693" s="5" t="s">
        <v>701</v>
      </c>
    </row>
    <row r="694">
      <c r="A694" s="4">
        <v>45251.60161611111</v>
      </c>
      <c r="B694" s="5" t="s">
        <v>978</v>
      </c>
      <c r="C694" s="5">
        <v>9.716002225E9</v>
      </c>
      <c r="G694" s="5" t="s">
        <v>303</v>
      </c>
      <c r="H694" s="5" t="s">
        <v>701</v>
      </c>
    </row>
    <row r="695">
      <c r="A695" s="4">
        <v>45251.60192966435</v>
      </c>
      <c r="B695" s="5" t="s">
        <v>979</v>
      </c>
      <c r="C695" s="5">
        <v>9.8688773E9</v>
      </c>
      <c r="G695" s="5" t="s">
        <v>303</v>
      </c>
      <c r="H695" s="5" t="s">
        <v>701</v>
      </c>
    </row>
    <row r="696">
      <c r="A696" s="4">
        <v>45251.60293700232</v>
      </c>
      <c r="B696" s="5" t="s">
        <v>980</v>
      </c>
      <c r="C696" s="5">
        <v>8.130582414E9</v>
      </c>
      <c r="G696" s="5" t="s">
        <v>303</v>
      </c>
      <c r="H696" s="5" t="s">
        <v>701</v>
      </c>
    </row>
    <row r="697">
      <c r="A697" s="4">
        <v>45251.60347135417</v>
      </c>
      <c r="B697" s="5" t="s">
        <v>981</v>
      </c>
      <c r="C697" s="5">
        <v>7.42860708E9</v>
      </c>
      <c r="G697" s="5" t="s">
        <v>303</v>
      </c>
      <c r="H697" s="5" t="s">
        <v>701</v>
      </c>
    </row>
    <row r="698">
      <c r="A698" s="4">
        <v>45251.60380909722</v>
      </c>
      <c r="B698" s="5" t="s">
        <v>982</v>
      </c>
      <c r="C698" s="5">
        <v>8.700949752E9</v>
      </c>
      <c r="G698" s="5" t="s">
        <v>303</v>
      </c>
      <c r="H698" s="5" t="s">
        <v>701</v>
      </c>
    </row>
    <row r="699">
      <c r="A699" s="4">
        <v>45251.604104375</v>
      </c>
      <c r="B699" s="5" t="s">
        <v>983</v>
      </c>
      <c r="C699" s="5">
        <v>8.285622538E9</v>
      </c>
      <c r="G699" s="5" t="s">
        <v>303</v>
      </c>
      <c r="H699" s="5" t="s">
        <v>701</v>
      </c>
    </row>
    <row r="700">
      <c r="A700" s="4">
        <v>45251.606607905094</v>
      </c>
      <c r="B700" s="5" t="s">
        <v>984</v>
      </c>
      <c r="C700" s="5">
        <v>9.910226915E9</v>
      </c>
      <c r="E700" s="5" t="s">
        <v>79</v>
      </c>
      <c r="G700" s="5" t="s">
        <v>303</v>
      </c>
      <c r="H700" s="5" t="s">
        <v>706</v>
      </c>
    </row>
    <row r="701">
      <c r="A701" s="4">
        <v>45251.6076800463</v>
      </c>
      <c r="B701" s="5" t="s">
        <v>985</v>
      </c>
      <c r="C701" s="5">
        <v>9.315871515E9</v>
      </c>
      <c r="G701" s="5" t="s">
        <v>303</v>
      </c>
      <c r="H701" s="5" t="s">
        <v>701</v>
      </c>
    </row>
    <row r="702">
      <c r="A702" s="4">
        <v>45251.60827505787</v>
      </c>
      <c r="B702" s="5" t="s">
        <v>986</v>
      </c>
      <c r="C702" s="5">
        <v>9.873186638E9</v>
      </c>
      <c r="E702" s="5" t="s">
        <v>79</v>
      </c>
      <c r="G702" s="5" t="s">
        <v>303</v>
      </c>
      <c r="H702" s="5" t="s">
        <v>706</v>
      </c>
    </row>
    <row r="703">
      <c r="A703" s="4">
        <v>45251.60862303241</v>
      </c>
      <c r="B703" s="5" t="s">
        <v>987</v>
      </c>
      <c r="C703" s="5">
        <v>7.070824743E9</v>
      </c>
      <c r="E703" s="5" t="s">
        <v>988</v>
      </c>
      <c r="F703" s="7" t="s">
        <v>989</v>
      </c>
      <c r="G703" s="5" t="s">
        <v>303</v>
      </c>
      <c r="H703" s="5" t="s">
        <v>706</v>
      </c>
    </row>
    <row r="704">
      <c r="A704" s="4">
        <v>45251.60947599537</v>
      </c>
      <c r="B704" s="5" t="s">
        <v>990</v>
      </c>
      <c r="C704" s="5">
        <v>9.873854881E9</v>
      </c>
      <c r="G704" s="5" t="s">
        <v>303</v>
      </c>
      <c r="H704" s="5" t="s">
        <v>701</v>
      </c>
    </row>
    <row r="705">
      <c r="A705" s="4">
        <v>45251.609836076386</v>
      </c>
      <c r="B705" s="5" t="s">
        <v>991</v>
      </c>
      <c r="C705" s="5">
        <v>8.287557112E9</v>
      </c>
      <c r="G705" s="5" t="s">
        <v>303</v>
      </c>
      <c r="H705" s="5" t="s">
        <v>701</v>
      </c>
    </row>
    <row r="706">
      <c r="A706" s="4">
        <v>45251.61013734953</v>
      </c>
      <c r="B706" s="5" t="s">
        <v>992</v>
      </c>
      <c r="C706" s="5">
        <v>8.586022117E9</v>
      </c>
      <c r="G706" s="5" t="s">
        <v>303</v>
      </c>
      <c r="H706" s="5" t="s">
        <v>701</v>
      </c>
    </row>
    <row r="707">
      <c r="A707" s="4">
        <v>45251.611025266204</v>
      </c>
      <c r="B707" s="5" t="s">
        <v>993</v>
      </c>
      <c r="C707" s="5">
        <v>9.462564639E9</v>
      </c>
      <c r="G707" s="5" t="s">
        <v>303</v>
      </c>
      <c r="H707" s="5" t="s">
        <v>701</v>
      </c>
    </row>
    <row r="708">
      <c r="A708" s="4">
        <v>45251.61557086806</v>
      </c>
      <c r="B708" s="5" t="s">
        <v>994</v>
      </c>
      <c r="C708" s="5">
        <v>9.899515049E9</v>
      </c>
      <c r="E708" s="5" t="s">
        <v>918</v>
      </c>
      <c r="G708" s="5" t="s">
        <v>303</v>
      </c>
      <c r="H708" s="5" t="s">
        <v>706</v>
      </c>
    </row>
    <row r="709">
      <c r="A709" s="4">
        <v>45251.61610423611</v>
      </c>
      <c r="B709" s="5" t="s">
        <v>995</v>
      </c>
      <c r="C709" s="5">
        <v>9.999712408E9</v>
      </c>
      <c r="E709" s="5" t="s">
        <v>273</v>
      </c>
      <c r="G709" s="5" t="s">
        <v>303</v>
      </c>
      <c r="H709" s="5" t="s">
        <v>706</v>
      </c>
    </row>
    <row r="710">
      <c r="A710" s="4">
        <v>45251.6188224537</v>
      </c>
      <c r="B710" s="5" t="s">
        <v>996</v>
      </c>
      <c r="C710" s="5">
        <v>8.368284959E9</v>
      </c>
      <c r="E710" s="5" t="s">
        <v>227</v>
      </c>
      <c r="G710" s="5" t="s">
        <v>303</v>
      </c>
      <c r="H710" s="5" t="s">
        <v>706</v>
      </c>
    </row>
    <row r="711">
      <c r="A711" s="4">
        <v>45251.624317002315</v>
      </c>
      <c r="B711" s="5" t="s">
        <v>997</v>
      </c>
      <c r="C711" s="5">
        <v>9.582760144E9</v>
      </c>
      <c r="G711" s="5" t="s">
        <v>303</v>
      </c>
      <c r="H711" s="5" t="s">
        <v>706</v>
      </c>
    </row>
    <row r="712">
      <c r="A712" s="4">
        <v>45251.62709178241</v>
      </c>
      <c r="B712" s="5" t="s">
        <v>998</v>
      </c>
      <c r="C712" s="5">
        <v>9.643718626E9</v>
      </c>
      <c r="E712" s="5" t="s">
        <v>227</v>
      </c>
      <c r="G712" s="5" t="s">
        <v>303</v>
      </c>
      <c r="H712" s="5" t="s">
        <v>706</v>
      </c>
    </row>
    <row r="713">
      <c r="A713" s="4">
        <v>45251.627376296296</v>
      </c>
      <c r="B713" s="5" t="s">
        <v>999</v>
      </c>
      <c r="C713" s="5">
        <v>8.527023969E9</v>
      </c>
      <c r="E713" s="5" t="s">
        <v>227</v>
      </c>
      <c r="G713" s="5" t="s">
        <v>303</v>
      </c>
      <c r="H713" s="5" t="s">
        <v>706</v>
      </c>
    </row>
    <row r="714">
      <c r="A714" s="4">
        <v>45251.6295755787</v>
      </c>
      <c r="B714" s="5" t="s">
        <v>1000</v>
      </c>
      <c r="C714" s="5">
        <v>9.810871971E9</v>
      </c>
      <c r="E714" s="5" t="s">
        <v>79</v>
      </c>
      <c r="G714" s="5" t="s">
        <v>303</v>
      </c>
      <c r="H714" s="5" t="s">
        <v>706</v>
      </c>
    </row>
    <row r="715">
      <c r="A715" s="4">
        <v>45251.634744317125</v>
      </c>
      <c r="B715" s="5" t="s">
        <v>1001</v>
      </c>
      <c r="C715" s="5">
        <v>9.310093134E9</v>
      </c>
      <c r="G715" s="5" t="s">
        <v>303</v>
      </c>
      <c r="H715" s="5" t="s">
        <v>706</v>
      </c>
    </row>
    <row r="716">
      <c r="A716" s="4">
        <v>45251.63517219907</v>
      </c>
      <c r="B716" s="5" t="s">
        <v>1002</v>
      </c>
      <c r="C716" s="5">
        <v>9.212160399E9</v>
      </c>
      <c r="G716" s="5" t="s">
        <v>303</v>
      </c>
      <c r="H716" s="5" t="s">
        <v>701</v>
      </c>
    </row>
    <row r="717">
      <c r="A717" s="4">
        <v>45251.63567611111</v>
      </c>
      <c r="B717" s="5" t="s">
        <v>1003</v>
      </c>
      <c r="C717" s="5">
        <v>8.8828991E9</v>
      </c>
      <c r="G717" s="5" t="s">
        <v>303</v>
      </c>
      <c r="H717" s="5" t="s">
        <v>701</v>
      </c>
    </row>
    <row r="718">
      <c r="A718" s="4">
        <v>45251.63661725694</v>
      </c>
      <c r="B718" s="5" t="s">
        <v>1004</v>
      </c>
      <c r="C718" s="5">
        <v>7.042752682E9</v>
      </c>
      <c r="G718" s="5" t="s">
        <v>303</v>
      </c>
      <c r="H718" s="5" t="s">
        <v>701</v>
      </c>
    </row>
    <row r="719">
      <c r="A719" s="4">
        <v>45251.637826817125</v>
      </c>
      <c r="B719" s="5" t="s">
        <v>1005</v>
      </c>
      <c r="C719" s="5">
        <v>9.06895336E9</v>
      </c>
      <c r="G719" s="5" t="s">
        <v>303</v>
      </c>
      <c r="H719" s="5" t="s">
        <v>701</v>
      </c>
    </row>
    <row r="720">
      <c r="A720" s="4">
        <v>45251.63817878472</v>
      </c>
      <c r="B720" s="5" t="s">
        <v>1006</v>
      </c>
      <c r="C720" s="5">
        <v>9.3548186E9</v>
      </c>
      <c r="G720" s="5" t="s">
        <v>303</v>
      </c>
      <c r="H720" s="5" t="s">
        <v>701</v>
      </c>
    </row>
    <row r="721">
      <c r="A721" s="4">
        <v>45251.638364189814</v>
      </c>
      <c r="B721" s="5" t="s">
        <v>1007</v>
      </c>
      <c r="C721" s="5">
        <v>9.04510811E9</v>
      </c>
      <c r="G721" s="5" t="s">
        <v>303</v>
      </c>
      <c r="H721" s="5" t="s">
        <v>701</v>
      </c>
    </row>
    <row r="722">
      <c r="A722" s="4">
        <v>45251.63839204861</v>
      </c>
      <c r="B722" s="5" t="s">
        <v>507</v>
      </c>
      <c r="C722" s="5">
        <v>9.811979596E9</v>
      </c>
      <c r="G722" s="5" t="s">
        <v>303</v>
      </c>
      <c r="H722" s="5" t="s">
        <v>706</v>
      </c>
    </row>
    <row r="723">
      <c r="A723" s="4">
        <v>45251.6396039699</v>
      </c>
      <c r="B723" s="5" t="s">
        <v>1008</v>
      </c>
      <c r="C723" s="5">
        <v>7.999942011E9</v>
      </c>
      <c r="G723" s="5" t="s">
        <v>303</v>
      </c>
      <c r="H723" s="5" t="s">
        <v>701</v>
      </c>
    </row>
    <row r="724">
      <c r="A724" s="4">
        <v>45251.64194458333</v>
      </c>
      <c r="B724" s="5" t="s">
        <v>1009</v>
      </c>
      <c r="C724" s="5">
        <v>9.953519239E9</v>
      </c>
      <c r="G724" s="5" t="s">
        <v>303</v>
      </c>
      <c r="H724" s="5" t="s">
        <v>701</v>
      </c>
    </row>
    <row r="725">
      <c r="A725" s="4">
        <v>45251.64289127315</v>
      </c>
      <c r="B725" s="5" t="s">
        <v>1010</v>
      </c>
      <c r="C725" s="5">
        <v>9.927992777E9</v>
      </c>
      <c r="G725" s="5" t="s">
        <v>303</v>
      </c>
      <c r="H725" s="5" t="s">
        <v>701</v>
      </c>
    </row>
    <row r="726">
      <c r="A726" s="4">
        <v>45251.64358693287</v>
      </c>
      <c r="B726" s="5" t="s">
        <v>1011</v>
      </c>
      <c r="C726" s="5">
        <v>9.084935199E9</v>
      </c>
      <c r="G726" s="5" t="s">
        <v>303</v>
      </c>
      <c r="H726" s="5" t="s">
        <v>701</v>
      </c>
    </row>
    <row r="727">
      <c r="A727" s="4">
        <v>45251.64537395834</v>
      </c>
      <c r="B727" s="5" t="s">
        <v>1012</v>
      </c>
      <c r="C727" s="5">
        <v>9.873698127E9</v>
      </c>
      <c r="G727" s="5" t="s">
        <v>303</v>
      </c>
      <c r="H727" s="5" t="s">
        <v>701</v>
      </c>
    </row>
    <row r="728">
      <c r="A728" s="4">
        <v>45251.64874149306</v>
      </c>
      <c r="B728" s="5" t="s">
        <v>1013</v>
      </c>
      <c r="C728" s="5">
        <v>9.315318969E9</v>
      </c>
      <c r="E728" s="5" t="s">
        <v>71</v>
      </c>
      <c r="G728" s="5" t="s">
        <v>303</v>
      </c>
      <c r="H728" s="5" t="s">
        <v>706</v>
      </c>
    </row>
    <row r="729">
      <c r="A729" s="4">
        <v>45251.65090782408</v>
      </c>
      <c r="B729" s="5" t="s">
        <v>1014</v>
      </c>
      <c r="C729" s="5">
        <v>9.818952362E9</v>
      </c>
      <c r="E729" s="5" t="s">
        <v>227</v>
      </c>
      <c r="G729" s="5" t="s">
        <v>303</v>
      </c>
      <c r="H729" s="5" t="s">
        <v>706</v>
      </c>
    </row>
    <row r="730">
      <c r="A730" s="4">
        <v>45251.65225510417</v>
      </c>
      <c r="B730" s="5" t="s">
        <v>1015</v>
      </c>
      <c r="C730" s="5">
        <v>7.838529133E9</v>
      </c>
      <c r="E730" s="5" t="s">
        <v>769</v>
      </c>
      <c r="G730" s="5" t="s">
        <v>303</v>
      </c>
      <c r="H730" s="5" t="s">
        <v>706</v>
      </c>
    </row>
    <row r="731">
      <c r="A731" s="4">
        <v>45251.65421601852</v>
      </c>
      <c r="B731" s="5" t="s">
        <v>613</v>
      </c>
      <c r="C731" s="5">
        <v>8.851508406E9</v>
      </c>
      <c r="G731" s="5" t="s">
        <v>303</v>
      </c>
      <c r="H731" s="5" t="s">
        <v>701</v>
      </c>
    </row>
    <row r="732">
      <c r="A732" s="4">
        <v>45251.6565853125</v>
      </c>
      <c r="B732" s="5" t="s">
        <v>1016</v>
      </c>
      <c r="C732" s="5">
        <v>9.910888808E9</v>
      </c>
      <c r="G732" s="5" t="s">
        <v>303</v>
      </c>
      <c r="H732" s="5" t="s">
        <v>701</v>
      </c>
    </row>
    <row r="733">
      <c r="A733" s="4">
        <v>45251.65724778935</v>
      </c>
      <c r="B733" s="5" t="s">
        <v>1017</v>
      </c>
      <c r="C733" s="5">
        <v>8.810378923E9</v>
      </c>
      <c r="E733" s="5" t="s">
        <v>79</v>
      </c>
      <c r="G733" s="5" t="s">
        <v>303</v>
      </c>
      <c r="H733" s="5" t="s">
        <v>706</v>
      </c>
    </row>
    <row r="734">
      <c r="A734" s="4">
        <v>45251.65793797454</v>
      </c>
      <c r="B734" s="5" t="s">
        <v>1018</v>
      </c>
      <c r="C734" s="5">
        <v>7.840899907E9</v>
      </c>
      <c r="G734" s="5" t="s">
        <v>303</v>
      </c>
      <c r="H734" s="5" t="s">
        <v>701</v>
      </c>
    </row>
    <row r="735">
      <c r="A735" s="4">
        <v>45251.65926320602</v>
      </c>
      <c r="B735" s="5" t="s">
        <v>1019</v>
      </c>
      <c r="C735" s="5">
        <v>9.911022277E9</v>
      </c>
      <c r="G735" s="5" t="s">
        <v>303</v>
      </c>
      <c r="H735" s="5" t="s">
        <v>701</v>
      </c>
    </row>
    <row r="736">
      <c r="A736" s="4">
        <v>45251.659843553236</v>
      </c>
      <c r="B736" s="5" t="s">
        <v>1020</v>
      </c>
      <c r="C736" s="5">
        <v>7.529999495E9</v>
      </c>
      <c r="E736" s="5" t="s">
        <v>764</v>
      </c>
      <c r="G736" s="5" t="s">
        <v>303</v>
      </c>
      <c r="H736" s="5" t="s">
        <v>706</v>
      </c>
    </row>
    <row r="737">
      <c r="A737" s="4">
        <v>45251.662918483795</v>
      </c>
      <c r="B737" s="5" t="s">
        <v>1021</v>
      </c>
      <c r="C737" s="5">
        <v>7.290894806E9</v>
      </c>
      <c r="E737" s="5" t="s">
        <v>1022</v>
      </c>
      <c r="G737" s="5" t="s">
        <v>303</v>
      </c>
      <c r="H737" s="5" t="s">
        <v>706</v>
      </c>
    </row>
    <row r="738">
      <c r="A738" s="4">
        <v>45251.66315061343</v>
      </c>
      <c r="B738" s="5" t="s">
        <v>604</v>
      </c>
      <c r="C738" s="5">
        <v>9.999152426E9</v>
      </c>
      <c r="E738" s="5" t="s">
        <v>79</v>
      </c>
      <c r="G738" s="5" t="s">
        <v>303</v>
      </c>
      <c r="H738" s="5" t="s">
        <v>706</v>
      </c>
    </row>
    <row r="739">
      <c r="A739" s="4">
        <v>45251.66491337963</v>
      </c>
      <c r="B739" s="5" t="s">
        <v>1023</v>
      </c>
      <c r="C739" s="5">
        <v>9.557629228E9</v>
      </c>
      <c r="F739" s="7" t="s">
        <v>1024</v>
      </c>
      <c r="G739" s="5" t="s">
        <v>303</v>
      </c>
      <c r="H739" s="5" t="s">
        <v>706</v>
      </c>
    </row>
    <row r="740">
      <c r="A740" s="4">
        <v>45251.66713392361</v>
      </c>
      <c r="B740" s="5" t="s">
        <v>1025</v>
      </c>
      <c r="C740" s="5">
        <v>9.599276778E9</v>
      </c>
      <c r="G740" s="5" t="s">
        <v>303</v>
      </c>
      <c r="H740" s="5" t="s">
        <v>701</v>
      </c>
    </row>
    <row r="741">
      <c r="A741" s="4">
        <v>45251.66830856481</v>
      </c>
      <c r="B741" s="5" t="s">
        <v>1026</v>
      </c>
      <c r="C741" s="5">
        <v>8.810653464E9</v>
      </c>
      <c r="G741" s="5" t="s">
        <v>303</v>
      </c>
      <c r="H741" s="5" t="s">
        <v>701</v>
      </c>
    </row>
    <row r="742">
      <c r="A742" s="4">
        <v>45251.669445798616</v>
      </c>
      <c r="B742" s="5" t="s">
        <v>1027</v>
      </c>
      <c r="C742" s="5">
        <v>8.800916038E9</v>
      </c>
      <c r="E742" s="5" t="s">
        <v>71</v>
      </c>
      <c r="G742" s="5" t="s">
        <v>303</v>
      </c>
      <c r="H742" s="5" t="s">
        <v>706</v>
      </c>
    </row>
    <row r="743">
      <c r="A743" s="4">
        <v>45251.67091350694</v>
      </c>
      <c r="B743" s="5" t="s">
        <v>179</v>
      </c>
      <c r="C743" s="5">
        <v>9.818825444E9</v>
      </c>
      <c r="E743" s="5" t="s">
        <v>71</v>
      </c>
      <c r="G743" s="5" t="s">
        <v>303</v>
      </c>
      <c r="H743" s="5" t="s">
        <v>706</v>
      </c>
    </row>
    <row r="744">
      <c r="A744" s="4">
        <v>45251.67109653935</v>
      </c>
      <c r="B744" s="5" t="s">
        <v>1028</v>
      </c>
      <c r="C744" s="5">
        <v>9.899134205E9</v>
      </c>
      <c r="G744" s="5" t="s">
        <v>303</v>
      </c>
      <c r="H744" s="5" t="s">
        <v>701</v>
      </c>
    </row>
    <row r="745">
      <c r="A745" s="4">
        <v>45251.671163506944</v>
      </c>
      <c r="B745" s="5" t="s">
        <v>1029</v>
      </c>
      <c r="C745" s="5">
        <v>9.910301357E9</v>
      </c>
      <c r="G745" s="5" t="s">
        <v>303</v>
      </c>
      <c r="H745" s="5" t="s">
        <v>701</v>
      </c>
    </row>
    <row r="746">
      <c r="A746" s="4">
        <v>45251.67328699074</v>
      </c>
      <c r="B746" s="5" t="s">
        <v>1030</v>
      </c>
      <c r="C746" s="5">
        <v>9.82078754E9</v>
      </c>
      <c r="E746" s="5" t="s">
        <v>227</v>
      </c>
      <c r="G746" s="5" t="s">
        <v>303</v>
      </c>
      <c r="H746" s="5" t="s">
        <v>706</v>
      </c>
    </row>
    <row r="747">
      <c r="A747" s="4">
        <v>45251.674320555554</v>
      </c>
      <c r="B747" s="5" t="s">
        <v>1031</v>
      </c>
      <c r="C747" s="5">
        <v>9.871443232E9</v>
      </c>
      <c r="E747" s="5" t="s">
        <v>227</v>
      </c>
      <c r="G747" s="5" t="s">
        <v>303</v>
      </c>
      <c r="H747" s="5" t="s">
        <v>706</v>
      </c>
    </row>
    <row r="748">
      <c r="A748" s="4">
        <v>45251.67453333334</v>
      </c>
      <c r="B748" s="5" t="s">
        <v>1032</v>
      </c>
      <c r="C748" s="5">
        <v>7.599323399E9</v>
      </c>
      <c r="G748" s="5" t="s">
        <v>303</v>
      </c>
      <c r="H748" s="5" t="s">
        <v>706</v>
      </c>
    </row>
    <row r="749">
      <c r="A749" s="4">
        <v>45251.684082638894</v>
      </c>
      <c r="B749" s="5" t="s">
        <v>1028</v>
      </c>
      <c r="C749" s="5">
        <v>9.254603624E9</v>
      </c>
      <c r="E749" s="5" t="s">
        <v>71</v>
      </c>
      <c r="G749" s="5" t="s">
        <v>303</v>
      </c>
      <c r="H749" s="5" t="s">
        <v>706</v>
      </c>
    </row>
    <row r="750">
      <c r="A750" s="4">
        <v>45251.69617465278</v>
      </c>
      <c r="B750" s="5" t="s">
        <v>1033</v>
      </c>
      <c r="C750" s="5">
        <v>9.958899294E9</v>
      </c>
      <c r="G750" s="5" t="s">
        <v>303</v>
      </c>
      <c r="H750" s="5" t="s">
        <v>706</v>
      </c>
    </row>
    <row r="751">
      <c r="A751" s="4">
        <v>45251.699340949075</v>
      </c>
      <c r="B751" s="5" t="s">
        <v>573</v>
      </c>
      <c r="C751" s="5">
        <v>8.700166943E9</v>
      </c>
      <c r="E751" s="5" t="s">
        <v>79</v>
      </c>
      <c r="G751" s="5" t="s">
        <v>303</v>
      </c>
      <c r="H751" s="5" t="s">
        <v>706</v>
      </c>
    </row>
    <row r="752">
      <c r="A752" s="4">
        <v>45251.699963148145</v>
      </c>
      <c r="B752" s="5" t="s">
        <v>702</v>
      </c>
      <c r="C752" s="5">
        <v>9.891848378E9</v>
      </c>
      <c r="G752" s="5" t="s">
        <v>303</v>
      </c>
      <c r="H752" s="5" t="s">
        <v>701</v>
      </c>
    </row>
    <row r="753">
      <c r="A753" s="4">
        <v>45251.703505625</v>
      </c>
      <c r="B753" s="5" t="s">
        <v>1034</v>
      </c>
      <c r="C753" s="5">
        <v>9.89724067E9</v>
      </c>
      <c r="G753" s="5" t="s">
        <v>303</v>
      </c>
      <c r="H753" s="5" t="s">
        <v>1035</v>
      </c>
    </row>
    <row r="754">
      <c r="A754" s="4">
        <v>45251.704004907406</v>
      </c>
      <c r="B754" s="5" t="s">
        <v>1036</v>
      </c>
      <c r="C754" s="5">
        <v>9.810475416E9</v>
      </c>
      <c r="G754" s="5" t="s">
        <v>303</v>
      </c>
      <c r="H754" s="5" t="s">
        <v>701</v>
      </c>
    </row>
    <row r="755">
      <c r="A755" s="4">
        <v>45251.70403871528</v>
      </c>
      <c r="B755" s="5" t="s">
        <v>1037</v>
      </c>
      <c r="C755" s="5">
        <v>7.867863922E9</v>
      </c>
      <c r="G755" s="5" t="s">
        <v>303</v>
      </c>
      <c r="H755" s="5" t="s">
        <v>701</v>
      </c>
    </row>
    <row r="756">
      <c r="A756" s="4">
        <v>45251.706859618054</v>
      </c>
      <c r="B756" s="5" t="s">
        <v>1038</v>
      </c>
      <c r="C756" s="5">
        <v>9.837494154E9</v>
      </c>
      <c r="G756" s="5" t="s">
        <v>303</v>
      </c>
      <c r="H756" s="5" t="s">
        <v>701</v>
      </c>
    </row>
    <row r="757">
      <c r="A757" s="4">
        <v>45251.70793607639</v>
      </c>
      <c r="B757" s="5" t="s">
        <v>1039</v>
      </c>
      <c r="C757" s="5">
        <v>9.259266486E9</v>
      </c>
      <c r="G757" s="5" t="s">
        <v>303</v>
      </c>
      <c r="H757" s="5" t="s">
        <v>701</v>
      </c>
    </row>
    <row r="758">
      <c r="A758" s="4">
        <v>45251.70856857639</v>
      </c>
      <c r="B758" s="5" t="s">
        <v>1040</v>
      </c>
      <c r="C758" s="5">
        <v>9.811377734E9</v>
      </c>
      <c r="G758" s="5" t="s">
        <v>303</v>
      </c>
      <c r="H758" s="5" t="s">
        <v>701</v>
      </c>
    </row>
    <row r="759">
      <c r="A759" s="4">
        <v>45251.70904726852</v>
      </c>
      <c r="B759" s="5" t="s">
        <v>534</v>
      </c>
      <c r="C759" s="5">
        <v>7.827464273E9</v>
      </c>
      <c r="G759" s="5" t="s">
        <v>303</v>
      </c>
      <c r="H759" s="5" t="s">
        <v>701</v>
      </c>
    </row>
    <row r="760">
      <c r="A760" s="4">
        <v>45251.709481087964</v>
      </c>
      <c r="B760" s="5" t="s">
        <v>1041</v>
      </c>
      <c r="C760" s="5">
        <v>8.130573386E9</v>
      </c>
      <c r="G760" s="5" t="s">
        <v>303</v>
      </c>
      <c r="H760" s="5" t="s">
        <v>701</v>
      </c>
    </row>
    <row r="761">
      <c r="A761" s="4">
        <v>45251.709749629634</v>
      </c>
      <c r="B761" s="5" t="s">
        <v>1042</v>
      </c>
      <c r="C761" s="5">
        <v>9.953131628E9</v>
      </c>
      <c r="G761" s="5" t="s">
        <v>303</v>
      </c>
      <c r="H761" s="5" t="s">
        <v>701</v>
      </c>
    </row>
    <row r="762">
      <c r="A762" s="4">
        <v>45251.71071804398</v>
      </c>
      <c r="B762" s="5" t="s">
        <v>1043</v>
      </c>
      <c r="C762" s="5">
        <v>8.700481289E9</v>
      </c>
      <c r="G762" s="5" t="s">
        <v>303</v>
      </c>
      <c r="H762" s="5" t="s">
        <v>701</v>
      </c>
    </row>
    <row r="763">
      <c r="A763" s="4">
        <v>45251.71202416667</v>
      </c>
      <c r="B763" s="5" t="s">
        <v>1044</v>
      </c>
      <c r="C763" s="5">
        <v>9.91036172E9</v>
      </c>
      <c r="G763" s="5" t="s">
        <v>303</v>
      </c>
      <c r="H763" s="5" t="s">
        <v>701</v>
      </c>
    </row>
    <row r="764">
      <c r="A764" s="4">
        <v>45251.713271863424</v>
      </c>
      <c r="B764" s="5" t="s">
        <v>1045</v>
      </c>
      <c r="C764" s="5">
        <v>9.873009325E9</v>
      </c>
      <c r="G764" s="5" t="s">
        <v>303</v>
      </c>
      <c r="H764" s="5" t="s">
        <v>701</v>
      </c>
    </row>
    <row r="765">
      <c r="A765" s="4">
        <v>45251.714636516204</v>
      </c>
      <c r="B765" s="5" t="s">
        <v>1046</v>
      </c>
      <c r="C765" s="5">
        <v>9.81827868E9</v>
      </c>
      <c r="G765" s="5" t="s">
        <v>303</v>
      </c>
      <c r="H765" s="5" t="s">
        <v>1035</v>
      </c>
    </row>
    <row r="766">
      <c r="A766" s="4">
        <v>45251.71650738426</v>
      </c>
      <c r="B766" s="5" t="s">
        <v>1047</v>
      </c>
      <c r="C766" s="5">
        <v>8.532842941E9</v>
      </c>
      <c r="G766" s="5" t="s">
        <v>303</v>
      </c>
      <c r="H766" s="5" t="s">
        <v>701</v>
      </c>
    </row>
    <row r="767">
      <c r="A767" s="4">
        <v>45251.7166991088</v>
      </c>
      <c r="B767" s="5" t="s">
        <v>1048</v>
      </c>
      <c r="C767" s="5">
        <v>9.953295326E9</v>
      </c>
      <c r="G767" s="5" t="s">
        <v>303</v>
      </c>
      <c r="H767" s="5" t="s">
        <v>701</v>
      </c>
    </row>
    <row r="768">
      <c r="A768" s="4">
        <v>45251.71707236111</v>
      </c>
      <c r="B768" s="5" t="s">
        <v>1049</v>
      </c>
      <c r="C768" s="5">
        <v>9.313327555E9</v>
      </c>
      <c r="E768" s="5" t="s">
        <v>79</v>
      </c>
      <c r="G768" s="5" t="s">
        <v>303</v>
      </c>
      <c r="H768" s="5" t="s">
        <v>706</v>
      </c>
    </row>
    <row r="769">
      <c r="A769" s="4">
        <v>45251.7196359838</v>
      </c>
      <c r="B769" s="5" t="s">
        <v>1050</v>
      </c>
      <c r="C769" s="5">
        <v>9.81893479E9</v>
      </c>
      <c r="G769" s="5" t="s">
        <v>303</v>
      </c>
      <c r="H769" s="5" t="s">
        <v>701</v>
      </c>
    </row>
    <row r="770">
      <c r="A770" s="4">
        <v>45251.719945034725</v>
      </c>
      <c r="B770" s="5" t="s">
        <v>1051</v>
      </c>
      <c r="C770" s="5">
        <v>8.851210573E9</v>
      </c>
      <c r="G770" s="5" t="s">
        <v>303</v>
      </c>
      <c r="H770" s="5" t="s">
        <v>701</v>
      </c>
    </row>
    <row r="771">
      <c r="A771" s="4">
        <v>45251.72048788195</v>
      </c>
      <c r="B771" s="5" t="s">
        <v>1052</v>
      </c>
      <c r="C771" s="5">
        <v>9.958204258E9</v>
      </c>
      <c r="G771" s="5" t="s">
        <v>303</v>
      </c>
      <c r="H771" s="5" t="s">
        <v>701</v>
      </c>
    </row>
    <row r="772">
      <c r="A772" s="4">
        <v>45251.721344606485</v>
      </c>
      <c r="B772" s="5" t="s">
        <v>1053</v>
      </c>
      <c r="C772" s="5">
        <v>9.78521872E9</v>
      </c>
      <c r="E772" s="5" t="s">
        <v>26</v>
      </c>
      <c r="G772" s="5" t="s">
        <v>303</v>
      </c>
      <c r="H772" s="5" t="s">
        <v>706</v>
      </c>
    </row>
    <row r="773">
      <c r="A773" s="4">
        <v>45251.72174417824</v>
      </c>
      <c r="B773" s="5" t="s">
        <v>1054</v>
      </c>
      <c r="C773" s="5">
        <v>9.711226719E9</v>
      </c>
      <c r="G773" s="5" t="s">
        <v>303</v>
      </c>
      <c r="H773" s="5" t="s">
        <v>701</v>
      </c>
    </row>
    <row r="774">
      <c r="A774" s="4">
        <v>45251.72278030093</v>
      </c>
      <c r="B774" s="5" t="s">
        <v>1055</v>
      </c>
      <c r="C774" s="5">
        <v>9.868917674E9</v>
      </c>
      <c r="E774" s="5" t="s">
        <v>227</v>
      </c>
      <c r="G774" s="5" t="s">
        <v>303</v>
      </c>
      <c r="H774" s="5" t="s">
        <v>706</v>
      </c>
    </row>
    <row r="775">
      <c r="A775" s="4">
        <v>45251.72293396991</v>
      </c>
      <c r="B775" s="5" t="s">
        <v>1056</v>
      </c>
      <c r="C775" s="5">
        <v>7.98818387E9</v>
      </c>
      <c r="G775" s="5" t="s">
        <v>303</v>
      </c>
      <c r="H775" s="5" t="s">
        <v>701</v>
      </c>
    </row>
    <row r="776">
      <c r="A776" s="4">
        <v>45251.72871203704</v>
      </c>
      <c r="B776" s="5" t="s">
        <v>1057</v>
      </c>
      <c r="C776" s="5">
        <v>7.678302111E9</v>
      </c>
      <c r="G776" s="5" t="s">
        <v>303</v>
      </c>
      <c r="H776" s="5" t="s">
        <v>701</v>
      </c>
    </row>
    <row r="777">
      <c r="A777" s="4">
        <v>45251.72907277777</v>
      </c>
      <c r="B777" s="5" t="s">
        <v>1058</v>
      </c>
      <c r="C777" s="5">
        <v>9.717047066E9</v>
      </c>
      <c r="G777" s="5" t="s">
        <v>303</v>
      </c>
      <c r="H777" s="5" t="s">
        <v>701</v>
      </c>
    </row>
    <row r="778">
      <c r="A778" s="4">
        <v>45251.729262175926</v>
      </c>
      <c r="B778" s="5" t="s">
        <v>1059</v>
      </c>
      <c r="C778" s="5">
        <v>9.810357152E9</v>
      </c>
      <c r="E778" s="5" t="s">
        <v>769</v>
      </c>
      <c r="G778" s="5" t="s">
        <v>303</v>
      </c>
      <c r="H778" s="5" t="s">
        <v>706</v>
      </c>
    </row>
    <row r="779">
      <c r="A779" s="4">
        <v>45251.729363136576</v>
      </c>
      <c r="B779" s="5" t="s">
        <v>1060</v>
      </c>
      <c r="C779" s="5">
        <v>7.011100151E9</v>
      </c>
      <c r="G779" s="5" t="s">
        <v>303</v>
      </c>
      <c r="H779" s="5" t="s">
        <v>701</v>
      </c>
    </row>
    <row r="780">
      <c r="A780" s="4">
        <v>45251.73187054398</v>
      </c>
      <c r="B780" s="5" t="s">
        <v>1061</v>
      </c>
      <c r="C780" s="5">
        <v>9.911071738E9</v>
      </c>
      <c r="E780" s="5" t="s">
        <v>227</v>
      </c>
      <c r="G780" s="5" t="s">
        <v>303</v>
      </c>
      <c r="H780" s="5" t="s">
        <v>706</v>
      </c>
    </row>
    <row r="781">
      <c r="A781" s="4">
        <v>45251.733613703705</v>
      </c>
      <c r="B781" s="5" t="s">
        <v>1062</v>
      </c>
      <c r="C781" s="5">
        <v>9.999778779E9</v>
      </c>
      <c r="G781" s="5" t="s">
        <v>303</v>
      </c>
      <c r="H781" s="5" t="s">
        <v>701</v>
      </c>
    </row>
    <row r="782">
      <c r="A782" s="4">
        <v>45251.73514690972</v>
      </c>
      <c r="B782" s="5" t="s">
        <v>1063</v>
      </c>
      <c r="C782" s="5">
        <v>8.076405075E9</v>
      </c>
      <c r="G782" s="5" t="s">
        <v>303</v>
      </c>
      <c r="H782" s="5" t="s">
        <v>701</v>
      </c>
    </row>
    <row r="783">
      <c r="A783" s="4">
        <v>45251.73589173611</v>
      </c>
      <c r="B783" s="5" t="s">
        <v>1064</v>
      </c>
      <c r="C783" s="5">
        <v>9.540715413E9</v>
      </c>
      <c r="G783" s="5" t="s">
        <v>303</v>
      </c>
      <c r="H783" s="5" t="s">
        <v>701</v>
      </c>
    </row>
    <row r="784">
      <c r="A784" s="4">
        <v>45251.73751195602</v>
      </c>
      <c r="B784" s="5" t="s">
        <v>1065</v>
      </c>
      <c r="C784" s="5">
        <v>9.87319521E9</v>
      </c>
      <c r="G784" s="5" t="s">
        <v>303</v>
      </c>
      <c r="H784" s="5" t="s">
        <v>701</v>
      </c>
    </row>
    <row r="785">
      <c r="A785" s="4">
        <v>45251.7377844213</v>
      </c>
      <c r="B785" s="5" t="s">
        <v>1066</v>
      </c>
      <c r="C785" s="5">
        <v>8.287384502E9</v>
      </c>
      <c r="G785" s="5" t="s">
        <v>303</v>
      </c>
      <c r="H785" s="5" t="s">
        <v>701</v>
      </c>
    </row>
    <row r="786">
      <c r="A786" s="4">
        <v>45251.741057673615</v>
      </c>
      <c r="B786" s="5" t="s">
        <v>1067</v>
      </c>
      <c r="C786" s="5">
        <v>8.920271919E9</v>
      </c>
      <c r="D786" s="5" t="s">
        <v>704</v>
      </c>
      <c r="E786" s="5" t="s">
        <v>1068</v>
      </c>
      <c r="G786" s="5" t="s">
        <v>303</v>
      </c>
      <c r="H786" s="5" t="s">
        <v>706</v>
      </c>
    </row>
    <row r="787">
      <c r="A787" s="4">
        <v>45251.74337270833</v>
      </c>
      <c r="B787" s="5" t="s">
        <v>1069</v>
      </c>
      <c r="C787" s="5">
        <v>9.898568358E9</v>
      </c>
      <c r="G787" s="5" t="s">
        <v>303</v>
      </c>
      <c r="H787" s="5" t="s">
        <v>706</v>
      </c>
    </row>
    <row r="788">
      <c r="A788" s="4">
        <v>45251.74557240741</v>
      </c>
      <c r="B788" s="5" t="s">
        <v>1070</v>
      </c>
      <c r="C788" s="5">
        <v>9.560356725E9</v>
      </c>
      <c r="G788" s="5" t="s">
        <v>303</v>
      </c>
      <c r="H788" s="5" t="s">
        <v>701</v>
      </c>
    </row>
    <row r="789">
      <c r="A789" s="4">
        <v>45251.74593244213</v>
      </c>
      <c r="B789" s="5" t="s">
        <v>1071</v>
      </c>
      <c r="D789" s="5">
        <v>8.851558975E9</v>
      </c>
      <c r="G789" s="5" t="s">
        <v>303</v>
      </c>
      <c r="H789" s="5" t="s">
        <v>701</v>
      </c>
    </row>
    <row r="790">
      <c r="A790" s="4">
        <v>45251.74651414352</v>
      </c>
      <c r="B790" s="5" t="s">
        <v>1072</v>
      </c>
      <c r="C790" s="5">
        <v>9.897292396E9</v>
      </c>
      <c r="G790" s="5" t="s">
        <v>303</v>
      </c>
      <c r="H790" s="5" t="s">
        <v>701</v>
      </c>
    </row>
    <row r="791">
      <c r="A791" s="4">
        <v>45251.75180096064</v>
      </c>
      <c r="B791" s="5" t="s">
        <v>1073</v>
      </c>
      <c r="C791" s="5">
        <v>9.810050886E9</v>
      </c>
      <c r="G791" s="5" t="s">
        <v>303</v>
      </c>
      <c r="H791" s="5" t="s">
        <v>706</v>
      </c>
    </row>
    <row r="792">
      <c r="A792" s="4">
        <v>45251.75291592593</v>
      </c>
      <c r="B792" s="5" t="s">
        <v>109</v>
      </c>
      <c r="C792" s="5">
        <v>9.650473808E9</v>
      </c>
      <c r="G792" s="5" t="s">
        <v>303</v>
      </c>
      <c r="H792" s="5" t="s">
        <v>701</v>
      </c>
    </row>
    <row r="793">
      <c r="A793" s="4">
        <v>45251.753357974536</v>
      </c>
      <c r="B793" s="5" t="s">
        <v>1074</v>
      </c>
      <c r="C793" s="5">
        <v>8.810455353E9</v>
      </c>
      <c r="E793" s="5" t="s">
        <v>79</v>
      </c>
      <c r="G793" s="5" t="s">
        <v>303</v>
      </c>
      <c r="H793" s="5" t="s">
        <v>706</v>
      </c>
    </row>
    <row r="794">
      <c r="A794" s="4">
        <v>45251.754137627315</v>
      </c>
      <c r="B794" s="5" t="s">
        <v>1075</v>
      </c>
      <c r="C794" s="5">
        <v>8.287463205E9</v>
      </c>
      <c r="E794" s="5" t="s">
        <v>79</v>
      </c>
      <c r="G794" s="5" t="s">
        <v>303</v>
      </c>
      <c r="H794" s="5" t="s">
        <v>706</v>
      </c>
    </row>
    <row r="795">
      <c r="A795" s="4">
        <v>45251.754642789354</v>
      </c>
      <c r="B795" s="5" t="s">
        <v>470</v>
      </c>
      <c r="C795" s="5">
        <v>8.882757533E9</v>
      </c>
      <c r="G795" s="5" t="s">
        <v>303</v>
      </c>
      <c r="H795" s="5" t="s">
        <v>706</v>
      </c>
    </row>
    <row r="796">
      <c r="A796" s="4">
        <v>45251.75525825231</v>
      </c>
      <c r="B796" s="5" t="s">
        <v>1076</v>
      </c>
      <c r="C796" s="5">
        <v>7.701992094E9</v>
      </c>
      <c r="D796" s="5" t="s">
        <v>1077</v>
      </c>
      <c r="G796" s="5" t="s">
        <v>303</v>
      </c>
      <c r="H796" s="5" t="s">
        <v>701</v>
      </c>
    </row>
    <row r="797">
      <c r="A797" s="4">
        <v>45251.75527546296</v>
      </c>
      <c r="B797" s="5" t="s">
        <v>578</v>
      </c>
      <c r="C797" s="5">
        <v>7.302058607E9</v>
      </c>
      <c r="G797" s="5" t="s">
        <v>303</v>
      </c>
      <c r="H797" s="5" t="s">
        <v>701</v>
      </c>
    </row>
    <row r="798">
      <c r="A798" s="4">
        <v>45251.75636079861</v>
      </c>
      <c r="B798" s="5" t="s">
        <v>1078</v>
      </c>
      <c r="C798" s="5">
        <v>9.069383477E9</v>
      </c>
      <c r="G798" s="5" t="s">
        <v>303</v>
      </c>
      <c r="H798" s="5" t="s">
        <v>701</v>
      </c>
    </row>
    <row r="799">
      <c r="A799" s="4">
        <v>45251.7564790162</v>
      </c>
      <c r="B799" s="5" t="s">
        <v>1079</v>
      </c>
      <c r="C799" s="5">
        <v>8.285771333E9</v>
      </c>
      <c r="G799" s="5" t="s">
        <v>303</v>
      </c>
      <c r="H799" s="5" t="s">
        <v>701</v>
      </c>
    </row>
    <row r="800">
      <c r="A800" s="4">
        <v>45251.756756585644</v>
      </c>
      <c r="B800" s="5" t="s">
        <v>1080</v>
      </c>
      <c r="C800" s="5">
        <v>9.369861936E9</v>
      </c>
      <c r="E800" s="5" t="s">
        <v>79</v>
      </c>
      <c r="G800" s="5" t="s">
        <v>303</v>
      </c>
      <c r="H800" s="5" t="s">
        <v>706</v>
      </c>
    </row>
    <row r="801">
      <c r="A801" s="4">
        <v>45251.75691725695</v>
      </c>
      <c r="B801" s="5" t="s">
        <v>1081</v>
      </c>
      <c r="C801" s="5">
        <v>8.373990865E9</v>
      </c>
      <c r="G801" s="5" t="s">
        <v>303</v>
      </c>
      <c r="H801" s="5" t="s">
        <v>701</v>
      </c>
    </row>
    <row r="802">
      <c r="A802" s="4">
        <v>45251.75747537037</v>
      </c>
      <c r="B802" s="5" t="s">
        <v>1082</v>
      </c>
      <c r="C802" s="5">
        <v>9.81107104E9</v>
      </c>
      <c r="E802" s="5" t="s">
        <v>1083</v>
      </c>
      <c r="G802" s="5" t="s">
        <v>303</v>
      </c>
      <c r="H802" s="5" t="s">
        <v>706</v>
      </c>
    </row>
    <row r="803">
      <c r="A803" s="4">
        <v>45251.7578035301</v>
      </c>
      <c r="B803" s="5" t="s">
        <v>1084</v>
      </c>
      <c r="C803" s="5">
        <v>7.827420999E9</v>
      </c>
      <c r="G803" s="5" t="s">
        <v>303</v>
      </c>
      <c r="H803" s="5" t="s">
        <v>701</v>
      </c>
    </row>
    <row r="804">
      <c r="A804" s="4">
        <v>45251.75788770833</v>
      </c>
      <c r="B804" s="5" t="s">
        <v>1085</v>
      </c>
      <c r="C804" s="5">
        <v>8.178369552E9</v>
      </c>
      <c r="G804" s="5" t="s">
        <v>303</v>
      </c>
      <c r="H804" s="5" t="s">
        <v>701</v>
      </c>
    </row>
    <row r="805">
      <c r="A805" s="4">
        <v>45251.75901052084</v>
      </c>
      <c r="B805" s="5" t="s">
        <v>1086</v>
      </c>
      <c r="C805" s="5">
        <v>8.882673359E9</v>
      </c>
      <c r="G805" s="5" t="s">
        <v>303</v>
      </c>
      <c r="H805" s="5" t="s">
        <v>701</v>
      </c>
    </row>
    <row r="806">
      <c r="A806" s="4">
        <v>45251.75979217593</v>
      </c>
      <c r="B806" s="5" t="s">
        <v>1087</v>
      </c>
      <c r="C806" s="5">
        <v>8.802259205E9</v>
      </c>
      <c r="E806" s="5" t="s">
        <v>79</v>
      </c>
      <c r="G806" s="5" t="s">
        <v>303</v>
      </c>
      <c r="H806" s="5" t="s">
        <v>706</v>
      </c>
    </row>
    <row r="807">
      <c r="A807" s="4">
        <v>45251.76613146991</v>
      </c>
      <c r="B807" s="5" t="s">
        <v>802</v>
      </c>
      <c r="C807" s="5">
        <v>9.416013958E9</v>
      </c>
      <c r="E807" s="5" t="s">
        <v>918</v>
      </c>
      <c r="G807" s="5" t="s">
        <v>303</v>
      </c>
      <c r="H807" s="5" t="s">
        <v>701</v>
      </c>
    </row>
    <row r="808">
      <c r="A808" s="4">
        <v>45251.76668929398</v>
      </c>
      <c r="B808" s="5" t="s">
        <v>916</v>
      </c>
      <c r="C808" s="5">
        <v>9.818122775E9</v>
      </c>
      <c r="G808" s="5" t="s">
        <v>303</v>
      </c>
      <c r="H808" s="5" t="s">
        <v>701</v>
      </c>
    </row>
    <row r="809">
      <c r="A809" s="4">
        <v>45251.77132280092</v>
      </c>
      <c r="B809" s="5" t="s">
        <v>1088</v>
      </c>
      <c r="C809" s="5">
        <v>9.910947361E9</v>
      </c>
      <c r="E809" s="5" t="s">
        <v>1089</v>
      </c>
      <c r="G809" s="5" t="s">
        <v>303</v>
      </c>
      <c r="H809" s="5" t="s">
        <v>706</v>
      </c>
    </row>
    <row r="810">
      <c r="A810" s="4">
        <v>45251.77296512731</v>
      </c>
      <c r="B810" s="5" t="s">
        <v>392</v>
      </c>
      <c r="C810" s="5">
        <v>9.718419266E9</v>
      </c>
      <c r="G810" s="5" t="s">
        <v>303</v>
      </c>
      <c r="H810" s="5" t="s">
        <v>1035</v>
      </c>
    </row>
    <row r="811">
      <c r="A811" s="4">
        <v>45251.77618424769</v>
      </c>
      <c r="B811" s="5" t="s">
        <v>1090</v>
      </c>
      <c r="C811" s="5">
        <v>7.906432313E9</v>
      </c>
      <c r="G811" s="5" t="s">
        <v>303</v>
      </c>
      <c r="H811" s="5" t="s">
        <v>701</v>
      </c>
    </row>
    <row r="812">
      <c r="A812" s="4">
        <v>45251.777739178244</v>
      </c>
      <c r="B812" s="5" t="s">
        <v>1091</v>
      </c>
      <c r="C812" s="5">
        <v>9.65066964E9</v>
      </c>
      <c r="D812" s="5" t="s">
        <v>1092</v>
      </c>
      <c r="G812" s="5" t="s">
        <v>303</v>
      </c>
      <c r="H812" s="5" t="s">
        <v>701</v>
      </c>
    </row>
    <row r="813">
      <c r="A813" s="4">
        <v>45251.777756157404</v>
      </c>
      <c r="B813" s="5" t="s">
        <v>1093</v>
      </c>
      <c r="C813" s="5">
        <v>7.290997342E9</v>
      </c>
      <c r="G813" s="5" t="s">
        <v>303</v>
      </c>
      <c r="H813" s="5" t="s">
        <v>701</v>
      </c>
    </row>
    <row r="814">
      <c r="A814" s="4">
        <v>45251.7779984838</v>
      </c>
      <c r="B814" s="5" t="s">
        <v>1094</v>
      </c>
      <c r="C814" s="5">
        <v>9.899200949E9</v>
      </c>
      <c r="G814" s="5" t="s">
        <v>303</v>
      </c>
      <c r="H814" s="5" t="s">
        <v>701</v>
      </c>
    </row>
    <row r="815">
      <c r="A815" s="4">
        <v>45251.778205625</v>
      </c>
      <c r="B815" s="5" t="s">
        <v>1095</v>
      </c>
      <c r="C815" s="5">
        <v>9.891644849E9</v>
      </c>
      <c r="G815" s="5" t="s">
        <v>303</v>
      </c>
      <c r="H815" s="5" t="s">
        <v>701</v>
      </c>
    </row>
    <row r="816">
      <c r="A816" s="4">
        <v>45251.77855905093</v>
      </c>
      <c r="B816" s="5" t="s">
        <v>1096</v>
      </c>
      <c r="C816" s="5">
        <v>9.873683662E9</v>
      </c>
      <c r="G816" s="5" t="s">
        <v>303</v>
      </c>
      <c r="H816" s="5" t="s">
        <v>701</v>
      </c>
    </row>
    <row r="817">
      <c r="A817" s="4">
        <v>45251.77877671296</v>
      </c>
      <c r="B817" s="5" t="s">
        <v>1097</v>
      </c>
      <c r="C817" s="5">
        <v>8.383057583E9</v>
      </c>
      <c r="G817" s="5" t="s">
        <v>303</v>
      </c>
      <c r="H817" s="5" t="s">
        <v>701</v>
      </c>
    </row>
    <row r="818">
      <c r="A818" s="4">
        <v>45251.77897265046</v>
      </c>
      <c r="B818" s="5" t="s">
        <v>1098</v>
      </c>
      <c r="C818" s="5">
        <v>9.999036034E9</v>
      </c>
      <c r="G818" s="5" t="s">
        <v>303</v>
      </c>
      <c r="H818" s="5" t="s">
        <v>701</v>
      </c>
    </row>
    <row r="819">
      <c r="A819" s="4">
        <v>45251.77914960648</v>
      </c>
      <c r="B819" s="5" t="s">
        <v>1099</v>
      </c>
      <c r="C819" s="5">
        <v>9.873474943E9</v>
      </c>
      <c r="E819" s="5" t="s">
        <v>227</v>
      </c>
      <c r="G819" s="5" t="s">
        <v>303</v>
      </c>
      <c r="H819" s="5" t="s">
        <v>706</v>
      </c>
    </row>
    <row r="820">
      <c r="A820" s="4">
        <v>45251.77938385417</v>
      </c>
      <c r="B820" s="5" t="s">
        <v>1100</v>
      </c>
      <c r="C820" s="5">
        <v>7.04896335E9</v>
      </c>
      <c r="E820" s="5" t="s">
        <v>1101</v>
      </c>
      <c r="G820" s="5" t="s">
        <v>303</v>
      </c>
      <c r="H820" s="5" t="s">
        <v>706</v>
      </c>
    </row>
    <row r="821">
      <c r="A821" s="4">
        <v>45251.7795265625</v>
      </c>
      <c r="B821" s="5" t="s">
        <v>1102</v>
      </c>
      <c r="C821" s="5">
        <v>9.654402411E9</v>
      </c>
      <c r="G821" s="5" t="s">
        <v>303</v>
      </c>
      <c r="H821" s="5" t="s">
        <v>701</v>
      </c>
    </row>
    <row r="822">
      <c r="A822" s="4">
        <v>45251.77962155093</v>
      </c>
      <c r="B822" s="5" t="s">
        <v>1103</v>
      </c>
      <c r="C822" s="5">
        <v>9.899541532E9</v>
      </c>
      <c r="G822" s="5" t="s">
        <v>303</v>
      </c>
      <c r="H822" s="5" t="s">
        <v>701</v>
      </c>
    </row>
    <row r="823">
      <c r="A823" s="4">
        <v>45251.78027803241</v>
      </c>
      <c r="B823" s="5" t="s">
        <v>1104</v>
      </c>
      <c r="C823" s="5">
        <v>7.260976163E9</v>
      </c>
      <c r="G823" s="5" t="s">
        <v>303</v>
      </c>
      <c r="H823" s="5" t="s">
        <v>701</v>
      </c>
    </row>
    <row r="824">
      <c r="A824" s="4">
        <v>45251.78337247686</v>
      </c>
      <c r="B824" s="5" t="s">
        <v>1105</v>
      </c>
      <c r="C824" s="5">
        <v>9.21059666E9</v>
      </c>
      <c r="G824" s="5" t="s">
        <v>303</v>
      </c>
      <c r="H824" s="5" t="s">
        <v>701</v>
      </c>
    </row>
    <row r="825">
      <c r="A825" s="4">
        <v>45251.784461655094</v>
      </c>
      <c r="B825" s="5" t="s">
        <v>1106</v>
      </c>
      <c r="C825" s="5">
        <v>8.287261371E9</v>
      </c>
      <c r="G825" s="5" t="s">
        <v>303</v>
      </c>
      <c r="H825" s="5" t="s">
        <v>701</v>
      </c>
    </row>
    <row r="826">
      <c r="A826" s="4">
        <v>45251.78498835648</v>
      </c>
      <c r="B826" s="5" t="s">
        <v>400</v>
      </c>
      <c r="C826" s="5">
        <v>9.871470631E9</v>
      </c>
      <c r="G826" s="5" t="s">
        <v>303</v>
      </c>
      <c r="H826" s="5" t="s">
        <v>701</v>
      </c>
    </row>
    <row r="827">
      <c r="A827" s="4">
        <v>45251.79168488426</v>
      </c>
      <c r="B827" s="5" t="s">
        <v>1107</v>
      </c>
      <c r="C827" s="5">
        <v>9.953199193E9</v>
      </c>
      <c r="E827" s="5" t="s">
        <v>21</v>
      </c>
      <c r="G827" s="5" t="s">
        <v>303</v>
      </c>
      <c r="H827" s="5" t="s">
        <v>701</v>
      </c>
    </row>
    <row r="828">
      <c r="A828" s="4">
        <v>45251.79625510417</v>
      </c>
      <c r="B828" s="5" t="s">
        <v>1108</v>
      </c>
      <c r="C828" s="5">
        <v>9.760899169E9</v>
      </c>
      <c r="G828" s="5" t="s">
        <v>303</v>
      </c>
      <c r="H828" s="5" t="s">
        <v>1035</v>
      </c>
    </row>
    <row r="829">
      <c r="A829" s="4">
        <v>45252.46236928241</v>
      </c>
      <c r="B829" s="5" t="s">
        <v>1109</v>
      </c>
      <c r="C829" s="5">
        <v>9.334491365E9</v>
      </c>
      <c r="E829" s="5" t="s">
        <v>1110</v>
      </c>
      <c r="G829" s="5" t="s">
        <v>303</v>
      </c>
      <c r="H829" s="5" t="s">
        <v>1035</v>
      </c>
    </row>
    <row r="830">
      <c r="A830" s="4">
        <v>45252.492667094906</v>
      </c>
      <c r="B830" s="5" t="s">
        <v>1111</v>
      </c>
      <c r="C830" s="5">
        <v>9.812755443E9</v>
      </c>
      <c r="D830" s="5" t="s">
        <v>1112</v>
      </c>
      <c r="E830" s="5" t="s">
        <v>1113</v>
      </c>
      <c r="G830" s="5" t="s">
        <v>303</v>
      </c>
      <c r="H830" s="5" t="s">
        <v>701</v>
      </c>
    </row>
    <row r="831">
      <c r="A831" s="4">
        <v>45252.51460322917</v>
      </c>
      <c r="B831" s="5" t="s">
        <v>1114</v>
      </c>
      <c r="C831" s="5">
        <v>9.999788252E9</v>
      </c>
      <c r="E831" s="5" t="s">
        <v>15</v>
      </c>
      <c r="G831" s="5" t="s">
        <v>303</v>
      </c>
      <c r="H831" s="5" t="s">
        <v>701</v>
      </c>
    </row>
    <row r="832">
      <c r="A832" s="4">
        <v>45252.51600444445</v>
      </c>
      <c r="B832" s="5" t="s">
        <v>1115</v>
      </c>
      <c r="C832" s="5">
        <v>9.873734443E9</v>
      </c>
      <c r="G832" s="5" t="s">
        <v>303</v>
      </c>
      <c r="H832" s="5" t="s">
        <v>701</v>
      </c>
    </row>
    <row r="833">
      <c r="A833" s="4">
        <v>45252.516580497686</v>
      </c>
      <c r="B833" s="5" t="s">
        <v>1116</v>
      </c>
      <c r="C833" s="5">
        <v>9.876471095E9</v>
      </c>
      <c r="G833" s="5" t="s">
        <v>303</v>
      </c>
      <c r="H833" s="5" t="s">
        <v>701</v>
      </c>
    </row>
    <row r="834">
      <c r="A834" s="4">
        <v>45252.51684378472</v>
      </c>
      <c r="B834" s="5" t="s">
        <v>1117</v>
      </c>
      <c r="C834" s="5">
        <v>9.871778443E9</v>
      </c>
      <c r="E834" s="5" t="s">
        <v>1118</v>
      </c>
      <c r="G834" s="5" t="s">
        <v>303</v>
      </c>
      <c r="H834" s="5" t="s">
        <v>701</v>
      </c>
    </row>
    <row r="835">
      <c r="A835" s="4">
        <v>45252.51750457176</v>
      </c>
      <c r="B835" s="5" t="s">
        <v>1119</v>
      </c>
      <c r="C835" s="5">
        <v>9.810100011E9</v>
      </c>
      <c r="G835" s="5" t="s">
        <v>303</v>
      </c>
      <c r="H835" s="5" t="s">
        <v>701</v>
      </c>
    </row>
    <row r="836">
      <c r="A836" s="4">
        <v>45252.517966087966</v>
      </c>
      <c r="B836" s="5" t="s">
        <v>604</v>
      </c>
      <c r="C836" s="5">
        <v>9.810100011E9</v>
      </c>
      <c r="G836" s="5" t="s">
        <v>303</v>
      </c>
      <c r="H836" s="5" t="s">
        <v>701</v>
      </c>
    </row>
    <row r="837">
      <c r="A837" s="4">
        <v>45252.52148623843</v>
      </c>
      <c r="B837" s="5" t="s">
        <v>1120</v>
      </c>
      <c r="C837" s="5">
        <v>9.899164197E9</v>
      </c>
      <c r="E837" s="5" t="s">
        <v>79</v>
      </c>
      <c r="G837" s="5" t="s">
        <v>303</v>
      </c>
      <c r="H837" s="5" t="s">
        <v>706</v>
      </c>
    </row>
    <row r="838">
      <c r="A838" s="4">
        <v>45252.52174869213</v>
      </c>
      <c r="B838" s="5" t="s">
        <v>1121</v>
      </c>
      <c r="C838" s="5">
        <v>9.870353772E9</v>
      </c>
      <c r="G838" s="5" t="s">
        <v>303</v>
      </c>
      <c r="H838" s="5" t="s">
        <v>701</v>
      </c>
    </row>
    <row r="839">
      <c r="A839" s="4">
        <v>45252.523162094905</v>
      </c>
      <c r="B839" s="5" t="s">
        <v>1122</v>
      </c>
      <c r="C839" s="5">
        <v>9.91065195E9</v>
      </c>
      <c r="E839" s="5" t="s">
        <v>26</v>
      </c>
      <c r="G839" s="5" t="s">
        <v>303</v>
      </c>
      <c r="H839" s="5" t="s">
        <v>706</v>
      </c>
    </row>
    <row r="840">
      <c r="A840" s="4">
        <v>45252.523218877315</v>
      </c>
      <c r="B840" s="5" t="s">
        <v>628</v>
      </c>
      <c r="C840" s="5">
        <v>9.953567385E9</v>
      </c>
      <c r="E840" s="5" t="s">
        <v>769</v>
      </c>
      <c r="G840" s="5" t="s">
        <v>303</v>
      </c>
      <c r="H840" s="5" t="s">
        <v>706</v>
      </c>
    </row>
    <row r="841">
      <c r="A841" s="4">
        <v>45252.53069868055</v>
      </c>
      <c r="B841" s="5" t="s">
        <v>1123</v>
      </c>
      <c r="C841" s="5">
        <v>9.654845992E9</v>
      </c>
      <c r="E841" s="5" t="s">
        <v>143</v>
      </c>
      <c r="G841" s="5" t="s">
        <v>303</v>
      </c>
      <c r="H841" s="5" t="s">
        <v>706</v>
      </c>
    </row>
    <row r="842">
      <c r="A842" s="4">
        <v>45252.53229916666</v>
      </c>
      <c r="B842" s="5" t="s">
        <v>1124</v>
      </c>
      <c r="C842" s="5">
        <v>7.011746025E9</v>
      </c>
      <c r="G842" s="5" t="s">
        <v>303</v>
      </c>
      <c r="H842" s="5" t="s">
        <v>701</v>
      </c>
    </row>
    <row r="843">
      <c r="A843" s="4">
        <v>45252.532488784724</v>
      </c>
      <c r="B843" s="5" t="s">
        <v>1125</v>
      </c>
      <c r="C843" s="5">
        <v>8.700529227E9</v>
      </c>
      <c r="E843" s="5" t="s">
        <v>1126</v>
      </c>
      <c r="G843" s="5" t="s">
        <v>303</v>
      </c>
      <c r="H843" s="5" t="s">
        <v>706</v>
      </c>
    </row>
    <row r="844">
      <c r="A844" s="4">
        <v>45252.53256885416</v>
      </c>
      <c r="B844" s="5" t="s">
        <v>1100</v>
      </c>
      <c r="C844" s="5">
        <v>9.711975062E9</v>
      </c>
      <c r="G844" s="5" t="s">
        <v>303</v>
      </c>
      <c r="H844" s="5" t="s">
        <v>701</v>
      </c>
    </row>
    <row r="845">
      <c r="A845" s="4">
        <v>45252.5328062037</v>
      </c>
      <c r="B845" s="5" t="s">
        <v>1127</v>
      </c>
      <c r="C845" s="5">
        <v>9.716767457E9</v>
      </c>
      <c r="G845" s="5" t="s">
        <v>303</v>
      </c>
      <c r="H845" s="5" t="s">
        <v>701</v>
      </c>
    </row>
    <row r="846">
      <c r="A846" s="4">
        <v>45252.539855613424</v>
      </c>
      <c r="B846" s="5" t="s">
        <v>1128</v>
      </c>
      <c r="C846" s="5">
        <v>9.671962626E9</v>
      </c>
      <c r="G846" s="5" t="s">
        <v>303</v>
      </c>
      <c r="H846" s="5" t="s">
        <v>701</v>
      </c>
    </row>
    <row r="847">
      <c r="A847" s="4">
        <v>45252.54133184028</v>
      </c>
      <c r="B847" s="5" t="s">
        <v>35</v>
      </c>
      <c r="C847" s="5">
        <v>9.831677954E9</v>
      </c>
      <c r="E847" s="5" t="s">
        <v>1129</v>
      </c>
      <c r="G847" s="5" t="s">
        <v>303</v>
      </c>
      <c r="H847" s="5" t="s">
        <v>706</v>
      </c>
    </row>
    <row r="848">
      <c r="A848" s="4">
        <v>45252.54161601852</v>
      </c>
      <c r="B848" s="5" t="s">
        <v>219</v>
      </c>
      <c r="C848" s="5">
        <v>9.91022025E9</v>
      </c>
      <c r="G848" s="5" t="s">
        <v>303</v>
      </c>
      <c r="H848" s="5" t="s">
        <v>701</v>
      </c>
    </row>
    <row r="849">
      <c r="A849" s="4">
        <v>45252.5418909375</v>
      </c>
      <c r="B849" s="5" t="s">
        <v>1130</v>
      </c>
      <c r="C849" s="5">
        <v>9.540010515E9</v>
      </c>
      <c r="G849" s="5" t="s">
        <v>303</v>
      </c>
      <c r="H849" s="5" t="s">
        <v>701</v>
      </c>
    </row>
    <row r="850">
      <c r="A850" s="4">
        <v>45252.544304675925</v>
      </c>
      <c r="B850" s="5" t="s">
        <v>1131</v>
      </c>
      <c r="C850" s="5">
        <v>9.811531764E9</v>
      </c>
      <c r="E850" s="5" t="s">
        <v>227</v>
      </c>
      <c r="G850" s="5" t="s">
        <v>303</v>
      </c>
      <c r="H850" s="5" t="s">
        <v>706</v>
      </c>
    </row>
    <row r="851">
      <c r="A851" s="4">
        <v>45252.54498831018</v>
      </c>
      <c r="B851" s="5" t="s">
        <v>1132</v>
      </c>
      <c r="C851" s="5">
        <v>9.818434782E9</v>
      </c>
      <c r="G851" s="5" t="s">
        <v>303</v>
      </c>
      <c r="H851" s="5" t="s">
        <v>701</v>
      </c>
    </row>
    <row r="852">
      <c r="A852" s="4">
        <v>45252.5463590625</v>
      </c>
      <c r="B852" s="5" t="s">
        <v>1133</v>
      </c>
      <c r="C852" s="5">
        <v>9.814477776E9</v>
      </c>
      <c r="E852" s="5" t="s">
        <v>227</v>
      </c>
      <c r="G852" s="5" t="s">
        <v>303</v>
      </c>
      <c r="H852" s="5" t="s">
        <v>706</v>
      </c>
    </row>
    <row r="853">
      <c r="A853" s="4">
        <v>45252.548112766206</v>
      </c>
      <c r="B853" s="5" t="s">
        <v>1134</v>
      </c>
      <c r="C853" s="5">
        <v>9.350195244E9</v>
      </c>
      <c r="E853" s="5" t="s">
        <v>227</v>
      </c>
      <c r="G853" s="5" t="s">
        <v>303</v>
      </c>
      <c r="H853" s="5" t="s">
        <v>706</v>
      </c>
    </row>
    <row r="854">
      <c r="A854" s="4">
        <v>45252.54925196759</v>
      </c>
      <c r="B854" s="5" t="s">
        <v>1135</v>
      </c>
      <c r="C854" s="5">
        <v>7.011177425E9</v>
      </c>
      <c r="G854" s="5" t="s">
        <v>303</v>
      </c>
      <c r="H854" s="5" t="s">
        <v>701</v>
      </c>
    </row>
    <row r="855">
      <c r="A855" s="4">
        <v>45252.54971738426</v>
      </c>
      <c r="B855" s="5" t="s">
        <v>1136</v>
      </c>
      <c r="C855" s="5">
        <v>9.810296558E9</v>
      </c>
      <c r="G855" s="5" t="s">
        <v>303</v>
      </c>
      <c r="H855" s="5" t="s">
        <v>701</v>
      </c>
    </row>
    <row r="856">
      <c r="A856" s="4">
        <v>45252.550954375</v>
      </c>
      <c r="B856" s="5" t="s">
        <v>1137</v>
      </c>
      <c r="C856" s="5">
        <v>8.851981625E9</v>
      </c>
      <c r="G856" s="5" t="s">
        <v>303</v>
      </c>
      <c r="H856" s="5" t="s">
        <v>701</v>
      </c>
    </row>
    <row r="857">
      <c r="A857" s="4">
        <v>45252.55112282408</v>
      </c>
      <c r="B857" s="5" t="s">
        <v>1138</v>
      </c>
      <c r="C857" s="5">
        <v>8.700521475E9</v>
      </c>
      <c r="E857" s="5" t="s">
        <v>1139</v>
      </c>
      <c r="G857" s="5" t="s">
        <v>303</v>
      </c>
      <c r="H857" s="5" t="s">
        <v>706</v>
      </c>
    </row>
    <row r="858">
      <c r="A858" s="4">
        <v>45252.55162896991</v>
      </c>
      <c r="B858" s="5" t="s">
        <v>1140</v>
      </c>
      <c r="C858" s="5">
        <v>9.95830166E9</v>
      </c>
      <c r="G858" s="5" t="s">
        <v>303</v>
      </c>
      <c r="H858" s="5" t="s">
        <v>701</v>
      </c>
    </row>
    <row r="859">
      <c r="A859" s="4">
        <v>45252.5528359375</v>
      </c>
      <c r="B859" s="5" t="s">
        <v>1141</v>
      </c>
      <c r="C859" s="5">
        <v>7.982438635E9</v>
      </c>
      <c r="G859" s="5" t="s">
        <v>303</v>
      </c>
      <c r="H859" s="5" t="s">
        <v>701</v>
      </c>
    </row>
    <row r="860">
      <c r="A860" s="4">
        <v>45252.55535393518</v>
      </c>
      <c r="B860" s="5" t="s">
        <v>771</v>
      </c>
      <c r="C860" s="5">
        <v>8.286514444E9</v>
      </c>
      <c r="G860" s="5" t="s">
        <v>303</v>
      </c>
      <c r="H860" s="5" t="s">
        <v>701</v>
      </c>
    </row>
    <row r="861">
      <c r="A861" s="4">
        <v>45252.55560453703</v>
      </c>
      <c r="B861" s="5" t="s">
        <v>1142</v>
      </c>
      <c r="C861" s="5">
        <v>9.891071575E9</v>
      </c>
      <c r="G861" s="5" t="s">
        <v>303</v>
      </c>
      <c r="H861" s="5" t="s">
        <v>701</v>
      </c>
    </row>
    <row r="862">
      <c r="A862" s="4">
        <v>45252.55563633102</v>
      </c>
      <c r="B862" s="5" t="s">
        <v>1143</v>
      </c>
      <c r="C862" s="5">
        <v>9.877256193E9</v>
      </c>
      <c r="G862" s="5" t="s">
        <v>303</v>
      </c>
      <c r="H862" s="5" t="s">
        <v>701</v>
      </c>
    </row>
    <row r="863">
      <c r="A863" s="4">
        <v>45252.55633572917</v>
      </c>
      <c r="B863" s="5" t="s">
        <v>1144</v>
      </c>
      <c r="C863" s="5">
        <v>7.986864579E9</v>
      </c>
      <c r="G863" s="5" t="s">
        <v>303</v>
      </c>
      <c r="H863" s="5" t="s">
        <v>701</v>
      </c>
    </row>
    <row r="864">
      <c r="A864" s="4">
        <v>45252.557829537036</v>
      </c>
      <c r="B864" s="5" t="s">
        <v>1145</v>
      </c>
      <c r="C864" s="5">
        <v>9.528893869E9</v>
      </c>
      <c r="G864" s="5" t="s">
        <v>303</v>
      </c>
      <c r="H864" s="5" t="s">
        <v>701</v>
      </c>
    </row>
    <row r="865">
      <c r="A865" s="4">
        <v>45252.55796303241</v>
      </c>
      <c r="B865" s="5" t="s">
        <v>1146</v>
      </c>
      <c r="C865" s="5">
        <v>8.439299415E9</v>
      </c>
      <c r="G865" s="5" t="s">
        <v>303</v>
      </c>
      <c r="H865" s="5" t="s">
        <v>701</v>
      </c>
    </row>
    <row r="866">
      <c r="A866" s="4">
        <v>45252.55809835649</v>
      </c>
      <c r="B866" s="5" t="s">
        <v>708</v>
      </c>
      <c r="C866" s="5">
        <v>8.445131465E9</v>
      </c>
      <c r="G866" s="5" t="s">
        <v>303</v>
      </c>
      <c r="H866" s="5" t="s">
        <v>701</v>
      </c>
    </row>
    <row r="867">
      <c r="A867" s="4">
        <v>45252.558374687505</v>
      </c>
      <c r="B867" s="5" t="s">
        <v>1147</v>
      </c>
      <c r="C867" s="5">
        <v>7.078132156E9</v>
      </c>
      <c r="G867" s="5" t="s">
        <v>303</v>
      </c>
      <c r="H867" s="5" t="s">
        <v>701</v>
      </c>
    </row>
    <row r="868">
      <c r="A868" s="4">
        <v>45252.56010486111</v>
      </c>
      <c r="B868" s="5" t="s">
        <v>1100</v>
      </c>
      <c r="C868" s="5">
        <v>9.811513211E9</v>
      </c>
      <c r="E868" s="5" t="s">
        <v>1139</v>
      </c>
      <c r="G868" s="5" t="s">
        <v>303</v>
      </c>
      <c r="H868" s="5" t="s">
        <v>706</v>
      </c>
    </row>
    <row r="869">
      <c r="A869" s="4">
        <v>45252.56023053241</v>
      </c>
      <c r="B869" s="5" t="s">
        <v>1148</v>
      </c>
      <c r="C869" s="5">
        <v>9.620007757E9</v>
      </c>
      <c r="G869" s="5" t="s">
        <v>303</v>
      </c>
      <c r="H869" s="5" t="s">
        <v>701</v>
      </c>
    </row>
    <row r="870">
      <c r="A870" s="4">
        <v>45252.56079846065</v>
      </c>
      <c r="B870" s="5" t="s">
        <v>1149</v>
      </c>
      <c r="C870" s="5">
        <v>9.990652611E9</v>
      </c>
      <c r="G870" s="5" t="s">
        <v>303</v>
      </c>
      <c r="H870" s="5" t="s">
        <v>701</v>
      </c>
    </row>
    <row r="871">
      <c r="A871" s="4">
        <v>45252.565515173614</v>
      </c>
      <c r="B871" s="5" t="s">
        <v>1150</v>
      </c>
      <c r="C871" s="5">
        <v>9.990563278E9</v>
      </c>
      <c r="G871" s="5" t="s">
        <v>303</v>
      </c>
      <c r="H871" s="5" t="s">
        <v>701</v>
      </c>
    </row>
    <row r="872">
      <c r="A872" s="4">
        <v>45252.56586461805</v>
      </c>
      <c r="B872" s="5" t="s">
        <v>1151</v>
      </c>
      <c r="C872" s="5">
        <v>9.818894957E9</v>
      </c>
      <c r="G872" s="5" t="s">
        <v>303</v>
      </c>
      <c r="H872" s="5" t="s">
        <v>722</v>
      </c>
    </row>
    <row r="873">
      <c r="A873" s="4">
        <v>45252.57008287037</v>
      </c>
      <c r="B873" s="5" t="s">
        <v>1152</v>
      </c>
      <c r="C873" s="5">
        <v>8.8025E9</v>
      </c>
      <c r="D873" s="5" t="s">
        <v>1153</v>
      </c>
      <c r="E873" s="5" t="s">
        <v>1154</v>
      </c>
      <c r="G873" s="5" t="s">
        <v>303</v>
      </c>
      <c r="H873" s="5" t="s">
        <v>706</v>
      </c>
    </row>
    <row r="874">
      <c r="A874" s="4">
        <v>45252.574711203706</v>
      </c>
      <c r="B874" s="5" t="s">
        <v>812</v>
      </c>
      <c r="C874" s="5">
        <v>9.928914801E9</v>
      </c>
      <c r="G874" s="5" t="s">
        <v>303</v>
      </c>
      <c r="H874" s="5" t="s">
        <v>701</v>
      </c>
    </row>
    <row r="875">
      <c r="A875" s="4">
        <v>45252.57850346065</v>
      </c>
      <c r="B875" s="5" t="s">
        <v>1155</v>
      </c>
      <c r="C875" s="5">
        <v>7.078462239E9</v>
      </c>
      <c r="G875" s="5" t="s">
        <v>303</v>
      </c>
      <c r="H875" s="5" t="s">
        <v>701</v>
      </c>
    </row>
    <row r="876">
      <c r="A876" s="4">
        <v>45252.57897512731</v>
      </c>
      <c r="B876" s="5" t="s">
        <v>1156</v>
      </c>
      <c r="C876" s="5">
        <v>9.810216E9</v>
      </c>
      <c r="G876" s="5" t="s">
        <v>303</v>
      </c>
      <c r="H876" s="5" t="s">
        <v>701</v>
      </c>
    </row>
    <row r="877">
      <c r="A877" s="4">
        <v>45252.57925763889</v>
      </c>
      <c r="B877" s="5" t="s">
        <v>534</v>
      </c>
      <c r="C877" s="5">
        <v>9.891109797E9</v>
      </c>
      <c r="G877" s="5" t="s">
        <v>303</v>
      </c>
      <c r="H877" s="5" t="s">
        <v>701</v>
      </c>
    </row>
    <row r="878">
      <c r="A878" s="4">
        <v>45252.57952810185</v>
      </c>
      <c r="B878" s="5" t="s">
        <v>1157</v>
      </c>
      <c r="C878" s="5">
        <v>9.971850039E9</v>
      </c>
      <c r="G878" s="5" t="s">
        <v>303</v>
      </c>
      <c r="H878" s="5" t="s">
        <v>701</v>
      </c>
    </row>
    <row r="879">
      <c r="A879" s="4">
        <v>45252.58201780093</v>
      </c>
      <c r="B879" s="5" t="s">
        <v>1158</v>
      </c>
      <c r="C879" s="5">
        <v>9.953093456E9</v>
      </c>
      <c r="E879" s="5" t="s">
        <v>79</v>
      </c>
      <c r="G879" s="5" t="s">
        <v>303</v>
      </c>
      <c r="H879" s="5" t="s">
        <v>706</v>
      </c>
    </row>
    <row r="880">
      <c r="A880" s="4">
        <v>45252.583975601854</v>
      </c>
      <c r="B880" s="5" t="s">
        <v>1159</v>
      </c>
      <c r="C880" s="5">
        <v>9.990178259E9</v>
      </c>
      <c r="G880" s="5" t="s">
        <v>303</v>
      </c>
      <c r="H880" s="5" t="s">
        <v>701</v>
      </c>
    </row>
    <row r="881">
      <c r="A881" s="4">
        <v>45252.589364224536</v>
      </c>
      <c r="B881" s="5" t="s">
        <v>1160</v>
      </c>
      <c r="C881" s="5">
        <v>9.958568875E9</v>
      </c>
      <c r="E881" s="5" t="s">
        <v>79</v>
      </c>
      <c r="G881" s="5" t="s">
        <v>303</v>
      </c>
      <c r="H881" s="5" t="s">
        <v>706</v>
      </c>
    </row>
    <row r="882">
      <c r="A882" s="4">
        <v>45252.59480011574</v>
      </c>
      <c r="B882" s="5" t="s">
        <v>1161</v>
      </c>
      <c r="C882" s="5">
        <v>9.99950897E9</v>
      </c>
      <c r="E882" s="5" t="s">
        <v>79</v>
      </c>
      <c r="G882" s="5" t="s">
        <v>303</v>
      </c>
      <c r="H882" s="5" t="s">
        <v>706</v>
      </c>
    </row>
    <row r="883">
      <c r="A883" s="4">
        <v>45252.59601603009</v>
      </c>
      <c r="B883" s="5" t="s">
        <v>390</v>
      </c>
      <c r="C883" s="5">
        <v>9.910330327E9</v>
      </c>
      <c r="G883" s="5" t="s">
        <v>303</v>
      </c>
      <c r="H883" s="5" t="s">
        <v>701</v>
      </c>
    </row>
    <row r="884">
      <c r="A884" s="4">
        <v>45252.598803518515</v>
      </c>
      <c r="B884" s="5" t="s">
        <v>1162</v>
      </c>
      <c r="C884" s="5">
        <v>9.891377909E9</v>
      </c>
      <c r="G884" s="5" t="s">
        <v>303</v>
      </c>
      <c r="H884" s="5" t="s">
        <v>701</v>
      </c>
    </row>
    <row r="885">
      <c r="A885" s="4">
        <v>45252.59998018519</v>
      </c>
      <c r="B885" s="5" t="s">
        <v>1163</v>
      </c>
      <c r="C885" s="5">
        <v>9.717283223E9</v>
      </c>
      <c r="G885" s="5" t="s">
        <v>303</v>
      </c>
      <c r="H885" s="5" t="s">
        <v>701</v>
      </c>
    </row>
    <row r="886">
      <c r="A886" s="4">
        <v>45252.601372453704</v>
      </c>
      <c r="B886" s="5" t="s">
        <v>1164</v>
      </c>
      <c r="C886" s="5">
        <v>9.999607257E9</v>
      </c>
      <c r="G886" s="5" t="s">
        <v>303</v>
      </c>
      <c r="H886" s="5" t="s">
        <v>701</v>
      </c>
    </row>
    <row r="887">
      <c r="A887" s="4">
        <v>45252.601963796296</v>
      </c>
      <c r="B887" s="5" t="s">
        <v>1165</v>
      </c>
      <c r="C887" s="5">
        <v>9.873606005E9</v>
      </c>
      <c r="G887" s="5" t="s">
        <v>303</v>
      </c>
      <c r="H887" s="5" t="s">
        <v>701</v>
      </c>
    </row>
    <row r="888">
      <c r="A888" s="4">
        <v>45252.601971076394</v>
      </c>
      <c r="B888" s="5" t="s">
        <v>1166</v>
      </c>
      <c r="C888" s="5">
        <v>9.971424028E9</v>
      </c>
      <c r="G888" s="5" t="s">
        <v>303</v>
      </c>
      <c r="H888" s="5" t="s">
        <v>701</v>
      </c>
    </row>
    <row r="889">
      <c r="A889" s="4">
        <v>45252.605448055554</v>
      </c>
      <c r="B889" s="5" t="s">
        <v>1167</v>
      </c>
      <c r="C889" s="5">
        <v>9.643857045E9</v>
      </c>
      <c r="E889" s="5" t="s">
        <v>918</v>
      </c>
      <c r="F889" s="7" t="s">
        <v>1168</v>
      </c>
      <c r="G889" s="5" t="s">
        <v>303</v>
      </c>
      <c r="H889" s="5" t="s">
        <v>706</v>
      </c>
    </row>
    <row r="890">
      <c r="A890" s="4">
        <v>45252.6170290625</v>
      </c>
      <c r="B890" s="5" t="s">
        <v>1169</v>
      </c>
      <c r="C890" s="5">
        <v>8.006431791E9</v>
      </c>
      <c r="E890" s="5" t="s">
        <v>227</v>
      </c>
      <c r="G890" s="5" t="s">
        <v>303</v>
      </c>
      <c r="H890" s="5" t="s">
        <v>706</v>
      </c>
    </row>
    <row r="891">
      <c r="A891" s="4">
        <v>45252.617349039356</v>
      </c>
      <c r="B891" s="5" t="s">
        <v>1170</v>
      </c>
      <c r="C891" s="5">
        <v>9.773579821E9</v>
      </c>
      <c r="E891" s="5" t="s">
        <v>227</v>
      </c>
      <c r="G891" s="5" t="s">
        <v>303</v>
      </c>
      <c r="H891" s="5" t="s">
        <v>706</v>
      </c>
    </row>
    <row r="892">
      <c r="A892" s="4">
        <v>45252.617998738424</v>
      </c>
      <c r="B892" s="5" t="s">
        <v>1171</v>
      </c>
      <c r="C892" s="5">
        <v>8.826365121E9</v>
      </c>
      <c r="G892" s="5" t="s">
        <v>303</v>
      </c>
      <c r="H892" s="5" t="s">
        <v>701</v>
      </c>
    </row>
    <row r="893">
      <c r="A893" s="4">
        <v>45252.61830834491</v>
      </c>
      <c r="B893" s="5" t="s">
        <v>628</v>
      </c>
      <c r="C893" s="5">
        <v>8.800118624E9</v>
      </c>
      <c r="G893" s="5" t="s">
        <v>303</v>
      </c>
      <c r="H893" s="5" t="s">
        <v>701</v>
      </c>
    </row>
    <row r="894">
      <c r="A894" s="4">
        <v>45252.619498263884</v>
      </c>
      <c r="B894" s="5" t="s">
        <v>110</v>
      </c>
      <c r="C894" s="5">
        <v>9.6433123E9</v>
      </c>
      <c r="G894" s="5" t="s">
        <v>303</v>
      </c>
      <c r="H894" s="5" t="s">
        <v>701</v>
      </c>
    </row>
    <row r="895">
      <c r="A895" s="4">
        <v>45252.620131400465</v>
      </c>
      <c r="B895" s="5" t="s">
        <v>1172</v>
      </c>
      <c r="C895" s="5">
        <v>9.643039713E9</v>
      </c>
      <c r="G895" s="5" t="s">
        <v>303</v>
      </c>
      <c r="H895" s="5" t="s">
        <v>701</v>
      </c>
    </row>
    <row r="896">
      <c r="A896" s="4">
        <v>45252.62639446759</v>
      </c>
      <c r="B896" s="5" t="s">
        <v>1173</v>
      </c>
      <c r="C896" s="5">
        <v>8.700001755E9</v>
      </c>
      <c r="G896" s="5" t="s">
        <v>303</v>
      </c>
      <c r="H896" s="5" t="s">
        <v>701</v>
      </c>
    </row>
    <row r="897">
      <c r="A897" s="4">
        <v>45252.63035605324</v>
      </c>
      <c r="B897" s="5" t="s">
        <v>1174</v>
      </c>
      <c r="C897" s="5">
        <v>9.456074818E9</v>
      </c>
      <c r="E897" s="5" t="s">
        <v>227</v>
      </c>
      <c r="G897" s="5" t="s">
        <v>303</v>
      </c>
      <c r="H897" s="5" t="s">
        <v>706</v>
      </c>
    </row>
    <row r="898">
      <c r="A898" s="4">
        <v>45252.63157061343</v>
      </c>
      <c r="B898" s="5" t="s">
        <v>1175</v>
      </c>
      <c r="C898" s="5">
        <v>9.409021428E9</v>
      </c>
      <c r="E898" s="5" t="s">
        <v>227</v>
      </c>
      <c r="G898" s="5" t="s">
        <v>303</v>
      </c>
      <c r="H898" s="5" t="s">
        <v>706</v>
      </c>
    </row>
    <row r="899">
      <c r="A899" s="4">
        <v>45252.63537787037</v>
      </c>
      <c r="B899" s="5" t="s">
        <v>1176</v>
      </c>
      <c r="C899" s="5">
        <v>9.311556679E9</v>
      </c>
      <c r="E899" s="5" t="s">
        <v>227</v>
      </c>
      <c r="G899" s="5" t="s">
        <v>303</v>
      </c>
      <c r="H899" s="5" t="s">
        <v>706</v>
      </c>
    </row>
    <row r="900">
      <c r="A900" s="4">
        <v>45252.63704920139</v>
      </c>
      <c r="B900" s="5" t="s">
        <v>1177</v>
      </c>
      <c r="C900" s="5">
        <v>9.711134431E9</v>
      </c>
      <c r="E900" s="5" t="s">
        <v>79</v>
      </c>
      <c r="G900" s="5" t="s">
        <v>303</v>
      </c>
      <c r="H900" s="5" t="s">
        <v>706</v>
      </c>
    </row>
    <row r="901">
      <c r="A901" s="4">
        <v>45252.64177120371</v>
      </c>
      <c r="B901" s="5" t="s">
        <v>1178</v>
      </c>
      <c r="C901" s="5">
        <v>8.920518074E9</v>
      </c>
      <c r="E901" s="5" t="s">
        <v>71</v>
      </c>
      <c r="G901" s="5" t="s">
        <v>303</v>
      </c>
      <c r="H901" s="5" t="s">
        <v>706</v>
      </c>
    </row>
    <row r="902">
      <c r="A902" s="4">
        <v>45252.64383542824</v>
      </c>
      <c r="B902" s="5" t="s">
        <v>1138</v>
      </c>
      <c r="C902" s="5">
        <v>7.988502833E9</v>
      </c>
      <c r="E902" s="5" t="s">
        <v>227</v>
      </c>
      <c r="G902" s="5" t="s">
        <v>303</v>
      </c>
      <c r="H902" s="5" t="s">
        <v>706</v>
      </c>
    </row>
    <row r="903">
      <c r="A903" s="4">
        <v>45252.64404306713</v>
      </c>
      <c r="B903" s="5" t="s">
        <v>1179</v>
      </c>
      <c r="C903" s="5">
        <v>9.67140055E9</v>
      </c>
      <c r="G903" s="5" t="s">
        <v>303</v>
      </c>
      <c r="H903" s="5" t="s">
        <v>701</v>
      </c>
    </row>
    <row r="904">
      <c r="A904" s="4">
        <v>45252.64526651621</v>
      </c>
      <c r="B904" s="5" t="s">
        <v>1180</v>
      </c>
      <c r="C904" s="5">
        <v>9.910544189E9</v>
      </c>
      <c r="E904" s="5" t="s">
        <v>79</v>
      </c>
      <c r="G904" s="5" t="s">
        <v>303</v>
      </c>
      <c r="H904" s="5" t="s">
        <v>706</v>
      </c>
    </row>
    <row r="905">
      <c r="A905" s="4">
        <v>45252.64775108796</v>
      </c>
      <c r="B905" s="5" t="s">
        <v>1181</v>
      </c>
      <c r="C905" s="5">
        <v>9.968240521E9</v>
      </c>
      <c r="G905" s="5" t="s">
        <v>303</v>
      </c>
      <c r="H905" s="5" t="s">
        <v>701</v>
      </c>
    </row>
    <row r="906">
      <c r="A906" s="4">
        <v>45252.649718298606</v>
      </c>
      <c r="B906" s="5" t="s">
        <v>1182</v>
      </c>
      <c r="C906" s="5">
        <v>9.811137281E9</v>
      </c>
      <c r="G906" s="5" t="s">
        <v>303</v>
      </c>
      <c r="H906" s="5" t="s">
        <v>701</v>
      </c>
    </row>
    <row r="907">
      <c r="A907" s="4">
        <v>45252.65095984953</v>
      </c>
      <c r="B907" s="5" t="s">
        <v>1183</v>
      </c>
      <c r="C907" s="5">
        <v>9.8101473E9</v>
      </c>
      <c r="G907" s="5" t="s">
        <v>289</v>
      </c>
      <c r="H907" s="5" t="s">
        <v>701</v>
      </c>
    </row>
    <row r="908">
      <c r="A908" s="4">
        <v>45252.6516122801</v>
      </c>
      <c r="B908" s="5" t="s">
        <v>1184</v>
      </c>
      <c r="C908" s="5">
        <v>9.868429229E9</v>
      </c>
      <c r="E908" s="5" t="s">
        <v>1185</v>
      </c>
      <c r="G908" s="5" t="s">
        <v>289</v>
      </c>
      <c r="H908" s="5" t="s">
        <v>706</v>
      </c>
    </row>
    <row r="909">
      <c r="A909" s="4">
        <v>45252.65219173611</v>
      </c>
      <c r="B909" s="5" t="s">
        <v>1186</v>
      </c>
      <c r="C909" s="5">
        <v>9.540325879E9</v>
      </c>
      <c r="E909" s="5" t="s">
        <v>1187</v>
      </c>
      <c r="G909" s="5" t="s">
        <v>289</v>
      </c>
      <c r="H909" s="5" t="s">
        <v>706</v>
      </c>
    </row>
    <row r="910">
      <c r="A910" s="4">
        <v>45252.652824502315</v>
      </c>
      <c r="B910" s="5" t="s">
        <v>1188</v>
      </c>
      <c r="C910" s="5">
        <v>9.418008764E9</v>
      </c>
      <c r="E910" s="5" t="s">
        <v>1189</v>
      </c>
      <c r="G910" s="5" t="s">
        <v>289</v>
      </c>
      <c r="H910" s="5" t="s">
        <v>706</v>
      </c>
    </row>
    <row r="911">
      <c r="A911" s="4">
        <v>45252.65329015046</v>
      </c>
      <c r="B911" s="5" t="s">
        <v>1100</v>
      </c>
      <c r="C911" s="5">
        <v>9.810712114E9</v>
      </c>
      <c r="E911" s="5" t="s">
        <v>837</v>
      </c>
      <c r="G911" s="5" t="s">
        <v>303</v>
      </c>
      <c r="H911" s="5" t="s">
        <v>706</v>
      </c>
    </row>
    <row r="912">
      <c r="A912" s="4">
        <v>45252.65332394676</v>
      </c>
      <c r="B912" s="5" t="s">
        <v>1190</v>
      </c>
      <c r="C912" s="5">
        <v>9.873325101E9</v>
      </c>
      <c r="G912" s="5" t="s">
        <v>289</v>
      </c>
      <c r="H912" s="5" t="s">
        <v>701</v>
      </c>
    </row>
    <row r="913">
      <c r="A913" s="4">
        <v>45252.65386349537</v>
      </c>
      <c r="B913" s="5" t="s">
        <v>1191</v>
      </c>
      <c r="C913" s="5">
        <v>8.750101322E9</v>
      </c>
      <c r="E913" s="5" t="s">
        <v>1192</v>
      </c>
      <c r="G913" s="5" t="s">
        <v>289</v>
      </c>
      <c r="H913" s="5" t="s">
        <v>706</v>
      </c>
    </row>
    <row r="914">
      <c r="A914" s="4">
        <v>45252.65457126158</v>
      </c>
      <c r="B914" s="5" t="s">
        <v>1193</v>
      </c>
      <c r="C914" s="5">
        <v>7.011884242E9</v>
      </c>
      <c r="E914" s="5" t="s">
        <v>1194</v>
      </c>
      <c r="G914" s="5" t="s">
        <v>289</v>
      </c>
      <c r="H914" s="5" t="s">
        <v>706</v>
      </c>
    </row>
    <row r="915">
      <c r="A915" s="4">
        <v>45252.654574189815</v>
      </c>
      <c r="B915" s="5" t="s">
        <v>1195</v>
      </c>
      <c r="C915" s="5">
        <v>9.87391383E9</v>
      </c>
      <c r="G915" s="5" t="s">
        <v>303</v>
      </c>
      <c r="H915" s="5" t="s">
        <v>701</v>
      </c>
    </row>
    <row r="916">
      <c r="A916" s="4">
        <v>45252.654935150465</v>
      </c>
      <c r="B916" s="5" t="s">
        <v>1196</v>
      </c>
      <c r="C916" s="5">
        <v>8.920986407E9</v>
      </c>
      <c r="G916" s="5" t="s">
        <v>289</v>
      </c>
      <c r="H916" s="5" t="s">
        <v>701</v>
      </c>
    </row>
    <row r="917">
      <c r="A917" s="4">
        <v>45252.65573730324</v>
      </c>
      <c r="B917" s="5" t="s">
        <v>1197</v>
      </c>
      <c r="C917" s="5">
        <v>7.551194993E9</v>
      </c>
      <c r="E917" s="5" t="s">
        <v>1185</v>
      </c>
      <c r="G917" s="5" t="s">
        <v>289</v>
      </c>
      <c r="H917" s="5" t="s">
        <v>706</v>
      </c>
    </row>
    <row r="918">
      <c r="A918" s="4">
        <v>45252.65618024305</v>
      </c>
      <c r="B918" s="5" t="s">
        <v>1198</v>
      </c>
      <c r="C918" s="5">
        <v>9.71833954E9</v>
      </c>
      <c r="G918" s="5" t="s">
        <v>289</v>
      </c>
      <c r="H918" s="5" t="s">
        <v>706</v>
      </c>
    </row>
    <row r="919">
      <c r="A919" s="4">
        <v>45252.65710384259</v>
      </c>
      <c r="B919" s="5" t="s">
        <v>1199</v>
      </c>
      <c r="C919" s="5">
        <v>9.650509732E9</v>
      </c>
      <c r="E919" s="5" t="s">
        <v>1200</v>
      </c>
      <c r="G919" s="5" t="s">
        <v>289</v>
      </c>
      <c r="H919" s="5" t="s">
        <v>706</v>
      </c>
    </row>
    <row r="920">
      <c r="A920" s="4">
        <v>45252.657777835644</v>
      </c>
      <c r="B920" s="5" t="s">
        <v>1201</v>
      </c>
      <c r="C920" s="5">
        <v>9.999085204E9</v>
      </c>
      <c r="E920" s="5" t="s">
        <v>1202</v>
      </c>
      <c r="G920" s="5" t="s">
        <v>289</v>
      </c>
      <c r="H920" s="5" t="s">
        <v>706</v>
      </c>
    </row>
    <row r="921">
      <c r="A921" s="4">
        <v>45252.658341608796</v>
      </c>
      <c r="B921" s="5" t="s">
        <v>1203</v>
      </c>
      <c r="C921" s="5">
        <v>8.81041629E9</v>
      </c>
      <c r="E921" s="5" t="s">
        <v>1204</v>
      </c>
      <c r="G921" s="5" t="s">
        <v>289</v>
      </c>
      <c r="H921" s="5" t="s">
        <v>706</v>
      </c>
    </row>
    <row r="922">
      <c r="A922" s="4">
        <v>45252.658930578706</v>
      </c>
      <c r="B922" s="5" t="s">
        <v>1205</v>
      </c>
      <c r="C922" s="5">
        <v>8.920688834E9</v>
      </c>
      <c r="G922" s="5" t="s">
        <v>289</v>
      </c>
      <c r="H922" s="5" t="s">
        <v>701</v>
      </c>
    </row>
    <row r="923">
      <c r="A923" s="4">
        <v>45252.65968149305</v>
      </c>
      <c r="B923" s="5" t="s">
        <v>1206</v>
      </c>
      <c r="C923" s="5">
        <v>7.042168871E9</v>
      </c>
      <c r="E923" s="5" t="s">
        <v>1207</v>
      </c>
      <c r="G923" s="5" t="s">
        <v>289</v>
      </c>
      <c r="H923" s="5" t="s">
        <v>706</v>
      </c>
    </row>
    <row r="924">
      <c r="A924" s="4">
        <v>45252.66277087963</v>
      </c>
      <c r="B924" s="5" t="s">
        <v>1208</v>
      </c>
      <c r="C924" s="5">
        <v>9.971414243E9</v>
      </c>
      <c r="E924" s="5" t="s">
        <v>1209</v>
      </c>
      <c r="G924" s="5" t="s">
        <v>289</v>
      </c>
      <c r="H924" s="5" t="s">
        <v>706</v>
      </c>
    </row>
    <row r="925">
      <c r="A925" s="4">
        <v>45252.66315277778</v>
      </c>
      <c r="B925" s="5" t="s">
        <v>1166</v>
      </c>
      <c r="C925" s="5">
        <v>9.873736362E9</v>
      </c>
      <c r="E925" s="5" t="s">
        <v>1210</v>
      </c>
      <c r="G925" s="5" t="s">
        <v>289</v>
      </c>
      <c r="H925" s="5" t="s">
        <v>706</v>
      </c>
    </row>
    <row r="926">
      <c r="A926" s="4">
        <v>45252.663662719904</v>
      </c>
      <c r="B926" s="5" t="s">
        <v>1211</v>
      </c>
      <c r="C926" s="5">
        <v>9.711269061E9</v>
      </c>
      <c r="E926" s="5" t="s">
        <v>1212</v>
      </c>
      <c r="G926" s="5" t="s">
        <v>289</v>
      </c>
      <c r="H926" s="5" t="s">
        <v>706</v>
      </c>
    </row>
    <row r="927">
      <c r="A927" s="4">
        <v>45252.66393995371</v>
      </c>
      <c r="B927" s="5" t="s">
        <v>655</v>
      </c>
      <c r="C927" s="5">
        <v>8.130107044E9</v>
      </c>
      <c r="G927" s="5" t="s">
        <v>303</v>
      </c>
      <c r="H927" s="5" t="s">
        <v>701</v>
      </c>
    </row>
    <row r="928">
      <c r="A928" s="4">
        <v>45252.66406542824</v>
      </c>
      <c r="B928" s="5" t="s">
        <v>1213</v>
      </c>
      <c r="C928" s="5">
        <v>9.166085159E9</v>
      </c>
      <c r="G928" s="5" t="s">
        <v>303</v>
      </c>
      <c r="H928" s="5" t="s">
        <v>701</v>
      </c>
    </row>
    <row r="929">
      <c r="A929" s="4">
        <v>45252.66420197916</v>
      </c>
      <c r="B929" s="5" t="s">
        <v>1214</v>
      </c>
      <c r="C929" s="5">
        <v>8.287455411E9</v>
      </c>
      <c r="E929" s="5" t="s">
        <v>1189</v>
      </c>
      <c r="G929" s="5" t="s">
        <v>289</v>
      </c>
      <c r="H929" s="5" t="s">
        <v>706</v>
      </c>
    </row>
    <row r="930">
      <c r="A930" s="4">
        <v>45252.66484725694</v>
      </c>
      <c r="B930" s="5" t="s">
        <v>1215</v>
      </c>
      <c r="C930" s="5">
        <v>9.667845298E9</v>
      </c>
      <c r="E930" s="5" t="s">
        <v>1185</v>
      </c>
      <c r="G930" s="5" t="s">
        <v>289</v>
      </c>
      <c r="H930" s="5" t="s">
        <v>706</v>
      </c>
    </row>
    <row r="931">
      <c r="A931" s="4">
        <v>45252.66703510417</v>
      </c>
      <c r="B931" s="5" t="s">
        <v>1216</v>
      </c>
      <c r="C931" s="5">
        <v>9.871489556E9</v>
      </c>
      <c r="E931" s="5" t="s">
        <v>1217</v>
      </c>
      <c r="G931" s="5" t="s">
        <v>289</v>
      </c>
      <c r="H931" s="5" t="s">
        <v>706</v>
      </c>
    </row>
    <row r="932">
      <c r="A932" s="4">
        <v>45252.66735037037</v>
      </c>
      <c r="B932" s="5" t="s">
        <v>1218</v>
      </c>
      <c r="C932" s="5">
        <v>7.011044741E9</v>
      </c>
      <c r="G932" s="5" t="s">
        <v>303</v>
      </c>
      <c r="H932" s="5" t="s">
        <v>701</v>
      </c>
    </row>
    <row r="933">
      <c r="A933" s="4">
        <v>45252.669757361116</v>
      </c>
      <c r="B933" s="5" t="s">
        <v>1219</v>
      </c>
      <c r="C933" s="5">
        <v>9.87303439E9</v>
      </c>
      <c r="E933" s="5" t="s">
        <v>1220</v>
      </c>
      <c r="G933" s="5" t="s">
        <v>303</v>
      </c>
      <c r="H933" s="5" t="s">
        <v>706</v>
      </c>
    </row>
    <row r="934">
      <c r="A934" s="4">
        <v>45252.670389756946</v>
      </c>
      <c r="B934" s="5" t="s">
        <v>1221</v>
      </c>
      <c r="C934" s="5">
        <v>9.458727872E9</v>
      </c>
      <c r="G934" s="5" t="s">
        <v>303</v>
      </c>
      <c r="H934" s="5" t="s">
        <v>701</v>
      </c>
    </row>
    <row r="935">
      <c r="A935" s="4">
        <v>45252.67151946759</v>
      </c>
      <c r="B935" s="5" t="s">
        <v>1222</v>
      </c>
      <c r="C935" s="5">
        <v>9.812289365E9</v>
      </c>
      <c r="E935" s="5" t="s">
        <v>1223</v>
      </c>
      <c r="G935" s="5" t="s">
        <v>289</v>
      </c>
      <c r="H935" s="5" t="s">
        <v>706</v>
      </c>
    </row>
    <row r="936">
      <c r="A936" s="4">
        <v>45252.67182195601</v>
      </c>
      <c r="B936" s="5" t="s">
        <v>1224</v>
      </c>
      <c r="C936" s="5">
        <v>7.351541273E9</v>
      </c>
      <c r="G936" s="5" t="s">
        <v>303</v>
      </c>
      <c r="H936" s="5" t="s">
        <v>701</v>
      </c>
    </row>
    <row r="937">
      <c r="A937" s="4">
        <v>45252.67193805556</v>
      </c>
      <c r="B937" s="5" t="s">
        <v>1225</v>
      </c>
      <c r="C937" s="5">
        <v>9.891766693E9</v>
      </c>
      <c r="E937" s="5" t="s">
        <v>1226</v>
      </c>
      <c r="G937" s="5" t="s">
        <v>289</v>
      </c>
      <c r="H937" s="5" t="s">
        <v>706</v>
      </c>
    </row>
    <row r="938">
      <c r="A938" s="4">
        <v>45252.672225532406</v>
      </c>
      <c r="B938" s="5" t="s">
        <v>1227</v>
      </c>
      <c r="C938" s="5">
        <v>9.568680868E9</v>
      </c>
      <c r="G938" s="5" t="s">
        <v>303</v>
      </c>
      <c r="H938" s="5" t="s">
        <v>701</v>
      </c>
    </row>
    <row r="939">
      <c r="A939" s="4">
        <v>45252.67245585648</v>
      </c>
      <c r="B939" s="5" t="s">
        <v>1228</v>
      </c>
      <c r="C939" s="5">
        <v>9.210171008E9</v>
      </c>
      <c r="G939" s="5" t="s">
        <v>289</v>
      </c>
      <c r="H939" s="5" t="s">
        <v>701</v>
      </c>
    </row>
    <row r="940">
      <c r="A940" s="4">
        <v>45252.673324375</v>
      </c>
      <c r="B940" s="5" t="s">
        <v>1229</v>
      </c>
      <c r="C940" s="5">
        <v>9.990368279E9</v>
      </c>
      <c r="E940" s="5" t="s">
        <v>1230</v>
      </c>
      <c r="G940" s="5" t="s">
        <v>289</v>
      </c>
      <c r="H940" s="5" t="s">
        <v>706</v>
      </c>
    </row>
    <row r="941">
      <c r="A941" s="4">
        <v>45252.67350158565</v>
      </c>
      <c r="B941" s="5" t="s">
        <v>1231</v>
      </c>
      <c r="C941" s="5">
        <v>9.810935927E9</v>
      </c>
      <c r="G941" s="5" t="s">
        <v>303</v>
      </c>
      <c r="H941" s="5" t="s">
        <v>706</v>
      </c>
    </row>
    <row r="942">
      <c r="A942" s="4">
        <v>45252.674128645835</v>
      </c>
      <c r="B942" s="5" t="s">
        <v>1232</v>
      </c>
      <c r="C942" s="5">
        <v>8.595753278E9</v>
      </c>
      <c r="E942" s="5" t="s">
        <v>1233</v>
      </c>
      <c r="G942" s="5" t="s">
        <v>289</v>
      </c>
      <c r="H942" s="5" t="s">
        <v>706</v>
      </c>
    </row>
    <row r="943">
      <c r="A943" s="4">
        <v>45252.67476613426</v>
      </c>
      <c r="B943" s="5" t="s">
        <v>1234</v>
      </c>
      <c r="C943" s="5">
        <v>9.8101015E9</v>
      </c>
      <c r="E943" s="5" t="s">
        <v>1235</v>
      </c>
      <c r="G943" s="5" t="s">
        <v>289</v>
      </c>
      <c r="H943" s="5" t="s">
        <v>706</v>
      </c>
    </row>
    <row r="944">
      <c r="A944" s="4">
        <v>45252.67516458333</v>
      </c>
      <c r="B944" s="5" t="s">
        <v>1236</v>
      </c>
      <c r="C944" s="5">
        <v>9.890309889E9</v>
      </c>
      <c r="E944" s="5" t="s">
        <v>1237</v>
      </c>
      <c r="G944" s="5" t="s">
        <v>289</v>
      </c>
      <c r="H944" s="5" t="s">
        <v>706</v>
      </c>
    </row>
    <row r="945">
      <c r="A945" s="4">
        <v>45252.67685722222</v>
      </c>
      <c r="B945" s="5" t="s">
        <v>1238</v>
      </c>
      <c r="C945" s="5">
        <v>9.653878566E9</v>
      </c>
      <c r="E945" s="5" t="s">
        <v>1189</v>
      </c>
      <c r="G945" s="5" t="s">
        <v>289</v>
      </c>
      <c r="H945" s="5" t="s">
        <v>706</v>
      </c>
    </row>
    <row r="946">
      <c r="A946" s="4">
        <v>45252.6772705787</v>
      </c>
      <c r="B946" s="5" t="s">
        <v>1239</v>
      </c>
      <c r="C946" s="5">
        <v>9.654501325E9</v>
      </c>
      <c r="E946" s="5" t="s">
        <v>1240</v>
      </c>
      <c r="G946" s="5" t="s">
        <v>289</v>
      </c>
      <c r="H946" s="5" t="s">
        <v>706</v>
      </c>
    </row>
    <row r="947">
      <c r="A947" s="4">
        <v>45252.67782921296</v>
      </c>
      <c r="B947" s="5" t="s">
        <v>1241</v>
      </c>
      <c r="C947" s="5">
        <v>9.718687757E9</v>
      </c>
      <c r="E947" s="5" t="s">
        <v>1242</v>
      </c>
      <c r="G947" s="5" t="s">
        <v>289</v>
      </c>
      <c r="H947" s="5" t="s">
        <v>706</v>
      </c>
    </row>
    <row r="948">
      <c r="A948" s="4">
        <v>45252.678424722224</v>
      </c>
      <c r="B948" s="5" t="s">
        <v>1243</v>
      </c>
      <c r="C948" s="5">
        <v>9.864051679E9</v>
      </c>
      <c r="G948" s="5" t="s">
        <v>289</v>
      </c>
      <c r="H948" s="5" t="s">
        <v>706</v>
      </c>
    </row>
    <row r="949">
      <c r="A949" s="4">
        <v>45252.67889429398</v>
      </c>
      <c r="B949" s="5" t="s">
        <v>1244</v>
      </c>
      <c r="C949" s="5">
        <v>9.818747108E9</v>
      </c>
      <c r="E949" s="5" t="s">
        <v>1245</v>
      </c>
      <c r="G949" s="5" t="s">
        <v>289</v>
      </c>
      <c r="H949" s="5" t="s">
        <v>706</v>
      </c>
    </row>
    <row r="950">
      <c r="A950" s="4">
        <v>45252.67932778935</v>
      </c>
      <c r="B950" s="5" t="s">
        <v>1246</v>
      </c>
      <c r="C950" s="5">
        <v>9.650422828E9</v>
      </c>
      <c r="G950" s="5" t="s">
        <v>289</v>
      </c>
      <c r="H950" s="5" t="s">
        <v>701</v>
      </c>
    </row>
    <row r="951">
      <c r="A951" s="4">
        <v>45252.67982777778</v>
      </c>
      <c r="B951" s="5" t="s">
        <v>1247</v>
      </c>
      <c r="C951" s="5">
        <v>9.911659963E9</v>
      </c>
      <c r="E951" s="5" t="s">
        <v>15</v>
      </c>
      <c r="G951" s="5" t="s">
        <v>303</v>
      </c>
      <c r="H951" s="5" t="s">
        <v>706</v>
      </c>
    </row>
    <row r="952">
      <c r="A952" s="4">
        <v>45252.679866226856</v>
      </c>
      <c r="B952" s="5" t="s">
        <v>834</v>
      </c>
      <c r="C952" s="5">
        <v>9.891910994E9</v>
      </c>
      <c r="E952" s="5" t="s">
        <v>1189</v>
      </c>
      <c r="G952" s="5" t="s">
        <v>289</v>
      </c>
      <c r="H952" s="5" t="s">
        <v>706</v>
      </c>
    </row>
    <row r="953">
      <c r="A953" s="4">
        <v>45252.6803575</v>
      </c>
      <c r="B953" s="5" t="s">
        <v>1248</v>
      </c>
      <c r="C953" s="5">
        <v>7.042434392E9</v>
      </c>
      <c r="E953" s="5" t="s">
        <v>1209</v>
      </c>
      <c r="G953" s="5" t="s">
        <v>289</v>
      </c>
      <c r="H953" s="5" t="s">
        <v>706</v>
      </c>
    </row>
    <row r="954">
      <c r="A954" s="4">
        <v>45252.68102423611</v>
      </c>
      <c r="B954" s="5" t="s">
        <v>1249</v>
      </c>
      <c r="C954" s="5">
        <v>9.528151409E9</v>
      </c>
      <c r="G954" s="5" t="s">
        <v>289</v>
      </c>
      <c r="H954" s="5" t="s">
        <v>701</v>
      </c>
    </row>
    <row r="955">
      <c r="A955" s="4">
        <v>45252.6813025</v>
      </c>
      <c r="B955" s="5" t="s">
        <v>1224</v>
      </c>
      <c r="C955" s="5">
        <v>8.800875071E9</v>
      </c>
      <c r="G955" s="5" t="s">
        <v>303</v>
      </c>
      <c r="H955" s="5" t="s">
        <v>701</v>
      </c>
    </row>
    <row r="956">
      <c r="A956" s="4">
        <v>45252.68158116898</v>
      </c>
      <c r="B956" s="5" t="s">
        <v>1250</v>
      </c>
      <c r="C956" s="5">
        <v>9.310171263E9</v>
      </c>
      <c r="G956" s="5" t="s">
        <v>303</v>
      </c>
      <c r="H956" s="5" t="s">
        <v>701</v>
      </c>
    </row>
    <row r="957">
      <c r="A957" s="4">
        <v>45252.68170710648</v>
      </c>
      <c r="B957" s="5" t="s">
        <v>1251</v>
      </c>
      <c r="C957" s="5">
        <v>9.811671448E9</v>
      </c>
      <c r="E957" s="5" t="s">
        <v>1252</v>
      </c>
      <c r="G957" s="5" t="s">
        <v>289</v>
      </c>
      <c r="H957" s="5" t="s">
        <v>706</v>
      </c>
    </row>
    <row r="958">
      <c r="A958" s="4">
        <v>45252.68183667824</v>
      </c>
      <c r="B958" s="5" t="s">
        <v>1253</v>
      </c>
      <c r="C958" s="5">
        <v>9.717679138E9</v>
      </c>
      <c r="G958" s="5" t="s">
        <v>303</v>
      </c>
      <c r="H958" s="5" t="s">
        <v>701</v>
      </c>
    </row>
    <row r="959">
      <c r="A959" s="4">
        <v>45252.68215346065</v>
      </c>
      <c r="B959" s="5" t="s">
        <v>1254</v>
      </c>
      <c r="C959" s="5">
        <v>9.061E9</v>
      </c>
      <c r="E959" s="5" t="s">
        <v>1255</v>
      </c>
      <c r="G959" s="5" t="s">
        <v>289</v>
      </c>
      <c r="H959" s="5" t="s">
        <v>706</v>
      </c>
    </row>
    <row r="960">
      <c r="A960" s="4">
        <v>45252.682783842596</v>
      </c>
      <c r="B960" s="5" t="s">
        <v>1256</v>
      </c>
      <c r="C960" s="5">
        <v>8.920428023E9</v>
      </c>
      <c r="G960" s="5" t="s">
        <v>289</v>
      </c>
      <c r="H960" s="5" t="s">
        <v>701</v>
      </c>
    </row>
    <row r="961">
      <c r="A961" s="4">
        <v>45252.68282019676</v>
      </c>
      <c r="B961" s="5" t="s">
        <v>1257</v>
      </c>
      <c r="C961" s="5">
        <v>9.8992725E9</v>
      </c>
      <c r="G961" s="5" t="s">
        <v>303</v>
      </c>
      <c r="H961" s="5" t="s">
        <v>701</v>
      </c>
    </row>
    <row r="962">
      <c r="A962" s="4">
        <v>45252.68297565972</v>
      </c>
      <c r="B962" s="5" t="s">
        <v>1258</v>
      </c>
      <c r="C962" s="5">
        <v>8.88287004E9</v>
      </c>
      <c r="E962" s="5" t="s">
        <v>1259</v>
      </c>
      <c r="G962" s="5" t="s">
        <v>303</v>
      </c>
      <c r="H962" s="5" t="s">
        <v>706</v>
      </c>
    </row>
    <row r="963">
      <c r="A963" s="4">
        <v>45252.68322314815</v>
      </c>
      <c r="B963" s="5" t="s">
        <v>507</v>
      </c>
      <c r="C963" s="5">
        <v>6.396554396E9</v>
      </c>
      <c r="G963" s="5" t="s">
        <v>289</v>
      </c>
      <c r="H963" s="5" t="s">
        <v>701</v>
      </c>
    </row>
    <row r="964">
      <c r="A964" s="4">
        <v>45252.68360128472</v>
      </c>
      <c r="B964" s="5" t="s">
        <v>1260</v>
      </c>
      <c r="C964" s="5">
        <v>7.50399586E9</v>
      </c>
      <c r="G964" s="5" t="s">
        <v>289</v>
      </c>
      <c r="H964" s="5" t="s">
        <v>701</v>
      </c>
    </row>
    <row r="965">
      <c r="A965" s="4">
        <v>45252.683959166665</v>
      </c>
      <c r="B965" s="5" t="s">
        <v>1261</v>
      </c>
      <c r="C965" s="5">
        <v>9.810418182E9</v>
      </c>
      <c r="G965" s="5" t="s">
        <v>289</v>
      </c>
      <c r="H965" s="5" t="s">
        <v>701</v>
      </c>
    </row>
    <row r="966">
      <c r="A966" s="4">
        <v>45252.684324594906</v>
      </c>
      <c r="B966" s="5" t="s">
        <v>1262</v>
      </c>
      <c r="C966" s="5">
        <v>7.42860708E9</v>
      </c>
      <c r="E966" s="5" t="s">
        <v>1263</v>
      </c>
      <c r="G966" s="5" t="s">
        <v>289</v>
      </c>
      <c r="H966" s="5" t="s">
        <v>706</v>
      </c>
    </row>
    <row r="967">
      <c r="A967" s="4">
        <v>45252.68562001157</v>
      </c>
      <c r="B967" s="5" t="s">
        <v>1264</v>
      </c>
      <c r="C967" s="5">
        <v>9.971145791E9</v>
      </c>
      <c r="G967" s="5" t="s">
        <v>289</v>
      </c>
      <c r="H967" s="5" t="s">
        <v>701</v>
      </c>
    </row>
    <row r="968">
      <c r="A968" s="4">
        <v>45252.68604101852</v>
      </c>
      <c r="B968" s="5" t="s">
        <v>1265</v>
      </c>
      <c r="C968" s="5">
        <v>7.500462222E9</v>
      </c>
      <c r="E968" s="5" t="s">
        <v>1266</v>
      </c>
      <c r="G968" s="5" t="s">
        <v>289</v>
      </c>
      <c r="H968" s="5" t="s">
        <v>706</v>
      </c>
    </row>
    <row r="969">
      <c r="A969" s="4">
        <v>45252.686659259256</v>
      </c>
      <c r="B969" s="5" t="s">
        <v>1267</v>
      </c>
      <c r="C969" s="5">
        <v>9.818780835E9</v>
      </c>
      <c r="E969" s="5" t="s">
        <v>1268</v>
      </c>
      <c r="G969" s="5" t="s">
        <v>289</v>
      </c>
      <c r="H969" s="5" t="s">
        <v>706</v>
      </c>
    </row>
    <row r="970">
      <c r="A970" s="4">
        <v>45252.687231655094</v>
      </c>
      <c r="B970" s="5" t="s">
        <v>1269</v>
      </c>
      <c r="C970" s="5">
        <v>9.654322234E9</v>
      </c>
      <c r="E970" s="5" t="s">
        <v>1270</v>
      </c>
      <c r="G970" s="5" t="s">
        <v>289</v>
      </c>
      <c r="H970" s="5" t="s">
        <v>706</v>
      </c>
    </row>
    <row r="971">
      <c r="A971" s="4">
        <v>45252.68777767361</v>
      </c>
      <c r="B971" s="5" t="s">
        <v>1271</v>
      </c>
      <c r="C971" s="5">
        <v>9.669120277E9</v>
      </c>
      <c r="E971" s="5" t="s">
        <v>1272</v>
      </c>
      <c r="G971" s="5" t="s">
        <v>289</v>
      </c>
      <c r="H971" s="5" t="s">
        <v>706</v>
      </c>
    </row>
    <row r="972">
      <c r="A972" s="4">
        <v>45252.68847761574</v>
      </c>
      <c r="B972" s="5" t="s">
        <v>1273</v>
      </c>
      <c r="C972" s="5">
        <v>9.899568355E9</v>
      </c>
      <c r="E972" s="5" t="s">
        <v>1274</v>
      </c>
      <c r="G972" s="5" t="s">
        <v>289</v>
      </c>
      <c r="H972" s="5" t="s">
        <v>706</v>
      </c>
    </row>
    <row r="973">
      <c r="A973" s="4">
        <v>45252.689380185184</v>
      </c>
      <c r="B973" s="5" t="s">
        <v>1275</v>
      </c>
      <c r="C973" s="5">
        <v>8.527547816E9</v>
      </c>
      <c r="E973" s="5" t="s">
        <v>1276</v>
      </c>
      <c r="G973" s="5" t="s">
        <v>289</v>
      </c>
      <c r="H973" s="5" t="s">
        <v>706</v>
      </c>
    </row>
    <row r="974">
      <c r="A974" s="4">
        <v>45252.69006569445</v>
      </c>
      <c r="B974" s="5" t="s">
        <v>1277</v>
      </c>
      <c r="C974" s="5">
        <v>9.25047211E9</v>
      </c>
      <c r="G974" s="5" t="s">
        <v>289</v>
      </c>
      <c r="H974" s="5" t="s">
        <v>701</v>
      </c>
    </row>
    <row r="975">
      <c r="A975" s="4">
        <v>45252.690386180555</v>
      </c>
      <c r="B975" s="5" t="s">
        <v>1278</v>
      </c>
      <c r="C975" s="5">
        <v>9.818780835E9</v>
      </c>
      <c r="G975" s="5" t="s">
        <v>289</v>
      </c>
      <c r="H975" s="5" t="s">
        <v>701</v>
      </c>
    </row>
    <row r="976">
      <c r="A976" s="4">
        <v>45252.69072813657</v>
      </c>
      <c r="B976" s="5" t="s">
        <v>1279</v>
      </c>
      <c r="C976" s="5">
        <v>9.411320007E9</v>
      </c>
      <c r="G976" s="5" t="s">
        <v>289</v>
      </c>
      <c r="H976" s="5" t="s">
        <v>701</v>
      </c>
    </row>
    <row r="977">
      <c r="A977" s="4">
        <v>45252.69109039352</v>
      </c>
      <c r="B977" s="5" t="s">
        <v>1280</v>
      </c>
      <c r="C977" s="5">
        <v>9.958899294E9</v>
      </c>
      <c r="G977" s="5" t="s">
        <v>289</v>
      </c>
      <c r="H977" s="5" t="s">
        <v>701</v>
      </c>
    </row>
    <row r="978">
      <c r="A978" s="4">
        <v>45252.691437789355</v>
      </c>
      <c r="B978" s="5" t="s">
        <v>604</v>
      </c>
      <c r="C978" s="5">
        <v>9.810887869E9</v>
      </c>
      <c r="G978" s="5" t="s">
        <v>289</v>
      </c>
      <c r="H978" s="5" t="s">
        <v>701</v>
      </c>
    </row>
    <row r="979">
      <c r="A979" s="4">
        <v>45252.69272668981</v>
      </c>
      <c r="B979" s="5" t="s">
        <v>1281</v>
      </c>
      <c r="C979" s="5">
        <v>9.810050996E9</v>
      </c>
      <c r="G979" s="5" t="s">
        <v>289</v>
      </c>
      <c r="H979" s="5" t="s">
        <v>701</v>
      </c>
    </row>
    <row r="980">
      <c r="A980" s="4">
        <v>45252.69303252315</v>
      </c>
      <c r="B980" s="5" t="s">
        <v>548</v>
      </c>
      <c r="C980" s="5">
        <v>9.811788615E9</v>
      </c>
      <c r="G980" s="5" t="s">
        <v>289</v>
      </c>
      <c r="H980" s="5" t="s">
        <v>701</v>
      </c>
    </row>
    <row r="981">
      <c r="A981" s="4">
        <v>45252.693340300924</v>
      </c>
      <c r="B981" s="5" t="s">
        <v>1282</v>
      </c>
      <c r="C981" s="5">
        <v>9.911269709E9</v>
      </c>
      <c r="G981" s="5" t="s">
        <v>289</v>
      </c>
      <c r="H981" s="5" t="s">
        <v>701</v>
      </c>
    </row>
    <row r="982">
      <c r="A982" s="4">
        <v>45252.693796203705</v>
      </c>
      <c r="B982" s="5" t="s">
        <v>1283</v>
      </c>
      <c r="C982" s="5">
        <v>8.595042093E9</v>
      </c>
      <c r="G982" s="5" t="s">
        <v>289</v>
      </c>
      <c r="H982" s="5" t="s">
        <v>701</v>
      </c>
    </row>
    <row r="983">
      <c r="A983" s="4">
        <v>45252.6942322338</v>
      </c>
      <c r="B983" s="5" t="s">
        <v>1284</v>
      </c>
      <c r="C983" s="5">
        <v>9.971145791E9</v>
      </c>
      <c r="G983" s="5" t="s">
        <v>289</v>
      </c>
      <c r="H983" s="5" t="s">
        <v>701</v>
      </c>
    </row>
    <row r="984">
      <c r="A984" s="4">
        <v>45252.694458275466</v>
      </c>
      <c r="B984" s="5" t="s">
        <v>1285</v>
      </c>
      <c r="C984" s="5">
        <v>9.582336531E9</v>
      </c>
      <c r="G984" s="5" t="s">
        <v>303</v>
      </c>
      <c r="H984" s="5" t="s">
        <v>701</v>
      </c>
    </row>
    <row r="985">
      <c r="A985" s="4">
        <v>45252.69454513889</v>
      </c>
      <c r="B985" s="5" t="s">
        <v>1286</v>
      </c>
      <c r="C985" s="5">
        <v>9.213380962E9</v>
      </c>
      <c r="G985" s="5" t="s">
        <v>289</v>
      </c>
      <c r="H985" s="5" t="s">
        <v>701</v>
      </c>
    </row>
    <row r="986">
      <c r="A986" s="4">
        <v>45252.694927847224</v>
      </c>
      <c r="B986" s="5" t="s">
        <v>1287</v>
      </c>
      <c r="C986" s="5">
        <v>8.587095043E9</v>
      </c>
      <c r="G986" s="5" t="s">
        <v>303</v>
      </c>
      <c r="H986" s="5" t="s">
        <v>701</v>
      </c>
    </row>
    <row r="987">
      <c r="A987" s="4">
        <v>45252.69594925926</v>
      </c>
      <c r="B987" s="5" t="s">
        <v>1288</v>
      </c>
      <c r="C987" s="5">
        <v>7.703881613E9</v>
      </c>
      <c r="G987" s="5" t="s">
        <v>289</v>
      </c>
      <c r="H987" s="5" t="s">
        <v>701</v>
      </c>
    </row>
    <row r="988">
      <c r="A988" s="4">
        <v>45252.6971253588</v>
      </c>
      <c r="B988" s="5" t="s">
        <v>1289</v>
      </c>
      <c r="C988" s="5">
        <v>8.452788288E9</v>
      </c>
      <c r="E988" s="5" t="s">
        <v>1290</v>
      </c>
      <c r="G988" s="5" t="s">
        <v>289</v>
      </c>
      <c r="H988" s="5" t="s">
        <v>706</v>
      </c>
    </row>
    <row r="989">
      <c r="A989" s="4">
        <v>45252.69771466435</v>
      </c>
      <c r="B989" s="5" t="s">
        <v>1291</v>
      </c>
      <c r="C989" s="5">
        <v>9.9025E9</v>
      </c>
      <c r="E989" s="5" t="s">
        <v>1255</v>
      </c>
      <c r="G989" s="5" t="s">
        <v>289</v>
      </c>
      <c r="H989" s="5" t="s">
        <v>706</v>
      </c>
    </row>
    <row r="990">
      <c r="A990" s="4">
        <v>45252.69839239583</v>
      </c>
      <c r="B990" s="5" t="s">
        <v>1292</v>
      </c>
      <c r="C990" s="5">
        <v>9.416001087E9</v>
      </c>
      <c r="G990" s="5" t="s">
        <v>303</v>
      </c>
      <c r="H990" s="5" t="s">
        <v>706</v>
      </c>
    </row>
    <row r="991">
      <c r="A991" s="4">
        <v>45252.698639803246</v>
      </c>
      <c r="B991" s="5" t="s">
        <v>1293</v>
      </c>
      <c r="C991" s="5">
        <v>9.622214428E9</v>
      </c>
      <c r="E991" s="5" t="s">
        <v>1294</v>
      </c>
      <c r="G991" s="5" t="s">
        <v>289</v>
      </c>
      <c r="H991" s="5" t="s">
        <v>706</v>
      </c>
    </row>
    <row r="992">
      <c r="A992" s="4">
        <v>45252.69883405093</v>
      </c>
      <c r="B992" s="5" t="s">
        <v>477</v>
      </c>
      <c r="C992" s="5">
        <v>9.560627105E9</v>
      </c>
      <c r="E992" s="5" t="s">
        <v>227</v>
      </c>
      <c r="G992" s="5" t="s">
        <v>303</v>
      </c>
      <c r="H992" s="5" t="s">
        <v>706</v>
      </c>
    </row>
    <row r="993">
      <c r="A993" s="4">
        <v>45252.698895706024</v>
      </c>
      <c r="B993" s="5" t="s">
        <v>1295</v>
      </c>
      <c r="C993" s="5">
        <v>9.896098378E9</v>
      </c>
      <c r="G993" s="5" t="s">
        <v>303</v>
      </c>
      <c r="H993" s="5" t="s">
        <v>701</v>
      </c>
    </row>
    <row r="994">
      <c r="A994" s="4">
        <v>45252.69927866898</v>
      </c>
      <c r="B994" s="5" t="s">
        <v>1296</v>
      </c>
      <c r="C994" s="5">
        <v>9.711947445E9</v>
      </c>
      <c r="E994" s="5" t="s">
        <v>1297</v>
      </c>
      <c r="G994" s="5" t="s">
        <v>289</v>
      </c>
      <c r="H994" s="5" t="s">
        <v>706</v>
      </c>
    </row>
    <row r="995">
      <c r="A995" s="4">
        <v>45252.70024295139</v>
      </c>
      <c r="B995" s="5" t="s">
        <v>1087</v>
      </c>
      <c r="C995" s="5">
        <v>9.013296384E9</v>
      </c>
      <c r="G995" s="5" t="s">
        <v>303</v>
      </c>
      <c r="H995" s="5" t="s">
        <v>701</v>
      </c>
    </row>
    <row r="996">
      <c r="A996" s="4">
        <v>45252.70442969908</v>
      </c>
      <c r="B996" s="5" t="s">
        <v>1298</v>
      </c>
      <c r="C996" s="5">
        <v>8.447431386E9</v>
      </c>
      <c r="G996" s="5" t="s">
        <v>303</v>
      </c>
      <c r="H996" s="5" t="s">
        <v>701</v>
      </c>
    </row>
    <row r="997">
      <c r="A997" s="4">
        <v>45252.71118215278</v>
      </c>
      <c r="B997" s="5" t="s">
        <v>1299</v>
      </c>
      <c r="C997" s="5">
        <v>8.826566266E9</v>
      </c>
      <c r="G997" s="5" t="s">
        <v>303</v>
      </c>
      <c r="H997" s="5" t="s">
        <v>701</v>
      </c>
    </row>
    <row r="998">
      <c r="A998" s="4">
        <v>45252.711287303246</v>
      </c>
      <c r="B998" s="5" t="s">
        <v>1300</v>
      </c>
      <c r="C998" s="5">
        <v>7.683086454E9</v>
      </c>
      <c r="E998" s="5" t="s">
        <v>1255</v>
      </c>
      <c r="G998" s="5" t="s">
        <v>289</v>
      </c>
      <c r="H998" s="5" t="s">
        <v>706</v>
      </c>
    </row>
    <row r="999">
      <c r="A999" s="4">
        <v>45252.71164358796</v>
      </c>
      <c r="B999" s="5" t="s">
        <v>1301</v>
      </c>
      <c r="C999" s="5">
        <v>9.315157034E9</v>
      </c>
      <c r="G999" s="5" t="s">
        <v>303</v>
      </c>
      <c r="H999" s="5" t="s">
        <v>701</v>
      </c>
    </row>
    <row r="1000">
      <c r="A1000" s="4">
        <v>45252.71171766204</v>
      </c>
      <c r="B1000" s="5" t="s">
        <v>1302</v>
      </c>
      <c r="C1000" s="5">
        <v>9.654114393E9</v>
      </c>
      <c r="E1000" s="5" t="s">
        <v>1303</v>
      </c>
      <c r="G1000" s="5" t="s">
        <v>289</v>
      </c>
      <c r="H1000" s="5" t="s">
        <v>706</v>
      </c>
    </row>
    <row r="1001">
      <c r="A1001" s="4">
        <v>45252.71209611111</v>
      </c>
      <c r="B1001" s="5" t="s">
        <v>1304</v>
      </c>
      <c r="C1001" s="5">
        <v>9.711269061E9</v>
      </c>
      <c r="E1001" s="5" t="s">
        <v>1209</v>
      </c>
      <c r="G1001" s="5" t="s">
        <v>289</v>
      </c>
      <c r="H1001" s="5" t="s">
        <v>706</v>
      </c>
    </row>
    <row r="1002">
      <c r="A1002" s="4">
        <v>45252.712134444446</v>
      </c>
      <c r="B1002" s="5" t="s">
        <v>1305</v>
      </c>
      <c r="C1002" s="5">
        <v>9.650839779E9</v>
      </c>
      <c r="E1002" s="5" t="s">
        <v>71</v>
      </c>
      <c r="G1002" s="5" t="s">
        <v>303</v>
      </c>
      <c r="H1002" s="5" t="s">
        <v>706</v>
      </c>
    </row>
    <row r="1003">
      <c r="A1003" s="4">
        <v>45252.7125053125</v>
      </c>
      <c r="B1003" s="5" t="s">
        <v>1137</v>
      </c>
      <c r="C1003" s="5">
        <v>9.911565272E9</v>
      </c>
      <c r="E1003" s="5" t="s">
        <v>1306</v>
      </c>
      <c r="G1003" s="5" t="s">
        <v>289</v>
      </c>
      <c r="H1003" s="5" t="s">
        <v>706</v>
      </c>
    </row>
    <row r="1004">
      <c r="A1004" s="4">
        <v>45252.712509143515</v>
      </c>
      <c r="B1004" s="5" t="s">
        <v>1307</v>
      </c>
      <c r="C1004" s="5">
        <v>9.999794698E9</v>
      </c>
      <c r="G1004" s="5" t="s">
        <v>303</v>
      </c>
      <c r="H1004" s="5" t="s">
        <v>701</v>
      </c>
    </row>
    <row r="1005">
      <c r="A1005" s="4">
        <v>45252.71341300926</v>
      </c>
      <c r="B1005" s="5" t="s">
        <v>1308</v>
      </c>
      <c r="C1005" s="5">
        <v>9.868921333E9</v>
      </c>
      <c r="E1005" s="5" t="s">
        <v>1309</v>
      </c>
      <c r="G1005" s="5" t="s">
        <v>289</v>
      </c>
      <c r="H1005" s="5" t="s">
        <v>706</v>
      </c>
    </row>
    <row r="1006">
      <c r="A1006" s="4">
        <v>45252.71389728009</v>
      </c>
      <c r="B1006" s="5" t="s">
        <v>1310</v>
      </c>
      <c r="C1006" s="5">
        <v>7.424890104E9</v>
      </c>
      <c r="G1006" s="5" t="s">
        <v>303</v>
      </c>
      <c r="H1006" s="5" t="s">
        <v>701</v>
      </c>
    </row>
    <row r="1007">
      <c r="A1007" s="4">
        <v>45252.7141609838</v>
      </c>
      <c r="B1007" s="5" t="s">
        <v>1182</v>
      </c>
      <c r="C1007" s="5">
        <v>9.810296558E9</v>
      </c>
      <c r="E1007" s="5" t="s">
        <v>1311</v>
      </c>
      <c r="G1007" s="5" t="s">
        <v>289</v>
      </c>
      <c r="H1007" s="5" t="s">
        <v>706</v>
      </c>
    </row>
    <row r="1008">
      <c r="A1008" s="4">
        <v>45252.714245243056</v>
      </c>
      <c r="B1008" s="5" t="s">
        <v>427</v>
      </c>
      <c r="C1008" s="5">
        <v>9.560195376E9</v>
      </c>
      <c r="G1008" s="5" t="s">
        <v>303</v>
      </c>
      <c r="H1008" s="5" t="s">
        <v>701</v>
      </c>
    </row>
    <row r="1009">
      <c r="A1009" s="4">
        <v>45252.71458201389</v>
      </c>
      <c r="B1009" s="5" t="s">
        <v>1312</v>
      </c>
      <c r="C1009" s="5">
        <v>7.986913568E9</v>
      </c>
      <c r="E1009" s="5" t="s">
        <v>1263</v>
      </c>
      <c r="G1009" s="5" t="s">
        <v>289</v>
      </c>
      <c r="H1009" s="5" t="s">
        <v>706</v>
      </c>
    </row>
    <row r="1010">
      <c r="A1010" s="4">
        <v>45252.714681909725</v>
      </c>
      <c r="B1010" s="5" t="s">
        <v>1313</v>
      </c>
      <c r="C1010" s="5">
        <v>9.079148378E9</v>
      </c>
      <c r="G1010" s="5" t="s">
        <v>303</v>
      </c>
      <c r="H1010" s="5" t="s">
        <v>701</v>
      </c>
    </row>
    <row r="1011">
      <c r="A1011" s="4">
        <v>45252.714893171295</v>
      </c>
      <c r="B1011" s="5" t="s">
        <v>1314</v>
      </c>
      <c r="C1011" s="5">
        <v>9.810477199E9</v>
      </c>
      <c r="G1011" s="5" t="s">
        <v>289</v>
      </c>
      <c r="H1011" s="5" t="s">
        <v>701</v>
      </c>
    </row>
    <row r="1012">
      <c r="A1012" s="4">
        <v>45252.71542811343</v>
      </c>
      <c r="B1012" s="5" t="s">
        <v>1315</v>
      </c>
      <c r="C1012" s="5">
        <v>9.711343316E9</v>
      </c>
      <c r="G1012" s="5" t="s">
        <v>303</v>
      </c>
      <c r="H1012" s="5" t="s">
        <v>1035</v>
      </c>
    </row>
    <row r="1013">
      <c r="A1013" s="4">
        <v>45252.71569135417</v>
      </c>
      <c r="B1013" s="5" t="s">
        <v>1316</v>
      </c>
      <c r="C1013" s="5">
        <v>9.654209028E9</v>
      </c>
      <c r="G1013" s="5" t="s">
        <v>289</v>
      </c>
      <c r="H1013" s="5" t="s">
        <v>701</v>
      </c>
    </row>
    <row r="1014">
      <c r="A1014" s="4">
        <v>45252.71595081019</v>
      </c>
      <c r="B1014" s="5" t="s">
        <v>659</v>
      </c>
      <c r="C1014" s="5">
        <v>7.06585968E9</v>
      </c>
      <c r="G1014" s="5" t="s">
        <v>303</v>
      </c>
      <c r="H1014" s="5" t="s">
        <v>701</v>
      </c>
    </row>
    <row r="1015">
      <c r="A1015" s="4">
        <v>45252.71612557871</v>
      </c>
      <c r="B1015" s="5" t="s">
        <v>1317</v>
      </c>
      <c r="C1015" s="5">
        <v>8.010604606E9</v>
      </c>
      <c r="E1015" s="5" t="s">
        <v>1318</v>
      </c>
      <c r="G1015" s="5" t="s">
        <v>289</v>
      </c>
      <c r="H1015" s="5" t="s">
        <v>706</v>
      </c>
    </row>
    <row r="1016">
      <c r="A1016" s="4">
        <v>45252.716863229165</v>
      </c>
      <c r="B1016" s="5" t="s">
        <v>1319</v>
      </c>
      <c r="C1016" s="5">
        <v>9.654601971E9</v>
      </c>
      <c r="G1016" s="5" t="s">
        <v>303</v>
      </c>
      <c r="H1016" s="5" t="s">
        <v>701</v>
      </c>
    </row>
    <row r="1017">
      <c r="A1017" s="4">
        <v>45252.717973032406</v>
      </c>
      <c r="B1017" s="5" t="s">
        <v>229</v>
      </c>
      <c r="C1017" s="5">
        <v>9.353218769E9</v>
      </c>
      <c r="G1017" s="5" t="s">
        <v>303</v>
      </c>
      <c r="H1017" s="5" t="s">
        <v>701</v>
      </c>
    </row>
    <row r="1018">
      <c r="A1018" s="4">
        <v>45252.718293576385</v>
      </c>
      <c r="B1018" s="5" t="s">
        <v>1320</v>
      </c>
      <c r="C1018" s="5">
        <v>9.900829318E9</v>
      </c>
      <c r="G1018" s="5" t="s">
        <v>303</v>
      </c>
      <c r="H1018" s="5" t="s">
        <v>701</v>
      </c>
    </row>
    <row r="1019">
      <c r="A1019" s="4">
        <v>45252.71854469908</v>
      </c>
      <c r="B1019" s="5" t="s">
        <v>1321</v>
      </c>
      <c r="C1019" s="5">
        <v>8.375980739E9</v>
      </c>
      <c r="E1019" s="5" t="s">
        <v>1322</v>
      </c>
      <c r="G1019" s="5" t="s">
        <v>289</v>
      </c>
      <c r="H1019" s="5" t="s">
        <v>706</v>
      </c>
    </row>
    <row r="1020">
      <c r="A1020" s="4">
        <v>45252.718577164356</v>
      </c>
      <c r="B1020" s="5" t="s">
        <v>1323</v>
      </c>
      <c r="C1020" s="5">
        <v>8.237433062E9</v>
      </c>
      <c r="G1020" s="5" t="s">
        <v>303</v>
      </c>
      <c r="H1020" s="5" t="s">
        <v>701</v>
      </c>
    </row>
    <row r="1021">
      <c r="A1021" s="4">
        <v>45252.71888678241</v>
      </c>
      <c r="B1021" s="5" t="s">
        <v>1324</v>
      </c>
      <c r="C1021" s="5">
        <v>9.717948003E9</v>
      </c>
      <c r="E1021" s="5" t="s">
        <v>1325</v>
      </c>
      <c r="G1021" s="5" t="s">
        <v>289</v>
      </c>
      <c r="H1021" s="5" t="s">
        <v>706</v>
      </c>
    </row>
    <row r="1022">
      <c r="A1022" s="4">
        <v>45252.71922085648</v>
      </c>
      <c r="B1022" s="5" t="s">
        <v>1326</v>
      </c>
      <c r="C1022" s="5">
        <v>9.717243668E9</v>
      </c>
      <c r="G1022" s="5" t="s">
        <v>303</v>
      </c>
      <c r="H1022" s="5" t="s">
        <v>706</v>
      </c>
    </row>
    <row r="1023">
      <c r="A1023" s="4">
        <v>45252.7193090162</v>
      </c>
      <c r="B1023" s="5" t="s">
        <v>1327</v>
      </c>
      <c r="C1023" s="5">
        <v>7.7038744E9</v>
      </c>
      <c r="E1023" s="5" t="s">
        <v>1328</v>
      </c>
      <c r="G1023" s="5" t="s">
        <v>289</v>
      </c>
      <c r="H1023" s="5" t="s">
        <v>706</v>
      </c>
    </row>
    <row r="1024">
      <c r="A1024" s="4">
        <v>45252.7199684375</v>
      </c>
      <c r="B1024" s="5" t="s">
        <v>1329</v>
      </c>
      <c r="C1024" s="5">
        <v>9.210151917E9</v>
      </c>
      <c r="E1024" s="5" t="s">
        <v>1189</v>
      </c>
      <c r="G1024" s="5" t="s">
        <v>289</v>
      </c>
      <c r="H1024" s="5" t="s">
        <v>706</v>
      </c>
    </row>
    <row r="1025">
      <c r="A1025" s="4">
        <v>45252.72039870371</v>
      </c>
      <c r="B1025" s="5" t="s">
        <v>1330</v>
      </c>
      <c r="C1025" s="5">
        <v>9.311017876E9</v>
      </c>
      <c r="G1025" s="5" t="s">
        <v>303</v>
      </c>
      <c r="H1025" s="5" t="s">
        <v>701</v>
      </c>
    </row>
    <row r="1026">
      <c r="A1026" s="4">
        <v>45252.72040902778</v>
      </c>
      <c r="B1026" s="5" t="s">
        <v>287</v>
      </c>
      <c r="C1026" s="5">
        <v>9.896137076E9</v>
      </c>
      <c r="E1026" s="5" t="s">
        <v>1209</v>
      </c>
      <c r="G1026" s="5" t="s">
        <v>289</v>
      </c>
      <c r="H1026" s="5" t="s">
        <v>706</v>
      </c>
    </row>
    <row r="1027">
      <c r="A1027" s="4">
        <v>45252.720514768516</v>
      </c>
      <c r="B1027" s="5" t="s">
        <v>1331</v>
      </c>
      <c r="C1027" s="5">
        <v>9.760100216E9</v>
      </c>
      <c r="E1027" s="5" t="s">
        <v>227</v>
      </c>
      <c r="G1027" s="5" t="s">
        <v>303</v>
      </c>
      <c r="H1027" s="5" t="s">
        <v>706</v>
      </c>
    </row>
    <row r="1028">
      <c r="A1028" s="4">
        <v>45252.721010925925</v>
      </c>
      <c r="B1028" s="5" t="s">
        <v>1332</v>
      </c>
      <c r="C1028" s="5">
        <v>9.3160776E9</v>
      </c>
      <c r="G1028" s="5" t="s">
        <v>289</v>
      </c>
      <c r="H1028" s="5" t="s">
        <v>701</v>
      </c>
    </row>
    <row r="1029">
      <c r="A1029" s="4">
        <v>45252.721413946754</v>
      </c>
      <c r="B1029" s="5" t="s">
        <v>1333</v>
      </c>
      <c r="C1029" s="5">
        <v>8.810420399E9</v>
      </c>
      <c r="E1029" s="5" t="s">
        <v>1192</v>
      </c>
      <c r="G1029" s="5" t="s">
        <v>289</v>
      </c>
      <c r="H1029" s="5" t="s">
        <v>706</v>
      </c>
    </row>
    <row r="1030">
      <c r="A1030" s="4">
        <v>45252.72238530093</v>
      </c>
      <c r="B1030" s="5" t="s">
        <v>1334</v>
      </c>
      <c r="C1030" s="5">
        <v>7.892952788E9</v>
      </c>
      <c r="G1030" s="5" t="s">
        <v>303</v>
      </c>
      <c r="H1030" s="5" t="s">
        <v>701</v>
      </c>
    </row>
    <row r="1031">
      <c r="A1031" s="4">
        <v>45252.72382035879</v>
      </c>
      <c r="B1031" s="5" t="s">
        <v>1335</v>
      </c>
      <c r="C1031" s="5">
        <v>9.818412116E9</v>
      </c>
      <c r="G1031" s="5" t="s">
        <v>303</v>
      </c>
      <c r="H1031" s="5" t="s">
        <v>701</v>
      </c>
    </row>
    <row r="1032">
      <c r="A1032" s="4">
        <v>45252.72538184028</v>
      </c>
      <c r="B1032" s="5" t="s">
        <v>1336</v>
      </c>
      <c r="C1032" s="5">
        <v>7.678522847E9</v>
      </c>
      <c r="G1032" s="5" t="s">
        <v>303</v>
      </c>
      <c r="H1032" s="5" t="s">
        <v>701</v>
      </c>
    </row>
    <row r="1033">
      <c r="A1033" s="4">
        <v>45252.72561893519</v>
      </c>
      <c r="B1033" s="5" t="s">
        <v>1337</v>
      </c>
      <c r="C1033" s="5">
        <v>9.211528861E9</v>
      </c>
      <c r="G1033" s="5" t="s">
        <v>303</v>
      </c>
      <c r="H1033" s="5" t="s">
        <v>701</v>
      </c>
    </row>
    <row r="1034">
      <c r="A1034" s="4">
        <v>45252.72763060185</v>
      </c>
      <c r="B1034" s="5" t="s">
        <v>1338</v>
      </c>
      <c r="C1034" s="5">
        <v>9.871185853E9</v>
      </c>
      <c r="G1034" s="5" t="s">
        <v>303</v>
      </c>
      <c r="H1034" s="5" t="s">
        <v>701</v>
      </c>
    </row>
    <row r="1035">
      <c r="A1035" s="4">
        <v>45252.72827403936</v>
      </c>
      <c r="B1035" s="5" t="s">
        <v>1224</v>
      </c>
      <c r="C1035" s="5">
        <v>9.971765E9</v>
      </c>
      <c r="G1035" s="5" t="s">
        <v>303</v>
      </c>
      <c r="H1035" s="5" t="s">
        <v>701</v>
      </c>
    </row>
    <row r="1036">
      <c r="A1036" s="4">
        <v>45252.732615960645</v>
      </c>
      <c r="B1036" s="5" t="s">
        <v>1339</v>
      </c>
      <c r="C1036" s="5">
        <v>9.711473428E9</v>
      </c>
      <c r="G1036" s="5" t="s">
        <v>303</v>
      </c>
      <c r="H1036" s="5" t="s">
        <v>701</v>
      </c>
    </row>
    <row r="1037">
      <c r="A1037" s="4">
        <v>45252.73377143519</v>
      </c>
      <c r="B1037" s="5" t="s">
        <v>1340</v>
      </c>
      <c r="C1037" s="5">
        <v>9.21226268E9</v>
      </c>
      <c r="G1037" s="5" t="s">
        <v>303</v>
      </c>
      <c r="H1037" s="5" t="s">
        <v>701</v>
      </c>
    </row>
    <row r="1038">
      <c r="A1038" s="4">
        <v>45252.7340155787</v>
      </c>
      <c r="B1038" s="5" t="s">
        <v>1341</v>
      </c>
      <c r="C1038" s="5">
        <v>9.268881696E9</v>
      </c>
      <c r="G1038" s="5" t="s">
        <v>303</v>
      </c>
      <c r="H1038" s="5" t="s">
        <v>701</v>
      </c>
    </row>
    <row r="1039">
      <c r="A1039" s="4">
        <v>45252.73582027778</v>
      </c>
      <c r="B1039" s="5" t="s">
        <v>1342</v>
      </c>
      <c r="C1039" s="5">
        <v>9.21169973E9</v>
      </c>
      <c r="G1039" s="5" t="s">
        <v>303</v>
      </c>
      <c r="H1039" s="5" t="s">
        <v>706</v>
      </c>
    </row>
    <row r="1040">
      <c r="A1040" s="4">
        <v>45252.73755194445</v>
      </c>
      <c r="B1040" s="5" t="s">
        <v>1343</v>
      </c>
      <c r="C1040" s="5">
        <v>6.39553042E9</v>
      </c>
      <c r="G1040" s="5" t="s">
        <v>303</v>
      </c>
      <c r="H1040" s="5" t="s">
        <v>701</v>
      </c>
    </row>
    <row r="1041">
      <c r="A1041" s="4">
        <v>45252.74424712963</v>
      </c>
      <c r="B1041" s="5" t="s">
        <v>1344</v>
      </c>
      <c r="C1041" s="5">
        <v>7.906727502E9</v>
      </c>
      <c r="G1041" s="5" t="s">
        <v>303</v>
      </c>
      <c r="H1041" s="5" t="s">
        <v>701</v>
      </c>
    </row>
    <row r="1042">
      <c r="A1042" s="4">
        <v>45252.74889337963</v>
      </c>
      <c r="B1042" s="5" t="s">
        <v>1345</v>
      </c>
      <c r="C1042" s="5">
        <v>9.7118017E9</v>
      </c>
      <c r="G1042" s="5" t="s">
        <v>303</v>
      </c>
      <c r="H1042" s="5" t="s">
        <v>706</v>
      </c>
    </row>
    <row r="1043">
      <c r="A1043" s="4">
        <v>45252.74902870371</v>
      </c>
      <c r="B1043" s="5" t="s">
        <v>1346</v>
      </c>
      <c r="C1043" s="5">
        <v>9.315177088E9</v>
      </c>
      <c r="G1043" s="5" t="s">
        <v>303</v>
      </c>
      <c r="H1043" s="5" t="s">
        <v>701</v>
      </c>
    </row>
    <row r="1044">
      <c r="A1044" s="4">
        <v>45252.75414148148</v>
      </c>
      <c r="B1044" s="5" t="s">
        <v>1347</v>
      </c>
      <c r="C1044" s="5">
        <v>9.971439003E9</v>
      </c>
      <c r="G1044" s="5" t="s">
        <v>303</v>
      </c>
      <c r="H1044" s="5" t="s">
        <v>722</v>
      </c>
    </row>
    <row r="1045">
      <c r="A1045" s="4">
        <v>45252.7730440625</v>
      </c>
      <c r="B1045" s="5" t="s">
        <v>1348</v>
      </c>
      <c r="C1045" s="5">
        <v>8.383050576E9</v>
      </c>
      <c r="G1045" s="5" t="s">
        <v>303</v>
      </c>
      <c r="H1045" s="5" t="s">
        <v>701</v>
      </c>
    </row>
    <row r="1046">
      <c r="A1046" s="4">
        <v>45252.775520243056</v>
      </c>
      <c r="B1046" s="5" t="s">
        <v>1349</v>
      </c>
      <c r="C1046" s="5">
        <v>9.03492461E9</v>
      </c>
      <c r="G1046" s="5" t="s">
        <v>303</v>
      </c>
      <c r="H1046" s="5" t="s">
        <v>701</v>
      </c>
    </row>
    <row r="1047">
      <c r="A1047" s="4">
        <v>45252.7810972338</v>
      </c>
      <c r="B1047" s="5" t="s">
        <v>1350</v>
      </c>
      <c r="C1047" s="5">
        <v>9.999630318E9</v>
      </c>
      <c r="E1047" s="5" t="s">
        <v>1351</v>
      </c>
      <c r="G1047" s="5" t="s">
        <v>303</v>
      </c>
      <c r="H1047" s="5" t="s">
        <v>706</v>
      </c>
    </row>
    <row r="1048">
      <c r="A1048" s="4">
        <v>45252.78251655093</v>
      </c>
      <c r="B1048" s="5" t="s">
        <v>1352</v>
      </c>
      <c r="C1048" s="5">
        <v>9.899965739E9</v>
      </c>
      <c r="G1048" s="5" t="s">
        <v>303</v>
      </c>
      <c r="H1048" s="5" t="s">
        <v>701</v>
      </c>
    </row>
    <row r="1049">
      <c r="A1049" s="4">
        <v>45252.78277049768</v>
      </c>
      <c r="B1049" s="5" t="s">
        <v>1353</v>
      </c>
      <c r="C1049" s="5">
        <v>8.287053601E9</v>
      </c>
      <c r="G1049" s="5" t="s">
        <v>303</v>
      </c>
      <c r="H1049" s="5" t="s">
        <v>701</v>
      </c>
    </row>
    <row r="1050">
      <c r="A1050" s="4">
        <v>45252.7831502662</v>
      </c>
      <c r="B1050" s="5" t="s">
        <v>1354</v>
      </c>
      <c r="C1050" s="5">
        <v>9.250429426E9</v>
      </c>
      <c r="G1050" s="5" t="s">
        <v>303</v>
      </c>
      <c r="H1050" s="5" t="s">
        <v>701</v>
      </c>
    </row>
    <row r="1051">
      <c r="A1051" s="4">
        <v>45252.78493346064</v>
      </c>
      <c r="B1051" s="5" t="s">
        <v>1355</v>
      </c>
      <c r="C1051" s="5">
        <v>9.818270113E9</v>
      </c>
      <c r="G1051" s="5" t="s">
        <v>303</v>
      </c>
      <c r="H1051" s="5" t="s">
        <v>701</v>
      </c>
    </row>
    <row r="1052">
      <c r="A1052" s="4">
        <v>45252.78583069444</v>
      </c>
      <c r="B1052" s="5" t="s">
        <v>1356</v>
      </c>
      <c r="C1052" s="5">
        <v>7.906432313E9</v>
      </c>
      <c r="G1052" s="5" t="s">
        <v>303</v>
      </c>
      <c r="H1052" s="5" t="s">
        <v>701</v>
      </c>
    </row>
    <row r="1053">
      <c r="A1053" s="4">
        <v>45252.78628991898</v>
      </c>
      <c r="B1053" s="5" t="s">
        <v>1357</v>
      </c>
      <c r="C1053" s="5">
        <v>7.042568045E9</v>
      </c>
      <c r="G1053" s="5" t="s">
        <v>303</v>
      </c>
      <c r="H1053" s="5" t="s">
        <v>701</v>
      </c>
    </row>
    <row r="1054">
      <c r="A1054" s="4">
        <v>45252.786441550925</v>
      </c>
      <c r="B1054" s="5" t="s">
        <v>1358</v>
      </c>
      <c r="C1054" s="5">
        <v>8.459817166E9</v>
      </c>
      <c r="G1054" s="5" t="s">
        <v>303</v>
      </c>
      <c r="H1054" s="5" t="s">
        <v>701</v>
      </c>
    </row>
    <row r="1055">
      <c r="A1055" s="4">
        <v>45252.78715434027</v>
      </c>
      <c r="B1055" s="5" t="s">
        <v>1359</v>
      </c>
      <c r="C1055" s="5">
        <v>8.59560009E9</v>
      </c>
      <c r="G1055" s="5" t="s">
        <v>303</v>
      </c>
      <c r="H1055" s="5" t="s">
        <v>701</v>
      </c>
    </row>
    <row r="1056">
      <c r="A1056" s="4">
        <v>45252.78792674768</v>
      </c>
      <c r="B1056" s="5" t="s">
        <v>1360</v>
      </c>
      <c r="C1056" s="5">
        <v>7.838559457E9</v>
      </c>
      <c r="G1056" s="5" t="s">
        <v>303</v>
      </c>
      <c r="H1056" s="5" t="s">
        <v>701</v>
      </c>
    </row>
    <row r="1057">
      <c r="A1057" s="4">
        <v>45252.79616622685</v>
      </c>
      <c r="B1057" s="5" t="s">
        <v>1361</v>
      </c>
      <c r="C1057" s="5">
        <v>8.287289592E9</v>
      </c>
      <c r="E1057" s="5" t="s">
        <v>39</v>
      </c>
      <c r="F1057" s="7" t="s">
        <v>1362</v>
      </c>
      <c r="G1057" s="5" t="s">
        <v>303</v>
      </c>
      <c r="H1057" s="5" t="s">
        <v>706</v>
      </c>
    </row>
    <row r="1058">
      <c r="A1058" s="4">
        <v>45253.49817851852</v>
      </c>
      <c r="B1058" s="5" t="s">
        <v>1363</v>
      </c>
      <c r="C1058" s="5">
        <v>9.81141771E9</v>
      </c>
      <c r="E1058" s="5" t="s">
        <v>15</v>
      </c>
      <c r="G1058" s="5" t="s">
        <v>303</v>
      </c>
      <c r="H1058" s="5" t="s">
        <v>706</v>
      </c>
    </row>
    <row r="1059">
      <c r="A1059" s="4">
        <v>45253.498882314816</v>
      </c>
      <c r="B1059" s="5" t="s">
        <v>1364</v>
      </c>
      <c r="C1059" s="5">
        <v>8.178305139E9</v>
      </c>
      <c r="G1059" s="5" t="s">
        <v>303</v>
      </c>
      <c r="H1059" s="5" t="s">
        <v>701</v>
      </c>
    </row>
    <row r="1060">
      <c r="A1060" s="4">
        <v>45253.499763796295</v>
      </c>
      <c r="B1060" s="5" t="s">
        <v>1365</v>
      </c>
      <c r="C1060" s="5">
        <v>9.868466581E9</v>
      </c>
      <c r="G1060" s="5" t="s">
        <v>303</v>
      </c>
      <c r="H1060" s="5" t="s">
        <v>701</v>
      </c>
    </row>
    <row r="1061">
      <c r="A1061" s="4">
        <v>45253.504659293976</v>
      </c>
      <c r="B1061" s="5" t="s">
        <v>1366</v>
      </c>
      <c r="C1061" s="5">
        <v>9.899399973E9</v>
      </c>
      <c r="E1061" s="5" t="s">
        <v>1367</v>
      </c>
      <c r="G1061" s="5" t="s">
        <v>303</v>
      </c>
      <c r="H1061" s="5" t="s">
        <v>706</v>
      </c>
    </row>
    <row r="1062">
      <c r="A1062" s="4">
        <v>45253.51562667824</v>
      </c>
      <c r="B1062" s="5" t="s">
        <v>1368</v>
      </c>
      <c r="C1062" s="5">
        <v>9.810762681E9</v>
      </c>
      <c r="G1062" s="5" t="s">
        <v>303</v>
      </c>
      <c r="H1062" s="5" t="s">
        <v>701</v>
      </c>
    </row>
    <row r="1063">
      <c r="A1063" s="4">
        <v>45253.51946297454</v>
      </c>
      <c r="B1063" s="5" t="s">
        <v>1369</v>
      </c>
      <c r="C1063" s="5">
        <v>8.586067717E9</v>
      </c>
      <c r="E1063" s="5" t="s">
        <v>79</v>
      </c>
      <c r="G1063" s="5" t="s">
        <v>303</v>
      </c>
      <c r="H1063" s="5" t="s">
        <v>706</v>
      </c>
    </row>
    <row r="1064">
      <c r="A1064" s="4">
        <v>45253.51969652778</v>
      </c>
      <c r="B1064" s="5" t="s">
        <v>1370</v>
      </c>
      <c r="C1064" s="5">
        <v>8.586067717E9</v>
      </c>
      <c r="G1064" s="5" t="s">
        <v>303</v>
      </c>
      <c r="H1064" s="5" t="s">
        <v>701</v>
      </c>
    </row>
    <row r="1065">
      <c r="A1065" s="4">
        <v>45253.52903365741</v>
      </c>
      <c r="B1065" s="5" t="s">
        <v>1371</v>
      </c>
      <c r="C1065" s="5">
        <v>9.443373062E9</v>
      </c>
      <c r="E1065" s="5" t="s">
        <v>79</v>
      </c>
      <c r="G1065" s="5" t="s">
        <v>303</v>
      </c>
      <c r="H1065" s="5" t="s">
        <v>706</v>
      </c>
    </row>
    <row r="1066">
      <c r="A1066" s="4">
        <v>45253.53080061343</v>
      </c>
      <c r="B1066" s="5" t="s">
        <v>1372</v>
      </c>
      <c r="C1066" s="5">
        <v>9.654503055E9</v>
      </c>
      <c r="E1066" s="5" t="s">
        <v>769</v>
      </c>
      <c r="G1066" s="5" t="s">
        <v>303</v>
      </c>
      <c r="H1066" s="5" t="s">
        <v>706</v>
      </c>
    </row>
    <row r="1067">
      <c r="A1067" s="4">
        <v>45253.53124056713</v>
      </c>
      <c r="B1067" s="5" t="s">
        <v>1373</v>
      </c>
      <c r="C1067" s="5">
        <v>9.810925155E9</v>
      </c>
      <c r="G1067" s="5" t="s">
        <v>303</v>
      </c>
      <c r="H1067" s="5" t="s">
        <v>701</v>
      </c>
    </row>
    <row r="1068">
      <c r="A1068" s="4">
        <v>45253.5336693287</v>
      </c>
      <c r="B1068" s="5" t="s">
        <v>1374</v>
      </c>
      <c r="C1068" s="5">
        <v>9.135909492E9</v>
      </c>
      <c r="G1068" s="5" t="s">
        <v>303</v>
      </c>
      <c r="H1068" s="5" t="s">
        <v>701</v>
      </c>
    </row>
    <row r="1069">
      <c r="A1069" s="4">
        <v>45253.53368846065</v>
      </c>
      <c r="B1069" s="5" t="s">
        <v>1375</v>
      </c>
      <c r="C1069" s="5">
        <v>7.838576942E9</v>
      </c>
      <c r="E1069" s="5" t="s">
        <v>793</v>
      </c>
      <c r="G1069" s="5" t="s">
        <v>303</v>
      </c>
      <c r="H1069" s="5" t="s">
        <v>706</v>
      </c>
    </row>
    <row r="1070">
      <c r="A1070" s="4">
        <v>45253.53826545139</v>
      </c>
      <c r="B1070" s="5" t="s">
        <v>1376</v>
      </c>
      <c r="C1070" s="5">
        <v>7.985649814E9</v>
      </c>
      <c r="E1070" s="5" t="s">
        <v>15</v>
      </c>
      <c r="G1070" s="5" t="s">
        <v>303</v>
      </c>
      <c r="H1070" s="5" t="s">
        <v>706</v>
      </c>
    </row>
    <row r="1071">
      <c r="A1071" s="4">
        <v>45253.53890934028</v>
      </c>
      <c r="B1071" s="5" t="s">
        <v>1377</v>
      </c>
      <c r="C1071" s="5">
        <v>7.451069948E9</v>
      </c>
      <c r="E1071" s="5" t="s">
        <v>1139</v>
      </c>
      <c r="G1071" s="5" t="s">
        <v>303</v>
      </c>
      <c r="H1071" s="5" t="s">
        <v>706</v>
      </c>
    </row>
    <row r="1072">
      <c r="A1072" s="4">
        <v>45253.54110120371</v>
      </c>
      <c r="B1072" s="5" t="s">
        <v>120</v>
      </c>
      <c r="C1072" s="5">
        <v>9.871349567E9</v>
      </c>
      <c r="G1072" s="5" t="s">
        <v>303</v>
      </c>
      <c r="H1072" s="5" t="s">
        <v>701</v>
      </c>
    </row>
    <row r="1073">
      <c r="A1073" s="4">
        <v>45253.54146699074</v>
      </c>
      <c r="B1073" s="5" t="s">
        <v>1378</v>
      </c>
      <c r="C1073" s="5">
        <v>9.958289037E9</v>
      </c>
      <c r="E1073" s="5" t="s">
        <v>71</v>
      </c>
      <c r="G1073" s="5" t="s">
        <v>303</v>
      </c>
      <c r="H1073" s="5" t="s">
        <v>706</v>
      </c>
    </row>
    <row r="1074">
      <c r="A1074" s="4">
        <v>45253.54180533565</v>
      </c>
      <c r="B1074" s="5" t="s">
        <v>651</v>
      </c>
      <c r="C1074" s="5">
        <v>9.646133786E9</v>
      </c>
      <c r="G1074" s="5" t="s">
        <v>303</v>
      </c>
      <c r="H1074" s="5" t="s">
        <v>701</v>
      </c>
    </row>
    <row r="1075">
      <c r="A1075" s="4">
        <v>45253.542061898144</v>
      </c>
      <c r="B1075" s="5" t="s">
        <v>1379</v>
      </c>
      <c r="C1075" s="5">
        <v>9.968251805E9</v>
      </c>
      <c r="G1075" s="5" t="s">
        <v>303</v>
      </c>
      <c r="H1075" s="5" t="s">
        <v>701</v>
      </c>
    </row>
    <row r="1076">
      <c r="A1076" s="4">
        <v>45253.5436508912</v>
      </c>
      <c r="B1076" s="5" t="s">
        <v>191</v>
      </c>
      <c r="C1076" s="5">
        <v>9.466875167E9</v>
      </c>
      <c r="G1076" s="5" t="s">
        <v>303</v>
      </c>
      <c r="H1076" s="5" t="s">
        <v>701</v>
      </c>
    </row>
    <row r="1077">
      <c r="A1077" s="4">
        <v>45253.544258333335</v>
      </c>
      <c r="B1077" s="5" t="s">
        <v>541</v>
      </c>
      <c r="C1077" s="5">
        <v>9.899664866E9</v>
      </c>
      <c r="E1077" s="5" t="s">
        <v>71</v>
      </c>
      <c r="G1077" s="5" t="s">
        <v>303</v>
      </c>
      <c r="H1077" s="5" t="s">
        <v>706</v>
      </c>
    </row>
    <row r="1078">
      <c r="A1078" s="4">
        <v>45253.54455219908</v>
      </c>
      <c r="B1078" s="5" t="s">
        <v>1380</v>
      </c>
      <c r="C1078" s="5">
        <v>9.971417987E9</v>
      </c>
      <c r="G1078" s="5" t="s">
        <v>303</v>
      </c>
      <c r="H1078" s="5" t="s">
        <v>701</v>
      </c>
    </row>
    <row r="1079">
      <c r="A1079" s="4">
        <v>45253.54854716435</v>
      </c>
      <c r="B1079" s="5" t="s">
        <v>1381</v>
      </c>
      <c r="C1079" s="5">
        <v>9.811164181E9</v>
      </c>
      <c r="G1079" s="5" t="s">
        <v>303</v>
      </c>
      <c r="H1079" s="5" t="s">
        <v>701</v>
      </c>
    </row>
    <row r="1080">
      <c r="A1080" s="4">
        <v>45253.54890350695</v>
      </c>
      <c r="B1080" s="5" t="s">
        <v>1382</v>
      </c>
      <c r="C1080" s="5">
        <v>9.511102211E9</v>
      </c>
      <c r="E1080" s="5" t="s">
        <v>79</v>
      </c>
      <c r="G1080" s="5" t="s">
        <v>303</v>
      </c>
      <c r="H1080" s="5" t="s">
        <v>706</v>
      </c>
    </row>
    <row r="1081">
      <c r="A1081" s="4">
        <v>45253.5515065625</v>
      </c>
      <c r="B1081" s="5" t="s">
        <v>1383</v>
      </c>
      <c r="C1081" s="5">
        <v>8.383033578E9</v>
      </c>
      <c r="G1081" s="5" t="s">
        <v>303</v>
      </c>
      <c r="H1081" s="5" t="s">
        <v>701</v>
      </c>
    </row>
    <row r="1082">
      <c r="A1082" s="4">
        <v>45253.55570471065</v>
      </c>
      <c r="B1082" s="5" t="s">
        <v>1384</v>
      </c>
      <c r="C1082" s="5">
        <v>9.9714142E9</v>
      </c>
      <c r="E1082" s="5" t="s">
        <v>1139</v>
      </c>
      <c r="G1082" s="5" t="s">
        <v>303</v>
      </c>
      <c r="H1082" s="5" t="s">
        <v>706</v>
      </c>
    </row>
    <row r="1083">
      <c r="A1083" s="4">
        <v>45253.555974745366</v>
      </c>
      <c r="B1083" s="5" t="s">
        <v>1150</v>
      </c>
      <c r="C1083" s="5">
        <v>9.210304168E9</v>
      </c>
      <c r="E1083" s="5" t="s">
        <v>71</v>
      </c>
      <c r="G1083" s="5" t="s">
        <v>303</v>
      </c>
      <c r="H1083" s="5" t="s">
        <v>706</v>
      </c>
    </row>
    <row r="1084">
      <c r="A1084" s="4">
        <v>45253.55651015046</v>
      </c>
      <c r="B1084" s="5" t="s">
        <v>1385</v>
      </c>
      <c r="C1084" s="5">
        <v>9.818027072E9</v>
      </c>
      <c r="G1084" s="5" t="s">
        <v>303</v>
      </c>
      <c r="H1084" s="5" t="s">
        <v>701</v>
      </c>
    </row>
    <row r="1085">
      <c r="A1085" s="4">
        <v>45253.57153987269</v>
      </c>
      <c r="B1085" s="5" t="s">
        <v>1386</v>
      </c>
      <c r="C1085" s="5">
        <v>9.7182099E9</v>
      </c>
      <c r="G1085" s="5" t="s">
        <v>303</v>
      </c>
      <c r="H1085" s="5" t="s">
        <v>701</v>
      </c>
    </row>
    <row r="1086">
      <c r="A1086" s="4">
        <v>45253.574825856485</v>
      </c>
      <c r="B1086" s="5" t="s">
        <v>1387</v>
      </c>
      <c r="C1086" s="5">
        <v>9.560733032E9</v>
      </c>
      <c r="G1086" s="5" t="s">
        <v>303</v>
      </c>
      <c r="H1086" s="5" t="s">
        <v>701</v>
      </c>
    </row>
    <row r="1087">
      <c r="A1087" s="4">
        <v>45253.57936777778</v>
      </c>
      <c r="B1087" s="5" t="s">
        <v>1388</v>
      </c>
      <c r="C1087" s="5">
        <v>9.878041237E9</v>
      </c>
      <c r="E1087" s="5" t="s">
        <v>15</v>
      </c>
      <c r="G1087" s="5" t="s">
        <v>303</v>
      </c>
      <c r="H1087" s="5" t="s">
        <v>706</v>
      </c>
    </row>
    <row r="1088">
      <c r="A1088" s="4">
        <v>45253.58133021991</v>
      </c>
      <c r="B1088" s="5" t="s">
        <v>1389</v>
      </c>
      <c r="C1088" s="5">
        <v>8.130696282E9</v>
      </c>
      <c r="G1088" s="5" t="s">
        <v>303</v>
      </c>
      <c r="H1088" s="5" t="s">
        <v>701</v>
      </c>
    </row>
    <row r="1089">
      <c r="A1089" s="4">
        <v>45253.58209435185</v>
      </c>
      <c r="B1089" s="5" t="s">
        <v>432</v>
      </c>
      <c r="C1089" s="5">
        <v>9.910885513E9</v>
      </c>
      <c r="E1089" s="5" t="s">
        <v>1390</v>
      </c>
      <c r="G1089" s="5" t="s">
        <v>303</v>
      </c>
      <c r="H1089" s="5" t="s">
        <v>706</v>
      </c>
    </row>
    <row r="1090">
      <c r="A1090" s="4">
        <v>45253.58326263889</v>
      </c>
      <c r="B1090" s="5" t="s">
        <v>1391</v>
      </c>
      <c r="C1090" s="5">
        <v>9.717686233E9</v>
      </c>
      <c r="G1090" s="5" t="s">
        <v>303</v>
      </c>
      <c r="H1090" s="5" t="s">
        <v>701</v>
      </c>
    </row>
    <row r="1091">
      <c r="A1091" s="4">
        <v>45253.583763194445</v>
      </c>
      <c r="B1091" s="5" t="s">
        <v>1392</v>
      </c>
      <c r="C1091" s="5">
        <v>8.9308831E9</v>
      </c>
      <c r="E1091" s="5" t="s">
        <v>1393</v>
      </c>
      <c r="G1091" s="5" t="s">
        <v>303</v>
      </c>
      <c r="H1091" s="5" t="s">
        <v>706</v>
      </c>
    </row>
    <row r="1092">
      <c r="A1092" s="4">
        <v>45253.584709421295</v>
      </c>
      <c r="B1092" s="5" t="s">
        <v>578</v>
      </c>
      <c r="C1092" s="5">
        <v>8.708544782E9</v>
      </c>
      <c r="E1092" s="5" t="s">
        <v>1390</v>
      </c>
      <c r="G1092" s="5" t="s">
        <v>303</v>
      </c>
      <c r="H1092" s="5" t="s">
        <v>706</v>
      </c>
    </row>
    <row r="1093">
      <c r="A1093" s="4">
        <v>45253.59113028935</v>
      </c>
      <c r="B1093" s="5" t="s">
        <v>1394</v>
      </c>
      <c r="C1093" s="5">
        <v>8.800486305E9</v>
      </c>
      <c r="G1093" s="5" t="s">
        <v>303</v>
      </c>
      <c r="H1093" s="5" t="s">
        <v>701</v>
      </c>
    </row>
    <row r="1094">
      <c r="A1094" s="4">
        <v>45253.592695486106</v>
      </c>
      <c r="B1094" s="5" t="s">
        <v>1395</v>
      </c>
      <c r="C1094" s="5">
        <v>7.827228389E9</v>
      </c>
      <c r="G1094" s="5" t="s">
        <v>303</v>
      </c>
      <c r="H1094" s="5" t="s">
        <v>701</v>
      </c>
    </row>
    <row r="1095">
      <c r="A1095" s="4">
        <v>45253.596957870366</v>
      </c>
      <c r="B1095" s="5" t="s">
        <v>1396</v>
      </c>
      <c r="C1095" s="5">
        <v>9.990268709E9</v>
      </c>
      <c r="E1095" s="5" t="s">
        <v>79</v>
      </c>
      <c r="G1095" s="5" t="s">
        <v>303</v>
      </c>
      <c r="H1095" s="5" t="s">
        <v>706</v>
      </c>
    </row>
    <row r="1096">
      <c r="A1096" s="4">
        <v>45253.600432210646</v>
      </c>
      <c r="B1096" s="5" t="s">
        <v>1397</v>
      </c>
      <c r="C1096" s="5">
        <v>9.518173629E9</v>
      </c>
      <c r="E1096" s="5" t="s">
        <v>481</v>
      </c>
      <c r="G1096" s="5" t="s">
        <v>303</v>
      </c>
      <c r="H1096" s="5" t="s">
        <v>701</v>
      </c>
    </row>
    <row r="1097">
      <c r="A1097" s="4">
        <v>45253.603183495376</v>
      </c>
      <c r="B1097" s="5" t="s">
        <v>1398</v>
      </c>
      <c r="C1097" s="5">
        <v>9.404446059E9</v>
      </c>
      <c r="G1097" s="5" t="s">
        <v>303</v>
      </c>
      <c r="H1097" s="5" t="s">
        <v>701</v>
      </c>
    </row>
    <row r="1098">
      <c r="A1098" s="4">
        <v>45253.60557351852</v>
      </c>
      <c r="B1098" s="5" t="s">
        <v>1399</v>
      </c>
      <c r="C1098" s="5">
        <v>9.65480599E9</v>
      </c>
      <c r="G1098" s="5" t="s">
        <v>303</v>
      </c>
      <c r="H1098" s="5" t="s">
        <v>701</v>
      </c>
    </row>
    <row r="1099">
      <c r="A1099" s="4">
        <v>45253.60619179398</v>
      </c>
      <c r="B1099" s="5" t="s">
        <v>911</v>
      </c>
      <c r="C1099" s="5">
        <v>8.005173299E9</v>
      </c>
      <c r="G1099" s="5" t="s">
        <v>303</v>
      </c>
      <c r="H1099" s="5" t="s">
        <v>701</v>
      </c>
    </row>
    <row r="1100">
      <c r="A1100" s="4">
        <v>45253.60654962963</v>
      </c>
      <c r="B1100" s="5" t="s">
        <v>1400</v>
      </c>
      <c r="C1100" s="5">
        <v>9.990977525E9</v>
      </c>
      <c r="G1100" s="5" t="s">
        <v>303</v>
      </c>
      <c r="H1100" s="5" t="s">
        <v>706</v>
      </c>
    </row>
    <row r="1101">
      <c r="A1101" s="4">
        <v>45253.608820775466</v>
      </c>
      <c r="B1101" s="5" t="s">
        <v>1193</v>
      </c>
      <c r="C1101" s="5">
        <v>9.999150255E9</v>
      </c>
      <c r="G1101" s="5" t="s">
        <v>303</v>
      </c>
      <c r="H1101" s="5" t="s">
        <v>706</v>
      </c>
    </row>
    <row r="1102">
      <c r="A1102" s="4">
        <v>45253.61069877315</v>
      </c>
      <c r="B1102" s="5" t="s">
        <v>1401</v>
      </c>
      <c r="C1102" s="5">
        <v>7.053537747E9</v>
      </c>
      <c r="G1102" s="5" t="s">
        <v>303</v>
      </c>
      <c r="H1102" s="5" t="s">
        <v>706</v>
      </c>
    </row>
    <row r="1103">
      <c r="A1103" s="4">
        <v>45253.61176075232</v>
      </c>
      <c r="B1103" s="5" t="s">
        <v>379</v>
      </c>
      <c r="C1103" s="5">
        <v>9.818184141E9</v>
      </c>
      <c r="E1103" s="5" t="s">
        <v>1402</v>
      </c>
      <c r="G1103" s="5" t="s">
        <v>303</v>
      </c>
      <c r="H1103" s="5" t="s">
        <v>706</v>
      </c>
    </row>
    <row r="1104">
      <c r="A1104" s="4">
        <v>45253.61472515046</v>
      </c>
      <c r="B1104" s="5" t="s">
        <v>1403</v>
      </c>
      <c r="C1104" s="5">
        <v>9.421532413E9</v>
      </c>
      <c r="D1104" s="5" t="s">
        <v>1404</v>
      </c>
      <c r="E1104" s="5" t="s">
        <v>15</v>
      </c>
      <c r="G1104" s="5" t="s">
        <v>303</v>
      </c>
      <c r="H1104" s="5" t="s">
        <v>1035</v>
      </c>
    </row>
    <row r="1105">
      <c r="A1105" s="4">
        <v>45253.62164546296</v>
      </c>
      <c r="B1105" s="5" t="s">
        <v>363</v>
      </c>
      <c r="C1105" s="5">
        <v>9.990252777E9</v>
      </c>
      <c r="E1105" s="5" t="s">
        <v>1405</v>
      </c>
      <c r="G1105" s="5" t="s">
        <v>303</v>
      </c>
      <c r="H1105" s="5" t="s">
        <v>706</v>
      </c>
    </row>
    <row r="1106">
      <c r="A1106" s="4">
        <v>45253.62557513889</v>
      </c>
      <c r="B1106" s="5" t="s">
        <v>625</v>
      </c>
      <c r="C1106" s="5">
        <v>7.982848105E9</v>
      </c>
      <c r="G1106" s="5" t="s">
        <v>303</v>
      </c>
      <c r="H1106" s="5" t="s">
        <v>706</v>
      </c>
    </row>
    <row r="1107">
      <c r="A1107" s="4">
        <v>45253.62608311343</v>
      </c>
      <c r="B1107" s="5" t="s">
        <v>1406</v>
      </c>
      <c r="C1107" s="5">
        <v>7.042895508E9</v>
      </c>
      <c r="E1107" s="5" t="s">
        <v>1407</v>
      </c>
      <c r="G1107" s="5" t="s">
        <v>303</v>
      </c>
      <c r="H1107" s="5" t="s">
        <v>701</v>
      </c>
    </row>
    <row r="1108">
      <c r="A1108" s="4">
        <v>45253.63213547454</v>
      </c>
      <c r="B1108" s="5" t="s">
        <v>604</v>
      </c>
      <c r="C1108" s="5">
        <v>7.065443678E9</v>
      </c>
      <c r="E1108" s="5" t="s">
        <v>15</v>
      </c>
      <c r="G1108" s="5" t="s">
        <v>303</v>
      </c>
      <c r="H1108" s="5" t="s">
        <v>706</v>
      </c>
    </row>
    <row r="1109">
      <c r="A1109" s="4">
        <v>45253.63216603009</v>
      </c>
      <c r="B1109" s="5" t="s">
        <v>1408</v>
      </c>
      <c r="C1109" s="5">
        <v>9.643267196E9</v>
      </c>
      <c r="G1109" s="5" t="s">
        <v>303</v>
      </c>
      <c r="H1109" s="5" t="s">
        <v>701</v>
      </c>
    </row>
    <row r="1110">
      <c r="A1110" s="4">
        <v>45253.63377644676</v>
      </c>
      <c r="B1110" s="5" t="s">
        <v>1409</v>
      </c>
      <c r="C1110" s="5">
        <v>8.467064777E9</v>
      </c>
      <c r="G1110" s="5" t="s">
        <v>303</v>
      </c>
      <c r="H1110" s="5" t="s">
        <v>706</v>
      </c>
    </row>
    <row r="1111">
      <c r="A1111" s="4">
        <v>45253.63477696759</v>
      </c>
      <c r="B1111" s="5" t="s">
        <v>1142</v>
      </c>
      <c r="C1111" s="5">
        <v>8.38408337E9</v>
      </c>
      <c r="E1111" s="5" t="s">
        <v>26</v>
      </c>
      <c r="G1111" s="5" t="s">
        <v>303</v>
      </c>
      <c r="H1111" s="5" t="s">
        <v>706</v>
      </c>
    </row>
    <row r="1112">
      <c r="A1112" s="4">
        <v>45253.63492409722</v>
      </c>
      <c r="B1112" s="5" t="s">
        <v>1410</v>
      </c>
      <c r="C1112" s="5">
        <v>8.860445556E9</v>
      </c>
      <c r="G1112" s="5" t="s">
        <v>303</v>
      </c>
      <c r="H1112" s="5" t="s">
        <v>701</v>
      </c>
    </row>
    <row r="1113">
      <c r="A1113" s="4">
        <v>45253.63509966435</v>
      </c>
      <c r="B1113" s="5" t="s">
        <v>1411</v>
      </c>
      <c r="C1113" s="5">
        <v>9.868171454E9</v>
      </c>
      <c r="G1113" s="5" t="s">
        <v>303</v>
      </c>
      <c r="H1113" s="5" t="s">
        <v>701</v>
      </c>
    </row>
    <row r="1114">
      <c r="A1114" s="4">
        <v>45253.635397743055</v>
      </c>
      <c r="B1114" s="5" t="s">
        <v>1412</v>
      </c>
      <c r="C1114" s="5">
        <v>9.953643453E9</v>
      </c>
      <c r="G1114" s="5" t="s">
        <v>303</v>
      </c>
      <c r="H1114" s="5" t="s">
        <v>701</v>
      </c>
    </row>
    <row r="1115">
      <c r="A1115" s="4">
        <v>45253.635660115746</v>
      </c>
      <c r="B1115" s="5" t="s">
        <v>1413</v>
      </c>
      <c r="C1115" s="5">
        <v>9.891528054E9</v>
      </c>
      <c r="G1115" s="5" t="s">
        <v>303</v>
      </c>
      <c r="H1115" s="5" t="s">
        <v>701</v>
      </c>
    </row>
    <row r="1116">
      <c r="A1116" s="4">
        <v>45253.63825123843</v>
      </c>
      <c r="B1116" s="5" t="s">
        <v>1028</v>
      </c>
      <c r="C1116" s="5">
        <v>8.920719095E9</v>
      </c>
      <c r="G1116" s="5" t="s">
        <v>303</v>
      </c>
      <c r="H1116" s="5" t="s">
        <v>701</v>
      </c>
    </row>
    <row r="1117">
      <c r="A1117" s="4">
        <v>45253.63843979167</v>
      </c>
      <c r="B1117" s="5" t="s">
        <v>1137</v>
      </c>
      <c r="C1117" s="5">
        <v>8.235380448E9</v>
      </c>
      <c r="E1117" s="5" t="s">
        <v>481</v>
      </c>
      <c r="G1117" s="5" t="s">
        <v>303</v>
      </c>
      <c r="H1117" s="5" t="s">
        <v>706</v>
      </c>
    </row>
    <row r="1118">
      <c r="A1118" s="4">
        <v>45253.64044040509</v>
      </c>
      <c r="B1118" s="5" t="s">
        <v>1414</v>
      </c>
      <c r="C1118" s="5">
        <v>9.899778405E9</v>
      </c>
      <c r="E1118" s="5" t="s">
        <v>227</v>
      </c>
      <c r="G1118" s="5" t="s">
        <v>303</v>
      </c>
      <c r="H1118" s="5" t="s">
        <v>706</v>
      </c>
    </row>
    <row r="1119">
      <c r="A1119" s="4">
        <v>45253.64111991898</v>
      </c>
      <c r="B1119" s="5" t="s">
        <v>1415</v>
      </c>
      <c r="C1119" s="5">
        <v>9.045015642E9</v>
      </c>
      <c r="G1119" s="5" t="s">
        <v>303</v>
      </c>
      <c r="H1119" s="5" t="s">
        <v>701</v>
      </c>
    </row>
    <row r="1120">
      <c r="A1120" s="4">
        <v>45253.64437350695</v>
      </c>
      <c r="B1120" s="5" t="s">
        <v>1416</v>
      </c>
      <c r="C1120" s="5">
        <v>9.711790616E9</v>
      </c>
      <c r="E1120" s="5" t="s">
        <v>15</v>
      </c>
      <c r="G1120" s="5" t="s">
        <v>303</v>
      </c>
      <c r="H1120" s="5" t="s">
        <v>706</v>
      </c>
    </row>
    <row r="1121">
      <c r="A1121" s="4">
        <v>45253.64732260417</v>
      </c>
      <c r="B1121" s="5" t="s">
        <v>563</v>
      </c>
      <c r="C1121" s="5">
        <v>9.99998042E9</v>
      </c>
      <c r="E1121" s="5" t="s">
        <v>1417</v>
      </c>
      <c r="G1121" s="5" t="s">
        <v>303</v>
      </c>
      <c r="H1121" s="5" t="s">
        <v>706</v>
      </c>
    </row>
    <row r="1122">
      <c r="A1122" s="4">
        <v>45253.64806795139</v>
      </c>
      <c r="B1122" s="5" t="s">
        <v>121</v>
      </c>
      <c r="C1122" s="5">
        <v>8.287603303E9</v>
      </c>
      <c r="E1122" s="5" t="s">
        <v>15</v>
      </c>
      <c r="G1122" s="5" t="s">
        <v>303</v>
      </c>
      <c r="H1122" s="5" t="s">
        <v>706</v>
      </c>
    </row>
    <row r="1123">
      <c r="A1123" s="4">
        <v>45253.651823576394</v>
      </c>
      <c r="B1123" s="5" t="s">
        <v>490</v>
      </c>
      <c r="C1123" s="5">
        <v>9.163489639E9</v>
      </c>
      <c r="G1123" s="5" t="s">
        <v>303</v>
      </c>
      <c r="H1123" s="5" t="s">
        <v>701</v>
      </c>
    </row>
    <row r="1124">
      <c r="A1124" s="4">
        <v>45253.65293761574</v>
      </c>
      <c r="B1124" s="5" t="s">
        <v>1418</v>
      </c>
      <c r="C1124" s="5">
        <v>9.990055287E9</v>
      </c>
      <c r="G1124" s="5" t="s">
        <v>303</v>
      </c>
      <c r="H1124" s="5" t="s">
        <v>701</v>
      </c>
    </row>
    <row r="1125">
      <c r="A1125" s="4">
        <v>45253.65362221065</v>
      </c>
      <c r="B1125" s="5" t="s">
        <v>1419</v>
      </c>
      <c r="C1125" s="5">
        <v>9.871553478E9</v>
      </c>
      <c r="E1125" s="5" t="s">
        <v>1420</v>
      </c>
      <c r="G1125" s="5" t="s">
        <v>303</v>
      </c>
      <c r="H1125" s="5" t="s">
        <v>706</v>
      </c>
    </row>
    <row r="1126">
      <c r="A1126" s="4">
        <v>45253.65368596065</v>
      </c>
      <c r="B1126" s="5" t="s">
        <v>1421</v>
      </c>
      <c r="C1126" s="5">
        <v>9.21140601E9</v>
      </c>
      <c r="G1126" s="5" t="s">
        <v>289</v>
      </c>
      <c r="H1126" s="5" t="s">
        <v>701</v>
      </c>
    </row>
    <row r="1127">
      <c r="A1127" s="4">
        <v>45253.65664533565</v>
      </c>
      <c r="B1127" s="5" t="s">
        <v>534</v>
      </c>
      <c r="C1127" s="5">
        <v>9.999666857E9</v>
      </c>
      <c r="E1127" s="5" t="s">
        <v>1422</v>
      </c>
      <c r="G1127" s="5" t="s">
        <v>303</v>
      </c>
      <c r="H1127" s="5" t="s">
        <v>706</v>
      </c>
    </row>
    <row r="1128">
      <c r="A1128" s="4">
        <v>45253.656649641205</v>
      </c>
      <c r="B1128" s="5" t="s">
        <v>1423</v>
      </c>
      <c r="C1128" s="5">
        <v>7.011913257E9</v>
      </c>
      <c r="E1128" s="5" t="s">
        <v>1424</v>
      </c>
      <c r="G1128" s="5" t="s">
        <v>303</v>
      </c>
      <c r="H1128" s="5" t="s">
        <v>706</v>
      </c>
    </row>
    <row r="1129">
      <c r="A1129" s="4">
        <v>45253.65705789352</v>
      </c>
      <c r="B1129" s="5" t="s">
        <v>1425</v>
      </c>
      <c r="C1129" s="5">
        <v>9.871308734E9</v>
      </c>
      <c r="G1129" s="5" t="s">
        <v>303</v>
      </c>
      <c r="H1129" s="5" t="s">
        <v>701</v>
      </c>
    </row>
    <row r="1130">
      <c r="A1130" s="4">
        <v>45253.66075572917</v>
      </c>
      <c r="B1130" s="5" t="s">
        <v>1131</v>
      </c>
      <c r="C1130" s="5">
        <v>9.211162027E9</v>
      </c>
      <c r="E1130" s="5" t="s">
        <v>567</v>
      </c>
      <c r="G1130" s="5" t="s">
        <v>303</v>
      </c>
      <c r="H1130" s="5" t="s">
        <v>706</v>
      </c>
    </row>
    <row r="1131">
      <c r="A1131" s="4">
        <v>45253.66460836805</v>
      </c>
      <c r="B1131" s="5" t="s">
        <v>1426</v>
      </c>
      <c r="C1131" s="5">
        <v>9.717263163E9</v>
      </c>
      <c r="G1131" s="5" t="s">
        <v>303</v>
      </c>
      <c r="H1131" s="5" t="s">
        <v>701</v>
      </c>
    </row>
    <row r="1132">
      <c r="A1132" s="4">
        <v>45253.67069439815</v>
      </c>
      <c r="B1132" s="5" t="s">
        <v>161</v>
      </c>
      <c r="C1132" s="5">
        <v>9.818518397E9</v>
      </c>
      <c r="E1132" s="5" t="s">
        <v>15</v>
      </c>
      <c r="G1132" s="5" t="s">
        <v>303</v>
      </c>
      <c r="H1132" s="5" t="s">
        <v>706</v>
      </c>
    </row>
    <row r="1133">
      <c r="A1133" s="4">
        <v>45253.67207806713</v>
      </c>
      <c r="B1133" s="5" t="s">
        <v>491</v>
      </c>
      <c r="C1133" s="5">
        <v>9.315533294E9</v>
      </c>
      <c r="G1133" s="5" t="s">
        <v>303</v>
      </c>
      <c r="H1133" s="5" t="s">
        <v>701</v>
      </c>
    </row>
    <row r="1134">
      <c r="A1134" s="4">
        <v>45253.672730729166</v>
      </c>
      <c r="B1134" s="5" t="s">
        <v>760</v>
      </c>
      <c r="C1134" s="5">
        <v>9.212027966E9</v>
      </c>
      <c r="G1134" s="5" t="s">
        <v>303</v>
      </c>
      <c r="H1134" s="5" t="s">
        <v>701</v>
      </c>
    </row>
    <row r="1135">
      <c r="A1135" s="4">
        <v>45253.67300181713</v>
      </c>
      <c r="B1135" s="5" t="s">
        <v>1427</v>
      </c>
      <c r="C1135" s="5">
        <v>9.811026601E9</v>
      </c>
      <c r="G1135" s="5" t="s">
        <v>303</v>
      </c>
      <c r="H1135" s="5" t="s">
        <v>701</v>
      </c>
    </row>
    <row r="1136">
      <c r="A1136" s="4">
        <v>45253.6739828125</v>
      </c>
      <c r="B1136" s="5" t="s">
        <v>1428</v>
      </c>
      <c r="C1136" s="5">
        <v>9.910397145E9</v>
      </c>
      <c r="E1136" s="5" t="s">
        <v>15</v>
      </c>
      <c r="G1136" s="5" t="s">
        <v>303</v>
      </c>
      <c r="H1136" s="5" t="s">
        <v>706</v>
      </c>
    </row>
    <row r="1137">
      <c r="A1137" s="4">
        <v>45253.67518928241</v>
      </c>
      <c r="B1137" s="5" t="s">
        <v>1429</v>
      </c>
      <c r="C1137" s="5">
        <v>9.868209835E9</v>
      </c>
      <c r="G1137" s="5" t="s">
        <v>303</v>
      </c>
      <c r="H1137" s="5" t="s">
        <v>706</v>
      </c>
    </row>
    <row r="1138">
      <c r="A1138" s="4">
        <v>45253.67613620371</v>
      </c>
      <c r="B1138" s="5" t="s">
        <v>1430</v>
      </c>
      <c r="C1138" s="5">
        <v>9.716909344E9</v>
      </c>
      <c r="G1138" s="5" t="s">
        <v>303</v>
      </c>
      <c r="H1138" s="5" t="s">
        <v>701</v>
      </c>
    </row>
    <row r="1139">
      <c r="A1139" s="4">
        <v>45253.6810735301</v>
      </c>
      <c r="B1139" s="5" t="s">
        <v>1431</v>
      </c>
      <c r="C1139" s="5">
        <v>8.86006E9</v>
      </c>
      <c r="E1139" s="5" t="s">
        <v>1432</v>
      </c>
      <c r="G1139" s="5" t="s">
        <v>303</v>
      </c>
      <c r="H1139" s="5" t="s">
        <v>706</v>
      </c>
    </row>
    <row r="1140">
      <c r="A1140" s="4">
        <v>45253.6816865625</v>
      </c>
      <c r="B1140" s="5" t="s">
        <v>1433</v>
      </c>
      <c r="C1140" s="5">
        <v>9.55528888E9</v>
      </c>
      <c r="G1140" s="5" t="s">
        <v>303</v>
      </c>
      <c r="H1140" s="5" t="s">
        <v>701</v>
      </c>
    </row>
    <row r="1141">
      <c r="A1141" s="4">
        <v>45253.682189189814</v>
      </c>
      <c r="B1141" s="5" t="s">
        <v>1434</v>
      </c>
      <c r="C1141" s="5">
        <v>9.873495572E9</v>
      </c>
      <c r="G1141" s="5" t="s">
        <v>303</v>
      </c>
      <c r="H1141" s="5" t="s">
        <v>701</v>
      </c>
    </row>
    <row r="1142">
      <c r="A1142" s="4">
        <v>45253.68249048611</v>
      </c>
      <c r="B1142" s="5" t="s">
        <v>1435</v>
      </c>
      <c r="C1142" s="5">
        <v>8.010020026E9</v>
      </c>
      <c r="G1142" s="5" t="s">
        <v>303</v>
      </c>
      <c r="H1142" s="5" t="s">
        <v>701</v>
      </c>
    </row>
    <row r="1143">
      <c r="A1143" s="4">
        <v>45253.68276780093</v>
      </c>
      <c r="B1143" s="5" t="s">
        <v>1436</v>
      </c>
      <c r="C1143" s="5">
        <v>8.882755234E9</v>
      </c>
      <c r="G1143" s="5" t="s">
        <v>303</v>
      </c>
      <c r="H1143" s="5" t="s">
        <v>701</v>
      </c>
    </row>
    <row r="1144">
      <c r="A1144" s="4">
        <v>45253.68749517361</v>
      </c>
      <c r="B1144" s="5" t="s">
        <v>1437</v>
      </c>
      <c r="C1144" s="5">
        <v>8.368099274E9</v>
      </c>
      <c r="G1144" s="5" t="s">
        <v>303</v>
      </c>
      <c r="H1144" s="5" t="s">
        <v>701</v>
      </c>
    </row>
    <row r="1145">
      <c r="A1145" s="4">
        <v>45253.69249260417</v>
      </c>
      <c r="B1145" s="5" t="s">
        <v>1018</v>
      </c>
      <c r="C1145" s="5">
        <v>8.8008189E9</v>
      </c>
      <c r="G1145" s="5" t="s">
        <v>303</v>
      </c>
      <c r="H1145" s="5" t="s">
        <v>701</v>
      </c>
    </row>
    <row r="1146">
      <c r="A1146" s="4">
        <v>45253.695048587964</v>
      </c>
      <c r="B1146" s="5" t="s">
        <v>1438</v>
      </c>
      <c r="C1146" s="5">
        <v>8.527143705E9</v>
      </c>
      <c r="E1146" s="5" t="s">
        <v>71</v>
      </c>
      <c r="G1146" s="5" t="s">
        <v>303</v>
      </c>
      <c r="H1146" s="5" t="s">
        <v>706</v>
      </c>
    </row>
    <row r="1147">
      <c r="A1147" s="4">
        <v>45253.697571365745</v>
      </c>
      <c r="B1147" s="5" t="s">
        <v>1439</v>
      </c>
      <c r="C1147" s="5">
        <v>8.076208273E9</v>
      </c>
      <c r="E1147" s="5" t="s">
        <v>764</v>
      </c>
      <c r="G1147" s="5" t="s">
        <v>303</v>
      </c>
      <c r="H1147" s="5" t="s">
        <v>706</v>
      </c>
    </row>
    <row r="1148">
      <c r="A1148" s="4">
        <v>45253.69785011574</v>
      </c>
      <c r="B1148" s="5" t="s">
        <v>1440</v>
      </c>
      <c r="C1148" s="5">
        <v>9.910940756E9</v>
      </c>
      <c r="G1148" s="5" t="s">
        <v>303</v>
      </c>
      <c r="H1148" s="5" t="s">
        <v>701</v>
      </c>
    </row>
    <row r="1149">
      <c r="A1149" s="4">
        <v>45253.6982474074</v>
      </c>
      <c r="B1149" s="5" t="s">
        <v>1441</v>
      </c>
      <c r="C1149" s="5">
        <v>9.999210796E9</v>
      </c>
      <c r="E1149" s="5" t="s">
        <v>71</v>
      </c>
      <c r="G1149" s="5" t="s">
        <v>303</v>
      </c>
      <c r="H1149" s="5" t="s">
        <v>706</v>
      </c>
    </row>
    <row r="1150">
      <c r="A1150" s="4">
        <v>45253.70172483796</v>
      </c>
      <c r="B1150" s="5" t="s">
        <v>1341</v>
      </c>
      <c r="C1150" s="5">
        <v>8.899812772E9</v>
      </c>
      <c r="G1150" s="5" t="s">
        <v>303</v>
      </c>
      <c r="H1150" s="5" t="s">
        <v>701</v>
      </c>
    </row>
    <row r="1151">
      <c r="A1151" s="4">
        <v>45253.70607972222</v>
      </c>
      <c r="B1151" s="5" t="s">
        <v>1442</v>
      </c>
      <c r="C1151" s="5">
        <v>9.891895787E9</v>
      </c>
      <c r="G1151" s="5" t="s">
        <v>303</v>
      </c>
      <c r="H1151" s="5" t="s">
        <v>701</v>
      </c>
    </row>
    <row r="1152">
      <c r="A1152" s="4">
        <v>45253.70672714121</v>
      </c>
      <c r="B1152" s="5" t="s">
        <v>1443</v>
      </c>
      <c r="C1152" s="5">
        <v>9.71622356E9</v>
      </c>
      <c r="G1152" s="5" t="s">
        <v>303</v>
      </c>
      <c r="H1152" s="5" t="s">
        <v>701</v>
      </c>
    </row>
    <row r="1153">
      <c r="A1153" s="4">
        <v>45253.707215104165</v>
      </c>
      <c r="B1153" s="5" t="s">
        <v>1444</v>
      </c>
      <c r="C1153" s="5">
        <v>9.312939315E9</v>
      </c>
      <c r="G1153" s="5" t="s">
        <v>303</v>
      </c>
      <c r="H1153" s="5" t="s">
        <v>701</v>
      </c>
    </row>
    <row r="1154">
      <c r="A1154" s="4">
        <v>45253.7076293287</v>
      </c>
      <c r="B1154" s="5" t="s">
        <v>1445</v>
      </c>
      <c r="C1154" s="5">
        <v>6.268776844E9</v>
      </c>
      <c r="E1154" s="5" t="s">
        <v>15</v>
      </c>
      <c r="G1154" s="5" t="s">
        <v>303</v>
      </c>
      <c r="H1154" s="5" t="s">
        <v>706</v>
      </c>
    </row>
    <row r="1155">
      <c r="A1155" s="4">
        <v>45253.708570891205</v>
      </c>
      <c r="B1155" s="5" t="s">
        <v>1446</v>
      </c>
      <c r="C1155" s="5">
        <v>9.71697718E9</v>
      </c>
      <c r="G1155" s="5" t="s">
        <v>303</v>
      </c>
      <c r="H1155" s="5" t="s">
        <v>701</v>
      </c>
    </row>
    <row r="1156">
      <c r="A1156" s="4">
        <v>45253.71496164352</v>
      </c>
      <c r="B1156" s="5" t="s">
        <v>1447</v>
      </c>
      <c r="C1156" s="5">
        <v>9.899148028E9</v>
      </c>
      <c r="E1156" s="5" t="s">
        <v>227</v>
      </c>
      <c r="G1156" s="5" t="s">
        <v>303</v>
      </c>
      <c r="H1156" s="5" t="s">
        <v>706</v>
      </c>
    </row>
    <row r="1157">
      <c r="A1157" s="4">
        <v>45253.71616428241</v>
      </c>
      <c r="B1157" s="5" t="s">
        <v>578</v>
      </c>
      <c r="C1157" s="5">
        <v>8.802701137E9</v>
      </c>
      <c r="G1157" s="5" t="s">
        <v>303</v>
      </c>
      <c r="H1157" s="5" t="s">
        <v>701</v>
      </c>
    </row>
    <row r="1158">
      <c r="A1158" s="4">
        <v>45253.717630810184</v>
      </c>
      <c r="B1158" s="5" t="s">
        <v>1448</v>
      </c>
      <c r="C1158" s="5">
        <v>9.968276693E9</v>
      </c>
      <c r="E1158" s="5" t="s">
        <v>15</v>
      </c>
      <c r="G1158" s="5" t="s">
        <v>303</v>
      </c>
      <c r="H1158" s="5" t="s">
        <v>706</v>
      </c>
    </row>
    <row r="1159">
      <c r="A1159" s="4">
        <v>45253.71902074074</v>
      </c>
      <c r="B1159" s="5" t="s">
        <v>1131</v>
      </c>
      <c r="C1159" s="5">
        <v>8.287873362E9</v>
      </c>
      <c r="E1159" s="5" t="s">
        <v>15</v>
      </c>
      <c r="G1159" s="5" t="s">
        <v>303</v>
      </c>
      <c r="H1159" s="5" t="s">
        <v>706</v>
      </c>
    </row>
    <row r="1160">
      <c r="A1160" s="4">
        <v>45253.72048872685</v>
      </c>
      <c r="B1160" s="5" t="s">
        <v>1449</v>
      </c>
      <c r="C1160" s="5">
        <v>8.368885439E9</v>
      </c>
      <c r="E1160" s="5" t="s">
        <v>1450</v>
      </c>
      <c r="G1160" s="5" t="s">
        <v>303</v>
      </c>
      <c r="H1160" s="5" t="s">
        <v>706</v>
      </c>
    </row>
    <row r="1161">
      <c r="A1161" s="4">
        <v>45253.724258483795</v>
      </c>
      <c r="B1161" s="5" t="s">
        <v>1451</v>
      </c>
      <c r="C1161" s="5">
        <v>7.865438945E9</v>
      </c>
      <c r="G1161" s="5" t="s">
        <v>303</v>
      </c>
      <c r="H1161" s="5" t="s">
        <v>701</v>
      </c>
    </row>
    <row r="1162">
      <c r="A1162" s="4">
        <v>45253.72593605324</v>
      </c>
      <c r="B1162" s="5" t="s">
        <v>1452</v>
      </c>
      <c r="C1162" s="5">
        <v>8.86090329E9</v>
      </c>
      <c r="E1162" s="5" t="s">
        <v>71</v>
      </c>
      <c r="G1162" s="5" t="s">
        <v>303</v>
      </c>
      <c r="H1162" s="5" t="s">
        <v>706</v>
      </c>
    </row>
    <row r="1163">
      <c r="A1163" s="4">
        <v>45253.72628092593</v>
      </c>
      <c r="B1163" s="5" t="s">
        <v>1453</v>
      </c>
      <c r="C1163" s="5">
        <v>8.766230092E9</v>
      </c>
      <c r="G1163" s="5" t="s">
        <v>303</v>
      </c>
      <c r="H1163" s="5" t="s">
        <v>701</v>
      </c>
    </row>
    <row r="1164">
      <c r="A1164" s="4">
        <v>45253.729846284725</v>
      </c>
      <c r="B1164" s="5" t="s">
        <v>1454</v>
      </c>
      <c r="C1164" s="5">
        <v>8.81049345E9</v>
      </c>
      <c r="E1164" s="5" t="s">
        <v>79</v>
      </c>
      <c r="G1164" s="5" t="s">
        <v>303</v>
      </c>
      <c r="H1164" s="5" t="s">
        <v>706</v>
      </c>
    </row>
    <row r="1165">
      <c r="A1165" s="4">
        <v>45253.730125381946</v>
      </c>
      <c r="B1165" s="5" t="s">
        <v>1455</v>
      </c>
      <c r="C1165" s="5">
        <v>7.303909823E9</v>
      </c>
      <c r="G1165" s="5" t="s">
        <v>303</v>
      </c>
      <c r="H1165" s="5" t="s">
        <v>706</v>
      </c>
    </row>
    <row r="1166">
      <c r="A1166" s="4">
        <v>45253.73040583333</v>
      </c>
      <c r="B1166" s="5" t="s">
        <v>1456</v>
      </c>
      <c r="C1166" s="5">
        <v>9.910279845E9</v>
      </c>
      <c r="E1166" s="5" t="s">
        <v>1407</v>
      </c>
      <c r="G1166" s="5" t="s">
        <v>303</v>
      </c>
      <c r="H1166" s="5" t="s">
        <v>706</v>
      </c>
    </row>
    <row r="1167">
      <c r="A1167" s="4">
        <v>45253.73516128473</v>
      </c>
      <c r="B1167" s="5" t="s">
        <v>1457</v>
      </c>
      <c r="C1167" s="5">
        <v>9.999705679E9</v>
      </c>
      <c r="E1167" s="5" t="s">
        <v>15</v>
      </c>
      <c r="G1167" s="5" t="s">
        <v>303</v>
      </c>
      <c r="H1167" s="5" t="s">
        <v>706</v>
      </c>
    </row>
    <row r="1168">
      <c r="A1168" s="4">
        <v>45253.744683888886</v>
      </c>
      <c r="B1168" s="5" t="s">
        <v>1458</v>
      </c>
      <c r="C1168" s="5">
        <v>9.953439074E9</v>
      </c>
      <c r="G1168" s="5" t="s">
        <v>303</v>
      </c>
      <c r="H1168" s="5" t="s">
        <v>701</v>
      </c>
    </row>
    <row r="1169">
      <c r="A1169" s="4">
        <v>45253.753512337964</v>
      </c>
      <c r="B1169" s="5" t="s">
        <v>1459</v>
      </c>
      <c r="C1169" s="5">
        <v>9.654263111E9</v>
      </c>
      <c r="G1169" s="5" t="s">
        <v>303</v>
      </c>
      <c r="H1169" s="5" t="s">
        <v>701</v>
      </c>
    </row>
    <row r="1170">
      <c r="A1170" s="4">
        <v>45253.75671484954</v>
      </c>
      <c r="B1170" s="5" t="s">
        <v>1460</v>
      </c>
      <c r="C1170" s="5">
        <v>9.810060342E9</v>
      </c>
      <c r="G1170" s="5" t="s">
        <v>303</v>
      </c>
      <c r="H1170" s="5" t="s">
        <v>706</v>
      </c>
    </row>
    <row r="1171">
      <c r="A1171" s="4">
        <v>45253.75823900463</v>
      </c>
      <c r="B1171" s="5" t="s">
        <v>1461</v>
      </c>
      <c r="C1171" s="5">
        <v>9.711915674E9</v>
      </c>
      <c r="G1171" s="5" t="s">
        <v>303</v>
      </c>
      <c r="H1171" s="5" t="s">
        <v>701</v>
      </c>
    </row>
    <row r="1172">
      <c r="A1172" s="4">
        <v>45253.761114050925</v>
      </c>
      <c r="B1172" s="5" t="s">
        <v>1462</v>
      </c>
      <c r="C1172" s="5">
        <v>9.911283363E9</v>
      </c>
      <c r="E1172" s="5" t="s">
        <v>608</v>
      </c>
      <c r="G1172" s="5" t="s">
        <v>303</v>
      </c>
      <c r="H1172" s="5" t="s">
        <v>706</v>
      </c>
    </row>
    <row r="1173">
      <c r="A1173" s="4">
        <v>45253.76957928241</v>
      </c>
      <c r="B1173" s="5" t="s">
        <v>1463</v>
      </c>
      <c r="C1173" s="5">
        <v>9.330474187E9</v>
      </c>
      <c r="G1173" s="5" t="s">
        <v>303</v>
      </c>
      <c r="H1173" s="5" t="s">
        <v>701</v>
      </c>
    </row>
    <row r="1174">
      <c r="A1174" s="4">
        <v>45253.78101229167</v>
      </c>
      <c r="B1174" s="5" t="s">
        <v>1464</v>
      </c>
      <c r="C1174" s="5">
        <v>9.250514939E9</v>
      </c>
      <c r="G1174" s="5" t="s">
        <v>303</v>
      </c>
      <c r="H1174" s="5" t="s">
        <v>706</v>
      </c>
    </row>
    <row r="1175">
      <c r="A1175" s="4">
        <v>45253.78393704861</v>
      </c>
      <c r="B1175" s="5" t="s">
        <v>1465</v>
      </c>
      <c r="C1175" s="5">
        <v>8.447181518E9</v>
      </c>
      <c r="E1175" s="5" t="s">
        <v>13</v>
      </c>
      <c r="G1175" s="5" t="s">
        <v>303</v>
      </c>
      <c r="H1175" s="5" t="s">
        <v>706</v>
      </c>
    </row>
    <row r="1176">
      <c r="A1176" s="4">
        <v>45253.78542829861</v>
      </c>
      <c r="B1176" s="5" t="s">
        <v>1466</v>
      </c>
      <c r="C1176" s="5">
        <v>9.953333888E9</v>
      </c>
      <c r="E1176" s="5" t="s">
        <v>227</v>
      </c>
      <c r="G1176" s="5" t="s">
        <v>303</v>
      </c>
      <c r="H1176" s="5" t="s">
        <v>706</v>
      </c>
    </row>
    <row r="1177">
      <c r="A1177" s="4">
        <v>45253.787566493054</v>
      </c>
      <c r="B1177" s="5" t="s">
        <v>1467</v>
      </c>
      <c r="C1177" s="5">
        <v>9.891213715E9</v>
      </c>
      <c r="E1177" s="5" t="s">
        <v>227</v>
      </c>
      <c r="G1177" s="5" t="s">
        <v>303</v>
      </c>
      <c r="H1177" s="5" t="s">
        <v>706</v>
      </c>
    </row>
    <row r="1178">
      <c r="A1178" s="4">
        <v>45253.78868952546</v>
      </c>
      <c r="B1178" s="5" t="s">
        <v>1468</v>
      </c>
      <c r="C1178" s="5">
        <v>9.990461394E9</v>
      </c>
      <c r="G1178" s="5" t="s">
        <v>303</v>
      </c>
      <c r="H1178" s="5" t="s">
        <v>701</v>
      </c>
    </row>
    <row r="1179">
      <c r="A1179" s="4">
        <v>45253.814275462966</v>
      </c>
      <c r="B1179" s="5" t="s">
        <v>1304</v>
      </c>
      <c r="C1179" s="5">
        <v>8.700163219E9</v>
      </c>
      <c r="G1179" s="5" t="s">
        <v>303</v>
      </c>
      <c r="H1179" s="5" t="s">
        <v>701</v>
      </c>
    </row>
    <row r="1180">
      <c r="A1180" s="4">
        <v>45254.5055715162</v>
      </c>
      <c r="B1180" s="5" t="s">
        <v>1469</v>
      </c>
      <c r="C1180" s="5">
        <v>9.729700362E9</v>
      </c>
      <c r="E1180" s="5" t="s">
        <v>13</v>
      </c>
      <c r="G1180" s="5" t="s">
        <v>303</v>
      </c>
      <c r="H1180" s="5" t="s">
        <v>706</v>
      </c>
    </row>
    <row r="1181">
      <c r="A1181" s="4">
        <v>45254.506235023146</v>
      </c>
      <c r="B1181" s="5" t="s">
        <v>1470</v>
      </c>
      <c r="C1181" s="5">
        <v>9.990624396E9</v>
      </c>
      <c r="G1181" s="5" t="s">
        <v>303</v>
      </c>
      <c r="H1181" s="5" t="s">
        <v>701</v>
      </c>
    </row>
    <row r="1182">
      <c r="A1182" s="4">
        <v>45254.50654814814</v>
      </c>
      <c r="B1182" s="5" t="s">
        <v>331</v>
      </c>
      <c r="C1182" s="5">
        <v>9.718664805E9</v>
      </c>
      <c r="G1182" s="5" t="s">
        <v>303</v>
      </c>
      <c r="H1182" s="5" t="s">
        <v>701</v>
      </c>
    </row>
    <row r="1183">
      <c r="A1183" s="4">
        <v>45254.507346134254</v>
      </c>
      <c r="B1183" s="5" t="s">
        <v>1471</v>
      </c>
      <c r="C1183" s="5">
        <v>6.392239885E9</v>
      </c>
      <c r="G1183" s="5" t="s">
        <v>303</v>
      </c>
      <c r="H1183" s="5" t="s">
        <v>701</v>
      </c>
    </row>
    <row r="1184">
      <c r="A1184" s="4">
        <v>45254.50841135417</v>
      </c>
      <c r="B1184" s="5" t="s">
        <v>1472</v>
      </c>
      <c r="C1184" s="5">
        <v>9.891798934E9</v>
      </c>
      <c r="E1184" s="5" t="s">
        <v>13</v>
      </c>
      <c r="G1184" s="5" t="s">
        <v>303</v>
      </c>
      <c r="H1184" s="5" t="s">
        <v>706</v>
      </c>
    </row>
    <row r="1185">
      <c r="A1185" s="4">
        <v>45254.508698923615</v>
      </c>
      <c r="B1185" s="5" t="s">
        <v>1142</v>
      </c>
      <c r="C1185" s="5">
        <v>9.971752785E9</v>
      </c>
      <c r="E1185" s="5" t="s">
        <v>79</v>
      </c>
      <c r="G1185" s="5" t="s">
        <v>303</v>
      </c>
      <c r="H1185" s="5" t="s">
        <v>706</v>
      </c>
    </row>
    <row r="1186">
      <c r="A1186" s="4">
        <v>45254.50978460648</v>
      </c>
      <c r="B1186" s="5" t="s">
        <v>1473</v>
      </c>
      <c r="C1186" s="5">
        <v>9.82141704E9</v>
      </c>
      <c r="G1186" s="5" t="s">
        <v>303</v>
      </c>
      <c r="H1186" s="5" t="s">
        <v>701</v>
      </c>
    </row>
    <row r="1187">
      <c r="A1187" s="4">
        <v>45254.51294472222</v>
      </c>
      <c r="B1187" s="5" t="s">
        <v>1474</v>
      </c>
      <c r="C1187" s="5">
        <v>7.309869999E9</v>
      </c>
      <c r="G1187" s="5" t="s">
        <v>303</v>
      </c>
      <c r="H1187" s="5" t="s">
        <v>701</v>
      </c>
    </row>
    <row r="1188">
      <c r="A1188" s="4">
        <v>45254.51307739584</v>
      </c>
      <c r="B1188" s="5" t="s">
        <v>1475</v>
      </c>
      <c r="C1188" s="5">
        <v>8.802267064E9</v>
      </c>
      <c r="G1188" s="5" t="s">
        <v>303</v>
      </c>
      <c r="H1188" s="5" t="s">
        <v>701</v>
      </c>
    </row>
    <row r="1189">
      <c r="A1189" s="4">
        <v>45254.513269918985</v>
      </c>
      <c r="B1189" s="5" t="s">
        <v>1476</v>
      </c>
      <c r="C1189" s="5">
        <v>9.91183818E9</v>
      </c>
      <c r="G1189" s="5" t="s">
        <v>303</v>
      </c>
      <c r="H1189" s="5" t="s">
        <v>701</v>
      </c>
    </row>
    <row r="1190">
      <c r="A1190" s="4">
        <v>45254.51389048611</v>
      </c>
      <c r="B1190" s="5" t="s">
        <v>1477</v>
      </c>
      <c r="C1190" s="5">
        <v>9.289289534E9</v>
      </c>
      <c r="G1190" s="5" t="s">
        <v>303</v>
      </c>
      <c r="H1190" s="5" t="s">
        <v>701</v>
      </c>
    </row>
    <row r="1191">
      <c r="A1191" s="4">
        <v>45254.51619381944</v>
      </c>
      <c r="B1191" s="5" t="s">
        <v>1478</v>
      </c>
      <c r="C1191" s="5">
        <v>6.307415417E9</v>
      </c>
      <c r="G1191" s="5" t="s">
        <v>303</v>
      </c>
      <c r="H1191" s="5" t="s">
        <v>701</v>
      </c>
    </row>
    <row r="1192">
      <c r="A1192" s="4">
        <v>45254.51698672454</v>
      </c>
      <c r="B1192" s="5" t="s">
        <v>1479</v>
      </c>
      <c r="C1192" s="5">
        <v>9.319783433E9</v>
      </c>
      <c r="G1192" s="5" t="s">
        <v>303</v>
      </c>
      <c r="H1192" s="5" t="s">
        <v>701</v>
      </c>
    </row>
    <row r="1193">
      <c r="A1193" s="4">
        <v>45254.51727336805</v>
      </c>
      <c r="B1193" s="5" t="s">
        <v>1480</v>
      </c>
      <c r="C1193" s="5">
        <v>8.59566401E9</v>
      </c>
      <c r="G1193" s="5" t="s">
        <v>303</v>
      </c>
      <c r="H1193" s="5" t="s">
        <v>701</v>
      </c>
    </row>
    <row r="1194">
      <c r="A1194" s="4">
        <v>45254.51747158565</v>
      </c>
      <c r="B1194" s="5" t="s">
        <v>1481</v>
      </c>
      <c r="C1194" s="5">
        <v>9.871918755E9</v>
      </c>
      <c r="G1194" s="5" t="s">
        <v>303</v>
      </c>
      <c r="H1194" s="5" t="s">
        <v>701</v>
      </c>
    </row>
    <row r="1195">
      <c r="A1195" s="4">
        <v>45254.51792085648</v>
      </c>
      <c r="B1195" s="5" t="s">
        <v>1482</v>
      </c>
      <c r="C1195" s="5">
        <v>7.21780303E9</v>
      </c>
      <c r="G1195" s="5" t="s">
        <v>303</v>
      </c>
      <c r="H1195" s="5" t="s">
        <v>701</v>
      </c>
    </row>
    <row r="1196">
      <c r="A1196" s="4">
        <v>45254.518316064816</v>
      </c>
      <c r="B1196" s="5" t="s">
        <v>1483</v>
      </c>
      <c r="C1196" s="5">
        <v>9.415420095E9</v>
      </c>
      <c r="G1196" s="5" t="s">
        <v>303</v>
      </c>
      <c r="H1196" s="5" t="s">
        <v>701</v>
      </c>
    </row>
    <row r="1197">
      <c r="A1197" s="4">
        <v>45254.51831753472</v>
      </c>
      <c r="B1197" s="5" t="s">
        <v>1427</v>
      </c>
      <c r="C1197" s="5">
        <v>8.800823533E9</v>
      </c>
      <c r="E1197" s="5" t="s">
        <v>15</v>
      </c>
      <c r="G1197" s="5" t="s">
        <v>303</v>
      </c>
      <c r="H1197" s="5" t="s">
        <v>706</v>
      </c>
    </row>
    <row r="1198">
      <c r="A1198" s="4">
        <v>45254.518719050924</v>
      </c>
      <c r="B1198" s="5" t="s">
        <v>1484</v>
      </c>
      <c r="C1198" s="5">
        <v>9.999243234E9</v>
      </c>
      <c r="G1198" s="5" t="s">
        <v>303</v>
      </c>
      <c r="H1198" s="5" t="s">
        <v>701</v>
      </c>
    </row>
    <row r="1199">
      <c r="A1199" s="4">
        <v>45254.518758680555</v>
      </c>
      <c r="B1199" s="5" t="s">
        <v>1485</v>
      </c>
      <c r="C1199" s="5">
        <v>9.999497806E9</v>
      </c>
      <c r="G1199" s="5" t="s">
        <v>303</v>
      </c>
      <c r="H1199" s="5" t="s">
        <v>701</v>
      </c>
    </row>
    <row r="1200">
      <c r="A1200" s="4">
        <v>45254.51903913195</v>
      </c>
      <c r="B1200" s="5" t="s">
        <v>1486</v>
      </c>
      <c r="C1200" s="5">
        <v>7.053705E9</v>
      </c>
      <c r="G1200" s="5" t="s">
        <v>303</v>
      </c>
      <c r="H1200" s="5" t="s">
        <v>701</v>
      </c>
    </row>
    <row r="1201">
      <c r="A1201" s="4">
        <v>45254.519055763885</v>
      </c>
      <c r="B1201" s="5" t="s">
        <v>1487</v>
      </c>
      <c r="C1201" s="5">
        <v>8.750561049E9</v>
      </c>
      <c r="G1201" s="5" t="s">
        <v>303</v>
      </c>
      <c r="H1201" s="5" t="s">
        <v>701</v>
      </c>
    </row>
    <row r="1202">
      <c r="A1202" s="4">
        <v>45254.51952297454</v>
      </c>
      <c r="B1202" s="5" t="s">
        <v>1488</v>
      </c>
      <c r="C1202" s="5">
        <v>9.873803496E9</v>
      </c>
      <c r="E1202" s="5" t="s">
        <v>13</v>
      </c>
      <c r="G1202" s="5" t="s">
        <v>303</v>
      </c>
      <c r="H1202" s="5" t="s">
        <v>706</v>
      </c>
    </row>
    <row r="1203">
      <c r="A1203" s="4">
        <v>45254.51955863426</v>
      </c>
      <c r="B1203" s="5" t="s">
        <v>1489</v>
      </c>
      <c r="C1203" s="5">
        <v>9.927077337E9</v>
      </c>
      <c r="G1203" s="5" t="s">
        <v>303</v>
      </c>
      <c r="H1203" s="5" t="s">
        <v>701</v>
      </c>
    </row>
    <row r="1204">
      <c r="A1204" s="4">
        <v>45254.52027842593</v>
      </c>
      <c r="B1204" s="5" t="s">
        <v>1446</v>
      </c>
      <c r="C1204" s="5">
        <v>9.643729767E9</v>
      </c>
      <c r="G1204" s="5" t="s">
        <v>303</v>
      </c>
      <c r="H1204" s="5" t="s">
        <v>701</v>
      </c>
    </row>
    <row r="1205">
      <c r="A1205" s="4">
        <v>45254.520288125</v>
      </c>
      <c r="B1205" s="5" t="s">
        <v>1490</v>
      </c>
      <c r="C1205" s="5">
        <v>9.853461225E9</v>
      </c>
      <c r="G1205" s="5" t="s">
        <v>303</v>
      </c>
      <c r="H1205" s="5" t="s">
        <v>701</v>
      </c>
    </row>
    <row r="1206">
      <c r="A1206" s="4">
        <v>45254.520449143514</v>
      </c>
      <c r="B1206" s="5" t="s">
        <v>649</v>
      </c>
      <c r="C1206" s="5">
        <v>9.268628111E9</v>
      </c>
      <c r="E1206" s="5" t="s">
        <v>227</v>
      </c>
      <c r="G1206" s="5" t="s">
        <v>303</v>
      </c>
      <c r="H1206" s="5" t="s">
        <v>706</v>
      </c>
    </row>
    <row r="1207">
      <c r="A1207" s="4">
        <v>45254.520535081014</v>
      </c>
      <c r="B1207" s="5" t="s">
        <v>1491</v>
      </c>
      <c r="C1207" s="5">
        <v>7.291041711E9</v>
      </c>
      <c r="G1207" s="5" t="s">
        <v>303</v>
      </c>
      <c r="H1207" s="5" t="s">
        <v>701</v>
      </c>
    </row>
    <row r="1208">
      <c r="A1208" s="4">
        <v>45254.521945995366</v>
      </c>
      <c r="B1208" s="5" t="s">
        <v>1492</v>
      </c>
      <c r="C1208" s="5">
        <v>9.023590232E9</v>
      </c>
      <c r="G1208" s="5" t="s">
        <v>303</v>
      </c>
      <c r="H1208" s="5" t="s">
        <v>701</v>
      </c>
    </row>
    <row r="1209">
      <c r="A1209" s="4">
        <v>45254.52221791667</v>
      </c>
      <c r="B1209" s="5" t="s">
        <v>1493</v>
      </c>
      <c r="C1209" s="5">
        <v>8.872600132E9</v>
      </c>
      <c r="G1209" s="5" t="s">
        <v>303</v>
      </c>
      <c r="H1209" s="5" t="s">
        <v>701</v>
      </c>
    </row>
    <row r="1210">
      <c r="A1210" s="4">
        <v>45254.523909675925</v>
      </c>
      <c r="B1210" s="5" t="s">
        <v>1494</v>
      </c>
      <c r="C1210" s="5">
        <v>9.315846772E9</v>
      </c>
      <c r="G1210" s="5" t="s">
        <v>303</v>
      </c>
      <c r="H1210" s="5" t="s">
        <v>701</v>
      </c>
    </row>
    <row r="1211">
      <c r="A1211" s="4">
        <v>45254.52423894676</v>
      </c>
      <c r="B1211" s="5" t="s">
        <v>1495</v>
      </c>
      <c r="C1211" s="5">
        <v>8.586832051E9</v>
      </c>
      <c r="G1211" s="5" t="s">
        <v>303</v>
      </c>
      <c r="H1211" s="5" t="s">
        <v>701</v>
      </c>
    </row>
    <row r="1212">
      <c r="A1212" s="4">
        <v>45254.52443967592</v>
      </c>
      <c r="B1212" s="5" t="s">
        <v>1496</v>
      </c>
      <c r="C1212" s="5">
        <v>9.71722661E9</v>
      </c>
      <c r="E1212" s="5" t="s">
        <v>227</v>
      </c>
      <c r="G1212" s="5" t="s">
        <v>303</v>
      </c>
      <c r="H1212" s="5" t="s">
        <v>706</v>
      </c>
    </row>
    <row r="1213">
      <c r="A1213" s="4">
        <v>45254.52735300926</v>
      </c>
      <c r="B1213" s="5" t="s">
        <v>1497</v>
      </c>
      <c r="C1213" s="5">
        <v>9.868615196E9</v>
      </c>
      <c r="G1213" s="5" t="s">
        <v>303</v>
      </c>
      <c r="H1213" s="5" t="s">
        <v>701</v>
      </c>
    </row>
    <row r="1214">
      <c r="A1214" s="4">
        <v>45254.527529803236</v>
      </c>
      <c r="B1214" s="5" t="s">
        <v>49</v>
      </c>
      <c r="C1214" s="5">
        <v>7.497045524E9</v>
      </c>
      <c r="E1214" s="5" t="s">
        <v>227</v>
      </c>
      <c r="G1214" s="5" t="s">
        <v>303</v>
      </c>
      <c r="H1214" s="5" t="s">
        <v>706</v>
      </c>
    </row>
    <row r="1215">
      <c r="A1215" s="4">
        <v>45254.5277269213</v>
      </c>
      <c r="B1215" s="5" t="s">
        <v>1498</v>
      </c>
      <c r="C1215" s="5">
        <v>9.899776667E9</v>
      </c>
      <c r="E1215" s="5" t="s">
        <v>1499</v>
      </c>
      <c r="G1215" s="5" t="s">
        <v>303</v>
      </c>
      <c r="H1215" s="5" t="s">
        <v>701</v>
      </c>
    </row>
    <row r="1216">
      <c r="A1216" s="4">
        <v>45254.52780329861</v>
      </c>
      <c r="B1216" s="5" t="s">
        <v>1500</v>
      </c>
      <c r="C1216" s="5">
        <v>9.711131847E9</v>
      </c>
      <c r="G1216" s="5" t="s">
        <v>303</v>
      </c>
      <c r="H1216" s="5" t="s">
        <v>701</v>
      </c>
    </row>
    <row r="1217">
      <c r="A1217" s="4">
        <v>45254.52789023148</v>
      </c>
      <c r="B1217" s="5" t="s">
        <v>1501</v>
      </c>
      <c r="C1217" s="5">
        <v>7.404502502E9</v>
      </c>
      <c r="E1217" s="5" t="s">
        <v>227</v>
      </c>
      <c r="G1217" s="5" t="s">
        <v>303</v>
      </c>
      <c r="H1217" s="5" t="s">
        <v>706</v>
      </c>
    </row>
    <row r="1218">
      <c r="A1218" s="4">
        <v>45254.528186180556</v>
      </c>
      <c r="B1218" s="5" t="s">
        <v>1502</v>
      </c>
      <c r="C1218" s="5">
        <v>7.503402724E9</v>
      </c>
      <c r="G1218" s="5" t="s">
        <v>303</v>
      </c>
      <c r="H1218" s="5" t="s">
        <v>701</v>
      </c>
    </row>
    <row r="1219">
      <c r="A1219" s="4">
        <v>45254.528821064814</v>
      </c>
      <c r="B1219" s="5" t="s">
        <v>1503</v>
      </c>
      <c r="C1219" s="5">
        <v>8.447102059E9</v>
      </c>
      <c r="G1219" s="5" t="s">
        <v>303</v>
      </c>
      <c r="H1219" s="5" t="s">
        <v>701</v>
      </c>
    </row>
    <row r="1220">
      <c r="A1220" s="4">
        <v>45254.52966539352</v>
      </c>
      <c r="B1220" s="5" t="s">
        <v>1029</v>
      </c>
      <c r="C1220" s="5">
        <v>9.871833443E9</v>
      </c>
      <c r="G1220" s="5" t="s">
        <v>303</v>
      </c>
      <c r="H1220" s="5" t="s">
        <v>706</v>
      </c>
    </row>
    <row r="1221">
      <c r="A1221" s="4">
        <v>45254.53000702546</v>
      </c>
      <c r="B1221" s="5" t="s">
        <v>1504</v>
      </c>
      <c r="C1221" s="5">
        <v>9.999271988E9</v>
      </c>
      <c r="G1221" s="5" t="s">
        <v>303</v>
      </c>
      <c r="H1221" s="5" t="s">
        <v>706</v>
      </c>
    </row>
    <row r="1222">
      <c r="A1222" s="4">
        <v>45254.53055445602</v>
      </c>
      <c r="B1222" s="5" t="s">
        <v>649</v>
      </c>
      <c r="C1222" s="5">
        <v>9.818201165E9</v>
      </c>
      <c r="E1222" s="5" t="s">
        <v>71</v>
      </c>
      <c r="G1222" s="5" t="s">
        <v>303</v>
      </c>
      <c r="H1222" s="5" t="s">
        <v>706</v>
      </c>
    </row>
    <row r="1223">
      <c r="A1223" s="4">
        <v>45254.533563784724</v>
      </c>
      <c r="B1223" s="5" t="s">
        <v>1505</v>
      </c>
      <c r="C1223" s="5">
        <v>9.045316587E9</v>
      </c>
      <c r="G1223" s="5" t="s">
        <v>303</v>
      </c>
      <c r="H1223" s="5" t="s">
        <v>701</v>
      </c>
    </row>
    <row r="1224">
      <c r="A1224" s="4">
        <v>45254.537199722225</v>
      </c>
      <c r="B1224" s="5" t="s">
        <v>371</v>
      </c>
      <c r="C1224" s="5">
        <v>9.818832206E9</v>
      </c>
      <c r="E1224" s="5" t="s">
        <v>26</v>
      </c>
      <c r="G1224" s="5" t="s">
        <v>303</v>
      </c>
      <c r="H1224" s="5" t="s">
        <v>701</v>
      </c>
    </row>
    <row r="1225">
      <c r="A1225" s="4">
        <v>45254.5372743287</v>
      </c>
      <c r="B1225" s="5" t="s">
        <v>1506</v>
      </c>
      <c r="C1225" s="5">
        <v>8.527092447E9</v>
      </c>
      <c r="E1225" s="5" t="s">
        <v>227</v>
      </c>
      <c r="G1225" s="5" t="s">
        <v>303</v>
      </c>
      <c r="H1225" s="5" t="s">
        <v>706</v>
      </c>
    </row>
    <row r="1226">
      <c r="A1226" s="4">
        <v>45254.53780335648</v>
      </c>
      <c r="B1226" s="5" t="s">
        <v>1507</v>
      </c>
      <c r="C1226" s="5">
        <v>9.56085265E9</v>
      </c>
      <c r="G1226" s="5" t="s">
        <v>303</v>
      </c>
      <c r="H1226" s="5" t="s">
        <v>701</v>
      </c>
    </row>
    <row r="1227">
      <c r="A1227" s="4">
        <v>45254.53990560185</v>
      </c>
      <c r="B1227" s="5" t="s">
        <v>1508</v>
      </c>
      <c r="C1227" s="5">
        <v>7.500839839E9</v>
      </c>
      <c r="E1227" s="5" t="s">
        <v>891</v>
      </c>
      <c r="G1227" s="5" t="s">
        <v>303</v>
      </c>
      <c r="H1227" s="5" t="s">
        <v>706</v>
      </c>
    </row>
    <row r="1228">
      <c r="A1228" s="4">
        <v>45254.540865717594</v>
      </c>
      <c r="B1228" s="5" t="s">
        <v>1509</v>
      </c>
      <c r="C1228" s="5">
        <v>9.211406027E9</v>
      </c>
      <c r="E1228" s="5" t="s">
        <v>227</v>
      </c>
      <c r="G1228" s="5" t="s">
        <v>303</v>
      </c>
      <c r="H1228" s="5" t="s">
        <v>706</v>
      </c>
    </row>
    <row r="1229">
      <c r="A1229" s="4">
        <v>45254.541117175926</v>
      </c>
      <c r="B1229" s="5" t="s">
        <v>1510</v>
      </c>
      <c r="C1229" s="5">
        <v>9.358401555E9</v>
      </c>
      <c r="E1229" s="5" t="s">
        <v>1511</v>
      </c>
      <c r="G1229" s="5" t="s">
        <v>303</v>
      </c>
      <c r="H1229" s="5" t="s">
        <v>701</v>
      </c>
    </row>
    <row r="1230">
      <c r="A1230" s="4">
        <v>45254.54121848379</v>
      </c>
      <c r="B1230" s="5" t="s">
        <v>889</v>
      </c>
      <c r="C1230" s="5">
        <v>9.810856174E9</v>
      </c>
      <c r="E1230" s="5" t="s">
        <v>227</v>
      </c>
      <c r="G1230" s="5" t="s">
        <v>303</v>
      </c>
      <c r="H1230" s="5" t="s">
        <v>706</v>
      </c>
    </row>
    <row r="1231">
      <c r="A1231" s="4">
        <v>45254.544391874995</v>
      </c>
      <c r="B1231" s="5" t="s">
        <v>1512</v>
      </c>
      <c r="C1231" s="5">
        <v>9.31099948E9</v>
      </c>
      <c r="G1231" s="5" t="s">
        <v>303</v>
      </c>
      <c r="H1231" s="5" t="s">
        <v>701</v>
      </c>
    </row>
    <row r="1232">
      <c r="A1232" s="4">
        <v>45254.54483375</v>
      </c>
      <c r="B1232" s="5" t="s">
        <v>1513</v>
      </c>
      <c r="C1232" s="5">
        <v>9.958512091E9</v>
      </c>
      <c r="G1232" s="5" t="s">
        <v>303</v>
      </c>
      <c r="H1232" s="5" t="s">
        <v>701</v>
      </c>
    </row>
    <row r="1233">
      <c r="A1233" s="4">
        <v>45254.54491420139</v>
      </c>
      <c r="B1233" s="5" t="s">
        <v>1514</v>
      </c>
      <c r="C1233" s="5">
        <v>9.990210504E9</v>
      </c>
      <c r="E1233" s="5" t="s">
        <v>227</v>
      </c>
      <c r="G1233" s="5" t="s">
        <v>303</v>
      </c>
      <c r="H1233" s="5" t="s">
        <v>706</v>
      </c>
    </row>
    <row r="1234">
      <c r="A1234" s="4">
        <v>45254.54533467593</v>
      </c>
      <c r="B1234" s="5" t="s">
        <v>1515</v>
      </c>
      <c r="C1234" s="5">
        <v>9.810034312E9</v>
      </c>
      <c r="G1234" s="5" t="s">
        <v>303</v>
      </c>
      <c r="H1234" s="5" t="s">
        <v>701</v>
      </c>
    </row>
    <row r="1235">
      <c r="A1235" s="4">
        <v>45254.54667418981</v>
      </c>
      <c r="B1235" s="5" t="s">
        <v>1516</v>
      </c>
      <c r="C1235" s="5">
        <v>9.818075039E9</v>
      </c>
      <c r="G1235" s="5" t="s">
        <v>303</v>
      </c>
      <c r="H1235" s="5" t="s">
        <v>701</v>
      </c>
    </row>
    <row r="1236">
      <c r="A1236" s="4">
        <v>45254.54691400463</v>
      </c>
      <c r="B1236" s="5" t="s">
        <v>1517</v>
      </c>
      <c r="C1236" s="5">
        <v>9.354552376E9</v>
      </c>
      <c r="G1236" s="5" t="s">
        <v>303</v>
      </c>
      <c r="H1236" s="5" t="s">
        <v>701</v>
      </c>
    </row>
    <row r="1237">
      <c r="A1237" s="4">
        <v>45254.54726559028</v>
      </c>
      <c r="B1237" s="5" t="s">
        <v>1518</v>
      </c>
      <c r="C1237" s="5">
        <v>7.303936452E9</v>
      </c>
      <c r="G1237" s="5" t="s">
        <v>303</v>
      </c>
      <c r="H1237" s="5" t="s">
        <v>701</v>
      </c>
    </row>
    <row r="1238">
      <c r="A1238" s="4">
        <v>45254.54731730324</v>
      </c>
      <c r="B1238" s="5" t="s">
        <v>1519</v>
      </c>
      <c r="C1238" s="5">
        <v>7.838719293E9</v>
      </c>
      <c r="G1238" s="5" t="s">
        <v>303</v>
      </c>
      <c r="H1238" s="5" t="s">
        <v>701</v>
      </c>
    </row>
    <row r="1239">
      <c r="A1239" s="4">
        <v>45254.547552442134</v>
      </c>
      <c r="B1239" s="5" t="s">
        <v>1520</v>
      </c>
      <c r="C1239" s="5">
        <v>8.076445529E9</v>
      </c>
      <c r="G1239" s="5" t="s">
        <v>303</v>
      </c>
      <c r="H1239" s="5" t="s">
        <v>701</v>
      </c>
    </row>
    <row r="1240">
      <c r="A1240" s="4">
        <v>45254.54777363426</v>
      </c>
      <c r="B1240" s="5" t="s">
        <v>490</v>
      </c>
      <c r="C1240" s="5">
        <v>8.860317597E9</v>
      </c>
      <c r="G1240" s="5" t="s">
        <v>303</v>
      </c>
      <c r="H1240" s="5" t="s">
        <v>701</v>
      </c>
    </row>
    <row r="1241">
      <c r="A1241" s="4">
        <v>45254.549603321764</v>
      </c>
      <c r="B1241" s="5" t="s">
        <v>911</v>
      </c>
      <c r="C1241" s="5">
        <v>9.810319529E9</v>
      </c>
      <c r="E1241" s="5" t="s">
        <v>227</v>
      </c>
      <c r="G1241" s="5" t="s">
        <v>303</v>
      </c>
      <c r="H1241" s="5" t="s">
        <v>706</v>
      </c>
    </row>
    <row r="1242">
      <c r="A1242" s="4">
        <v>45254.55063175926</v>
      </c>
      <c r="B1242" s="5" t="s">
        <v>1521</v>
      </c>
      <c r="C1242" s="5">
        <v>9.871428293E9</v>
      </c>
      <c r="G1242" s="5" t="s">
        <v>303</v>
      </c>
      <c r="H1242" s="5" t="s">
        <v>701</v>
      </c>
    </row>
    <row r="1243">
      <c r="A1243" s="4">
        <v>45254.5510605787</v>
      </c>
      <c r="B1243" s="5" t="s">
        <v>1522</v>
      </c>
      <c r="C1243" s="5">
        <v>9.96882413E9</v>
      </c>
      <c r="E1243" s="5" t="s">
        <v>71</v>
      </c>
      <c r="G1243" s="5" t="s">
        <v>303</v>
      </c>
      <c r="H1243" s="5" t="s">
        <v>706</v>
      </c>
    </row>
    <row r="1244">
      <c r="A1244" s="4">
        <v>45254.552827719905</v>
      </c>
      <c r="B1244" s="5" t="s">
        <v>1523</v>
      </c>
      <c r="C1244" s="5">
        <v>8.743901516E9</v>
      </c>
      <c r="G1244" s="5" t="s">
        <v>303</v>
      </c>
      <c r="H1244" s="5" t="s">
        <v>701</v>
      </c>
    </row>
    <row r="1245">
      <c r="A1245" s="4">
        <v>45254.55390646991</v>
      </c>
      <c r="B1245" s="5" t="s">
        <v>1524</v>
      </c>
      <c r="C1245" s="5">
        <v>9.990628368E9</v>
      </c>
      <c r="E1245" s="5" t="s">
        <v>71</v>
      </c>
      <c r="G1245" s="5" t="s">
        <v>303</v>
      </c>
      <c r="H1245" s="5" t="s">
        <v>706</v>
      </c>
    </row>
    <row r="1246">
      <c r="A1246" s="4">
        <v>45254.5543307176</v>
      </c>
      <c r="B1246" s="5" t="s">
        <v>371</v>
      </c>
      <c r="C1246" s="5">
        <v>9.212725194E9</v>
      </c>
      <c r="E1246" s="5" t="s">
        <v>13</v>
      </c>
      <c r="G1246" s="5" t="s">
        <v>303</v>
      </c>
      <c r="H1246" s="5" t="s">
        <v>706</v>
      </c>
    </row>
    <row r="1247">
      <c r="A1247" s="4">
        <v>45254.55674888889</v>
      </c>
      <c r="B1247" s="5" t="s">
        <v>1525</v>
      </c>
      <c r="C1247" s="5">
        <v>9.999290302E9</v>
      </c>
      <c r="F1247" s="7" t="s">
        <v>1526</v>
      </c>
      <c r="G1247" s="5" t="s">
        <v>303</v>
      </c>
      <c r="H1247" s="5" t="s">
        <v>701</v>
      </c>
    </row>
    <row r="1248">
      <c r="A1248" s="4">
        <v>45254.55734261574</v>
      </c>
      <c r="B1248" s="5" t="s">
        <v>1527</v>
      </c>
      <c r="C1248" s="5">
        <v>8.86002195E9</v>
      </c>
      <c r="G1248" s="5" t="s">
        <v>303</v>
      </c>
      <c r="H1248" s="5" t="s">
        <v>701</v>
      </c>
    </row>
    <row r="1249">
      <c r="A1249" s="4">
        <v>45254.558871967594</v>
      </c>
      <c r="B1249" s="5" t="s">
        <v>1228</v>
      </c>
      <c r="C1249" s="5">
        <v>8.851669453E9</v>
      </c>
      <c r="E1249" s="5" t="s">
        <v>15</v>
      </c>
      <c r="G1249" s="5" t="s">
        <v>303</v>
      </c>
      <c r="H1249" s="5" t="s">
        <v>706</v>
      </c>
    </row>
    <row r="1250">
      <c r="A1250" s="4">
        <v>45254.55900946759</v>
      </c>
      <c r="B1250" s="5" t="s">
        <v>1528</v>
      </c>
      <c r="C1250" s="5">
        <v>9.810635058E9</v>
      </c>
      <c r="G1250" s="5" t="s">
        <v>303</v>
      </c>
      <c r="H1250" s="5" t="s">
        <v>706</v>
      </c>
    </row>
    <row r="1251">
      <c r="A1251" s="4">
        <v>45254.55959337963</v>
      </c>
      <c r="B1251" s="5" t="s">
        <v>1529</v>
      </c>
      <c r="C1251" s="5">
        <v>9.891057156E9</v>
      </c>
      <c r="E1251" s="5" t="s">
        <v>79</v>
      </c>
      <c r="G1251" s="5" t="s">
        <v>303</v>
      </c>
      <c r="H1251" s="5" t="s">
        <v>706</v>
      </c>
    </row>
    <row r="1252">
      <c r="A1252" s="4">
        <v>45254.55985226852</v>
      </c>
      <c r="B1252" s="5" t="s">
        <v>1530</v>
      </c>
      <c r="C1252" s="5">
        <v>9.811121393E9</v>
      </c>
      <c r="G1252" s="5" t="s">
        <v>303</v>
      </c>
      <c r="H1252" s="5" t="s">
        <v>701</v>
      </c>
    </row>
    <row r="1253">
      <c r="A1253" s="4">
        <v>45254.56051646991</v>
      </c>
      <c r="B1253" s="5" t="s">
        <v>1531</v>
      </c>
      <c r="C1253" s="5">
        <v>9.540688386E9</v>
      </c>
      <c r="G1253" s="5" t="s">
        <v>303</v>
      </c>
      <c r="H1253" s="5" t="s">
        <v>701</v>
      </c>
    </row>
    <row r="1254">
      <c r="A1254" s="4">
        <v>45254.560831006944</v>
      </c>
      <c r="B1254" s="5" t="s">
        <v>1532</v>
      </c>
      <c r="C1254" s="5">
        <v>9.313250404E9</v>
      </c>
      <c r="G1254" s="5" t="s">
        <v>303</v>
      </c>
      <c r="H1254" s="5" t="s">
        <v>701</v>
      </c>
    </row>
    <row r="1255">
      <c r="A1255" s="4">
        <v>45254.56085871528</v>
      </c>
      <c r="B1255" s="5" t="s">
        <v>161</v>
      </c>
      <c r="C1255" s="5">
        <v>9.250608505E9</v>
      </c>
      <c r="G1255" s="5" t="s">
        <v>303</v>
      </c>
      <c r="H1255" s="5" t="s">
        <v>701</v>
      </c>
    </row>
    <row r="1256">
      <c r="A1256" s="4">
        <v>45254.561135868054</v>
      </c>
      <c r="B1256" s="5" t="s">
        <v>1416</v>
      </c>
      <c r="C1256" s="5">
        <v>9.250608505E9</v>
      </c>
      <c r="G1256" s="5" t="s">
        <v>303</v>
      </c>
      <c r="H1256" s="5" t="s">
        <v>701</v>
      </c>
    </row>
    <row r="1257">
      <c r="A1257" s="4">
        <v>45254.56144204861</v>
      </c>
      <c r="B1257" s="5" t="s">
        <v>1533</v>
      </c>
      <c r="C1257" s="5">
        <v>8.448614505E9</v>
      </c>
      <c r="G1257" s="5" t="s">
        <v>303</v>
      </c>
      <c r="H1257" s="5" t="s">
        <v>701</v>
      </c>
    </row>
    <row r="1258">
      <c r="A1258" s="4">
        <v>45254.56568803241</v>
      </c>
      <c r="B1258" s="5" t="s">
        <v>1534</v>
      </c>
      <c r="C1258" s="5">
        <v>8.860788358E9</v>
      </c>
      <c r="E1258" s="5" t="s">
        <v>15</v>
      </c>
      <c r="G1258" s="5" t="s">
        <v>303</v>
      </c>
      <c r="H1258" s="5" t="s">
        <v>706</v>
      </c>
    </row>
    <row r="1259">
      <c r="A1259" s="4">
        <v>45254.56577086805</v>
      </c>
      <c r="B1259" s="5" t="s">
        <v>1535</v>
      </c>
      <c r="C1259" s="5">
        <v>9.999456013E9</v>
      </c>
      <c r="F1259" s="7" t="s">
        <v>1536</v>
      </c>
      <c r="G1259" s="5" t="s">
        <v>303</v>
      </c>
      <c r="H1259" s="5" t="s">
        <v>706</v>
      </c>
    </row>
    <row r="1260">
      <c r="A1260" s="4">
        <v>45254.565969247684</v>
      </c>
      <c r="B1260" s="5" t="s">
        <v>1537</v>
      </c>
      <c r="C1260" s="5">
        <v>9.466847152E9</v>
      </c>
      <c r="G1260" s="5" t="s">
        <v>303</v>
      </c>
      <c r="H1260" s="5" t="s">
        <v>701</v>
      </c>
    </row>
    <row r="1261">
      <c r="A1261" s="4">
        <v>45254.566889131944</v>
      </c>
      <c r="B1261" s="5" t="s">
        <v>1538</v>
      </c>
      <c r="C1261" s="5">
        <v>9.868356275E9</v>
      </c>
      <c r="G1261" s="5" t="s">
        <v>303</v>
      </c>
      <c r="H1261" s="5" t="s">
        <v>701</v>
      </c>
    </row>
    <row r="1262">
      <c r="A1262" s="4">
        <v>45254.56770958334</v>
      </c>
      <c r="B1262" s="5" t="s">
        <v>1539</v>
      </c>
      <c r="C1262" s="5">
        <v>9.96894577E9</v>
      </c>
      <c r="G1262" s="5" t="s">
        <v>303</v>
      </c>
      <c r="H1262" s="5" t="s">
        <v>701</v>
      </c>
    </row>
    <row r="1263">
      <c r="A1263" s="4">
        <v>45254.56805130787</v>
      </c>
      <c r="B1263" s="5" t="s">
        <v>1540</v>
      </c>
      <c r="C1263" s="5">
        <v>8.168782192E9</v>
      </c>
      <c r="E1263" s="5" t="s">
        <v>15</v>
      </c>
      <c r="G1263" s="5" t="s">
        <v>303</v>
      </c>
      <c r="H1263" s="5" t="s">
        <v>706</v>
      </c>
    </row>
    <row r="1264">
      <c r="A1264" s="4">
        <v>45254.568403530095</v>
      </c>
      <c r="B1264" s="5" t="s">
        <v>1541</v>
      </c>
      <c r="C1264" s="5">
        <v>9.953004457E9</v>
      </c>
      <c r="G1264" s="5" t="s">
        <v>303</v>
      </c>
      <c r="H1264" s="5" t="s">
        <v>706</v>
      </c>
    </row>
    <row r="1265">
      <c r="A1265" s="4">
        <v>45254.569556145834</v>
      </c>
      <c r="B1265" s="5" t="s">
        <v>1542</v>
      </c>
      <c r="C1265" s="5">
        <v>9.818388828E9</v>
      </c>
      <c r="E1265" s="5" t="s">
        <v>15</v>
      </c>
      <c r="G1265" s="5" t="s">
        <v>303</v>
      </c>
      <c r="H1265" s="5" t="s">
        <v>706</v>
      </c>
    </row>
    <row r="1266">
      <c r="A1266" s="4">
        <v>45254.57093916667</v>
      </c>
      <c r="B1266" s="5" t="s">
        <v>534</v>
      </c>
      <c r="C1266" s="5">
        <v>9.599311785E9</v>
      </c>
      <c r="G1266" s="5" t="s">
        <v>303</v>
      </c>
      <c r="H1266" s="5" t="s">
        <v>701</v>
      </c>
    </row>
    <row r="1267">
      <c r="A1267" s="4">
        <v>45254.57299888889</v>
      </c>
      <c r="B1267" s="5" t="s">
        <v>1543</v>
      </c>
      <c r="C1267" s="5">
        <v>9.205771287E9</v>
      </c>
      <c r="E1267" s="5" t="s">
        <v>879</v>
      </c>
      <c r="G1267" s="5" t="s">
        <v>303</v>
      </c>
      <c r="H1267" s="5" t="s">
        <v>706</v>
      </c>
    </row>
    <row r="1268">
      <c r="A1268" s="4">
        <v>45254.57514356481</v>
      </c>
      <c r="B1268" s="5" t="s">
        <v>1544</v>
      </c>
      <c r="C1268" s="5">
        <v>8.010003423E9</v>
      </c>
      <c r="G1268" s="5" t="s">
        <v>303</v>
      </c>
      <c r="H1268" s="5" t="s">
        <v>701</v>
      </c>
    </row>
    <row r="1269">
      <c r="A1269" s="4">
        <v>45254.57866945602</v>
      </c>
      <c r="B1269" s="5" t="s">
        <v>1545</v>
      </c>
      <c r="C1269" s="5">
        <v>9.827093039E9</v>
      </c>
      <c r="E1269" s="5" t="s">
        <v>79</v>
      </c>
      <c r="G1269" s="5" t="s">
        <v>303</v>
      </c>
      <c r="H1269" s="5" t="s">
        <v>706</v>
      </c>
    </row>
    <row r="1270">
      <c r="A1270" s="4">
        <v>45254.580178738426</v>
      </c>
      <c r="B1270" s="5" t="s">
        <v>1546</v>
      </c>
      <c r="C1270" s="5">
        <v>9.827232301E9</v>
      </c>
      <c r="E1270" s="5" t="s">
        <v>26</v>
      </c>
      <c r="G1270" s="5" t="s">
        <v>303</v>
      </c>
      <c r="H1270" s="5" t="s">
        <v>706</v>
      </c>
    </row>
    <row r="1271">
      <c r="A1271" s="4">
        <v>45254.58248975694</v>
      </c>
      <c r="B1271" s="5" t="s">
        <v>1547</v>
      </c>
      <c r="C1271" s="5">
        <v>9.21291912E9</v>
      </c>
      <c r="G1271" s="5" t="s">
        <v>303</v>
      </c>
      <c r="H1271" s="5" t="s">
        <v>701</v>
      </c>
    </row>
    <row r="1272">
      <c r="A1272" s="4">
        <v>45254.5833046412</v>
      </c>
      <c r="B1272" s="5" t="s">
        <v>1548</v>
      </c>
      <c r="C1272" s="5">
        <v>7.827379352E9</v>
      </c>
      <c r="E1272" s="5" t="s">
        <v>13</v>
      </c>
      <c r="G1272" s="5" t="s">
        <v>303</v>
      </c>
      <c r="H1272" s="5" t="s">
        <v>706</v>
      </c>
    </row>
    <row r="1273">
      <c r="A1273" s="4">
        <v>45254.5834233912</v>
      </c>
      <c r="B1273" s="5" t="s">
        <v>1549</v>
      </c>
      <c r="C1273" s="5">
        <v>9.667599479E9</v>
      </c>
      <c r="G1273" s="5" t="s">
        <v>303</v>
      </c>
      <c r="H1273" s="5" t="s">
        <v>701</v>
      </c>
    </row>
    <row r="1274">
      <c r="A1274" s="4">
        <v>45254.58388039352</v>
      </c>
      <c r="B1274" s="5" t="s">
        <v>1550</v>
      </c>
      <c r="C1274" s="5">
        <v>7.30364137E9</v>
      </c>
      <c r="G1274" s="5" t="s">
        <v>303</v>
      </c>
      <c r="H1274" s="5" t="s">
        <v>701</v>
      </c>
    </row>
    <row r="1275">
      <c r="A1275" s="4">
        <v>45254.58390194444</v>
      </c>
      <c r="B1275" s="5" t="s">
        <v>1551</v>
      </c>
      <c r="C1275" s="5">
        <v>9.650288566E9</v>
      </c>
      <c r="E1275" s="5" t="s">
        <v>1552</v>
      </c>
      <c r="G1275" s="5" t="s">
        <v>303</v>
      </c>
      <c r="H1275" s="5" t="s">
        <v>706</v>
      </c>
    </row>
    <row r="1276">
      <c r="A1276" s="4">
        <v>45254.58654733797</v>
      </c>
      <c r="B1276" s="5" t="s">
        <v>1553</v>
      </c>
      <c r="C1276" s="5">
        <v>9.99233327E9</v>
      </c>
      <c r="G1276" s="5" t="s">
        <v>303</v>
      </c>
      <c r="H1276" s="5" t="s">
        <v>701</v>
      </c>
    </row>
    <row r="1277">
      <c r="A1277" s="4">
        <v>45254.58931414352</v>
      </c>
      <c r="B1277" s="5" t="s">
        <v>826</v>
      </c>
      <c r="C1277" s="5">
        <v>9.958199115E9</v>
      </c>
      <c r="E1277" s="5" t="s">
        <v>15</v>
      </c>
      <c r="G1277" s="5" t="s">
        <v>303</v>
      </c>
      <c r="H1277" s="5" t="s">
        <v>706</v>
      </c>
    </row>
    <row r="1278">
      <c r="A1278" s="4">
        <v>45254.59036814814</v>
      </c>
      <c r="B1278" s="5" t="s">
        <v>191</v>
      </c>
      <c r="C1278" s="5">
        <v>9.625458533E9</v>
      </c>
      <c r="G1278" s="5" t="s">
        <v>303</v>
      </c>
      <c r="H1278" s="5" t="s">
        <v>706</v>
      </c>
    </row>
    <row r="1279">
      <c r="A1279" s="4">
        <v>45254.59351569445</v>
      </c>
      <c r="B1279" s="5" t="s">
        <v>1554</v>
      </c>
      <c r="C1279" s="5">
        <v>9.968503699E9</v>
      </c>
      <c r="E1279" s="5" t="s">
        <v>567</v>
      </c>
      <c r="G1279" s="5" t="s">
        <v>303</v>
      </c>
      <c r="H1279" s="5" t="s">
        <v>706</v>
      </c>
    </row>
    <row r="1280">
      <c r="A1280" s="4">
        <v>45254.594015104165</v>
      </c>
      <c r="B1280" s="5" t="s">
        <v>1555</v>
      </c>
      <c r="C1280" s="5">
        <v>9.97141981E9</v>
      </c>
      <c r="E1280" s="5" t="s">
        <v>1556</v>
      </c>
      <c r="G1280" s="5" t="s">
        <v>303</v>
      </c>
      <c r="H1280" s="5" t="s">
        <v>706</v>
      </c>
    </row>
    <row r="1281">
      <c r="A1281" s="4">
        <v>45254.597035231476</v>
      </c>
      <c r="B1281" s="5" t="s">
        <v>1557</v>
      </c>
      <c r="C1281" s="5">
        <v>9.899398964E9</v>
      </c>
      <c r="E1281" s="5" t="s">
        <v>227</v>
      </c>
      <c r="G1281" s="5" t="s">
        <v>303</v>
      </c>
      <c r="H1281" s="5" t="s">
        <v>706</v>
      </c>
    </row>
    <row r="1282">
      <c r="A1282" s="4">
        <v>45254.59728018519</v>
      </c>
      <c r="B1282" s="5" t="s">
        <v>1558</v>
      </c>
      <c r="C1282" s="5">
        <v>9.899523117E9</v>
      </c>
      <c r="E1282" s="5" t="s">
        <v>79</v>
      </c>
      <c r="G1282" s="5" t="s">
        <v>303</v>
      </c>
      <c r="H1282" s="5" t="s">
        <v>706</v>
      </c>
    </row>
    <row r="1283">
      <c r="A1283" s="4">
        <v>45254.59753025463</v>
      </c>
      <c r="B1283" s="5" t="s">
        <v>1559</v>
      </c>
      <c r="C1283" s="5">
        <v>9.873228283E9</v>
      </c>
      <c r="G1283" s="5" t="s">
        <v>303</v>
      </c>
      <c r="H1283" s="5" t="s">
        <v>701</v>
      </c>
    </row>
    <row r="1284">
      <c r="A1284" s="4">
        <v>45254.59894190972</v>
      </c>
      <c r="B1284" s="5" t="s">
        <v>1560</v>
      </c>
      <c r="C1284" s="5">
        <v>9.91061166E9</v>
      </c>
      <c r="G1284" s="5" t="s">
        <v>303</v>
      </c>
      <c r="H1284" s="5" t="s">
        <v>701</v>
      </c>
    </row>
    <row r="1285">
      <c r="A1285" s="4">
        <v>45254.59913703703</v>
      </c>
      <c r="B1285" s="5" t="s">
        <v>1561</v>
      </c>
      <c r="C1285" s="5">
        <v>9.312873215E9</v>
      </c>
      <c r="E1285" s="5" t="s">
        <v>15</v>
      </c>
      <c r="G1285" s="5" t="s">
        <v>303</v>
      </c>
      <c r="H1285" s="5" t="s">
        <v>706</v>
      </c>
    </row>
    <row r="1286">
      <c r="A1286" s="4">
        <v>45254.599735358795</v>
      </c>
      <c r="B1286" s="5" t="s">
        <v>1562</v>
      </c>
      <c r="C1286" s="5">
        <v>9.810501814E9</v>
      </c>
      <c r="G1286" s="5" t="s">
        <v>303</v>
      </c>
      <c r="H1286" s="5" t="s">
        <v>701</v>
      </c>
    </row>
    <row r="1287">
      <c r="A1287" s="4">
        <v>45254.60031809028</v>
      </c>
      <c r="B1287" s="5" t="s">
        <v>1563</v>
      </c>
      <c r="C1287" s="5">
        <v>9.31149716E9</v>
      </c>
      <c r="G1287" s="5" t="s">
        <v>303</v>
      </c>
      <c r="H1287" s="5" t="s">
        <v>701</v>
      </c>
    </row>
    <row r="1288">
      <c r="A1288" s="4">
        <v>45254.603697847226</v>
      </c>
      <c r="B1288" s="5" t="s">
        <v>1564</v>
      </c>
      <c r="C1288" s="5">
        <v>9.315787027E9</v>
      </c>
      <c r="E1288" s="5" t="s">
        <v>15</v>
      </c>
      <c r="G1288" s="5" t="s">
        <v>303</v>
      </c>
      <c r="H1288" s="5" t="s">
        <v>706</v>
      </c>
    </row>
    <row r="1289">
      <c r="A1289" s="4">
        <v>45254.60538412037</v>
      </c>
      <c r="B1289" s="5" t="s">
        <v>1565</v>
      </c>
      <c r="C1289" s="5">
        <v>8.448816837E9</v>
      </c>
      <c r="G1289" s="5" t="s">
        <v>303</v>
      </c>
      <c r="H1289" s="5" t="s">
        <v>701</v>
      </c>
    </row>
    <row r="1290">
      <c r="A1290" s="4">
        <v>45254.60632261574</v>
      </c>
      <c r="B1290" s="5" t="s">
        <v>1566</v>
      </c>
      <c r="C1290" s="5">
        <v>7.701907231E9</v>
      </c>
      <c r="E1290" s="5" t="s">
        <v>71</v>
      </c>
      <c r="G1290" s="5" t="s">
        <v>303</v>
      </c>
      <c r="H1290" s="5" t="s">
        <v>706</v>
      </c>
    </row>
    <row r="1291">
      <c r="A1291" s="4">
        <v>45254.60652804398</v>
      </c>
      <c r="B1291" s="5" t="s">
        <v>1567</v>
      </c>
      <c r="C1291" s="5">
        <v>9.625113437E9</v>
      </c>
      <c r="G1291" s="5" t="s">
        <v>303</v>
      </c>
      <c r="H1291" s="5" t="s">
        <v>701</v>
      </c>
    </row>
    <row r="1292">
      <c r="A1292" s="4">
        <v>45254.60759980324</v>
      </c>
      <c r="B1292" s="5" t="s">
        <v>1568</v>
      </c>
      <c r="C1292" s="5">
        <v>9.9532107E9</v>
      </c>
      <c r="E1292" s="5" t="s">
        <v>15</v>
      </c>
      <c r="G1292" s="5" t="s">
        <v>303</v>
      </c>
      <c r="H1292" s="5" t="s">
        <v>706</v>
      </c>
    </row>
    <row r="1293">
      <c r="A1293" s="4">
        <v>45254.60904964121</v>
      </c>
      <c r="B1293" s="5" t="s">
        <v>1569</v>
      </c>
      <c r="C1293" s="5">
        <v>9.368671762E9</v>
      </c>
      <c r="E1293" s="5" t="s">
        <v>227</v>
      </c>
      <c r="G1293" s="5" t="s">
        <v>303</v>
      </c>
      <c r="H1293" s="5" t="s">
        <v>706</v>
      </c>
    </row>
    <row r="1294">
      <c r="A1294" s="4">
        <v>45254.61465408565</v>
      </c>
      <c r="B1294" s="5" t="s">
        <v>1570</v>
      </c>
      <c r="C1294" s="5">
        <v>8.860130037E9</v>
      </c>
      <c r="G1294" s="5" t="s">
        <v>303</v>
      </c>
      <c r="H1294" s="5" t="s">
        <v>701</v>
      </c>
    </row>
    <row r="1295">
      <c r="A1295" s="4">
        <v>45254.61507594907</v>
      </c>
      <c r="B1295" s="5" t="s">
        <v>1304</v>
      </c>
      <c r="C1295" s="5">
        <v>7.206660875E9</v>
      </c>
      <c r="G1295" s="5" t="s">
        <v>303</v>
      </c>
      <c r="H1295" s="5" t="s">
        <v>701</v>
      </c>
    </row>
    <row r="1296">
      <c r="A1296" s="4">
        <v>45254.615303715276</v>
      </c>
      <c r="B1296" s="5" t="s">
        <v>1571</v>
      </c>
      <c r="C1296" s="5">
        <v>9.416694977E9</v>
      </c>
      <c r="G1296" s="5" t="s">
        <v>303</v>
      </c>
      <c r="H1296" s="5" t="s">
        <v>701</v>
      </c>
    </row>
    <row r="1297">
      <c r="A1297" s="4">
        <v>45254.61746313657</v>
      </c>
      <c r="B1297" s="5" t="s">
        <v>1572</v>
      </c>
      <c r="C1297" s="5">
        <v>7.988078592E9</v>
      </c>
      <c r="G1297" s="5" t="s">
        <v>303</v>
      </c>
      <c r="H1297" s="5" t="s">
        <v>701</v>
      </c>
    </row>
    <row r="1298">
      <c r="A1298" s="4">
        <v>45254.619200914356</v>
      </c>
      <c r="B1298" s="5" t="s">
        <v>1573</v>
      </c>
      <c r="C1298" s="5">
        <v>9.560002747E9</v>
      </c>
      <c r="G1298" s="5" t="s">
        <v>303</v>
      </c>
      <c r="H1298" s="5" t="s">
        <v>701</v>
      </c>
    </row>
    <row r="1299">
      <c r="A1299" s="4">
        <v>45254.61962503473</v>
      </c>
      <c r="B1299" s="5" t="s">
        <v>534</v>
      </c>
      <c r="C1299" s="5">
        <v>7.065851322E9</v>
      </c>
      <c r="E1299" s="5" t="s">
        <v>15</v>
      </c>
      <c r="G1299" s="5" t="s">
        <v>303</v>
      </c>
      <c r="H1299" s="5" t="s">
        <v>706</v>
      </c>
    </row>
    <row r="1300">
      <c r="A1300" s="4">
        <v>45254.623254942126</v>
      </c>
      <c r="B1300" s="5" t="s">
        <v>1574</v>
      </c>
      <c r="C1300" s="5">
        <v>9.71665605E9</v>
      </c>
      <c r="E1300" s="5" t="s">
        <v>424</v>
      </c>
      <c r="G1300" s="5" t="s">
        <v>303</v>
      </c>
      <c r="H1300" s="5" t="s">
        <v>706</v>
      </c>
    </row>
    <row r="1301">
      <c r="A1301" s="4">
        <v>45254.62355296296</v>
      </c>
      <c r="B1301" s="5" t="s">
        <v>1575</v>
      </c>
      <c r="C1301" s="5">
        <v>9.650022943E9</v>
      </c>
      <c r="G1301" s="5" t="s">
        <v>303</v>
      </c>
      <c r="H1301" s="5" t="s">
        <v>701</v>
      </c>
    </row>
    <row r="1302">
      <c r="A1302" s="4">
        <v>45254.623789930556</v>
      </c>
      <c r="B1302" s="5" t="s">
        <v>1576</v>
      </c>
      <c r="C1302" s="5">
        <v>9.953561935E9</v>
      </c>
      <c r="G1302" s="5" t="s">
        <v>303</v>
      </c>
      <c r="H1302" s="5" t="s">
        <v>701</v>
      </c>
    </row>
    <row r="1303">
      <c r="A1303" s="4">
        <v>45254.62404028935</v>
      </c>
      <c r="B1303" s="5" t="s">
        <v>1577</v>
      </c>
      <c r="C1303" s="5">
        <v>9.999259394E9</v>
      </c>
      <c r="G1303" s="5" t="s">
        <v>303</v>
      </c>
      <c r="H1303" s="5" t="s">
        <v>701</v>
      </c>
    </row>
    <row r="1304">
      <c r="A1304" s="4">
        <v>45254.62482896991</v>
      </c>
      <c r="B1304" s="5" t="s">
        <v>990</v>
      </c>
      <c r="C1304" s="5">
        <v>9.990987498E9</v>
      </c>
      <c r="E1304" s="5" t="s">
        <v>1578</v>
      </c>
      <c r="G1304" s="5" t="s">
        <v>303</v>
      </c>
      <c r="H1304" s="5" t="s">
        <v>706</v>
      </c>
    </row>
    <row r="1305">
      <c r="A1305" s="4">
        <v>45254.62824556713</v>
      </c>
      <c r="B1305" s="5" t="s">
        <v>338</v>
      </c>
      <c r="C1305" s="5">
        <v>7.06517155E9</v>
      </c>
      <c r="G1305" s="5" t="s">
        <v>303</v>
      </c>
      <c r="H1305" s="5" t="s">
        <v>701</v>
      </c>
    </row>
    <row r="1306">
      <c r="A1306" s="4">
        <v>45254.62925541667</v>
      </c>
      <c r="B1306" s="5" t="s">
        <v>392</v>
      </c>
      <c r="C1306" s="5">
        <v>9.899007811E9</v>
      </c>
      <c r="G1306" s="5" t="s">
        <v>303</v>
      </c>
      <c r="H1306" s="5" t="s">
        <v>701</v>
      </c>
    </row>
    <row r="1307">
      <c r="A1307" s="4">
        <v>45254.6293259375</v>
      </c>
      <c r="B1307" s="5" t="s">
        <v>1579</v>
      </c>
      <c r="C1307" s="5">
        <v>9.83882867E9</v>
      </c>
      <c r="G1307" s="5" t="s">
        <v>303</v>
      </c>
      <c r="H1307" s="5" t="s">
        <v>1035</v>
      </c>
    </row>
    <row r="1308">
      <c r="A1308" s="4">
        <v>45254.62952548611</v>
      </c>
      <c r="B1308" s="5" t="s">
        <v>1580</v>
      </c>
      <c r="C1308" s="5">
        <v>8.010214196E9</v>
      </c>
      <c r="G1308" s="5" t="s">
        <v>303</v>
      </c>
      <c r="H1308" s="5" t="s">
        <v>701</v>
      </c>
    </row>
    <row r="1309">
      <c r="A1309" s="4">
        <v>45254.633014907406</v>
      </c>
      <c r="B1309" s="5" t="s">
        <v>1581</v>
      </c>
      <c r="C1309" s="5">
        <v>9.643517133E9</v>
      </c>
      <c r="E1309" s="5" t="s">
        <v>481</v>
      </c>
      <c r="G1309" s="5" t="s">
        <v>303</v>
      </c>
      <c r="H1309" s="5" t="s">
        <v>706</v>
      </c>
    </row>
    <row r="1310">
      <c r="A1310" s="4">
        <v>45254.63525577546</v>
      </c>
      <c r="B1310" s="5" t="s">
        <v>1582</v>
      </c>
      <c r="C1310" s="5">
        <v>7.857081468E9</v>
      </c>
      <c r="E1310" s="5" t="s">
        <v>15</v>
      </c>
      <c r="G1310" s="5" t="s">
        <v>303</v>
      </c>
      <c r="H1310" s="5" t="s">
        <v>706</v>
      </c>
    </row>
    <row r="1311">
      <c r="A1311" s="4">
        <v>45254.64542688658</v>
      </c>
      <c r="B1311" s="5" t="s">
        <v>1583</v>
      </c>
      <c r="C1311" s="5">
        <v>9.810524563E9</v>
      </c>
      <c r="G1311" s="5" t="s">
        <v>303</v>
      </c>
      <c r="H1311" s="5" t="s">
        <v>701</v>
      </c>
    </row>
    <row r="1312">
      <c r="A1312" s="4">
        <v>45254.658183645835</v>
      </c>
      <c r="B1312" s="5" t="s">
        <v>1584</v>
      </c>
      <c r="C1312" s="5">
        <v>8.700463815E9</v>
      </c>
      <c r="G1312" s="5" t="s">
        <v>303</v>
      </c>
      <c r="H1312" s="5" t="s">
        <v>706</v>
      </c>
    </row>
    <row r="1313">
      <c r="A1313" s="4">
        <v>45254.658469664355</v>
      </c>
      <c r="B1313" s="5" t="s">
        <v>1585</v>
      </c>
      <c r="C1313" s="5">
        <v>9.21200633E9</v>
      </c>
      <c r="E1313" s="5" t="s">
        <v>227</v>
      </c>
      <c r="G1313" s="5" t="s">
        <v>303</v>
      </c>
      <c r="H1313" s="5" t="s">
        <v>706</v>
      </c>
    </row>
    <row r="1314">
      <c r="A1314" s="4">
        <v>45254.662433958336</v>
      </c>
      <c r="B1314" s="5" t="s">
        <v>1586</v>
      </c>
      <c r="C1314" s="5">
        <v>9.582664943E9</v>
      </c>
      <c r="G1314" s="5" t="s">
        <v>303</v>
      </c>
      <c r="H1314" s="5" t="s">
        <v>701</v>
      </c>
    </row>
    <row r="1315">
      <c r="A1315" s="4">
        <v>45254.664290810186</v>
      </c>
      <c r="B1315" s="5" t="s">
        <v>1587</v>
      </c>
      <c r="C1315" s="5">
        <v>9.810026304E9</v>
      </c>
      <c r="E1315" s="5" t="s">
        <v>71</v>
      </c>
      <c r="G1315" s="5" t="s">
        <v>303</v>
      </c>
      <c r="H1315" s="5" t="s">
        <v>706</v>
      </c>
    </row>
    <row r="1316">
      <c r="A1316" s="4">
        <v>45254.66711181713</v>
      </c>
      <c r="B1316" s="5" t="s">
        <v>1588</v>
      </c>
      <c r="C1316" s="5">
        <v>9.310674176E9</v>
      </c>
      <c r="G1316" s="5" t="s">
        <v>303</v>
      </c>
      <c r="H1316" s="5" t="s">
        <v>701</v>
      </c>
    </row>
    <row r="1317">
      <c r="A1317" s="4">
        <v>45254.66785827546</v>
      </c>
      <c r="B1317" s="5" t="s">
        <v>726</v>
      </c>
      <c r="C1317" s="5">
        <v>9.811025895E9</v>
      </c>
      <c r="G1317" s="5" t="s">
        <v>303</v>
      </c>
      <c r="H1317" s="5" t="s">
        <v>701</v>
      </c>
    </row>
    <row r="1318">
      <c r="A1318" s="4">
        <v>45254.67533008102</v>
      </c>
      <c r="B1318" s="5" t="s">
        <v>490</v>
      </c>
      <c r="C1318" s="5">
        <v>8.882303132E9</v>
      </c>
      <c r="E1318" s="5" t="s">
        <v>15</v>
      </c>
      <c r="G1318" s="5" t="s">
        <v>303</v>
      </c>
      <c r="H1318" s="5" t="s">
        <v>706</v>
      </c>
    </row>
    <row r="1319">
      <c r="A1319" s="4">
        <v>45254.676623402775</v>
      </c>
      <c r="B1319" s="5" t="s">
        <v>1589</v>
      </c>
      <c r="C1319" s="5">
        <v>9.999090866E9</v>
      </c>
      <c r="E1319" s="5" t="s">
        <v>15</v>
      </c>
      <c r="G1319" s="5" t="s">
        <v>303</v>
      </c>
      <c r="H1319" s="5" t="s">
        <v>706</v>
      </c>
    </row>
    <row r="1320">
      <c r="A1320" s="4">
        <v>45254.6801653125</v>
      </c>
      <c r="B1320" s="5" t="s">
        <v>1590</v>
      </c>
      <c r="C1320" s="5">
        <v>9.891510785E9</v>
      </c>
      <c r="E1320" s="5" t="s">
        <v>1591</v>
      </c>
      <c r="G1320" s="5" t="s">
        <v>303</v>
      </c>
      <c r="H1320" s="5" t="s">
        <v>706</v>
      </c>
    </row>
    <row r="1321">
      <c r="A1321" s="4">
        <v>45254.68088697917</v>
      </c>
      <c r="B1321" s="5" t="s">
        <v>1592</v>
      </c>
      <c r="C1321" s="5">
        <v>9.289722722E9</v>
      </c>
      <c r="E1321" s="5" t="s">
        <v>1593</v>
      </c>
      <c r="F1321" s="7" t="s">
        <v>1594</v>
      </c>
      <c r="G1321" s="5" t="s">
        <v>303</v>
      </c>
      <c r="H1321" s="5" t="s">
        <v>706</v>
      </c>
    </row>
    <row r="1322">
      <c r="A1322" s="4">
        <v>45254.68135943287</v>
      </c>
      <c r="B1322" s="5" t="s">
        <v>1595</v>
      </c>
      <c r="C1322" s="5">
        <v>9.717970069E9</v>
      </c>
      <c r="G1322" s="5" t="s">
        <v>303</v>
      </c>
      <c r="H1322" s="5" t="s">
        <v>706</v>
      </c>
    </row>
    <row r="1323">
      <c r="A1323" s="4">
        <v>45254.68591956019</v>
      </c>
      <c r="B1323" s="5" t="s">
        <v>758</v>
      </c>
      <c r="C1323" s="5">
        <v>9.818703563E9</v>
      </c>
      <c r="G1323" s="5" t="s">
        <v>303</v>
      </c>
      <c r="H1323" s="5" t="s">
        <v>701</v>
      </c>
    </row>
    <row r="1324">
      <c r="A1324" s="4">
        <v>45254.69360104167</v>
      </c>
      <c r="B1324" s="5" t="s">
        <v>1596</v>
      </c>
      <c r="C1324" s="5">
        <v>7.827116401E9</v>
      </c>
      <c r="G1324" s="5" t="s">
        <v>303</v>
      </c>
      <c r="H1324" s="5" t="s">
        <v>706</v>
      </c>
    </row>
    <row r="1325">
      <c r="A1325" s="4">
        <v>45254.69361792824</v>
      </c>
      <c r="B1325" s="5" t="s">
        <v>1597</v>
      </c>
      <c r="C1325" s="5">
        <v>8.287924563E9</v>
      </c>
      <c r="E1325" s="5" t="s">
        <v>1598</v>
      </c>
      <c r="F1325" s="7" t="s">
        <v>1599</v>
      </c>
      <c r="G1325" s="5" t="s">
        <v>303</v>
      </c>
      <c r="H1325" s="5" t="s">
        <v>706</v>
      </c>
    </row>
    <row r="1326">
      <c r="A1326" s="4">
        <v>45254.69390675926</v>
      </c>
      <c r="B1326" s="5" t="s">
        <v>1091</v>
      </c>
      <c r="C1326" s="5">
        <v>9.891800777E9</v>
      </c>
      <c r="G1326" s="5" t="s">
        <v>303</v>
      </c>
      <c r="H1326" s="5" t="s">
        <v>706</v>
      </c>
    </row>
    <row r="1327">
      <c r="A1327" s="4">
        <v>45254.69452409723</v>
      </c>
      <c r="B1327" s="5" t="s">
        <v>541</v>
      </c>
      <c r="C1327" s="5">
        <v>7.503338872E9</v>
      </c>
      <c r="G1327" s="5" t="s">
        <v>303</v>
      </c>
      <c r="H1327" s="5" t="s">
        <v>701</v>
      </c>
    </row>
    <row r="1328">
      <c r="A1328" s="4">
        <v>45254.69589137731</v>
      </c>
      <c r="B1328" s="5" t="s">
        <v>1600</v>
      </c>
      <c r="C1328" s="5">
        <v>9.716379252E9</v>
      </c>
      <c r="G1328" s="5" t="s">
        <v>303</v>
      </c>
      <c r="H1328" s="5" t="s">
        <v>706</v>
      </c>
    </row>
    <row r="1329">
      <c r="A1329" s="4">
        <v>45254.70159012731</v>
      </c>
      <c r="B1329" s="5" t="s">
        <v>1239</v>
      </c>
      <c r="C1329" s="5">
        <v>7.042279101E9</v>
      </c>
      <c r="E1329" s="5" t="s">
        <v>15</v>
      </c>
      <c r="G1329" s="5" t="s">
        <v>303</v>
      </c>
      <c r="H1329" s="5" t="s">
        <v>706</v>
      </c>
    </row>
    <row r="1330">
      <c r="A1330" s="4">
        <v>45254.70195834491</v>
      </c>
      <c r="B1330" s="5" t="s">
        <v>1601</v>
      </c>
      <c r="C1330" s="5">
        <v>8.650280518E9</v>
      </c>
      <c r="E1330" s="5" t="s">
        <v>79</v>
      </c>
      <c r="G1330" s="5" t="s">
        <v>303</v>
      </c>
      <c r="H1330" s="5" t="s">
        <v>706</v>
      </c>
    </row>
    <row r="1331">
      <c r="A1331" s="4">
        <v>45254.70797024306</v>
      </c>
      <c r="B1331" s="5" t="s">
        <v>1602</v>
      </c>
      <c r="C1331" s="5">
        <v>9.717378638E9</v>
      </c>
      <c r="E1331" s="5" t="s">
        <v>15</v>
      </c>
      <c r="G1331" s="5" t="s">
        <v>303</v>
      </c>
      <c r="H1331" s="5" t="s">
        <v>706</v>
      </c>
    </row>
    <row r="1332">
      <c r="A1332" s="4">
        <v>45254.709267928236</v>
      </c>
      <c r="B1332" s="5" t="s">
        <v>1603</v>
      </c>
      <c r="C1332" s="5">
        <v>9.389271138E9</v>
      </c>
      <c r="G1332" s="5" t="s">
        <v>303</v>
      </c>
      <c r="H1332" s="5" t="s">
        <v>701</v>
      </c>
    </row>
    <row r="1333">
      <c r="A1333" s="4">
        <v>45254.712241898145</v>
      </c>
      <c r="B1333" s="5" t="s">
        <v>1604</v>
      </c>
      <c r="C1333" s="5">
        <v>9.9998154E9</v>
      </c>
      <c r="G1333" s="5" t="s">
        <v>303</v>
      </c>
      <c r="H1333" s="5" t="s">
        <v>706</v>
      </c>
    </row>
    <row r="1334">
      <c r="A1334" s="4">
        <v>45254.71351734953</v>
      </c>
      <c r="B1334" s="5" t="s">
        <v>1605</v>
      </c>
      <c r="C1334" s="5">
        <v>9.643975596E9</v>
      </c>
      <c r="E1334" s="5" t="s">
        <v>1606</v>
      </c>
      <c r="G1334" s="5" t="s">
        <v>303</v>
      </c>
      <c r="H1334" s="5" t="s">
        <v>706</v>
      </c>
    </row>
    <row r="1335">
      <c r="A1335" s="4">
        <v>45254.71586459491</v>
      </c>
      <c r="B1335" s="5" t="s">
        <v>1607</v>
      </c>
      <c r="C1335" s="5">
        <v>9.871378355E9</v>
      </c>
      <c r="E1335" s="5" t="s">
        <v>227</v>
      </c>
      <c r="G1335" s="5" t="s">
        <v>303</v>
      </c>
      <c r="H1335" s="5" t="s">
        <v>706</v>
      </c>
    </row>
    <row r="1336">
      <c r="A1336" s="4">
        <v>45254.72968131944</v>
      </c>
      <c r="B1336" s="5" t="s">
        <v>1608</v>
      </c>
      <c r="C1336" s="5">
        <v>9.871681591E9</v>
      </c>
      <c r="E1336" s="5" t="s">
        <v>1609</v>
      </c>
      <c r="G1336" s="5" t="s">
        <v>303</v>
      </c>
      <c r="H1336" s="5" t="s">
        <v>706</v>
      </c>
    </row>
    <row r="1337">
      <c r="A1337" s="4">
        <v>45254.73173234954</v>
      </c>
      <c r="B1337" s="5" t="s">
        <v>1610</v>
      </c>
      <c r="C1337" s="5">
        <v>9.810842702E9</v>
      </c>
      <c r="E1337" s="5" t="s">
        <v>1611</v>
      </c>
      <c r="G1337" s="5" t="s">
        <v>303</v>
      </c>
      <c r="H1337" s="5" t="s">
        <v>1035</v>
      </c>
    </row>
    <row r="1338">
      <c r="A1338" s="4">
        <v>45254.73716755787</v>
      </c>
      <c r="B1338" s="5" t="s">
        <v>1612</v>
      </c>
      <c r="C1338" s="5">
        <v>9.818646599E9</v>
      </c>
      <c r="G1338" s="5" t="s">
        <v>303</v>
      </c>
      <c r="H1338" s="5" t="s">
        <v>701</v>
      </c>
    </row>
    <row r="1339">
      <c r="A1339" s="4">
        <v>45254.73888431713</v>
      </c>
      <c r="B1339" s="5" t="s">
        <v>1613</v>
      </c>
      <c r="C1339" s="5">
        <v>7.011342208E9</v>
      </c>
      <c r="G1339" s="5" t="s">
        <v>303</v>
      </c>
      <c r="H1339" s="5" t="s">
        <v>706</v>
      </c>
    </row>
    <row r="1340">
      <c r="A1340" s="4">
        <v>45254.74766392361</v>
      </c>
      <c r="B1340" s="5" t="s">
        <v>1614</v>
      </c>
      <c r="C1340" s="5">
        <v>9.31311997E9</v>
      </c>
      <c r="G1340" s="5" t="s">
        <v>303</v>
      </c>
      <c r="H1340" s="5" t="s">
        <v>701</v>
      </c>
    </row>
    <row r="1341">
      <c r="A1341" s="4">
        <v>45254.74794472222</v>
      </c>
      <c r="B1341" s="5" t="s">
        <v>1615</v>
      </c>
      <c r="C1341" s="5">
        <v>8.383057401E9</v>
      </c>
      <c r="G1341" s="5" t="s">
        <v>303</v>
      </c>
      <c r="H1341" s="5" t="s">
        <v>701</v>
      </c>
    </row>
    <row r="1342">
      <c r="A1342" s="4">
        <v>45254.7487434375</v>
      </c>
      <c r="B1342" s="5" t="s">
        <v>1616</v>
      </c>
      <c r="C1342" s="5">
        <v>9.81025053E9</v>
      </c>
      <c r="G1342" s="5" t="s">
        <v>303</v>
      </c>
      <c r="H1342" s="5" t="s">
        <v>701</v>
      </c>
    </row>
    <row r="1343">
      <c r="A1343" s="4">
        <v>45254.75168178241</v>
      </c>
      <c r="B1343" s="5" t="s">
        <v>1617</v>
      </c>
      <c r="C1343" s="5">
        <v>9.667239002E9</v>
      </c>
      <c r="G1343" s="5" t="s">
        <v>303</v>
      </c>
      <c r="H1343" s="5" t="s">
        <v>701</v>
      </c>
    </row>
    <row r="1344">
      <c r="A1344" s="4">
        <v>45254.754078287035</v>
      </c>
      <c r="B1344" s="5" t="s">
        <v>943</v>
      </c>
      <c r="C1344" s="5">
        <v>9.654168668E9</v>
      </c>
      <c r="E1344" s="5" t="s">
        <v>1618</v>
      </c>
      <c r="G1344" s="5" t="s">
        <v>303</v>
      </c>
      <c r="H1344" s="5" t="s">
        <v>706</v>
      </c>
    </row>
    <row r="1345">
      <c r="A1345" s="4">
        <v>45254.754428252316</v>
      </c>
      <c r="B1345" s="5" t="s">
        <v>1619</v>
      </c>
      <c r="C1345" s="5">
        <v>9.666998585E9</v>
      </c>
      <c r="G1345" s="5" t="s">
        <v>303</v>
      </c>
      <c r="H1345" s="5" t="s">
        <v>701</v>
      </c>
    </row>
    <row r="1346">
      <c r="A1346" s="4">
        <v>45254.7622165625</v>
      </c>
      <c r="B1346" s="5" t="s">
        <v>1620</v>
      </c>
      <c r="C1346" s="5">
        <v>9.99905996E9</v>
      </c>
      <c r="E1346" s="5" t="s">
        <v>227</v>
      </c>
      <c r="G1346" s="5" t="s">
        <v>303</v>
      </c>
      <c r="H1346" s="5" t="s">
        <v>706</v>
      </c>
    </row>
    <row r="1347">
      <c r="A1347" s="4">
        <v>45254.763773125</v>
      </c>
      <c r="B1347" s="5" t="s">
        <v>1621</v>
      </c>
      <c r="C1347" s="5">
        <v>8.851638279E9</v>
      </c>
      <c r="G1347" s="5" t="s">
        <v>303</v>
      </c>
      <c r="H1347" s="5" t="s">
        <v>701</v>
      </c>
    </row>
    <row r="1348">
      <c r="A1348" s="4">
        <v>45254.76400491898</v>
      </c>
      <c r="B1348" s="5" t="s">
        <v>1224</v>
      </c>
      <c r="C1348" s="5">
        <v>9.718800973E9</v>
      </c>
      <c r="G1348" s="5" t="s">
        <v>303</v>
      </c>
      <c r="H1348" s="5" t="s">
        <v>701</v>
      </c>
    </row>
    <row r="1349">
      <c r="A1349" s="4">
        <v>45254.767486770834</v>
      </c>
      <c r="B1349" s="5" t="s">
        <v>1081</v>
      </c>
      <c r="C1349" s="5">
        <v>9.650353762E9</v>
      </c>
      <c r="G1349" s="5" t="s">
        <v>303</v>
      </c>
      <c r="H1349" s="5" t="s">
        <v>701</v>
      </c>
    </row>
    <row r="1350">
      <c r="A1350" s="4">
        <v>45254.768464479166</v>
      </c>
      <c r="B1350" s="5" t="s">
        <v>1622</v>
      </c>
      <c r="C1350" s="5">
        <v>9.958349947E9</v>
      </c>
      <c r="E1350" s="5" t="s">
        <v>1623</v>
      </c>
      <c r="G1350" s="5" t="s">
        <v>303</v>
      </c>
      <c r="H1350" s="5" t="s">
        <v>706</v>
      </c>
    </row>
    <row r="1351">
      <c r="A1351" s="4">
        <v>45254.769636736106</v>
      </c>
      <c r="B1351" s="5" t="s">
        <v>1624</v>
      </c>
      <c r="C1351" s="5">
        <v>9.969623776E9</v>
      </c>
      <c r="E1351" s="5" t="s">
        <v>481</v>
      </c>
      <c r="G1351" s="5" t="s">
        <v>303</v>
      </c>
      <c r="H1351" s="5" t="s">
        <v>706</v>
      </c>
    </row>
    <row r="1352">
      <c r="A1352" s="4">
        <v>45254.77062481482</v>
      </c>
      <c r="B1352" s="5" t="s">
        <v>1625</v>
      </c>
      <c r="C1352" s="5">
        <v>9.81066177E9</v>
      </c>
      <c r="E1352" s="5" t="s">
        <v>769</v>
      </c>
      <c r="G1352" s="5" t="s">
        <v>303</v>
      </c>
      <c r="H1352" s="5" t="s">
        <v>706</v>
      </c>
    </row>
    <row r="1353">
      <c r="A1353" s="4">
        <v>45254.77341497685</v>
      </c>
      <c r="B1353" s="5" t="s">
        <v>1626</v>
      </c>
      <c r="C1353" s="5">
        <v>9.696444434E9</v>
      </c>
      <c r="E1353" s="5" t="s">
        <v>15</v>
      </c>
      <c r="G1353" s="5" t="s">
        <v>303</v>
      </c>
      <c r="H1353" s="5" t="s">
        <v>706</v>
      </c>
    </row>
    <row r="1354">
      <c r="A1354" s="4">
        <v>45254.77821423611</v>
      </c>
      <c r="B1354" s="5" t="s">
        <v>1627</v>
      </c>
      <c r="C1354" s="5">
        <v>7.011006021E9</v>
      </c>
      <c r="G1354" s="5" t="s">
        <v>303</v>
      </c>
      <c r="H1354" s="5" t="s">
        <v>701</v>
      </c>
    </row>
    <row r="1355">
      <c r="A1355" s="4">
        <v>45254.780198113425</v>
      </c>
      <c r="B1355" s="5" t="s">
        <v>949</v>
      </c>
      <c r="C1355" s="5">
        <v>9.812980505E9</v>
      </c>
      <c r="E1355" s="5" t="s">
        <v>71</v>
      </c>
      <c r="G1355" s="5" t="s">
        <v>303</v>
      </c>
      <c r="H1355" s="5" t="s">
        <v>706</v>
      </c>
    </row>
    <row r="1356">
      <c r="A1356" s="4">
        <v>45254.780757037035</v>
      </c>
      <c r="B1356" s="5" t="s">
        <v>379</v>
      </c>
      <c r="C1356" s="5">
        <v>8.595674002E9</v>
      </c>
      <c r="G1356" s="5" t="s">
        <v>303</v>
      </c>
      <c r="H1356" s="5" t="s">
        <v>701</v>
      </c>
    </row>
    <row r="1357">
      <c r="A1357" s="4">
        <v>45254.78113506944</v>
      </c>
      <c r="B1357" s="5" t="s">
        <v>1628</v>
      </c>
      <c r="C1357" s="5">
        <v>9.59958111E9</v>
      </c>
      <c r="G1357" s="5" t="s">
        <v>303</v>
      </c>
      <c r="H1357" s="5" t="s">
        <v>701</v>
      </c>
    </row>
    <row r="1358">
      <c r="A1358" s="4">
        <v>45254.79763783565</v>
      </c>
      <c r="B1358" s="5" t="s">
        <v>1629</v>
      </c>
      <c r="C1358" s="5">
        <v>8.448914935E9</v>
      </c>
      <c r="G1358" s="5" t="s">
        <v>303</v>
      </c>
      <c r="H1358" s="5" t="s">
        <v>701</v>
      </c>
    </row>
    <row r="1359">
      <c r="A1359" s="4">
        <v>45254.799575729165</v>
      </c>
      <c r="B1359" s="5" t="s">
        <v>1630</v>
      </c>
      <c r="C1359" s="5">
        <v>8.920817335E9</v>
      </c>
      <c r="E1359" s="5" t="s">
        <v>227</v>
      </c>
      <c r="G1359" s="5" t="s">
        <v>303</v>
      </c>
      <c r="H1359" s="5" t="s">
        <v>706</v>
      </c>
    </row>
    <row r="1360">
      <c r="A1360" s="4">
        <v>45254.8074716088</v>
      </c>
      <c r="B1360" s="5" t="s">
        <v>1631</v>
      </c>
      <c r="C1360" s="5">
        <v>9.811490885E9</v>
      </c>
      <c r="G1360" s="5" t="s">
        <v>303</v>
      </c>
      <c r="H1360" s="5" t="s">
        <v>706</v>
      </c>
    </row>
    <row r="1361">
      <c r="A1361" s="4">
        <v>45254.808191516204</v>
      </c>
      <c r="B1361" s="5" t="s">
        <v>1632</v>
      </c>
      <c r="C1361" s="5">
        <v>9.250839231E9</v>
      </c>
      <c r="G1361" s="5" t="s">
        <v>303</v>
      </c>
      <c r="H1361" s="5" t="s">
        <v>701</v>
      </c>
    </row>
    <row r="1362">
      <c r="A1362" s="4">
        <v>45254.808490613425</v>
      </c>
      <c r="B1362" s="5" t="s">
        <v>1042</v>
      </c>
      <c r="C1362" s="5">
        <v>8.076223655E9</v>
      </c>
      <c r="G1362" s="5" t="s">
        <v>303</v>
      </c>
      <c r="H1362" s="5" t="s">
        <v>701</v>
      </c>
    </row>
    <row r="1363">
      <c r="A1363" s="4">
        <v>45254.81061115741</v>
      </c>
      <c r="B1363" s="5" t="s">
        <v>1633</v>
      </c>
      <c r="C1363" s="5">
        <v>9.999178E9</v>
      </c>
      <c r="G1363" s="5" t="s">
        <v>303</v>
      </c>
      <c r="H1363" s="5" t="s">
        <v>701</v>
      </c>
    </row>
    <row r="1364">
      <c r="A1364" s="4">
        <v>45255.45894142361</v>
      </c>
      <c r="B1364" s="5" t="s">
        <v>1634</v>
      </c>
      <c r="C1364" s="5">
        <v>7.988178532E9</v>
      </c>
      <c r="E1364" s="5" t="s">
        <v>1635</v>
      </c>
      <c r="G1364" s="5" t="s">
        <v>289</v>
      </c>
      <c r="H1364" s="5" t="s">
        <v>706</v>
      </c>
    </row>
    <row r="1365">
      <c r="A1365" s="4">
        <v>45255.47336011574</v>
      </c>
      <c r="B1365" s="5" t="s">
        <v>1032</v>
      </c>
      <c r="C1365" s="5">
        <v>7.060730078E9</v>
      </c>
      <c r="G1365" s="5" t="s">
        <v>303</v>
      </c>
      <c r="H1365" s="5" t="s">
        <v>701</v>
      </c>
    </row>
    <row r="1366">
      <c r="A1366" s="4">
        <v>45255.475734085645</v>
      </c>
      <c r="B1366" s="5" t="s">
        <v>1636</v>
      </c>
      <c r="C1366" s="5">
        <v>9.818748273E9</v>
      </c>
      <c r="G1366" s="5" t="s">
        <v>303</v>
      </c>
      <c r="H1366" s="5" t="s">
        <v>701</v>
      </c>
    </row>
    <row r="1367">
      <c r="A1367" s="4">
        <v>45255.47696861111</v>
      </c>
      <c r="B1367" s="5" t="s">
        <v>1435</v>
      </c>
      <c r="C1367" s="5">
        <v>8.948904461E9</v>
      </c>
      <c r="G1367" s="5" t="s">
        <v>303</v>
      </c>
      <c r="H1367" s="5" t="s">
        <v>701</v>
      </c>
    </row>
    <row r="1368">
      <c r="A1368" s="4">
        <v>45255.50191072917</v>
      </c>
      <c r="B1368" s="5" t="s">
        <v>1637</v>
      </c>
      <c r="C1368" s="5">
        <v>9.311972803E9</v>
      </c>
      <c r="G1368" s="5" t="s">
        <v>303</v>
      </c>
      <c r="H1368" s="5" t="s">
        <v>706</v>
      </c>
    </row>
    <row r="1369">
      <c r="A1369" s="4">
        <v>45255.50681237268</v>
      </c>
      <c r="B1369" s="5" t="s">
        <v>1638</v>
      </c>
      <c r="C1369" s="5">
        <v>9.654848666E9</v>
      </c>
      <c r="G1369" s="5" t="s">
        <v>303</v>
      </c>
      <c r="H1369" s="5" t="s">
        <v>701</v>
      </c>
    </row>
    <row r="1370">
      <c r="A1370" s="4">
        <v>45255.508059583335</v>
      </c>
      <c r="B1370" s="5" t="s">
        <v>1438</v>
      </c>
      <c r="C1370" s="5">
        <v>9.667343071E9</v>
      </c>
      <c r="E1370" s="5" t="s">
        <v>21</v>
      </c>
      <c r="G1370" s="5" t="s">
        <v>303</v>
      </c>
      <c r="H1370" s="5" t="s">
        <v>706</v>
      </c>
    </row>
    <row r="1371">
      <c r="A1371" s="4">
        <v>45255.508399178245</v>
      </c>
      <c r="B1371" s="5" t="s">
        <v>1639</v>
      </c>
      <c r="C1371" s="5">
        <v>9.667733189E9</v>
      </c>
      <c r="E1371" s="5" t="s">
        <v>79</v>
      </c>
      <c r="G1371" s="5" t="s">
        <v>303</v>
      </c>
      <c r="H1371" s="5" t="s">
        <v>706</v>
      </c>
    </row>
    <row r="1372">
      <c r="A1372" s="4">
        <v>45255.50922305556</v>
      </c>
      <c r="B1372" s="5" t="s">
        <v>1640</v>
      </c>
      <c r="C1372" s="5">
        <v>9.953501321E9</v>
      </c>
      <c r="E1372" s="5" t="s">
        <v>1641</v>
      </c>
      <c r="G1372" s="5" t="s">
        <v>303</v>
      </c>
      <c r="H1372" s="5" t="s">
        <v>706</v>
      </c>
    </row>
    <row r="1373">
      <c r="A1373" s="4">
        <v>45255.5120694213</v>
      </c>
      <c r="B1373" s="5" t="s">
        <v>1642</v>
      </c>
      <c r="C1373" s="5">
        <v>9.588179734E9</v>
      </c>
      <c r="G1373" s="5" t="s">
        <v>303</v>
      </c>
      <c r="H1373" s="5" t="s">
        <v>701</v>
      </c>
    </row>
    <row r="1374">
      <c r="A1374" s="4">
        <v>45255.51236601852</v>
      </c>
      <c r="B1374" s="5" t="s">
        <v>1643</v>
      </c>
      <c r="C1374" s="5">
        <v>7.404884976E9</v>
      </c>
      <c r="G1374" s="5" t="s">
        <v>303</v>
      </c>
      <c r="H1374" s="5" t="s">
        <v>701</v>
      </c>
    </row>
    <row r="1375">
      <c r="A1375" s="4">
        <v>45255.512483611106</v>
      </c>
      <c r="B1375" s="5" t="s">
        <v>1644</v>
      </c>
      <c r="C1375" s="5">
        <v>8.92946073E9</v>
      </c>
      <c r="E1375" s="5" t="s">
        <v>1645</v>
      </c>
      <c r="G1375" s="5" t="s">
        <v>303</v>
      </c>
      <c r="H1375" s="5" t="s">
        <v>706</v>
      </c>
    </row>
    <row r="1376">
      <c r="A1376" s="4">
        <v>45255.514532870366</v>
      </c>
      <c r="B1376" s="5" t="s">
        <v>1646</v>
      </c>
      <c r="C1376" s="5">
        <v>9.818858899E9</v>
      </c>
      <c r="G1376" s="5" t="s">
        <v>303</v>
      </c>
      <c r="H1376" s="5" t="s">
        <v>701</v>
      </c>
    </row>
    <row r="1377">
      <c r="A1377" s="4">
        <v>45255.52529658565</v>
      </c>
      <c r="B1377" s="5" t="s">
        <v>1647</v>
      </c>
      <c r="C1377" s="5">
        <v>9.212718715E9</v>
      </c>
      <c r="G1377" s="5" t="s">
        <v>303</v>
      </c>
      <c r="H1377" s="5" t="s">
        <v>701</v>
      </c>
    </row>
    <row r="1378">
      <c r="A1378" s="4">
        <v>45255.52767596065</v>
      </c>
      <c r="B1378" s="5" t="s">
        <v>1208</v>
      </c>
      <c r="C1378" s="5">
        <v>9.968425663E9</v>
      </c>
      <c r="G1378" s="5" t="s">
        <v>303</v>
      </c>
      <c r="H1378" s="5" t="s">
        <v>701</v>
      </c>
    </row>
    <row r="1379">
      <c r="A1379" s="4">
        <v>45255.52796</v>
      </c>
      <c r="B1379" s="5" t="s">
        <v>1648</v>
      </c>
      <c r="C1379" s="5">
        <v>9.555625987E9</v>
      </c>
      <c r="G1379" s="5" t="s">
        <v>303</v>
      </c>
      <c r="H1379" s="5" t="s">
        <v>701</v>
      </c>
    </row>
    <row r="1380">
      <c r="A1380" s="4">
        <v>45255.52833109954</v>
      </c>
      <c r="B1380" s="5" t="s">
        <v>1648</v>
      </c>
      <c r="C1380" s="5">
        <v>9.354474284E9</v>
      </c>
      <c r="G1380" s="5" t="s">
        <v>303</v>
      </c>
      <c r="H1380" s="5" t="s">
        <v>701</v>
      </c>
    </row>
    <row r="1381">
      <c r="A1381" s="4">
        <v>45255.531469444446</v>
      </c>
      <c r="B1381" s="5" t="s">
        <v>1649</v>
      </c>
      <c r="C1381" s="5">
        <v>9.311791238E9</v>
      </c>
      <c r="G1381" s="5" t="s">
        <v>303</v>
      </c>
      <c r="H1381" s="5" t="s">
        <v>701</v>
      </c>
    </row>
    <row r="1382">
      <c r="A1382" s="4">
        <v>45255.533497638884</v>
      </c>
      <c r="B1382" s="5" t="s">
        <v>1650</v>
      </c>
      <c r="C1382" s="5">
        <v>7.988203631E9</v>
      </c>
      <c r="G1382" s="5" t="s">
        <v>303</v>
      </c>
      <c r="H1382" s="5" t="s">
        <v>701</v>
      </c>
    </row>
    <row r="1383">
      <c r="A1383" s="4">
        <v>45255.53380034722</v>
      </c>
      <c r="B1383" s="5" t="s">
        <v>1651</v>
      </c>
      <c r="C1383" s="5">
        <v>9.31000913E9</v>
      </c>
      <c r="G1383" s="5" t="s">
        <v>303</v>
      </c>
      <c r="H1383" s="5" t="s">
        <v>701</v>
      </c>
    </row>
    <row r="1384">
      <c r="A1384" s="4">
        <v>45255.539604502315</v>
      </c>
      <c r="B1384" s="5" t="s">
        <v>1652</v>
      </c>
      <c r="C1384" s="5">
        <v>9.555970751E9</v>
      </c>
      <c r="G1384" s="5" t="s">
        <v>303</v>
      </c>
      <c r="H1384" s="5" t="s">
        <v>701</v>
      </c>
    </row>
    <row r="1385">
      <c r="A1385" s="4">
        <v>45255.54014052083</v>
      </c>
      <c r="B1385" s="5" t="s">
        <v>1653</v>
      </c>
      <c r="C1385" s="5">
        <v>9.555970751E9</v>
      </c>
      <c r="G1385" s="5" t="s">
        <v>303</v>
      </c>
      <c r="H1385" s="5" t="s">
        <v>701</v>
      </c>
    </row>
    <row r="1386">
      <c r="A1386" s="4">
        <v>45255.54035484954</v>
      </c>
      <c r="B1386" s="5" t="s">
        <v>432</v>
      </c>
      <c r="C1386" s="5">
        <v>9.315702203E9</v>
      </c>
      <c r="G1386" s="5" t="s">
        <v>303</v>
      </c>
      <c r="H1386" s="5" t="s">
        <v>701</v>
      </c>
    </row>
    <row r="1387">
      <c r="A1387" s="4">
        <v>45255.54053825232</v>
      </c>
      <c r="B1387" s="5" t="s">
        <v>1654</v>
      </c>
      <c r="C1387" s="5">
        <v>9.811746666E9</v>
      </c>
      <c r="E1387" s="5" t="s">
        <v>1655</v>
      </c>
      <c r="G1387" s="5" t="s">
        <v>303</v>
      </c>
      <c r="H1387" s="5" t="s">
        <v>706</v>
      </c>
    </row>
    <row r="1388">
      <c r="A1388" s="4">
        <v>45255.540804421296</v>
      </c>
      <c r="B1388" s="5" t="s">
        <v>1656</v>
      </c>
      <c r="C1388" s="5">
        <v>7.048987553E9</v>
      </c>
      <c r="G1388" s="5" t="s">
        <v>303</v>
      </c>
      <c r="H1388" s="5" t="s">
        <v>701</v>
      </c>
    </row>
    <row r="1389">
      <c r="A1389" s="4">
        <v>45255.54212388889</v>
      </c>
      <c r="B1389" s="5" t="s">
        <v>1657</v>
      </c>
      <c r="C1389" s="5">
        <v>7.906846072E9</v>
      </c>
      <c r="G1389" s="5" t="s">
        <v>303</v>
      </c>
      <c r="H1389" s="5" t="s">
        <v>701</v>
      </c>
    </row>
    <row r="1390">
      <c r="A1390" s="4">
        <v>45255.54245759259</v>
      </c>
      <c r="B1390" s="5" t="s">
        <v>173</v>
      </c>
      <c r="C1390" s="5">
        <v>8.368158627E9</v>
      </c>
      <c r="G1390" s="5" t="s">
        <v>303</v>
      </c>
      <c r="H1390" s="5" t="s">
        <v>701</v>
      </c>
    </row>
    <row r="1391">
      <c r="A1391" s="4">
        <v>45255.54280888889</v>
      </c>
      <c r="B1391" s="5" t="s">
        <v>1658</v>
      </c>
      <c r="C1391" s="5">
        <v>8.368158627E9</v>
      </c>
      <c r="E1391" s="5" t="s">
        <v>1659</v>
      </c>
      <c r="G1391" s="5" t="s">
        <v>303</v>
      </c>
      <c r="H1391" s="5" t="s">
        <v>706</v>
      </c>
    </row>
    <row r="1392">
      <c r="A1392" s="4">
        <v>45255.55186961805</v>
      </c>
      <c r="B1392" s="5" t="s">
        <v>1660</v>
      </c>
      <c r="C1392" s="5">
        <v>9.991119396E9</v>
      </c>
      <c r="G1392" s="5" t="s">
        <v>303</v>
      </c>
      <c r="H1392" s="5" t="s">
        <v>701</v>
      </c>
    </row>
    <row r="1393">
      <c r="A1393" s="4">
        <v>45255.552617291665</v>
      </c>
      <c r="B1393" s="5" t="s">
        <v>1661</v>
      </c>
      <c r="C1393" s="5">
        <v>9.911003114E9</v>
      </c>
      <c r="G1393" s="5" t="s">
        <v>303</v>
      </c>
      <c r="H1393" s="5" t="s">
        <v>701</v>
      </c>
    </row>
    <row r="1394">
      <c r="A1394" s="4">
        <v>45255.558426585645</v>
      </c>
      <c r="B1394" s="5" t="s">
        <v>1662</v>
      </c>
      <c r="C1394" s="5">
        <v>9.953037817E9</v>
      </c>
      <c r="E1394" s="5" t="s">
        <v>1663</v>
      </c>
      <c r="G1394" s="5" t="s">
        <v>303</v>
      </c>
      <c r="H1394" s="5" t="s">
        <v>706</v>
      </c>
    </row>
    <row r="1395">
      <c r="A1395" s="4">
        <v>45255.56405306713</v>
      </c>
      <c r="B1395" s="5" t="s">
        <v>1664</v>
      </c>
      <c r="C1395" s="5">
        <v>7.01124844E9</v>
      </c>
      <c r="E1395" s="5" t="s">
        <v>15</v>
      </c>
      <c r="G1395" s="5" t="s">
        <v>303</v>
      </c>
      <c r="H1395" s="5" t="s">
        <v>706</v>
      </c>
    </row>
    <row r="1396">
      <c r="A1396" s="4">
        <v>45255.56434641204</v>
      </c>
      <c r="B1396" s="5" t="s">
        <v>1665</v>
      </c>
      <c r="C1396" s="5">
        <v>9.250156086E9</v>
      </c>
      <c r="G1396" s="5" t="s">
        <v>303</v>
      </c>
      <c r="H1396" s="5" t="s">
        <v>701</v>
      </c>
    </row>
    <row r="1397">
      <c r="A1397" s="4">
        <v>45255.56666172454</v>
      </c>
      <c r="B1397" s="5" t="s">
        <v>726</v>
      </c>
      <c r="C1397" s="5">
        <v>9.315791897E9</v>
      </c>
      <c r="G1397" s="5" t="s">
        <v>303</v>
      </c>
      <c r="H1397" s="5" t="s">
        <v>701</v>
      </c>
    </row>
    <row r="1398">
      <c r="A1398" s="4">
        <v>45255.57175452546</v>
      </c>
      <c r="B1398" s="5" t="s">
        <v>1666</v>
      </c>
      <c r="C1398" s="5">
        <v>9.871778139E9</v>
      </c>
      <c r="E1398" s="5" t="s">
        <v>1667</v>
      </c>
      <c r="G1398" s="5" t="s">
        <v>303</v>
      </c>
      <c r="H1398" s="5" t="s">
        <v>706</v>
      </c>
    </row>
    <row r="1399">
      <c r="A1399" s="4">
        <v>45255.57209045139</v>
      </c>
      <c r="B1399" s="5" t="s">
        <v>1234</v>
      </c>
      <c r="C1399" s="5">
        <v>9.560453601E9</v>
      </c>
      <c r="E1399" s="5" t="s">
        <v>15</v>
      </c>
      <c r="G1399" s="5" t="s">
        <v>303</v>
      </c>
      <c r="H1399" s="5" t="s">
        <v>706</v>
      </c>
    </row>
    <row r="1400">
      <c r="A1400" s="4">
        <v>45255.57276607639</v>
      </c>
      <c r="B1400" s="5" t="s">
        <v>1668</v>
      </c>
      <c r="C1400" s="5">
        <v>9.340152367E9</v>
      </c>
      <c r="G1400" s="5" t="s">
        <v>303</v>
      </c>
      <c r="H1400" s="5" t="s">
        <v>701</v>
      </c>
    </row>
    <row r="1401">
      <c r="A1401" s="4">
        <v>45255.57472041667</v>
      </c>
      <c r="B1401" s="5" t="s">
        <v>1669</v>
      </c>
      <c r="C1401" s="5">
        <v>9.837156243E9</v>
      </c>
      <c r="G1401" s="5" t="s">
        <v>303</v>
      </c>
      <c r="H1401" s="5" t="s">
        <v>706</v>
      </c>
    </row>
    <row r="1402">
      <c r="A1402" s="4">
        <v>45255.57858114583</v>
      </c>
      <c r="B1402" s="5" t="s">
        <v>421</v>
      </c>
      <c r="C1402" s="5">
        <v>9.8110977E9</v>
      </c>
      <c r="E1402" s="5" t="s">
        <v>1645</v>
      </c>
      <c r="G1402" s="5" t="s">
        <v>303</v>
      </c>
      <c r="H1402" s="5" t="s">
        <v>706</v>
      </c>
    </row>
    <row r="1403">
      <c r="A1403" s="4">
        <v>45255.58048590278</v>
      </c>
      <c r="B1403" s="5" t="s">
        <v>1353</v>
      </c>
      <c r="C1403" s="5">
        <v>9.810826712E9</v>
      </c>
      <c r="G1403" s="5" t="s">
        <v>303</v>
      </c>
      <c r="H1403" s="5" t="s">
        <v>701</v>
      </c>
    </row>
    <row r="1404">
      <c r="A1404" s="4">
        <v>45255.581619606484</v>
      </c>
      <c r="B1404" s="5" t="s">
        <v>1670</v>
      </c>
      <c r="C1404" s="5">
        <v>9.643594967E9</v>
      </c>
      <c r="G1404" s="5" t="s">
        <v>303</v>
      </c>
      <c r="H1404" s="5" t="s">
        <v>706</v>
      </c>
    </row>
    <row r="1405">
      <c r="A1405" s="4">
        <v>45255.583606458335</v>
      </c>
      <c r="B1405" s="5" t="s">
        <v>1671</v>
      </c>
      <c r="C1405" s="5">
        <v>9.803199031E9</v>
      </c>
      <c r="G1405" s="5" t="s">
        <v>303</v>
      </c>
      <c r="H1405" s="5" t="s">
        <v>701</v>
      </c>
    </row>
    <row r="1406">
      <c r="A1406" s="4">
        <v>45255.586375625004</v>
      </c>
      <c r="B1406" s="5" t="s">
        <v>541</v>
      </c>
      <c r="C1406" s="5">
        <v>8.527761717E9</v>
      </c>
      <c r="E1406" s="5" t="s">
        <v>424</v>
      </c>
      <c r="G1406" s="5" t="s">
        <v>303</v>
      </c>
      <c r="H1406" s="5" t="s">
        <v>706</v>
      </c>
    </row>
    <row r="1407">
      <c r="A1407" s="4">
        <v>45255.586699548614</v>
      </c>
      <c r="B1407" s="5" t="s">
        <v>1672</v>
      </c>
      <c r="C1407" s="5">
        <v>8.130088575E9</v>
      </c>
      <c r="E1407" s="5" t="s">
        <v>15</v>
      </c>
      <c r="G1407" s="5" t="s">
        <v>303</v>
      </c>
      <c r="H1407" s="5" t="s">
        <v>706</v>
      </c>
    </row>
    <row r="1408">
      <c r="A1408" s="4">
        <v>45255.58790278935</v>
      </c>
      <c r="B1408" s="5" t="s">
        <v>1673</v>
      </c>
      <c r="C1408" s="5">
        <v>9.759210097E9</v>
      </c>
      <c r="G1408" s="5" t="s">
        <v>303</v>
      </c>
      <c r="H1408" s="5" t="s">
        <v>701</v>
      </c>
    </row>
    <row r="1409">
      <c r="A1409" s="4">
        <v>45255.588207430555</v>
      </c>
      <c r="B1409" s="5" t="s">
        <v>1674</v>
      </c>
      <c r="C1409" s="5">
        <v>8.447055018E9</v>
      </c>
      <c r="E1409" s="5" t="s">
        <v>1675</v>
      </c>
      <c r="G1409" s="5" t="s">
        <v>303</v>
      </c>
      <c r="H1409" s="5" t="s">
        <v>706</v>
      </c>
    </row>
    <row r="1410">
      <c r="A1410" s="4">
        <v>45255.59681482639</v>
      </c>
      <c r="B1410" s="5" t="s">
        <v>1676</v>
      </c>
      <c r="C1410" s="5">
        <v>9.928539646E9</v>
      </c>
      <c r="G1410" s="5" t="s">
        <v>303</v>
      </c>
      <c r="H1410" s="5" t="s">
        <v>701</v>
      </c>
    </row>
    <row r="1411">
      <c r="A1411" s="4">
        <v>45255.59730554398</v>
      </c>
      <c r="B1411" s="5" t="s">
        <v>1677</v>
      </c>
      <c r="C1411" s="5">
        <v>9.65454491E9</v>
      </c>
      <c r="G1411" s="5" t="s">
        <v>303</v>
      </c>
      <c r="H1411" s="5" t="s">
        <v>701</v>
      </c>
    </row>
    <row r="1412">
      <c r="A1412" s="4">
        <v>45255.600489652774</v>
      </c>
      <c r="B1412" s="5" t="s">
        <v>61</v>
      </c>
      <c r="C1412" s="5">
        <v>9.540071893E9</v>
      </c>
      <c r="E1412" s="5" t="s">
        <v>15</v>
      </c>
      <c r="G1412" s="5" t="s">
        <v>303</v>
      </c>
      <c r="H1412" s="5" t="s">
        <v>706</v>
      </c>
    </row>
    <row r="1413">
      <c r="A1413" s="4">
        <v>45255.60461094907</v>
      </c>
      <c r="B1413" s="5" t="s">
        <v>1678</v>
      </c>
      <c r="C1413" s="5">
        <v>9.91076026E9</v>
      </c>
      <c r="E1413" s="5" t="s">
        <v>79</v>
      </c>
      <c r="G1413" s="5" t="s">
        <v>303</v>
      </c>
      <c r="H1413" s="5" t="s">
        <v>706</v>
      </c>
    </row>
    <row r="1414">
      <c r="A1414" s="4">
        <v>45255.60485876157</v>
      </c>
      <c r="B1414" s="5" t="s">
        <v>1679</v>
      </c>
      <c r="C1414" s="5">
        <v>9.958326169E9</v>
      </c>
      <c r="E1414" s="5" t="s">
        <v>79</v>
      </c>
      <c r="G1414" s="5" t="s">
        <v>303</v>
      </c>
      <c r="H1414" s="5" t="s">
        <v>706</v>
      </c>
    </row>
    <row r="1415">
      <c r="A1415" s="4">
        <v>45255.605225844905</v>
      </c>
      <c r="B1415" s="5" t="s">
        <v>1680</v>
      </c>
      <c r="C1415" s="5">
        <v>9.958325881E9</v>
      </c>
      <c r="G1415" s="5" t="s">
        <v>303</v>
      </c>
      <c r="H1415" s="5" t="s">
        <v>701</v>
      </c>
    </row>
    <row r="1416">
      <c r="A1416" s="4">
        <v>45255.61073773148</v>
      </c>
      <c r="B1416" s="5" t="s">
        <v>1681</v>
      </c>
      <c r="C1416" s="5">
        <v>9.26640961E9</v>
      </c>
      <c r="G1416" s="5" t="s">
        <v>303</v>
      </c>
      <c r="H1416" s="5" t="s">
        <v>706</v>
      </c>
    </row>
    <row r="1417">
      <c r="A1417" s="4">
        <v>45255.61586896991</v>
      </c>
      <c r="B1417" s="5" t="s">
        <v>1682</v>
      </c>
      <c r="C1417" s="5">
        <v>7.838644289E9</v>
      </c>
      <c r="G1417" s="5" t="s">
        <v>303</v>
      </c>
      <c r="H1417" s="5" t="s">
        <v>701</v>
      </c>
    </row>
    <row r="1418">
      <c r="A1418" s="4">
        <v>45255.61714912037</v>
      </c>
      <c r="B1418" s="5" t="s">
        <v>1683</v>
      </c>
      <c r="C1418" s="5">
        <v>7.888366009E9</v>
      </c>
      <c r="G1418" s="5" t="s">
        <v>303</v>
      </c>
      <c r="H1418" s="5" t="s">
        <v>701</v>
      </c>
    </row>
    <row r="1419">
      <c r="A1419" s="4">
        <v>45255.61778606482</v>
      </c>
      <c r="B1419" s="5" t="s">
        <v>1684</v>
      </c>
      <c r="C1419" s="5">
        <v>9.599725628E9</v>
      </c>
      <c r="G1419" s="5" t="s">
        <v>303</v>
      </c>
      <c r="H1419" s="5" t="s">
        <v>701</v>
      </c>
    </row>
    <row r="1420">
      <c r="A1420" s="4">
        <v>45255.61971269676</v>
      </c>
      <c r="B1420" s="5" t="s">
        <v>1685</v>
      </c>
      <c r="C1420" s="5">
        <v>9.811995214E9</v>
      </c>
      <c r="G1420" s="5" t="s">
        <v>303</v>
      </c>
      <c r="H1420" s="5" t="s">
        <v>701</v>
      </c>
    </row>
    <row r="1421">
      <c r="A1421" s="4">
        <v>45255.61996149305</v>
      </c>
      <c r="B1421" s="5" t="s">
        <v>1686</v>
      </c>
      <c r="C1421" s="5">
        <v>8.510097787E9</v>
      </c>
      <c r="G1421" s="5" t="s">
        <v>303</v>
      </c>
      <c r="H1421" s="5" t="s">
        <v>701</v>
      </c>
    </row>
    <row r="1422">
      <c r="A1422" s="4">
        <v>45255.62073649306</v>
      </c>
      <c r="B1422" s="5" t="s">
        <v>1687</v>
      </c>
      <c r="C1422" s="5">
        <v>9.899663556E9</v>
      </c>
      <c r="G1422" s="5" t="s">
        <v>303</v>
      </c>
      <c r="H1422" s="5" t="s">
        <v>701</v>
      </c>
    </row>
    <row r="1423">
      <c r="A1423" s="4">
        <v>45255.6232387037</v>
      </c>
      <c r="B1423" s="5" t="s">
        <v>427</v>
      </c>
      <c r="C1423" s="5">
        <v>8.882691508E9</v>
      </c>
      <c r="G1423" s="5" t="s">
        <v>303</v>
      </c>
      <c r="H1423" s="5" t="s">
        <v>701</v>
      </c>
    </row>
    <row r="1424">
      <c r="A1424" s="4">
        <v>45255.62347268518</v>
      </c>
      <c r="B1424" s="5" t="s">
        <v>771</v>
      </c>
      <c r="C1424" s="5">
        <v>8.287837923E9</v>
      </c>
      <c r="G1424" s="5" t="s">
        <v>303</v>
      </c>
      <c r="H1424" s="5" t="s">
        <v>701</v>
      </c>
    </row>
    <row r="1425">
      <c r="A1425" s="4">
        <v>45255.62373131944</v>
      </c>
      <c r="B1425" s="5" t="s">
        <v>1688</v>
      </c>
      <c r="C1425" s="5">
        <v>9.306304224E9</v>
      </c>
      <c r="E1425" s="5" t="s">
        <v>79</v>
      </c>
      <c r="G1425" s="5" t="s">
        <v>303</v>
      </c>
      <c r="H1425" s="5" t="s">
        <v>706</v>
      </c>
    </row>
    <row r="1426">
      <c r="A1426" s="4">
        <v>45255.62396982639</v>
      </c>
      <c r="B1426" s="5" t="s">
        <v>1689</v>
      </c>
      <c r="C1426" s="5">
        <v>7.988468118E9</v>
      </c>
      <c r="G1426" s="5" t="s">
        <v>303</v>
      </c>
      <c r="H1426" s="5" t="s">
        <v>701</v>
      </c>
    </row>
    <row r="1427">
      <c r="A1427" s="4">
        <v>45255.624187256944</v>
      </c>
      <c r="B1427" s="5" t="s">
        <v>1690</v>
      </c>
      <c r="C1427" s="5">
        <v>8.708614419E9</v>
      </c>
      <c r="E1427" s="5" t="s">
        <v>79</v>
      </c>
      <c r="G1427" s="5" t="s">
        <v>303</v>
      </c>
      <c r="H1427" s="5" t="s">
        <v>706</v>
      </c>
    </row>
    <row r="1428">
      <c r="A1428" s="4">
        <v>45255.62490340278</v>
      </c>
      <c r="B1428" s="5" t="s">
        <v>1691</v>
      </c>
      <c r="C1428" s="5">
        <v>9.971505665E9</v>
      </c>
      <c r="G1428" s="5" t="s">
        <v>303</v>
      </c>
      <c r="H1428" s="5" t="s">
        <v>701</v>
      </c>
    </row>
    <row r="1429">
      <c r="A1429" s="4">
        <v>45255.62637557871</v>
      </c>
      <c r="B1429" s="5" t="s">
        <v>709</v>
      </c>
      <c r="C1429" s="5">
        <v>9.990364427E9</v>
      </c>
      <c r="E1429" s="5" t="s">
        <v>79</v>
      </c>
      <c r="G1429" s="5" t="s">
        <v>303</v>
      </c>
      <c r="H1429" s="5" t="s">
        <v>706</v>
      </c>
    </row>
    <row r="1430">
      <c r="A1430" s="4">
        <v>45255.627864699076</v>
      </c>
      <c r="B1430" s="5" t="s">
        <v>1692</v>
      </c>
      <c r="C1430" s="5">
        <v>9.899240702E9</v>
      </c>
      <c r="E1430" s="5" t="s">
        <v>79</v>
      </c>
      <c r="G1430" s="5" t="s">
        <v>303</v>
      </c>
      <c r="H1430" s="5" t="s">
        <v>706</v>
      </c>
    </row>
    <row r="1431">
      <c r="A1431" s="4">
        <v>45255.628484189816</v>
      </c>
      <c r="B1431" s="5" t="s">
        <v>1693</v>
      </c>
      <c r="C1431" s="5">
        <v>9.560953821E9</v>
      </c>
      <c r="G1431" s="5" t="s">
        <v>303</v>
      </c>
      <c r="H1431" s="5" t="s">
        <v>701</v>
      </c>
    </row>
    <row r="1432">
      <c r="A1432" s="4">
        <v>45255.62855010417</v>
      </c>
      <c r="B1432" s="5" t="s">
        <v>1694</v>
      </c>
      <c r="C1432" s="5">
        <v>9.873008448E9</v>
      </c>
      <c r="G1432" s="5" t="s">
        <v>303</v>
      </c>
      <c r="H1432" s="5" t="s">
        <v>701</v>
      </c>
    </row>
    <row r="1433">
      <c r="A1433" s="4">
        <v>45255.62923344907</v>
      </c>
      <c r="B1433" s="5" t="s">
        <v>1695</v>
      </c>
      <c r="C1433" s="5">
        <v>7.836868011E9</v>
      </c>
      <c r="G1433" s="5" t="s">
        <v>303</v>
      </c>
      <c r="H1433" s="5" t="s">
        <v>701</v>
      </c>
    </row>
    <row r="1434">
      <c r="A1434" s="4">
        <v>45255.629458842595</v>
      </c>
      <c r="B1434" s="5" t="s">
        <v>1696</v>
      </c>
      <c r="C1434" s="5">
        <v>9.711898306E9</v>
      </c>
      <c r="G1434" s="5" t="s">
        <v>303</v>
      </c>
      <c r="H1434" s="5" t="s">
        <v>701</v>
      </c>
    </row>
    <row r="1435">
      <c r="A1435" s="4">
        <v>45255.631366284724</v>
      </c>
      <c r="B1435" s="5" t="s">
        <v>1697</v>
      </c>
      <c r="C1435" s="5">
        <v>7.83863071E9</v>
      </c>
      <c r="G1435" s="5" t="s">
        <v>303</v>
      </c>
      <c r="H1435" s="5" t="s">
        <v>701</v>
      </c>
    </row>
    <row r="1436">
      <c r="A1436" s="4">
        <v>45255.631828032405</v>
      </c>
      <c r="B1436" s="5" t="s">
        <v>826</v>
      </c>
      <c r="C1436" s="5">
        <v>9.037926768E9</v>
      </c>
      <c r="E1436" s="5" t="s">
        <v>1698</v>
      </c>
      <c r="G1436" s="5" t="s">
        <v>303</v>
      </c>
      <c r="H1436" s="5" t="s">
        <v>706</v>
      </c>
    </row>
    <row r="1437">
      <c r="A1437" s="4">
        <v>45255.63297877315</v>
      </c>
      <c r="B1437" s="5" t="s">
        <v>1699</v>
      </c>
      <c r="C1437" s="5">
        <v>9.999501179E9</v>
      </c>
      <c r="G1437" s="5" t="s">
        <v>303</v>
      </c>
      <c r="H1437" s="5" t="s">
        <v>706</v>
      </c>
    </row>
    <row r="1438">
      <c r="A1438" s="4">
        <v>45255.63609328704</v>
      </c>
      <c r="B1438" s="5" t="s">
        <v>1700</v>
      </c>
      <c r="C1438" s="5">
        <v>9.540022599E9</v>
      </c>
      <c r="E1438" s="5" t="s">
        <v>879</v>
      </c>
      <c r="G1438" s="5" t="s">
        <v>303</v>
      </c>
      <c r="H1438" s="5" t="s">
        <v>706</v>
      </c>
    </row>
    <row r="1439">
      <c r="A1439" s="4">
        <v>45255.63648184028</v>
      </c>
      <c r="B1439" s="5" t="s">
        <v>1701</v>
      </c>
      <c r="C1439" s="5">
        <v>7.678264566E9</v>
      </c>
      <c r="G1439" s="5" t="s">
        <v>303</v>
      </c>
      <c r="H1439" s="5" t="s">
        <v>701</v>
      </c>
    </row>
    <row r="1440">
      <c r="A1440" s="4">
        <v>45255.64258871527</v>
      </c>
      <c r="B1440" s="5" t="s">
        <v>914</v>
      </c>
      <c r="C1440" s="5">
        <v>9.212638429E9</v>
      </c>
      <c r="G1440" s="5" t="s">
        <v>303</v>
      </c>
      <c r="H1440" s="5" t="s">
        <v>701</v>
      </c>
    </row>
    <row r="1441">
      <c r="A1441" s="4">
        <v>45255.648775671296</v>
      </c>
      <c r="B1441" s="5" t="s">
        <v>1702</v>
      </c>
      <c r="C1441" s="5">
        <v>9.871568901E9</v>
      </c>
      <c r="G1441" s="5" t="s">
        <v>303</v>
      </c>
      <c r="H1441" s="5" t="s">
        <v>701</v>
      </c>
    </row>
    <row r="1442">
      <c r="A1442" s="4">
        <v>45255.65440155093</v>
      </c>
      <c r="B1442" s="5" t="s">
        <v>1703</v>
      </c>
      <c r="C1442" s="5">
        <v>9.868090839E9</v>
      </c>
      <c r="G1442" s="5" t="s">
        <v>303</v>
      </c>
      <c r="H1442" s="5" t="s">
        <v>701</v>
      </c>
    </row>
    <row r="1443">
      <c r="A1443" s="4">
        <v>45255.66066376158</v>
      </c>
      <c r="B1443" s="5" t="s">
        <v>1704</v>
      </c>
      <c r="C1443" s="5">
        <v>9.312030975E9</v>
      </c>
      <c r="E1443" s="5" t="s">
        <v>71</v>
      </c>
      <c r="G1443" s="5" t="s">
        <v>303</v>
      </c>
      <c r="H1443" s="5" t="s">
        <v>706</v>
      </c>
    </row>
    <row r="1444">
      <c r="A1444" s="4">
        <v>45255.66251711806</v>
      </c>
      <c r="B1444" s="5" t="s">
        <v>1705</v>
      </c>
      <c r="C1444" s="5">
        <v>9.953847907E9</v>
      </c>
      <c r="E1444" s="5" t="s">
        <v>71</v>
      </c>
      <c r="G1444" s="5" t="s">
        <v>303</v>
      </c>
      <c r="H1444" s="5" t="s">
        <v>706</v>
      </c>
    </row>
    <row r="1445">
      <c r="A1445" s="4">
        <v>45255.6627752662</v>
      </c>
      <c r="B1445" s="5" t="s">
        <v>1706</v>
      </c>
      <c r="C1445" s="5">
        <v>9.953037233E9</v>
      </c>
      <c r="E1445" s="5" t="s">
        <v>79</v>
      </c>
      <c r="G1445" s="5" t="s">
        <v>303</v>
      </c>
      <c r="H1445" s="5" t="s">
        <v>706</v>
      </c>
    </row>
    <row r="1446">
      <c r="A1446" s="4">
        <v>45255.66465695602</v>
      </c>
      <c r="B1446" s="5" t="s">
        <v>1477</v>
      </c>
      <c r="C1446" s="5">
        <v>8.007388788E9</v>
      </c>
      <c r="E1446" s="5" t="s">
        <v>15</v>
      </c>
      <c r="G1446" s="5" t="s">
        <v>303</v>
      </c>
      <c r="H1446" s="5" t="s">
        <v>706</v>
      </c>
    </row>
    <row r="1447">
      <c r="A1447" s="4">
        <v>45255.666495833335</v>
      </c>
      <c r="B1447" s="5" t="s">
        <v>1707</v>
      </c>
      <c r="C1447" s="5">
        <v>8.791733436E9</v>
      </c>
      <c r="E1447" s="5" t="s">
        <v>481</v>
      </c>
      <c r="G1447" s="5" t="s">
        <v>303</v>
      </c>
      <c r="H1447" s="5" t="s">
        <v>706</v>
      </c>
    </row>
    <row r="1448">
      <c r="A1448" s="4">
        <v>45255.6678197338</v>
      </c>
      <c r="B1448" s="5" t="s">
        <v>1131</v>
      </c>
      <c r="C1448" s="5">
        <v>9.785303247E9</v>
      </c>
      <c r="G1448" s="5" t="s">
        <v>303</v>
      </c>
      <c r="H1448" s="5" t="s">
        <v>701</v>
      </c>
    </row>
    <row r="1449">
      <c r="A1449" s="4">
        <v>45255.669854548614</v>
      </c>
      <c r="B1449" s="5" t="s">
        <v>1708</v>
      </c>
      <c r="C1449" s="5">
        <v>8.587049879E9</v>
      </c>
      <c r="G1449" s="5" t="s">
        <v>303</v>
      </c>
      <c r="H1449" s="5" t="s">
        <v>701</v>
      </c>
    </row>
    <row r="1450">
      <c r="A1450" s="4">
        <v>45255.67229454861</v>
      </c>
      <c r="B1450" s="5" t="s">
        <v>1709</v>
      </c>
      <c r="C1450" s="5">
        <v>9.334625619E9</v>
      </c>
      <c r="E1450" s="5" t="s">
        <v>227</v>
      </c>
      <c r="G1450" s="5" t="s">
        <v>303</v>
      </c>
      <c r="H1450" s="5" t="s">
        <v>706</v>
      </c>
    </row>
    <row r="1451">
      <c r="A1451" s="4">
        <v>45255.67252917824</v>
      </c>
      <c r="B1451" s="5" t="s">
        <v>1710</v>
      </c>
      <c r="C1451" s="5">
        <v>9.998428555E9</v>
      </c>
      <c r="F1451" s="7" t="s">
        <v>1711</v>
      </c>
      <c r="G1451" s="5" t="s">
        <v>303</v>
      </c>
      <c r="H1451" s="5" t="s">
        <v>706</v>
      </c>
    </row>
    <row r="1452">
      <c r="A1452" s="4">
        <v>45255.673449131944</v>
      </c>
      <c r="B1452" s="5" t="s">
        <v>1712</v>
      </c>
      <c r="C1452" s="5">
        <v>7.580809E9</v>
      </c>
      <c r="E1452" s="5" t="s">
        <v>79</v>
      </c>
      <c r="G1452" s="5" t="s">
        <v>303</v>
      </c>
      <c r="H1452" s="5" t="s">
        <v>706</v>
      </c>
    </row>
    <row r="1453">
      <c r="A1453" s="4">
        <v>45255.67676350694</v>
      </c>
      <c r="B1453" s="5" t="s">
        <v>813</v>
      </c>
      <c r="C1453" s="5">
        <v>8.595960542E9</v>
      </c>
      <c r="E1453" s="5" t="s">
        <v>1713</v>
      </c>
      <c r="G1453" s="5" t="s">
        <v>303</v>
      </c>
      <c r="H1453" s="5" t="s">
        <v>706</v>
      </c>
    </row>
    <row r="1454">
      <c r="A1454" s="4">
        <v>45255.68005313657</v>
      </c>
      <c r="B1454" s="5" t="s">
        <v>1714</v>
      </c>
      <c r="C1454" s="5">
        <v>8.700102983E9</v>
      </c>
      <c r="G1454" s="5" t="s">
        <v>303</v>
      </c>
      <c r="H1454" s="5" t="s">
        <v>706</v>
      </c>
    </row>
    <row r="1455">
      <c r="A1455" s="4">
        <v>45255.68655486111</v>
      </c>
      <c r="B1455" s="5" t="s">
        <v>1715</v>
      </c>
      <c r="C1455" s="5">
        <v>8.851063684E9</v>
      </c>
      <c r="G1455" s="5" t="s">
        <v>303</v>
      </c>
      <c r="H1455" s="5" t="s">
        <v>701</v>
      </c>
    </row>
    <row r="1456">
      <c r="A1456" s="4">
        <v>45255.688095289355</v>
      </c>
      <c r="B1456" s="5" t="s">
        <v>1716</v>
      </c>
      <c r="C1456" s="5">
        <v>9.117041121E9</v>
      </c>
      <c r="G1456" s="5" t="s">
        <v>303</v>
      </c>
      <c r="H1456" s="5" t="s">
        <v>701</v>
      </c>
    </row>
    <row r="1457">
      <c r="A1457" s="4">
        <v>45255.69124576389</v>
      </c>
      <c r="B1457" s="5" t="s">
        <v>1717</v>
      </c>
      <c r="C1457" s="5">
        <v>9.911038786E9</v>
      </c>
      <c r="G1457" s="5" t="s">
        <v>303</v>
      </c>
      <c r="H1457" s="5" t="s">
        <v>701</v>
      </c>
    </row>
    <row r="1458">
      <c r="A1458" s="4">
        <v>45255.69257247685</v>
      </c>
      <c r="B1458" s="5" t="s">
        <v>911</v>
      </c>
      <c r="C1458" s="5">
        <v>8.851342161E9</v>
      </c>
      <c r="G1458" s="5" t="s">
        <v>303</v>
      </c>
      <c r="H1458" s="5" t="s">
        <v>701</v>
      </c>
    </row>
    <row r="1459">
      <c r="A1459" s="4">
        <v>45255.69300402778</v>
      </c>
      <c r="B1459" s="5" t="s">
        <v>1087</v>
      </c>
      <c r="C1459" s="5">
        <v>9.873388293E9</v>
      </c>
      <c r="G1459" s="5" t="s">
        <v>303</v>
      </c>
      <c r="H1459" s="5" t="s">
        <v>701</v>
      </c>
    </row>
    <row r="1460">
      <c r="A1460" s="4">
        <v>45255.69554288195</v>
      </c>
      <c r="B1460" s="5" t="s">
        <v>1718</v>
      </c>
      <c r="C1460" s="5">
        <v>9.971586214E9</v>
      </c>
      <c r="E1460" s="5" t="s">
        <v>15</v>
      </c>
      <c r="G1460" s="5" t="s">
        <v>303</v>
      </c>
      <c r="H1460" s="5" t="s">
        <v>706</v>
      </c>
    </row>
    <row r="1461">
      <c r="A1461" s="4">
        <v>45255.696273761576</v>
      </c>
      <c r="B1461" s="5" t="s">
        <v>1382</v>
      </c>
      <c r="C1461" s="5">
        <v>7.011781738E9</v>
      </c>
      <c r="E1461" s="5" t="s">
        <v>1719</v>
      </c>
      <c r="G1461" s="5" t="s">
        <v>303</v>
      </c>
      <c r="H1461" s="5" t="s">
        <v>706</v>
      </c>
    </row>
    <row r="1462">
      <c r="A1462" s="4">
        <v>45255.69673553241</v>
      </c>
      <c r="B1462" s="5" t="s">
        <v>427</v>
      </c>
      <c r="C1462" s="5">
        <v>8.64100008E9</v>
      </c>
      <c r="G1462" s="5" t="s">
        <v>303</v>
      </c>
      <c r="H1462" s="5" t="s">
        <v>701</v>
      </c>
    </row>
    <row r="1463">
      <c r="A1463" s="4">
        <v>45255.70333145834</v>
      </c>
      <c r="B1463" s="5" t="s">
        <v>1720</v>
      </c>
      <c r="C1463" s="5">
        <v>9.818896326E9</v>
      </c>
      <c r="E1463" s="5" t="s">
        <v>39</v>
      </c>
      <c r="G1463" s="5" t="s">
        <v>303</v>
      </c>
      <c r="H1463" s="5" t="s">
        <v>706</v>
      </c>
    </row>
    <row r="1464">
      <c r="A1464" s="4">
        <v>45255.70505635417</v>
      </c>
      <c r="B1464" s="5" t="s">
        <v>1721</v>
      </c>
      <c r="C1464" s="5">
        <v>9.810699303E9</v>
      </c>
      <c r="G1464" s="5" t="s">
        <v>303</v>
      </c>
      <c r="H1464" s="5" t="s">
        <v>701</v>
      </c>
    </row>
    <row r="1465">
      <c r="A1465" s="4">
        <v>45255.71032189815</v>
      </c>
      <c r="B1465" s="5" t="s">
        <v>1722</v>
      </c>
      <c r="C1465" s="5">
        <v>9.667262908E9</v>
      </c>
      <c r="G1465" s="5" t="s">
        <v>303</v>
      </c>
      <c r="H1465" s="5" t="s">
        <v>701</v>
      </c>
    </row>
    <row r="1466">
      <c r="A1466" s="4">
        <v>45255.71386188657</v>
      </c>
      <c r="B1466" s="5" t="s">
        <v>1723</v>
      </c>
      <c r="C1466" s="5">
        <v>8.826628839E9</v>
      </c>
      <c r="E1466" s="5" t="s">
        <v>1724</v>
      </c>
      <c r="G1466" s="5" t="s">
        <v>303</v>
      </c>
      <c r="H1466" s="5" t="s">
        <v>706</v>
      </c>
    </row>
    <row r="1467">
      <c r="A1467" s="4">
        <v>45255.7195913426</v>
      </c>
      <c r="B1467" s="5" t="s">
        <v>1725</v>
      </c>
      <c r="C1467" s="5">
        <v>8.285970468E9</v>
      </c>
      <c r="G1467" s="5" t="s">
        <v>303</v>
      </c>
      <c r="H1467" s="5" t="s">
        <v>706</v>
      </c>
    </row>
    <row r="1468">
      <c r="A1468" s="4">
        <v>45255.732095150466</v>
      </c>
      <c r="B1468" s="5" t="s">
        <v>1726</v>
      </c>
      <c r="C1468" s="5">
        <v>9.619248021E9</v>
      </c>
      <c r="E1468" s="5" t="s">
        <v>1727</v>
      </c>
      <c r="G1468" s="5" t="s">
        <v>303</v>
      </c>
      <c r="H1468" s="5" t="s">
        <v>706</v>
      </c>
    </row>
    <row r="1469">
      <c r="A1469" s="4">
        <v>45255.73469439815</v>
      </c>
      <c r="B1469" s="5" t="s">
        <v>1728</v>
      </c>
      <c r="C1469" s="5">
        <v>9.911371602E9</v>
      </c>
      <c r="G1469" s="5" t="s">
        <v>303</v>
      </c>
      <c r="H1469" s="5" t="s">
        <v>701</v>
      </c>
    </row>
    <row r="1470">
      <c r="A1470" s="4">
        <v>45255.74058604166</v>
      </c>
      <c r="B1470" s="5" t="s">
        <v>1729</v>
      </c>
      <c r="C1470" s="5">
        <v>8.178235687E9</v>
      </c>
      <c r="G1470" s="5" t="s">
        <v>303</v>
      </c>
      <c r="H1470" s="5" t="s">
        <v>701</v>
      </c>
    </row>
    <row r="1471">
      <c r="A1471" s="4">
        <v>45255.74512486111</v>
      </c>
      <c r="B1471" s="5" t="s">
        <v>1730</v>
      </c>
      <c r="C1471" s="5">
        <v>7.503494379E9</v>
      </c>
      <c r="G1471" s="5" t="s">
        <v>303</v>
      </c>
      <c r="H1471" s="5" t="s">
        <v>701</v>
      </c>
    </row>
    <row r="1472">
      <c r="A1472" s="4">
        <v>45255.751725381946</v>
      </c>
      <c r="B1472" s="5" t="s">
        <v>1731</v>
      </c>
      <c r="C1472" s="5">
        <v>9.811167431E9</v>
      </c>
      <c r="G1472" s="5" t="s">
        <v>303</v>
      </c>
      <c r="H1472" s="5" t="s">
        <v>706</v>
      </c>
    </row>
    <row r="1473">
      <c r="A1473" s="4">
        <v>45255.752144467595</v>
      </c>
      <c r="B1473" s="5" t="s">
        <v>1732</v>
      </c>
      <c r="C1473" s="5">
        <v>9.045214128E9</v>
      </c>
      <c r="G1473" s="5" t="s">
        <v>303</v>
      </c>
      <c r="H1473" s="5" t="s">
        <v>701</v>
      </c>
    </row>
    <row r="1474">
      <c r="A1474" s="4">
        <v>45255.75251210648</v>
      </c>
      <c r="B1474" s="5" t="s">
        <v>1733</v>
      </c>
      <c r="C1474" s="5">
        <v>9.65468265E9</v>
      </c>
      <c r="G1474" s="5" t="s">
        <v>303</v>
      </c>
      <c r="H1474" s="5" t="s">
        <v>701</v>
      </c>
    </row>
    <row r="1475">
      <c r="A1475" s="4">
        <v>45255.75283439815</v>
      </c>
      <c r="B1475" s="5" t="s">
        <v>1734</v>
      </c>
      <c r="C1475" s="5">
        <v>8.368576547E9</v>
      </c>
      <c r="G1475" s="5" t="s">
        <v>303</v>
      </c>
      <c r="H1475" s="5" t="s">
        <v>701</v>
      </c>
    </row>
    <row r="1476">
      <c r="A1476" s="4">
        <v>45255.75359420139</v>
      </c>
      <c r="B1476" s="5" t="s">
        <v>1735</v>
      </c>
      <c r="C1476" s="5">
        <v>6.387953068E9</v>
      </c>
      <c r="G1476" s="5" t="s">
        <v>303</v>
      </c>
      <c r="H1476" s="5" t="s">
        <v>701</v>
      </c>
    </row>
    <row r="1477">
      <c r="A1477" s="4">
        <v>45255.761323506944</v>
      </c>
      <c r="B1477" s="5" t="s">
        <v>1736</v>
      </c>
      <c r="C1477" s="5">
        <v>9.899130661E9</v>
      </c>
      <c r="E1477" s="5" t="s">
        <v>79</v>
      </c>
      <c r="G1477" s="5" t="s">
        <v>303</v>
      </c>
      <c r="H1477" s="5" t="s">
        <v>706</v>
      </c>
    </row>
    <row r="1478">
      <c r="A1478" s="4">
        <v>45255.769596990736</v>
      </c>
      <c r="B1478" s="5" t="s">
        <v>1737</v>
      </c>
      <c r="C1478" s="5">
        <v>6.388862301E9</v>
      </c>
      <c r="E1478" s="5" t="s">
        <v>1738</v>
      </c>
      <c r="G1478" s="5" t="s">
        <v>303</v>
      </c>
      <c r="H1478" s="5" t="s">
        <v>706</v>
      </c>
    </row>
    <row r="1479">
      <c r="A1479" s="4">
        <v>45255.79830313657</v>
      </c>
      <c r="B1479" s="5" t="s">
        <v>1739</v>
      </c>
      <c r="C1479" s="5">
        <v>7.696341074E9</v>
      </c>
      <c r="G1479" s="5" t="s">
        <v>303</v>
      </c>
      <c r="H1479" s="5" t="s">
        <v>701</v>
      </c>
    </row>
    <row r="1480">
      <c r="A1480" s="4">
        <v>45255.79855283565</v>
      </c>
      <c r="B1480" s="5" t="s">
        <v>604</v>
      </c>
      <c r="C1480" s="5">
        <v>9.468270858E9</v>
      </c>
      <c r="G1480" s="5" t="s">
        <v>303</v>
      </c>
      <c r="H1480" s="5" t="s">
        <v>701</v>
      </c>
    </row>
    <row r="1481">
      <c r="A1481" s="4">
        <v>45255.79971627315</v>
      </c>
      <c r="B1481" s="5" t="s">
        <v>1740</v>
      </c>
      <c r="C1481" s="5">
        <v>9.996863007E9</v>
      </c>
      <c r="G1481" s="5" t="s">
        <v>303</v>
      </c>
      <c r="H1481" s="5" t="s">
        <v>1035</v>
      </c>
    </row>
    <row r="1482">
      <c r="A1482" s="4">
        <v>45255.80175320602</v>
      </c>
      <c r="B1482" s="5" t="s">
        <v>1741</v>
      </c>
      <c r="C1482" s="5">
        <v>9.999565136E9</v>
      </c>
      <c r="G1482" s="5" t="s">
        <v>303</v>
      </c>
      <c r="H1482" s="5" t="s">
        <v>701</v>
      </c>
    </row>
    <row r="1483">
      <c r="A1483" s="4">
        <v>45255.81605472222</v>
      </c>
      <c r="B1483" s="5" t="s">
        <v>1742</v>
      </c>
      <c r="C1483" s="5">
        <v>9.818424256E9</v>
      </c>
      <c r="E1483" s="5" t="s">
        <v>1743</v>
      </c>
      <c r="G1483" s="5" t="s">
        <v>303</v>
      </c>
      <c r="H1483" s="5" t="s">
        <v>706</v>
      </c>
    </row>
    <row r="1484">
      <c r="A1484" s="4">
        <v>45256.49522619213</v>
      </c>
      <c r="B1484" s="5" t="s">
        <v>1744</v>
      </c>
      <c r="C1484" s="5">
        <v>9.910110248E9</v>
      </c>
      <c r="G1484" s="5" t="s">
        <v>303</v>
      </c>
      <c r="H1484" s="5" t="s">
        <v>701</v>
      </c>
    </row>
    <row r="1485">
      <c r="A1485" s="4">
        <v>45256.496481469905</v>
      </c>
      <c r="B1485" s="5" t="s">
        <v>1495</v>
      </c>
      <c r="C1485" s="5">
        <v>9.212315556E9</v>
      </c>
      <c r="E1485" s="5" t="s">
        <v>79</v>
      </c>
      <c r="G1485" s="5" t="s">
        <v>303</v>
      </c>
      <c r="H1485" s="5" t="s">
        <v>706</v>
      </c>
    </row>
    <row r="1486">
      <c r="A1486" s="4">
        <v>45256.498028877315</v>
      </c>
      <c r="B1486" s="5" t="s">
        <v>1745</v>
      </c>
      <c r="C1486" s="5">
        <v>9.773608014E9</v>
      </c>
      <c r="E1486" s="5" t="s">
        <v>79</v>
      </c>
      <c r="G1486" s="5" t="s">
        <v>303</v>
      </c>
      <c r="H1486" s="5" t="s">
        <v>706</v>
      </c>
    </row>
    <row r="1487">
      <c r="A1487" s="4">
        <v>45256.49881260417</v>
      </c>
      <c r="B1487" s="5" t="s">
        <v>1746</v>
      </c>
      <c r="C1487" s="5">
        <v>9.910496557E9</v>
      </c>
      <c r="G1487" s="5" t="s">
        <v>303</v>
      </c>
      <c r="H1487" s="5" t="s">
        <v>701</v>
      </c>
    </row>
    <row r="1488">
      <c r="A1488" s="4">
        <v>45256.502936840276</v>
      </c>
      <c r="B1488" s="5" t="s">
        <v>1747</v>
      </c>
      <c r="C1488" s="5">
        <v>9.888204159E9</v>
      </c>
      <c r="E1488" s="5" t="s">
        <v>79</v>
      </c>
      <c r="G1488" s="5" t="s">
        <v>303</v>
      </c>
      <c r="H1488" s="5" t="s">
        <v>706</v>
      </c>
    </row>
    <row r="1489">
      <c r="A1489" s="4">
        <v>45256.50324502315</v>
      </c>
      <c r="B1489" s="5" t="s">
        <v>1748</v>
      </c>
      <c r="C1489" s="5">
        <v>8.59194E9</v>
      </c>
      <c r="G1489" s="5" t="s">
        <v>303</v>
      </c>
      <c r="H1489" s="5" t="s">
        <v>701</v>
      </c>
    </row>
    <row r="1490">
      <c r="A1490" s="4">
        <v>45256.509900578705</v>
      </c>
      <c r="B1490" s="5" t="s">
        <v>875</v>
      </c>
      <c r="C1490" s="5">
        <v>9.675496754E9</v>
      </c>
      <c r="G1490" s="5" t="s">
        <v>303</v>
      </c>
      <c r="H1490" s="5" t="s">
        <v>701</v>
      </c>
    </row>
    <row r="1491">
      <c r="A1491" s="4">
        <v>45256.510195104165</v>
      </c>
      <c r="B1491" s="5" t="s">
        <v>1749</v>
      </c>
      <c r="C1491" s="5">
        <v>8.874780171E9</v>
      </c>
      <c r="G1491" s="5" t="s">
        <v>303</v>
      </c>
      <c r="H1491" s="5" t="s">
        <v>701</v>
      </c>
    </row>
    <row r="1492">
      <c r="A1492" s="4">
        <v>45256.51156806713</v>
      </c>
      <c r="B1492" s="5" t="s">
        <v>1750</v>
      </c>
      <c r="C1492" s="5">
        <v>9.718884666E9</v>
      </c>
      <c r="G1492" s="5" t="s">
        <v>303</v>
      </c>
      <c r="H1492" s="5" t="s">
        <v>701</v>
      </c>
    </row>
    <row r="1493">
      <c r="A1493" s="4">
        <v>45256.512182175924</v>
      </c>
      <c r="B1493" s="5" t="s">
        <v>1751</v>
      </c>
      <c r="C1493" s="5">
        <v>9.213949567E9</v>
      </c>
      <c r="E1493" s="5" t="s">
        <v>79</v>
      </c>
      <c r="G1493" s="5" t="s">
        <v>303</v>
      </c>
      <c r="H1493" s="5" t="s">
        <v>706</v>
      </c>
    </row>
    <row r="1494">
      <c r="A1494" s="4">
        <v>45256.5148627662</v>
      </c>
      <c r="B1494" s="5" t="s">
        <v>364</v>
      </c>
      <c r="C1494" s="5">
        <v>9.560407603E9</v>
      </c>
      <c r="G1494" s="5" t="s">
        <v>303</v>
      </c>
      <c r="H1494" s="5" t="s">
        <v>701</v>
      </c>
    </row>
    <row r="1495">
      <c r="A1495" s="4">
        <v>45256.51916930555</v>
      </c>
      <c r="B1495" s="5" t="s">
        <v>1752</v>
      </c>
      <c r="C1495" s="5">
        <v>9.560515548E9</v>
      </c>
      <c r="G1495" s="5" t="s">
        <v>303</v>
      </c>
      <c r="H1495" s="5" t="s">
        <v>701</v>
      </c>
    </row>
    <row r="1496">
      <c r="A1496" s="4">
        <v>45256.519813136576</v>
      </c>
      <c r="B1496" s="5" t="s">
        <v>1753</v>
      </c>
      <c r="C1496" s="5">
        <v>8.950783958E9</v>
      </c>
      <c r="G1496" s="5" t="s">
        <v>303</v>
      </c>
      <c r="H1496" s="5" t="s">
        <v>701</v>
      </c>
    </row>
    <row r="1497">
      <c r="A1497" s="4">
        <v>45256.52180971065</v>
      </c>
      <c r="B1497" s="5" t="s">
        <v>1754</v>
      </c>
      <c r="C1497" s="5">
        <v>9.997060999E9</v>
      </c>
      <c r="G1497" s="5" t="s">
        <v>303</v>
      </c>
      <c r="H1497" s="5" t="s">
        <v>701</v>
      </c>
    </row>
    <row r="1498">
      <c r="A1498" s="4">
        <v>45256.52462118056</v>
      </c>
      <c r="B1498" s="5" t="s">
        <v>1755</v>
      </c>
      <c r="C1498" s="5">
        <v>7.419194061E9</v>
      </c>
      <c r="G1498" s="5" t="s">
        <v>303</v>
      </c>
      <c r="H1498" s="5" t="s">
        <v>701</v>
      </c>
    </row>
    <row r="1499">
      <c r="A1499" s="4">
        <v>45256.52650800926</v>
      </c>
      <c r="B1499" s="5" t="s">
        <v>1756</v>
      </c>
      <c r="C1499" s="5">
        <v>9.810036918E9</v>
      </c>
      <c r="G1499" s="5" t="s">
        <v>303</v>
      </c>
      <c r="H1499" s="5" t="s">
        <v>701</v>
      </c>
    </row>
    <row r="1500">
      <c r="A1500" s="4">
        <v>45256.526822581014</v>
      </c>
      <c r="B1500" s="5" t="s">
        <v>1757</v>
      </c>
      <c r="C1500" s="5">
        <v>9.625071302E9</v>
      </c>
      <c r="G1500" s="5" t="s">
        <v>303</v>
      </c>
      <c r="H1500" s="5" t="s">
        <v>701</v>
      </c>
    </row>
    <row r="1501">
      <c r="A1501" s="4">
        <v>45256.527099178245</v>
      </c>
      <c r="B1501" s="5" t="s">
        <v>1758</v>
      </c>
      <c r="C1501" s="5">
        <v>8.920386205E9</v>
      </c>
      <c r="G1501" s="5" t="s">
        <v>303</v>
      </c>
      <c r="H1501" s="5" t="s">
        <v>701</v>
      </c>
    </row>
    <row r="1502">
      <c r="A1502" s="4">
        <v>45256.528690810184</v>
      </c>
      <c r="B1502" s="5" t="s">
        <v>1759</v>
      </c>
      <c r="C1502" s="5">
        <v>9.910299327E9</v>
      </c>
      <c r="E1502" s="5" t="s">
        <v>424</v>
      </c>
      <c r="G1502" s="5" t="s">
        <v>303</v>
      </c>
      <c r="H1502" s="5" t="s">
        <v>706</v>
      </c>
    </row>
    <row r="1503">
      <c r="A1503" s="4">
        <v>45256.52922378472</v>
      </c>
      <c r="B1503" s="5" t="s">
        <v>1760</v>
      </c>
      <c r="C1503" s="5">
        <v>9.899139331E9</v>
      </c>
      <c r="G1503" s="5" t="s">
        <v>303</v>
      </c>
      <c r="H1503" s="5" t="s">
        <v>701</v>
      </c>
    </row>
    <row r="1504">
      <c r="A1504" s="4">
        <v>45256.52970375</v>
      </c>
      <c r="B1504" s="5" t="s">
        <v>1761</v>
      </c>
      <c r="C1504" s="5">
        <v>9.728705296E9</v>
      </c>
      <c r="G1504" s="5" t="s">
        <v>303</v>
      </c>
      <c r="H1504" s="5" t="s">
        <v>701</v>
      </c>
    </row>
    <row r="1505">
      <c r="A1505" s="4">
        <v>45256.529931516205</v>
      </c>
      <c r="B1505" s="5" t="s">
        <v>1762</v>
      </c>
      <c r="C1505" s="5">
        <v>9.992179799E9</v>
      </c>
      <c r="G1505" s="5" t="s">
        <v>303</v>
      </c>
      <c r="H1505" s="5" t="s">
        <v>701</v>
      </c>
    </row>
    <row r="1506">
      <c r="A1506" s="4">
        <v>45256.53526179398</v>
      </c>
      <c r="B1506" s="5" t="s">
        <v>1763</v>
      </c>
      <c r="C1506" s="5">
        <v>9.213155114E9</v>
      </c>
      <c r="E1506" s="5" t="s">
        <v>1764</v>
      </c>
      <c r="G1506" s="5" t="s">
        <v>303</v>
      </c>
      <c r="H1506" s="5" t="s">
        <v>706</v>
      </c>
    </row>
    <row r="1507">
      <c r="A1507" s="4">
        <v>45256.536963148144</v>
      </c>
      <c r="B1507" s="5" t="s">
        <v>514</v>
      </c>
      <c r="C1507" s="5">
        <v>9.910592746E9</v>
      </c>
      <c r="G1507" s="5" t="s">
        <v>303</v>
      </c>
      <c r="H1507" s="5" t="s">
        <v>701</v>
      </c>
    </row>
    <row r="1508">
      <c r="A1508" s="4">
        <v>45256.53751865741</v>
      </c>
      <c r="B1508" s="5" t="s">
        <v>651</v>
      </c>
      <c r="C1508" s="5">
        <v>8.802824647E9</v>
      </c>
      <c r="G1508" s="5" t="s">
        <v>303</v>
      </c>
      <c r="H1508" s="5" t="s">
        <v>701</v>
      </c>
    </row>
    <row r="1509">
      <c r="A1509" s="4">
        <v>45256.54194579861</v>
      </c>
      <c r="B1509" s="5" t="s">
        <v>1765</v>
      </c>
      <c r="C1509" s="5">
        <v>7.00214361E9</v>
      </c>
      <c r="E1509" s="5" t="s">
        <v>227</v>
      </c>
      <c r="G1509" s="5" t="s">
        <v>303</v>
      </c>
      <c r="H1509" s="5" t="s">
        <v>706</v>
      </c>
    </row>
    <row r="1510">
      <c r="A1510" s="4">
        <v>45256.54217800926</v>
      </c>
      <c r="B1510" s="5" t="s">
        <v>257</v>
      </c>
      <c r="C1510" s="5">
        <v>8.168837905E9</v>
      </c>
      <c r="G1510" s="5" t="s">
        <v>303</v>
      </c>
      <c r="H1510" s="5" t="s">
        <v>701</v>
      </c>
    </row>
    <row r="1511">
      <c r="A1511" s="4">
        <v>45256.54267681713</v>
      </c>
      <c r="B1511" s="5" t="s">
        <v>1766</v>
      </c>
      <c r="C1511" s="5">
        <v>9.053321312E9</v>
      </c>
      <c r="G1511" s="5" t="s">
        <v>303</v>
      </c>
      <c r="H1511" s="5" t="s">
        <v>701</v>
      </c>
    </row>
    <row r="1512">
      <c r="A1512" s="4">
        <v>45256.54428672454</v>
      </c>
      <c r="B1512" s="5" t="s">
        <v>1767</v>
      </c>
      <c r="C1512" s="5">
        <v>8.882535457E9</v>
      </c>
      <c r="G1512" s="5" t="s">
        <v>303</v>
      </c>
      <c r="H1512" s="5" t="s">
        <v>701</v>
      </c>
    </row>
    <row r="1513">
      <c r="A1513" s="4">
        <v>45256.544431898146</v>
      </c>
      <c r="B1513" s="5" t="s">
        <v>1768</v>
      </c>
      <c r="C1513" s="5">
        <v>9.62585262E9</v>
      </c>
      <c r="E1513" s="5" t="s">
        <v>79</v>
      </c>
      <c r="G1513" s="5" t="s">
        <v>303</v>
      </c>
      <c r="H1513" s="5" t="s">
        <v>706</v>
      </c>
    </row>
    <row r="1514">
      <c r="A1514" s="4">
        <v>45256.54468104166</v>
      </c>
      <c r="B1514" s="5" t="s">
        <v>1769</v>
      </c>
      <c r="C1514" s="5">
        <v>6.390641704E9</v>
      </c>
      <c r="G1514" s="5" t="s">
        <v>303</v>
      </c>
      <c r="H1514" s="5" t="s">
        <v>706</v>
      </c>
    </row>
    <row r="1515">
      <c r="A1515" s="4">
        <v>45256.54490039352</v>
      </c>
      <c r="B1515" s="5" t="s">
        <v>27</v>
      </c>
      <c r="C1515" s="5">
        <v>9.6437544E9</v>
      </c>
      <c r="G1515" s="5" t="s">
        <v>303</v>
      </c>
      <c r="H1515" s="5" t="s">
        <v>701</v>
      </c>
    </row>
    <row r="1516">
      <c r="A1516" s="4">
        <v>45256.545125034725</v>
      </c>
      <c r="B1516" s="5" t="s">
        <v>1770</v>
      </c>
      <c r="C1516" s="5">
        <v>9.355650133E9</v>
      </c>
      <c r="G1516" s="5" t="s">
        <v>303</v>
      </c>
      <c r="H1516" s="5" t="s">
        <v>701</v>
      </c>
    </row>
    <row r="1517">
      <c r="A1517" s="4">
        <v>45256.54590412037</v>
      </c>
      <c r="B1517" s="5" t="s">
        <v>1771</v>
      </c>
      <c r="C1517" s="5">
        <v>9.259524523E9</v>
      </c>
      <c r="G1517" s="5" t="s">
        <v>303</v>
      </c>
      <c r="H1517" s="5" t="s">
        <v>701</v>
      </c>
    </row>
    <row r="1518">
      <c r="A1518" s="4">
        <v>45256.54613552083</v>
      </c>
      <c r="B1518" s="5" t="s">
        <v>1053</v>
      </c>
      <c r="C1518" s="5">
        <v>9.882816742E9</v>
      </c>
      <c r="G1518" s="5" t="s">
        <v>303</v>
      </c>
      <c r="H1518" s="5" t="s">
        <v>701</v>
      </c>
    </row>
    <row r="1519">
      <c r="A1519" s="4">
        <v>45256.5492255787</v>
      </c>
      <c r="B1519" s="5" t="s">
        <v>1772</v>
      </c>
      <c r="C1519" s="5">
        <v>8.447384008E9</v>
      </c>
      <c r="G1519" s="5" t="s">
        <v>303</v>
      </c>
      <c r="H1519" s="5" t="s">
        <v>706</v>
      </c>
    </row>
    <row r="1520">
      <c r="A1520" s="4">
        <v>45256.54943006944</v>
      </c>
      <c r="B1520" s="5" t="s">
        <v>606</v>
      </c>
      <c r="C1520" s="5">
        <v>9.891252812E9</v>
      </c>
      <c r="G1520" s="5" t="s">
        <v>303</v>
      </c>
      <c r="H1520" s="5" t="s">
        <v>701</v>
      </c>
    </row>
    <row r="1521">
      <c r="A1521" s="4">
        <v>45256.54963252315</v>
      </c>
      <c r="B1521" s="5" t="s">
        <v>1483</v>
      </c>
      <c r="C1521" s="5">
        <v>8.477925081E9</v>
      </c>
      <c r="G1521" s="5" t="s">
        <v>303</v>
      </c>
      <c r="H1521" s="5" t="s">
        <v>701</v>
      </c>
    </row>
    <row r="1522">
      <c r="A1522" s="4">
        <v>45256.550964317124</v>
      </c>
      <c r="B1522" s="5" t="s">
        <v>1773</v>
      </c>
      <c r="C1522" s="5">
        <v>9.35200242E9</v>
      </c>
      <c r="G1522" s="5" t="s">
        <v>303</v>
      </c>
      <c r="H1522" s="5" t="s">
        <v>701</v>
      </c>
    </row>
    <row r="1523">
      <c r="A1523" s="4">
        <v>45256.55157024306</v>
      </c>
      <c r="B1523" s="5" t="s">
        <v>1774</v>
      </c>
      <c r="C1523" s="5">
        <v>8.448355982E9</v>
      </c>
      <c r="E1523" s="5" t="s">
        <v>15</v>
      </c>
      <c r="G1523" s="5" t="s">
        <v>303</v>
      </c>
      <c r="H1523" s="5" t="s">
        <v>706</v>
      </c>
    </row>
    <row r="1524">
      <c r="A1524" s="4">
        <v>45256.55334881945</v>
      </c>
      <c r="B1524" s="5" t="s">
        <v>1775</v>
      </c>
      <c r="C1524" s="5">
        <v>7.053516651E9</v>
      </c>
      <c r="G1524" s="5" t="s">
        <v>303</v>
      </c>
      <c r="H1524" s="5" t="s">
        <v>701</v>
      </c>
    </row>
    <row r="1525">
      <c r="A1525" s="4">
        <v>45256.555169583335</v>
      </c>
      <c r="B1525" s="5" t="s">
        <v>1776</v>
      </c>
      <c r="C1525" s="5">
        <v>9.560933993E9</v>
      </c>
      <c r="G1525" s="5" t="s">
        <v>303</v>
      </c>
      <c r="H1525" s="5" t="s">
        <v>701</v>
      </c>
    </row>
    <row r="1526">
      <c r="A1526" s="4">
        <v>45256.555582245375</v>
      </c>
      <c r="B1526" s="5" t="s">
        <v>1500</v>
      </c>
      <c r="C1526" s="5">
        <v>9.717010738E9</v>
      </c>
      <c r="G1526" s="5" t="s">
        <v>303</v>
      </c>
      <c r="H1526" s="5" t="s">
        <v>701</v>
      </c>
    </row>
    <row r="1527">
      <c r="A1527" s="4">
        <v>45256.558760405096</v>
      </c>
      <c r="B1527" s="5" t="s">
        <v>1777</v>
      </c>
      <c r="C1527" s="5">
        <v>7.830159025E9</v>
      </c>
      <c r="G1527" s="5" t="s">
        <v>303</v>
      </c>
      <c r="H1527" s="5" t="s">
        <v>701</v>
      </c>
    </row>
    <row r="1528">
      <c r="A1528" s="4">
        <v>45256.55926326389</v>
      </c>
      <c r="B1528" s="5" t="s">
        <v>516</v>
      </c>
      <c r="C1528" s="5">
        <v>8.178838524E9</v>
      </c>
      <c r="E1528" s="5" t="s">
        <v>79</v>
      </c>
      <c r="G1528" s="5" t="s">
        <v>303</v>
      </c>
      <c r="H1528" s="5" t="s">
        <v>706</v>
      </c>
    </row>
    <row r="1529">
      <c r="A1529" s="4">
        <v>45256.55986542824</v>
      </c>
      <c r="B1529" s="5" t="s">
        <v>1778</v>
      </c>
      <c r="C1529" s="5">
        <v>8.810476148E9</v>
      </c>
      <c r="G1529" s="5" t="s">
        <v>303</v>
      </c>
      <c r="H1529" s="5" t="s">
        <v>701</v>
      </c>
    </row>
    <row r="1530">
      <c r="A1530" s="4">
        <v>45256.561318541666</v>
      </c>
      <c r="B1530" s="5" t="s">
        <v>1779</v>
      </c>
      <c r="C1530" s="5">
        <v>8.607484995E9</v>
      </c>
      <c r="E1530" s="5" t="s">
        <v>79</v>
      </c>
      <c r="G1530" s="5" t="s">
        <v>303</v>
      </c>
      <c r="H1530" s="5" t="s">
        <v>706</v>
      </c>
    </row>
    <row r="1531">
      <c r="A1531" s="4">
        <v>45256.561315949075</v>
      </c>
      <c r="B1531" s="5" t="s">
        <v>1780</v>
      </c>
      <c r="C1531" s="5">
        <v>9.911997566E9</v>
      </c>
      <c r="G1531" s="5" t="s">
        <v>303</v>
      </c>
      <c r="H1531" s="5" t="s">
        <v>701</v>
      </c>
    </row>
    <row r="1532">
      <c r="A1532" s="4">
        <v>45256.56279660879</v>
      </c>
      <c r="B1532" s="5" t="s">
        <v>1781</v>
      </c>
      <c r="C1532" s="5">
        <v>9.416789608E9</v>
      </c>
      <c r="G1532" s="5" t="s">
        <v>303</v>
      </c>
      <c r="H1532" s="5" t="s">
        <v>706</v>
      </c>
    </row>
    <row r="1533">
      <c r="A1533" s="4">
        <v>45256.56359243055</v>
      </c>
      <c r="B1533" s="5" t="s">
        <v>1782</v>
      </c>
      <c r="C1533" s="5">
        <v>9.87342675E9</v>
      </c>
      <c r="G1533" s="5" t="s">
        <v>303</v>
      </c>
      <c r="H1533" s="5" t="s">
        <v>701</v>
      </c>
    </row>
    <row r="1534">
      <c r="A1534" s="4">
        <v>45256.56371112268</v>
      </c>
      <c r="B1534" s="5" t="s">
        <v>1783</v>
      </c>
      <c r="C1534" s="5">
        <v>8.527054042E9</v>
      </c>
      <c r="E1534" s="5" t="s">
        <v>227</v>
      </c>
      <c r="G1534" s="5" t="s">
        <v>303</v>
      </c>
      <c r="H1534" s="5" t="s">
        <v>706</v>
      </c>
    </row>
    <row r="1535">
      <c r="A1535" s="4">
        <v>45256.56458626158</v>
      </c>
      <c r="B1535" s="5" t="s">
        <v>1784</v>
      </c>
      <c r="C1535" s="5">
        <v>9.873128973E9</v>
      </c>
      <c r="G1535" s="5" t="s">
        <v>303</v>
      </c>
      <c r="H1535" s="5" t="s">
        <v>701</v>
      </c>
    </row>
    <row r="1536">
      <c r="A1536" s="4">
        <v>45256.56462200232</v>
      </c>
      <c r="B1536" s="5" t="s">
        <v>426</v>
      </c>
      <c r="C1536" s="5">
        <v>9.811319949E9</v>
      </c>
      <c r="G1536" s="5" t="s">
        <v>303</v>
      </c>
      <c r="H1536" s="5" t="s">
        <v>701</v>
      </c>
    </row>
    <row r="1537">
      <c r="A1537" s="4">
        <v>45256.56556942129</v>
      </c>
      <c r="B1537" s="5" t="s">
        <v>1785</v>
      </c>
      <c r="C1537" s="5">
        <v>9.999338381E9</v>
      </c>
      <c r="G1537" s="5" t="s">
        <v>303</v>
      </c>
      <c r="H1537" s="5" t="s">
        <v>701</v>
      </c>
    </row>
    <row r="1538">
      <c r="A1538" s="4">
        <v>45256.56716892361</v>
      </c>
      <c r="B1538" s="5" t="s">
        <v>1786</v>
      </c>
      <c r="C1538" s="5">
        <v>9.210483918E9</v>
      </c>
      <c r="G1538" s="5" t="s">
        <v>303</v>
      </c>
      <c r="H1538" s="5" t="s">
        <v>701</v>
      </c>
    </row>
    <row r="1539">
      <c r="A1539" s="4">
        <v>45256.568949374996</v>
      </c>
      <c r="B1539" s="5" t="s">
        <v>1787</v>
      </c>
      <c r="C1539" s="5">
        <v>9.98474518E9</v>
      </c>
      <c r="E1539" s="5" t="s">
        <v>79</v>
      </c>
      <c r="G1539" s="5" t="s">
        <v>303</v>
      </c>
      <c r="H1539" s="5" t="s">
        <v>706</v>
      </c>
    </row>
    <row r="1540">
      <c r="A1540" s="4">
        <v>45256.569536180556</v>
      </c>
      <c r="B1540" s="5" t="s">
        <v>1788</v>
      </c>
      <c r="C1540" s="5">
        <v>8.787076921E9</v>
      </c>
      <c r="G1540" s="5" t="s">
        <v>303</v>
      </c>
      <c r="H1540" s="5" t="s">
        <v>706</v>
      </c>
    </row>
    <row r="1541">
      <c r="A1541" s="4">
        <v>45256.56969476852</v>
      </c>
      <c r="B1541" s="5" t="s">
        <v>1789</v>
      </c>
      <c r="C1541" s="5">
        <v>9.582187215E9</v>
      </c>
      <c r="G1541" s="5" t="s">
        <v>303</v>
      </c>
      <c r="H1541" s="5" t="s">
        <v>701</v>
      </c>
    </row>
    <row r="1542">
      <c r="A1542" s="4">
        <v>45256.56980096065</v>
      </c>
      <c r="B1542" s="5" t="s">
        <v>1790</v>
      </c>
      <c r="C1542" s="5">
        <v>9.968546185E9</v>
      </c>
      <c r="G1542" s="5" t="s">
        <v>303</v>
      </c>
      <c r="H1542" s="5" t="s">
        <v>701</v>
      </c>
    </row>
    <row r="1543">
      <c r="A1543" s="4">
        <v>45256.57014989584</v>
      </c>
      <c r="B1543" s="5" t="s">
        <v>1791</v>
      </c>
      <c r="C1543" s="5">
        <v>8.076551913E9</v>
      </c>
      <c r="G1543" s="5" t="s">
        <v>303</v>
      </c>
      <c r="H1543" s="5" t="s">
        <v>701</v>
      </c>
    </row>
    <row r="1544">
      <c r="A1544" s="4">
        <v>45256.570906747686</v>
      </c>
      <c r="B1544" s="5" t="s">
        <v>1792</v>
      </c>
      <c r="C1544" s="5">
        <v>9.899921478E9</v>
      </c>
      <c r="G1544" s="5" t="s">
        <v>303</v>
      </c>
      <c r="H1544" s="5" t="s">
        <v>701</v>
      </c>
    </row>
    <row r="1545">
      <c r="A1545" s="4">
        <v>45256.57122582176</v>
      </c>
      <c r="B1545" s="5" t="s">
        <v>1793</v>
      </c>
      <c r="C1545" s="5">
        <v>9.968546185E9</v>
      </c>
      <c r="G1545" s="5" t="s">
        <v>303</v>
      </c>
      <c r="H1545" s="5" t="s">
        <v>706</v>
      </c>
    </row>
    <row r="1546">
      <c r="A1546" s="4">
        <v>45256.57186505787</v>
      </c>
      <c r="B1546" s="5" t="s">
        <v>254</v>
      </c>
      <c r="C1546" s="5">
        <v>9.873877924E9</v>
      </c>
      <c r="E1546" s="5" t="s">
        <v>13</v>
      </c>
      <c r="G1546" s="5" t="s">
        <v>303</v>
      </c>
      <c r="H1546" s="5" t="s">
        <v>706</v>
      </c>
    </row>
    <row r="1547">
      <c r="A1547" s="4">
        <v>45256.5725691088</v>
      </c>
      <c r="B1547" s="5" t="s">
        <v>578</v>
      </c>
      <c r="C1547" s="5">
        <v>8.750831223E9</v>
      </c>
      <c r="G1547" s="5" t="s">
        <v>303</v>
      </c>
      <c r="H1547" s="5" t="s">
        <v>701</v>
      </c>
    </row>
    <row r="1548">
      <c r="A1548" s="4">
        <v>45256.57293501157</v>
      </c>
      <c r="B1548" s="5" t="s">
        <v>1794</v>
      </c>
      <c r="C1548" s="5">
        <v>8.273418446E9</v>
      </c>
      <c r="G1548" s="5" t="s">
        <v>303</v>
      </c>
      <c r="H1548" s="5" t="s">
        <v>701</v>
      </c>
    </row>
    <row r="1549">
      <c r="A1549" s="4">
        <v>45256.57479130787</v>
      </c>
      <c r="B1549" s="5" t="s">
        <v>1795</v>
      </c>
      <c r="C1549" s="5">
        <v>9.311526415E9</v>
      </c>
      <c r="G1549" s="5" t="s">
        <v>303</v>
      </c>
      <c r="H1549" s="5" t="s">
        <v>701</v>
      </c>
    </row>
    <row r="1550">
      <c r="A1550" s="4">
        <v>45256.57542826389</v>
      </c>
      <c r="B1550" s="5" t="s">
        <v>1796</v>
      </c>
      <c r="C1550" s="5">
        <v>9.896164575E9</v>
      </c>
      <c r="G1550" s="5" t="s">
        <v>303</v>
      </c>
      <c r="H1550" s="5" t="s">
        <v>701</v>
      </c>
    </row>
    <row r="1551">
      <c r="A1551" s="4">
        <v>45256.575830752314</v>
      </c>
      <c r="B1551" s="5" t="s">
        <v>1797</v>
      </c>
      <c r="C1551" s="5">
        <v>9.896799441E9</v>
      </c>
      <c r="E1551" s="5" t="s">
        <v>1139</v>
      </c>
      <c r="G1551" s="5" t="s">
        <v>303</v>
      </c>
      <c r="H1551" s="5" t="s">
        <v>706</v>
      </c>
    </row>
    <row r="1552">
      <c r="A1552" s="4">
        <v>45256.57602086806</v>
      </c>
      <c r="B1552" s="5" t="s">
        <v>1798</v>
      </c>
      <c r="C1552" s="5">
        <v>9.896317273E9</v>
      </c>
      <c r="G1552" s="5" t="s">
        <v>303</v>
      </c>
      <c r="H1552" s="5" t="s">
        <v>701</v>
      </c>
    </row>
    <row r="1553">
      <c r="A1553" s="4">
        <v>45256.576316921295</v>
      </c>
      <c r="B1553" s="5" t="s">
        <v>1799</v>
      </c>
      <c r="C1553" s="5">
        <v>9.466814188E9</v>
      </c>
      <c r="E1553" s="5" t="s">
        <v>79</v>
      </c>
      <c r="G1553" s="5" t="s">
        <v>303</v>
      </c>
      <c r="H1553" s="5" t="s">
        <v>706</v>
      </c>
    </row>
    <row r="1554">
      <c r="A1554" s="4">
        <v>45256.5764556713</v>
      </c>
      <c r="B1554" s="5" t="s">
        <v>1800</v>
      </c>
      <c r="C1554" s="5">
        <v>9.896164575E9</v>
      </c>
      <c r="G1554" s="5" t="s">
        <v>303</v>
      </c>
      <c r="H1554" s="5" t="s">
        <v>701</v>
      </c>
    </row>
    <row r="1555">
      <c r="A1555" s="4">
        <v>45256.57660206019</v>
      </c>
      <c r="B1555" s="5" t="s">
        <v>1801</v>
      </c>
      <c r="C1555" s="5">
        <v>8.708223832E9</v>
      </c>
      <c r="G1555" s="5" t="s">
        <v>303</v>
      </c>
      <c r="H1555" s="5" t="s">
        <v>701</v>
      </c>
    </row>
    <row r="1556">
      <c r="A1556" s="4">
        <v>45256.57753576389</v>
      </c>
      <c r="B1556" s="5" t="s">
        <v>1802</v>
      </c>
      <c r="C1556" s="5">
        <v>7.838194064E9</v>
      </c>
      <c r="G1556" s="5" t="s">
        <v>303</v>
      </c>
      <c r="H1556" s="5" t="s">
        <v>701</v>
      </c>
    </row>
    <row r="1557">
      <c r="A1557" s="4">
        <v>45256.57968797453</v>
      </c>
      <c r="B1557" s="5" t="s">
        <v>1803</v>
      </c>
      <c r="C1557" s="5">
        <v>8.054252377E9</v>
      </c>
      <c r="G1557" s="5" t="s">
        <v>303</v>
      </c>
      <c r="H1557" s="5" t="s">
        <v>701</v>
      </c>
    </row>
    <row r="1558">
      <c r="A1558" s="4">
        <v>45256.58069585648</v>
      </c>
      <c r="B1558" s="5" t="s">
        <v>727</v>
      </c>
      <c r="C1558" s="5">
        <v>9.050934155E9</v>
      </c>
      <c r="G1558" s="5" t="s">
        <v>303</v>
      </c>
      <c r="H1558" s="5" t="s">
        <v>701</v>
      </c>
    </row>
    <row r="1559">
      <c r="A1559" s="4">
        <v>45256.5810565162</v>
      </c>
      <c r="B1559" s="5" t="s">
        <v>1804</v>
      </c>
      <c r="C1559" s="5">
        <v>8.750913541E9</v>
      </c>
      <c r="G1559" s="5" t="s">
        <v>303</v>
      </c>
      <c r="H1559" s="5" t="s">
        <v>701</v>
      </c>
    </row>
    <row r="1560">
      <c r="A1560" s="4">
        <v>45256.58147230324</v>
      </c>
      <c r="B1560" s="5" t="s">
        <v>1805</v>
      </c>
      <c r="C1560" s="5">
        <v>9.711478697E9</v>
      </c>
      <c r="G1560" s="5" t="s">
        <v>303</v>
      </c>
      <c r="H1560" s="5" t="s">
        <v>701</v>
      </c>
    </row>
    <row r="1561">
      <c r="A1561" s="4">
        <v>45256.58287482639</v>
      </c>
      <c r="B1561" s="5" t="s">
        <v>1806</v>
      </c>
      <c r="C1561" s="5">
        <v>8.368475774E9</v>
      </c>
      <c r="E1561" s="5" t="s">
        <v>21</v>
      </c>
      <c r="G1561" s="5" t="s">
        <v>303</v>
      </c>
      <c r="H1561" s="5" t="s">
        <v>706</v>
      </c>
    </row>
    <row r="1562">
      <c r="A1562" s="4">
        <v>45256.58332619213</v>
      </c>
      <c r="B1562" s="5" t="s">
        <v>1807</v>
      </c>
      <c r="C1562" s="5">
        <v>8.595826909E9</v>
      </c>
      <c r="G1562" s="5" t="s">
        <v>303</v>
      </c>
      <c r="H1562" s="5" t="s">
        <v>706</v>
      </c>
    </row>
    <row r="1563">
      <c r="A1563" s="4">
        <v>45256.58435572917</v>
      </c>
      <c r="B1563" s="5" t="s">
        <v>1808</v>
      </c>
      <c r="C1563" s="5">
        <v>8.273826045E9</v>
      </c>
      <c r="G1563" s="5" t="s">
        <v>303</v>
      </c>
      <c r="H1563" s="5" t="s">
        <v>701</v>
      </c>
    </row>
    <row r="1564">
      <c r="A1564" s="4">
        <v>45256.587652118054</v>
      </c>
      <c r="B1564" s="5" t="s">
        <v>578</v>
      </c>
      <c r="C1564" s="5">
        <v>9.990999887E9</v>
      </c>
      <c r="E1564" s="5" t="s">
        <v>1139</v>
      </c>
      <c r="G1564" s="5" t="s">
        <v>303</v>
      </c>
      <c r="H1564" s="5" t="s">
        <v>706</v>
      </c>
    </row>
    <row r="1565">
      <c r="A1565" s="4">
        <v>45256.58777387731</v>
      </c>
      <c r="B1565" s="5" t="s">
        <v>1809</v>
      </c>
      <c r="C1565" s="5">
        <v>9.250637699E9</v>
      </c>
      <c r="G1565" s="5" t="s">
        <v>303</v>
      </c>
      <c r="H1565" s="5" t="s">
        <v>701</v>
      </c>
    </row>
    <row r="1566">
      <c r="A1566" s="4">
        <v>45256.58833103009</v>
      </c>
      <c r="B1566" s="5" t="s">
        <v>1810</v>
      </c>
      <c r="C1566" s="5">
        <v>8.800485419E9</v>
      </c>
      <c r="G1566" s="5" t="s">
        <v>303</v>
      </c>
      <c r="H1566" s="5" t="s">
        <v>701</v>
      </c>
    </row>
    <row r="1567">
      <c r="A1567" s="4">
        <v>45256.58950465277</v>
      </c>
      <c r="B1567" s="5" t="s">
        <v>1811</v>
      </c>
      <c r="C1567" s="5">
        <v>9.810877139E9</v>
      </c>
      <c r="G1567" s="5" t="s">
        <v>303</v>
      </c>
      <c r="H1567" s="5" t="s">
        <v>701</v>
      </c>
    </row>
    <row r="1568">
      <c r="A1568" s="4">
        <v>45256.58982256944</v>
      </c>
      <c r="B1568" s="5" t="s">
        <v>1812</v>
      </c>
      <c r="C1568" s="5">
        <v>9.810250149E9</v>
      </c>
      <c r="G1568" s="5" t="s">
        <v>303</v>
      </c>
      <c r="H1568" s="5" t="s">
        <v>701</v>
      </c>
    </row>
    <row r="1569">
      <c r="A1569" s="4">
        <v>45256.590136087965</v>
      </c>
      <c r="B1569" s="5" t="s">
        <v>1813</v>
      </c>
      <c r="C1569" s="5">
        <v>9.116112142E9</v>
      </c>
      <c r="G1569" s="5" t="s">
        <v>303</v>
      </c>
      <c r="H1569" s="5" t="s">
        <v>701</v>
      </c>
    </row>
    <row r="1570">
      <c r="A1570" s="4">
        <v>45256.59242134259</v>
      </c>
      <c r="B1570" s="5" t="s">
        <v>57</v>
      </c>
      <c r="C1570" s="5">
        <v>8.05978185E9</v>
      </c>
      <c r="E1570" s="5" t="s">
        <v>13</v>
      </c>
      <c r="G1570" s="5" t="s">
        <v>303</v>
      </c>
      <c r="H1570" s="5" t="s">
        <v>706</v>
      </c>
    </row>
    <row r="1571">
      <c r="A1571" s="4">
        <v>45256.596339490745</v>
      </c>
      <c r="B1571" s="5" t="s">
        <v>1814</v>
      </c>
      <c r="C1571" s="5">
        <v>9.896999113E9</v>
      </c>
      <c r="G1571" s="5" t="s">
        <v>303</v>
      </c>
      <c r="H1571" s="5" t="s">
        <v>701</v>
      </c>
    </row>
    <row r="1572">
      <c r="A1572" s="4">
        <v>45256.59742806713</v>
      </c>
      <c r="B1572" s="5" t="s">
        <v>1815</v>
      </c>
      <c r="C1572" s="5">
        <v>9.643252443E9</v>
      </c>
      <c r="G1572" s="5" t="s">
        <v>303</v>
      </c>
      <c r="H1572" s="5" t="s">
        <v>701</v>
      </c>
    </row>
    <row r="1573">
      <c r="A1573" s="4">
        <v>45256.59791092592</v>
      </c>
      <c r="B1573" s="5" t="s">
        <v>1816</v>
      </c>
      <c r="C1573" s="5">
        <v>9.811752389E9</v>
      </c>
      <c r="G1573" s="5" t="s">
        <v>303</v>
      </c>
      <c r="H1573" s="5" t="s">
        <v>701</v>
      </c>
    </row>
    <row r="1574">
      <c r="A1574" s="4">
        <v>45256.59836137731</v>
      </c>
      <c r="B1574" s="5" t="s">
        <v>1817</v>
      </c>
      <c r="C1574" s="5">
        <v>7.0158379E9</v>
      </c>
      <c r="G1574" s="5" t="s">
        <v>303</v>
      </c>
      <c r="H1574" s="5" t="s">
        <v>701</v>
      </c>
    </row>
    <row r="1575">
      <c r="A1575" s="4">
        <v>45256.59865162037</v>
      </c>
      <c r="B1575" s="5" t="s">
        <v>1818</v>
      </c>
      <c r="C1575" s="5">
        <v>6.387827733E9</v>
      </c>
      <c r="G1575" s="5" t="s">
        <v>303</v>
      </c>
      <c r="H1575" s="5" t="s">
        <v>701</v>
      </c>
    </row>
    <row r="1576">
      <c r="A1576" s="4">
        <v>45256.59894162037</v>
      </c>
      <c r="B1576" s="5" t="s">
        <v>1819</v>
      </c>
      <c r="C1576" s="5">
        <v>9.416068001E9</v>
      </c>
      <c r="E1576" s="5" t="s">
        <v>79</v>
      </c>
      <c r="G1576" s="5" t="s">
        <v>303</v>
      </c>
      <c r="H1576" s="5" t="s">
        <v>706</v>
      </c>
    </row>
    <row r="1577">
      <c r="A1577" s="4">
        <v>45256.59941275463</v>
      </c>
      <c r="B1577" s="5" t="s">
        <v>1023</v>
      </c>
      <c r="C1577" s="5">
        <v>9.560324756E9</v>
      </c>
      <c r="G1577" s="5" t="s">
        <v>303</v>
      </c>
      <c r="H1577" s="5" t="s">
        <v>701</v>
      </c>
    </row>
    <row r="1578">
      <c r="A1578" s="4">
        <v>45256.59965409723</v>
      </c>
      <c r="B1578" s="5" t="s">
        <v>1820</v>
      </c>
      <c r="C1578" s="5">
        <v>8.532039149E9</v>
      </c>
      <c r="G1578" s="5" t="s">
        <v>303</v>
      </c>
      <c r="H1578" s="5" t="s">
        <v>701</v>
      </c>
    </row>
    <row r="1579">
      <c r="A1579" s="4">
        <v>45256.60029243055</v>
      </c>
      <c r="B1579" s="5" t="s">
        <v>1821</v>
      </c>
      <c r="C1579" s="5">
        <v>8.58886022E9</v>
      </c>
      <c r="G1579" s="5" t="s">
        <v>303</v>
      </c>
      <c r="H1579" s="5" t="s">
        <v>701</v>
      </c>
    </row>
    <row r="1580">
      <c r="A1580" s="4">
        <v>45256.60120818287</v>
      </c>
      <c r="B1580" s="5" t="s">
        <v>1822</v>
      </c>
      <c r="C1580" s="5">
        <v>9.990001441E9</v>
      </c>
      <c r="E1580" s="5" t="s">
        <v>79</v>
      </c>
      <c r="G1580" s="5" t="s">
        <v>303</v>
      </c>
      <c r="H1580" s="5" t="s">
        <v>706</v>
      </c>
    </row>
    <row r="1581">
      <c r="A1581" s="4">
        <v>45256.60145288194</v>
      </c>
      <c r="B1581" s="5" t="s">
        <v>1823</v>
      </c>
      <c r="C1581" s="5">
        <v>9.990001442E9</v>
      </c>
      <c r="G1581" s="5" t="s">
        <v>303</v>
      </c>
      <c r="H1581" s="5" t="s">
        <v>706</v>
      </c>
    </row>
    <row r="1582">
      <c r="A1582" s="4">
        <v>45256.60169052084</v>
      </c>
      <c r="B1582" s="5" t="s">
        <v>1370</v>
      </c>
      <c r="C1582" s="5">
        <v>9.990008441E9</v>
      </c>
      <c r="E1582" s="5" t="s">
        <v>227</v>
      </c>
      <c r="G1582" s="5" t="s">
        <v>303</v>
      </c>
      <c r="H1582" s="5" t="s">
        <v>706</v>
      </c>
    </row>
    <row r="1583">
      <c r="A1583" s="4">
        <v>45256.602916944445</v>
      </c>
      <c r="B1583" s="5" t="s">
        <v>1824</v>
      </c>
      <c r="C1583" s="5">
        <v>9.899206142E9</v>
      </c>
      <c r="E1583" s="5" t="s">
        <v>1698</v>
      </c>
      <c r="G1583" s="5" t="s">
        <v>303</v>
      </c>
      <c r="H1583" s="5" t="s">
        <v>706</v>
      </c>
    </row>
    <row r="1584">
      <c r="A1584" s="4">
        <v>45256.60471064815</v>
      </c>
      <c r="B1584" s="5" t="s">
        <v>1825</v>
      </c>
      <c r="C1584" s="5">
        <v>8.510861319E9</v>
      </c>
      <c r="G1584" s="5" t="s">
        <v>303</v>
      </c>
      <c r="H1584" s="5" t="s">
        <v>701</v>
      </c>
    </row>
    <row r="1585">
      <c r="A1585" s="4">
        <v>45256.60513981481</v>
      </c>
      <c r="B1585" s="5" t="s">
        <v>1826</v>
      </c>
      <c r="C1585" s="5">
        <v>8.800224562E9</v>
      </c>
      <c r="E1585" s="5" t="s">
        <v>15</v>
      </c>
      <c r="G1585" s="5" t="s">
        <v>303</v>
      </c>
      <c r="H1585" s="5" t="s">
        <v>706</v>
      </c>
    </row>
    <row r="1586">
      <c r="A1586" s="4">
        <v>45256.605616608795</v>
      </c>
      <c r="B1586" s="5" t="s">
        <v>1827</v>
      </c>
      <c r="C1586" s="5">
        <v>8.920249661E9</v>
      </c>
      <c r="E1586" s="5" t="s">
        <v>1828</v>
      </c>
      <c r="G1586" s="5" t="s">
        <v>303</v>
      </c>
      <c r="H1586" s="5" t="s">
        <v>706</v>
      </c>
    </row>
    <row r="1587">
      <c r="A1587" s="4">
        <v>45256.605838194446</v>
      </c>
      <c r="B1587" s="5" t="s">
        <v>1829</v>
      </c>
      <c r="C1587" s="5">
        <v>9.741235457E9</v>
      </c>
      <c r="G1587" s="5" t="s">
        <v>303</v>
      </c>
      <c r="H1587" s="5" t="s">
        <v>701</v>
      </c>
    </row>
    <row r="1588">
      <c r="A1588" s="4">
        <v>45256.6070038426</v>
      </c>
      <c r="B1588" s="5" t="s">
        <v>1830</v>
      </c>
      <c r="C1588" s="5">
        <v>7.835837852E9</v>
      </c>
      <c r="E1588" s="5" t="s">
        <v>79</v>
      </c>
      <c r="G1588" s="5" t="s">
        <v>303</v>
      </c>
      <c r="H1588" s="5" t="s">
        <v>706</v>
      </c>
    </row>
    <row r="1589">
      <c r="A1589" s="4">
        <v>45256.6072741088</v>
      </c>
      <c r="B1589" s="5" t="s">
        <v>1831</v>
      </c>
      <c r="C1589" s="5">
        <v>7.011671826E9</v>
      </c>
      <c r="G1589" s="5" t="s">
        <v>303</v>
      </c>
      <c r="H1589" s="5" t="s">
        <v>701</v>
      </c>
    </row>
    <row r="1590">
      <c r="A1590" s="4">
        <v>45256.60758861111</v>
      </c>
      <c r="B1590" s="5" t="s">
        <v>1832</v>
      </c>
      <c r="C1590" s="5">
        <v>9.540709013E9</v>
      </c>
      <c r="G1590" s="5" t="s">
        <v>303</v>
      </c>
      <c r="H1590" s="5" t="s">
        <v>701</v>
      </c>
    </row>
    <row r="1591">
      <c r="A1591" s="4">
        <v>45256.60805724537</v>
      </c>
      <c r="B1591" s="5" t="s">
        <v>1833</v>
      </c>
      <c r="C1591" s="5">
        <v>9.999240355E9</v>
      </c>
      <c r="G1591" s="5" t="s">
        <v>303</v>
      </c>
      <c r="H1591" s="5" t="s">
        <v>701</v>
      </c>
    </row>
    <row r="1592">
      <c r="A1592" s="4">
        <v>45256.608103506944</v>
      </c>
      <c r="B1592" s="5" t="s">
        <v>966</v>
      </c>
      <c r="C1592" s="5">
        <v>8.130183355E9</v>
      </c>
      <c r="E1592" s="5" t="s">
        <v>567</v>
      </c>
      <c r="G1592" s="5" t="s">
        <v>303</v>
      </c>
      <c r="H1592" s="5" t="s">
        <v>706</v>
      </c>
    </row>
    <row r="1593">
      <c r="A1593" s="4">
        <v>45256.609702511574</v>
      </c>
      <c r="B1593" s="5" t="s">
        <v>1427</v>
      </c>
      <c r="C1593" s="5">
        <v>8.447581175E9</v>
      </c>
      <c r="E1593" s="5" t="s">
        <v>567</v>
      </c>
      <c r="G1593" s="5" t="s">
        <v>303</v>
      </c>
      <c r="H1593" s="5" t="s">
        <v>706</v>
      </c>
    </row>
    <row r="1594">
      <c r="A1594" s="4">
        <v>45256.60987234954</v>
      </c>
      <c r="B1594" s="5" t="s">
        <v>1834</v>
      </c>
      <c r="C1594" s="5">
        <v>9.810292363E9</v>
      </c>
      <c r="E1594" s="5" t="s">
        <v>1835</v>
      </c>
      <c r="G1594" s="5" t="s">
        <v>303</v>
      </c>
      <c r="H1594" s="5" t="s">
        <v>706</v>
      </c>
    </row>
    <row r="1595">
      <c r="A1595" s="4">
        <v>45256.61160415509</v>
      </c>
      <c r="B1595" s="5" t="s">
        <v>1836</v>
      </c>
      <c r="C1595" s="5">
        <v>9.99102245E9</v>
      </c>
      <c r="G1595" s="5" t="s">
        <v>303</v>
      </c>
      <c r="H1595" s="5" t="s">
        <v>701</v>
      </c>
    </row>
    <row r="1596">
      <c r="A1596" s="4">
        <v>45256.61204893519</v>
      </c>
      <c r="B1596" s="5" t="s">
        <v>1837</v>
      </c>
      <c r="C1596" s="5">
        <v>8.92012816E9</v>
      </c>
      <c r="E1596" s="5" t="s">
        <v>879</v>
      </c>
      <c r="G1596" s="5" t="s">
        <v>303</v>
      </c>
      <c r="H1596" s="5" t="s">
        <v>706</v>
      </c>
    </row>
    <row r="1597">
      <c r="A1597" s="4">
        <v>45256.613966793986</v>
      </c>
      <c r="B1597" s="5" t="s">
        <v>649</v>
      </c>
      <c r="C1597" s="5">
        <v>7.678339364E9</v>
      </c>
      <c r="E1597" s="5" t="s">
        <v>879</v>
      </c>
      <c r="G1597" s="5" t="s">
        <v>303</v>
      </c>
      <c r="H1597" s="5" t="s">
        <v>706</v>
      </c>
    </row>
    <row r="1598">
      <c r="A1598" s="4">
        <v>45256.614236180554</v>
      </c>
      <c r="B1598" s="5" t="s">
        <v>1838</v>
      </c>
      <c r="C1598" s="5">
        <v>9.21436978E9</v>
      </c>
      <c r="G1598" s="5" t="s">
        <v>303</v>
      </c>
      <c r="H1598" s="5" t="s">
        <v>701</v>
      </c>
    </row>
    <row r="1599">
      <c r="A1599" s="4">
        <v>45256.621499270834</v>
      </c>
      <c r="B1599" s="5" t="s">
        <v>219</v>
      </c>
      <c r="C1599" s="5">
        <v>8.810545235E9</v>
      </c>
      <c r="E1599" s="5" t="s">
        <v>79</v>
      </c>
      <c r="G1599" s="5" t="s">
        <v>303</v>
      </c>
      <c r="H1599" s="5" t="s">
        <v>706</v>
      </c>
    </row>
    <row r="1600">
      <c r="A1600" s="4">
        <v>45256.62292087963</v>
      </c>
      <c r="B1600" s="5" t="s">
        <v>1839</v>
      </c>
      <c r="C1600" s="5">
        <v>6.395024487E9</v>
      </c>
      <c r="G1600" s="5" t="s">
        <v>303</v>
      </c>
      <c r="H1600" s="5" t="s">
        <v>701</v>
      </c>
    </row>
    <row r="1601">
      <c r="A1601" s="4">
        <v>45256.62662681713</v>
      </c>
      <c r="B1601" s="5" t="s">
        <v>1840</v>
      </c>
      <c r="C1601" s="5">
        <v>8.384082024E9</v>
      </c>
      <c r="E1601" s="5" t="s">
        <v>79</v>
      </c>
      <c r="G1601" s="5" t="s">
        <v>303</v>
      </c>
      <c r="H1601" s="5" t="s">
        <v>706</v>
      </c>
    </row>
    <row r="1602">
      <c r="A1602" s="4">
        <v>45256.62755685185</v>
      </c>
      <c r="B1602" s="5" t="s">
        <v>1841</v>
      </c>
      <c r="C1602" s="5">
        <v>8.447181611E9</v>
      </c>
      <c r="G1602" s="5" t="s">
        <v>303</v>
      </c>
      <c r="H1602" s="5" t="s">
        <v>701</v>
      </c>
    </row>
    <row r="1603">
      <c r="A1603" s="4">
        <v>45256.628159224536</v>
      </c>
      <c r="B1603" s="5" t="s">
        <v>252</v>
      </c>
      <c r="C1603" s="5">
        <v>8.920031297E9</v>
      </c>
      <c r="E1603" s="5" t="s">
        <v>143</v>
      </c>
      <c r="G1603" s="5" t="s">
        <v>303</v>
      </c>
      <c r="H1603" s="5" t="s">
        <v>706</v>
      </c>
    </row>
    <row r="1604">
      <c r="A1604" s="4">
        <v>45256.62856398148</v>
      </c>
      <c r="B1604" s="5" t="s">
        <v>1842</v>
      </c>
      <c r="C1604" s="5">
        <v>7.011317685E9</v>
      </c>
      <c r="G1604" s="5" t="s">
        <v>303</v>
      </c>
      <c r="H1604" s="5" t="s">
        <v>701</v>
      </c>
    </row>
    <row r="1605">
      <c r="A1605" s="4">
        <v>45256.62898865741</v>
      </c>
      <c r="B1605" s="5" t="s">
        <v>1843</v>
      </c>
      <c r="C1605" s="5">
        <v>9.971518201E9</v>
      </c>
      <c r="G1605" s="5" t="s">
        <v>303</v>
      </c>
      <c r="H1605" s="5" t="s">
        <v>701</v>
      </c>
    </row>
    <row r="1606">
      <c r="A1606" s="4">
        <v>45256.62954019676</v>
      </c>
      <c r="B1606" s="5" t="s">
        <v>1844</v>
      </c>
      <c r="C1606" s="5">
        <v>9.315306715E9</v>
      </c>
      <c r="E1606" s="5" t="s">
        <v>1139</v>
      </c>
      <c r="G1606" s="5" t="s">
        <v>303</v>
      </c>
      <c r="H1606" s="5" t="s">
        <v>706</v>
      </c>
    </row>
    <row r="1607">
      <c r="A1607" s="4">
        <v>45256.63041302083</v>
      </c>
      <c r="B1607" s="5" t="s">
        <v>1845</v>
      </c>
      <c r="C1607" s="5">
        <v>9.650850911E9</v>
      </c>
      <c r="E1607" s="5" t="s">
        <v>1139</v>
      </c>
      <c r="G1607" s="5" t="s">
        <v>303</v>
      </c>
      <c r="H1607" s="5" t="s">
        <v>706</v>
      </c>
    </row>
    <row r="1608">
      <c r="A1608" s="4">
        <v>45256.63365949074</v>
      </c>
      <c r="B1608" s="5" t="s">
        <v>716</v>
      </c>
      <c r="C1608" s="5">
        <v>9.899356565E9</v>
      </c>
      <c r="E1608" s="5" t="s">
        <v>82</v>
      </c>
      <c r="G1608" s="5" t="s">
        <v>303</v>
      </c>
      <c r="H1608" s="5" t="s">
        <v>706</v>
      </c>
    </row>
    <row r="1609">
      <c r="A1609" s="4">
        <v>45256.635095949074</v>
      </c>
      <c r="B1609" s="5" t="s">
        <v>1846</v>
      </c>
      <c r="C1609" s="5">
        <v>9.89117536E9</v>
      </c>
      <c r="E1609" s="5" t="s">
        <v>1847</v>
      </c>
      <c r="G1609" s="5" t="s">
        <v>303</v>
      </c>
      <c r="H1609" s="5" t="s">
        <v>706</v>
      </c>
    </row>
    <row r="1610">
      <c r="A1610" s="4">
        <v>45256.63687760416</v>
      </c>
      <c r="B1610" s="5" t="s">
        <v>1848</v>
      </c>
      <c r="C1610" s="5">
        <v>9.625871071E9</v>
      </c>
      <c r="E1610" s="5" t="s">
        <v>21</v>
      </c>
      <c r="G1610" s="5" t="s">
        <v>303</v>
      </c>
      <c r="H1610" s="5" t="s">
        <v>701</v>
      </c>
    </row>
    <row r="1611">
      <c r="A1611" s="4">
        <v>45256.63762642361</v>
      </c>
      <c r="B1611" s="5" t="s">
        <v>1849</v>
      </c>
      <c r="C1611" s="5">
        <v>8.375086586E9</v>
      </c>
      <c r="E1611" s="5" t="s">
        <v>51</v>
      </c>
      <c r="G1611" s="5" t="s">
        <v>303</v>
      </c>
      <c r="H1611" s="5" t="s">
        <v>706</v>
      </c>
    </row>
    <row r="1612">
      <c r="A1612" s="4">
        <v>45256.63908986111</v>
      </c>
      <c r="B1612" s="5" t="s">
        <v>1850</v>
      </c>
      <c r="C1612" s="5">
        <v>8.130819268E9</v>
      </c>
      <c r="G1612" s="5" t="s">
        <v>303</v>
      </c>
      <c r="H1612" s="5" t="s">
        <v>701</v>
      </c>
    </row>
    <row r="1613">
      <c r="A1613" s="4">
        <v>45256.64083429398</v>
      </c>
      <c r="B1613" s="5" t="s">
        <v>1851</v>
      </c>
      <c r="C1613" s="5">
        <v>7.406770001E9</v>
      </c>
      <c r="E1613" s="5" t="s">
        <v>1852</v>
      </c>
      <c r="G1613" s="5" t="s">
        <v>303</v>
      </c>
      <c r="H1613" s="5" t="s">
        <v>706</v>
      </c>
    </row>
    <row r="1614">
      <c r="A1614" s="4">
        <v>45256.64118413195</v>
      </c>
      <c r="B1614" s="5" t="s">
        <v>529</v>
      </c>
      <c r="C1614" s="5">
        <v>7.838584066E9</v>
      </c>
      <c r="E1614" s="5" t="s">
        <v>21</v>
      </c>
      <c r="G1614" s="5" t="s">
        <v>303</v>
      </c>
      <c r="H1614" s="5" t="s">
        <v>706</v>
      </c>
    </row>
    <row r="1615">
      <c r="A1615" s="4">
        <v>45256.64187048611</v>
      </c>
      <c r="B1615" s="5" t="s">
        <v>1853</v>
      </c>
      <c r="C1615" s="5">
        <v>9.911680695E9</v>
      </c>
      <c r="G1615" s="5" t="s">
        <v>303</v>
      </c>
      <c r="H1615" s="5" t="s">
        <v>701</v>
      </c>
    </row>
    <row r="1616">
      <c r="A1616" s="4">
        <v>45256.64458652778</v>
      </c>
      <c r="B1616" s="5" t="s">
        <v>1854</v>
      </c>
      <c r="C1616" s="5">
        <v>9.250940985E9</v>
      </c>
      <c r="G1616" s="5" t="s">
        <v>303</v>
      </c>
      <c r="H1616" s="5" t="s">
        <v>701</v>
      </c>
    </row>
    <row r="1617">
      <c r="A1617" s="4">
        <v>45256.64694719907</v>
      </c>
      <c r="B1617" s="5" t="s">
        <v>997</v>
      </c>
      <c r="C1617" s="5">
        <v>9.891175666E9</v>
      </c>
      <c r="G1617" s="5" t="s">
        <v>303</v>
      </c>
      <c r="H1617" s="5" t="s">
        <v>701</v>
      </c>
    </row>
    <row r="1618">
      <c r="A1618" s="4">
        <v>45256.64951682871</v>
      </c>
      <c r="B1618" s="5" t="s">
        <v>1855</v>
      </c>
      <c r="C1618" s="5">
        <v>9.560913841E9</v>
      </c>
      <c r="G1618" s="5" t="s">
        <v>303</v>
      </c>
      <c r="H1618" s="5" t="s">
        <v>701</v>
      </c>
    </row>
    <row r="1619">
      <c r="A1619" s="4">
        <v>45256.65312636574</v>
      </c>
      <c r="B1619" s="5" t="s">
        <v>1856</v>
      </c>
      <c r="C1619" s="5">
        <v>9.315506023E9</v>
      </c>
      <c r="G1619" s="5" t="s">
        <v>303</v>
      </c>
      <c r="H1619" s="5" t="s">
        <v>701</v>
      </c>
    </row>
    <row r="1620">
      <c r="A1620" s="4">
        <v>45256.65454001157</v>
      </c>
      <c r="B1620" s="5" t="s">
        <v>1857</v>
      </c>
      <c r="C1620" s="5">
        <v>9.990945214E9</v>
      </c>
      <c r="E1620" s="5" t="s">
        <v>13</v>
      </c>
      <c r="G1620" s="5" t="s">
        <v>303</v>
      </c>
      <c r="H1620" s="5" t="s">
        <v>706</v>
      </c>
    </row>
    <row r="1621">
      <c r="A1621" s="4">
        <v>45256.654789016204</v>
      </c>
      <c r="B1621" s="5" t="s">
        <v>1858</v>
      </c>
      <c r="C1621" s="5">
        <v>9.891093288E9</v>
      </c>
      <c r="G1621" s="5" t="s">
        <v>303</v>
      </c>
      <c r="H1621" s="5" t="s">
        <v>701</v>
      </c>
    </row>
    <row r="1622">
      <c r="A1622" s="4">
        <v>45256.65624163194</v>
      </c>
      <c r="B1622" s="5" t="s">
        <v>1859</v>
      </c>
      <c r="C1622" s="5">
        <v>7.30333065E9</v>
      </c>
      <c r="E1622" s="5" t="s">
        <v>879</v>
      </c>
      <c r="G1622" s="5" t="s">
        <v>303</v>
      </c>
      <c r="H1622" s="5" t="s">
        <v>706</v>
      </c>
    </row>
    <row r="1623">
      <c r="A1623" s="4">
        <v>45256.65695628472</v>
      </c>
      <c r="B1623" s="5" t="s">
        <v>1860</v>
      </c>
      <c r="C1623" s="5">
        <v>9.899356015E9</v>
      </c>
      <c r="E1623" s="5" t="s">
        <v>79</v>
      </c>
      <c r="G1623" s="5" t="s">
        <v>303</v>
      </c>
      <c r="H1623" s="5" t="s">
        <v>706</v>
      </c>
    </row>
    <row r="1624">
      <c r="A1624" s="4">
        <v>45256.65755567129</v>
      </c>
      <c r="B1624" s="5" t="s">
        <v>1861</v>
      </c>
      <c r="C1624" s="5">
        <v>7.451952904E9</v>
      </c>
      <c r="G1624" s="5" t="s">
        <v>303</v>
      </c>
      <c r="H1624" s="5" t="s">
        <v>701</v>
      </c>
    </row>
    <row r="1625">
      <c r="A1625" s="4">
        <v>45256.65780177084</v>
      </c>
      <c r="B1625" s="5" t="s">
        <v>907</v>
      </c>
      <c r="C1625" s="5">
        <v>8.218631745E9</v>
      </c>
      <c r="E1625" s="5" t="s">
        <v>79</v>
      </c>
      <c r="G1625" s="5" t="s">
        <v>303</v>
      </c>
      <c r="H1625" s="5" t="s">
        <v>706</v>
      </c>
    </row>
    <row r="1626">
      <c r="A1626" s="4">
        <v>45256.658089895835</v>
      </c>
      <c r="B1626" s="5" t="s">
        <v>1862</v>
      </c>
      <c r="C1626" s="5">
        <v>9.643088041E9</v>
      </c>
      <c r="G1626" s="5" t="s">
        <v>303</v>
      </c>
      <c r="H1626" s="5" t="s">
        <v>701</v>
      </c>
    </row>
    <row r="1627">
      <c r="A1627" s="4">
        <v>45256.65842479166</v>
      </c>
      <c r="B1627" s="5" t="s">
        <v>1863</v>
      </c>
      <c r="C1627" s="5">
        <v>9.953753268E9</v>
      </c>
      <c r="G1627" s="5" t="s">
        <v>303</v>
      </c>
      <c r="H1627" s="5" t="s">
        <v>706</v>
      </c>
    </row>
    <row r="1628">
      <c r="A1628" s="4">
        <v>45256.65871716435</v>
      </c>
      <c r="B1628" s="5" t="s">
        <v>161</v>
      </c>
      <c r="C1628" s="5">
        <v>7.065914305E9</v>
      </c>
      <c r="G1628" s="5" t="s">
        <v>303</v>
      </c>
      <c r="H1628" s="5" t="s">
        <v>701</v>
      </c>
    </row>
    <row r="1629">
      <c r="A1629" s="4">
        <v>45256.65896083333</v>
      </c>
      <c r="B1629" s="5" t="s">
        <v>1864</v>
      </c>
      <c r="C1629" s="5">
        <v>9.015857505E9</v>
      </c>
      <c r="E1629" s="5" t="s">
        <v>39</v>
      </c>
      <c r="G1629" s="5" t="s">
        <v>303</v>
      </c>
      <c r="H1629" s="5" t="s">
        <v>706</v>
      </c>
    </row>
    <row r="1630">
      <c r="A1630" s="4">
        <v>45256.6589930787</v>
      </c>
      <c r="B1630" s="5" t="s">
        <v>1865</v>
      </c>
      <c r="C1630" s="5">
        <v>8.077188143E9</v>
      </c>
      <c r="E1630" s="5" t="s">
        <v>79</v>
      </c>
      <c r="G1630" s="5" t="s">
        <v>303</v>
      </c>
      <c r="H1630" s="5" t="s">
        <v>706</v>
      </c>
    </row>
    <row r="1631">
      <c r="A1631" s="4">
        <v>45256.6626578125</v>
      </c>
      <c r="B1631" s="5" t="s">
        <v>1866</v>
      </c>
      <c r="C1631" s="5">
        <v>9.811279686E9</v>
      </c>
      <c r="E1631" s="5" t="s">
        <v>79</v>
      </c>
      <c r="G1631" s="5" t="s">
        <v>303</v>
      </c>
      <c r="H1631" s="5" t="s">
        <v>706</v>
      </c>
    </row>
    <row r="1632">
      <c r="A1632" s="4">
        <v>45256.663223344905</v>
      </c>
      <c r="B1632" s="5" t="s">
        <v>1867</v>
      </c>
      <c r="C1632" s="5">
        <v>8.447016952E9</v>
      </c>
      <c r="E1632" s="5" t="s">
        <v>71</v>
      </c>
      <c r="G1632" s="5" t="s">
        <v>303</v>
      </c>
      <c r="H1632" s="5" t="s">
        <v>706</v>
      </c>
    </row>
    <row r="1633">
      <c r="A1633" s="4">
        <v>45256.66766065972</v>
      </c>
      <c r="B1633" s="5" t="s">
        <v>1868</v>
      </c>
      <c r="C1633" s="5">
        <v>9.889797354E9</v>
      </c>
      <c r="E1633" s="5" t="s">
        <v>13</v>
      </c>
      <c r="G1633" s="5" t="s">
        <v>303</v>
      </c>
      <c r="H1633" s="5" t="s">
        <v>706</v>
      </c>
    </row>
    <row r="1634">
      <c r="A1634" s="4">
        <v>45256.67142215278</v>
      </c>
      <c r="B1634" s="5" t="s">
        <v>1869</v>
      </c>
      <c r="C1634" s="5">
        <v>9.268744806E9</v>
      </c>
      <c r="E1634" s="5" t="s">
        <v>15</v>
      </c>
      <c r="G1634" s="5" t="s">
        <v>303</v>
      </c>
      <c r="H1634" s="5" t="s">
        <v>706</v>
      </c>
    </row>
    <row r="1635">
      <c r="A1635" s="4">
        <v>45256.67693241898</v>
      </c>
      <c r="B1635" s="5" t="s">
        <v>1870</v>
      </c>
      <c r="C1635" s="5">
        <v>9.68000603E9</v>
      </c>
      <c r="E1635" s="5" t="s">
        <v>879</v>
      </c>
      <c r="G1635" s="5" t="s">
        <v>303</v>
      </c>
      <c r="H1635" s="5" t="s">
        <v>706</v>
      </c>
    </row>
    <row r="1636">
      <c r="A1636" s="4">
        <v>45256.67716842593</v>
      </c>
      <c r="B1636" s="5" t="s">
        <v>1871</v>
      </c>
      <c r="C1636" s="5">
        <v>9.265290879E9</v>
      </c>
      <c r="E1636" s="5" t="s">
        <v>1113</v>
      </c>
      <c r="G1636" s="5" t="s">
        <v>289</v>
      </c>
      <c r="H1636" s="5" t="s">
        <v>701</v>
      </c>
    </row>
    <row r="1637">
      <c r="A1637" s="4">
        <v>45256.67767380787</v>
      </c>
      <c r="B1637" s="5" t="s">
        <v>1872</v>
      </c>
      <c r="C1637" s="5">
        <v>9.354266303E9</v>
      </c>
      <c r="G1637" s="5" t="s">
        <v>303</v>
      </c>
      <c r="H1637" s="5" t="s">
        <v>701</v>
      </c>
    </row>
    <row r="1638">
      <c r="A1638" s="4">
        <v>45256.67950824074</v>
      </c>
      <c r="B1638" s="5" t="s">
        <v>63</v>
      </c>
      <c r="C1638" s="5">
        <v>9.910822313E9</v>
      </c>
      <c r="G1638" s="5" t="s">
        <v>303</v>
      </c>
      <c r="H1638" s="5" t="s">
        <v>701</v>
      </c>
    </row>
    <row r="1639">
      <c r="A1639" s="4">
        <v>45256.68050248842</v>
      </c>
      <c r="B1639" s="5" t="s">
        <v>1873</v>
      </c>
      <c r="C1639" s="5">
        <v>8.171613405E9</v>
      </c>
      <c r="G1639" s="5" t="s">
        <v>303</v>
      </c>
      <c r="H1639" s="5" t="s">
        <v>701</v>
      </c>
    </row>
    <row r="1640">
      <c r="A1640" s="4">
        <v>45256.68168091435</v>
      </c>
      <c r="B1640" s="5" t="s">
        <v>1874</v>
      </c>
      <c r="C1640" s="5">
        <v>9.136053256E9</v>
      </c>
      <c r="G1640" s="5" t="s">
        <v>303</v>
      </c>
      <c r="H1640" s="5" t="s">
        <v>701</v>
      </c>
    </row>
    <row r="1641">
      <c r="A1641" s="4">
        <v>45256.692977604165</v>
      </c>
      <c r="B1641" s="5" t="s">
        <v>1875</v>
      </c>
      <c r="C1641" s="5">
        <v>8.920796992E9</v>
      </c>
      <c r="G1641" s="5" t="s">
        <v>303</v>
      </c>
      <c r="H1641" s="5" t="s">
        <v>701</v>
      </c>
    </row>
    <row r="1642">
      <c r="A1642" s="4">
        <v>45256.69346064815</v>
      </c>
      <c r="B1642" s="5" t="s">
        <v>1876</v>
      </c>
      <c r="C1642" s="5">
        <v>9.999144457E9</v>
      </c>
      <c r="G1642" s="5" t="s">
        <v>303</v>
      </c>
      <c r="H1642" s="5" t="s">
        <v>701</v>
      </c>
    </row>
    <row r="1643">
      <c r="A1643" s="4">
        <v>45256.6962096875</v>
      </c>
      <c r="B1643" s="5" t="s">
        <v>1829</v>
      </c>
      <c r="C1643" s="5">
        <v>9.654858268E9</v>
      </c>
      <c r="G1643" s="5" t="s">
        <v>303</v>
      </c>
      <c r="H1643" s="5" t="s">
        <v>701</v>
      </c>
    </row>
    <row r="1644">
      <c r="A1644" s="4">
        <v>45256.69652996528</v>
      </c>
      <c r="B1644" s="5" t="s">
        <v>1877</v>
      </c>
      <c r="C1644" s="5">
        <v>9.971655934E9</v>
      </c>
      <c r="G1644" s="5" t="s">
        <v>303</v>
      </c>
      <c r="H1644" s="5" t="s">
        <v>701</v>
      </c>
    </row>
    <row r="1645">
      <c r="A1645" s="4">
        <v>45256.696687488424</v>
      </c>
      <c r="B1645" s="5" t="s">
        <v>1878</v>
      </c>
      <c r="C1645" s="5">
        <v>9.86878787E9</v>
      </c>
      <c r="E1645" s="5" t="s">
        <v>1879</v>
      </c>
      <c r="G1645" s="5" t="s">
        <v>303</v>
      </c>
      <c r="H1645" s="5" t="s">
        <v>706</v>
      </c>
    </row>
    <row r="1646">
      <c r="A1646" s="4">
        <v>45256.697065960645</v>
      </c>
      <c r="B1646" s="5" t="s">
        <v>1880</v>
      </c>
      <c r="C1646" s="5">
        <v>9.873749607E9</v>
      </c>
      <c r="G1646" s="5" t="s">
        <v>303</v>
      </c>
      <c r="H1646" s="5" t="s">
        <v>701</v>
      </c>
    </row>
    <row r="1647">
      <c r="A1647" s="4">
        <v>45256.70161596064</v>
      </c>
      <c r="B1647" s="5" t="s">
        <v>1881</v>
      </c>
      <c r="C1647" s="5">
        <v>9.871969581E9</v>
      </c>
      <c r="E1647" s="5" t="s">
        <v>1882</v>
      </c>
      <c r="G1647" s="5" t="s">
        <v>303</v>
      </c>
      <c r="H1647" s="5" t="s">
        <v>706</v>
      </c>
    </row>
    <row r="1648">
      <c r="A1648" s="4">
        <v>45256.704415995366</v>
      </c>
      <c r="B1648" s="5" t="s">
        <v>1883</v>
      </c>
      <c r="C1648" s="5">
        <v>9.911415882E9</v>
      </c>
      <c r="E1648" s="5" t="s">
        <v>1884</v>
      </c>
      <c r="G1648" s="5" t="s">
        <v>303</v>
      </c>
      <c r="H1648" s="5" t="s">
        <v>706</v>
      </c>
    </row>
    <row r="1649">
      <c r="A1649" s="4">
        <v>45256.7045025</v>
      </c>
      <c r="B1649" s="5" t="s">
        <v>1885</v>
      </c>
      <c r="C1649" s="5">
        <v>9.87101012E9</v>
      </c>
      <c r="G1649" s="5" t="s">
        <v>303</v>
      </c>
      <c r="H1649" s="5" t="s">
        <v>701</v>
      </c>
    </row>
    <row r="1650">
      <c r="A1650" s="4">
        <v>45256.706994340275</v>
      </c>
      <c r="B1650" s="5" t="s">
        <v>1886</v>
      </c>
      <c r="C1650" s="5">
        <v>9.899991666E9</v>
      </c>
      <c r="G1650" s="5" t="s">
        <v>303</v>
      </c>
      <c r="H1650" s="5" t="s">
        <v>701</v>
      </c>
    </row>
    <row r="1651">
      <c r="A1651" s="4">
        <v>45256.70737506944</v>
      </c>
      <c r="B1651" s="5" t="s">
        <v>1887</v>
      </c>
      <c r="C1651" s="5">
        <v>8.004655555E9</v>
      </c>
      <c r="E1651" s="5" t="s">
        <v>1888</v>
      </c>
      <c r="G1651" s="5" t="s">
        <v>303</v>
      </c>
      <c r="H1651" s="5" t="s">
        <v>706</v>
      </c>
    </row>
    <row r="1652">
      <c r="A1652" s="4">
        <v>45256.71027096065</v>
      </c>
      <c r="B1652" s="5" t="s">
        <v>1889</v>
      </c>
      <c r="C1652" s="5">
        <v>9.891576099E9</v>
      </c>
      <c r="E1652" s="5" t="s">
        <v>769</v>
      </c>
      <c r="G1652" s="5" t="s">
        <v>303</v>
      </c>
      <c r="H1652" s="5" t="s">
        <v>706</v>
      </c>
    </row>
    <row r="1653">
      <c r="A1653" s="4">
        <v>45256.731050393515</v>
      </c>
      <c r="B1653" s="5" t="s">
        <v>1890</v>
      </c>
      <c r="C1653" s="5">
        <v>9.212691224E9</v>
      </c>
      <c r="G1653" s="5" t="s">
        <v>303</v>
      </c>
      <c r="H1653" s="5" t="s">
        <v>701</v>
      </c>
    </row>
    <row r="1654">
      <c r="A1654" s="4">
        <v>45256.73331319445</v>
      </c>
      <c r="B1654" s="5" t="s">
        <v>1891</v>
      </c>
      <c r="C1654" s="5">
        <v>9.931260165E9</v>
      </c>
      <c r="G1654" s="5" t="s">
        <v>303</v>
      </c>
      <c r="H1654" s="5" t="s">
        <v>701</v>
      </c>
    </row>
    <row r="1655">
      <c r="A1655" s="4">
        <v>45256.73440631945</v>
      </c>
      <c r="B1655" s="5" t="s">
        <v>534</v>
      </c>
      <c r="C1655" s="5">
        <v>9.958114553E9</v>
      </c>
      <c r="E1655" s="5" t="s">
        <v>1892</v>
      </c>
      <c r="G1655" s="5" t="s">
        <v>289</v>
      </c>
      <c r="H1655" s="5" t="s">
        <v>706</v>
      </c>
    </row>
    <row r="1656">
      <c r="A1656" s="4">
        <v>45256.74012728009</v>
      </c>
      <c r="B1656" s="5" t="s">
        <v>1893</v>
      </c>
      <c r="C1656" s="5">
        <v>8.447569752E9</v>
      </c>
      <c r="G1656" s="5" t="s">
        <v>303</v>
      </c>
      <c r="H1656" s="5" t="s">
        <v>701</v>
      </c>
    </row>
    <row r="1657">
      <c r="A1657" s="4">
        <v>45256.74383194445</v>
      </c>
      <c r="B1657" s="5" t="s">
        <v>1894</v>
      </c>
      <c r="C1657" s="5">
        <v>9.899387733E9</v>
      </c>
      <c r="G1657" s="5" t="s">
        <v>303</v>
      </c>
      <c r="H1657" s="5" t="s">
        <v>706</v>
      </c>
    </row>
    <row r="1658">
      <c r="A1658" s="4">
        <v>45256.74797467593</v>
      </c>
      <c r="B1658" s="5" t="s">
        <v>1895</v>
      </c>
      <c r="C1658" s="5">
        <v>9.829598357E9</v>
      </c>
      <c r="E1658" s="5" t="s">
        <v>1896</v>
      </c>
      <c r="G1658" s="5" t="s">
        <v>303</v>
      </c>
      <c r="H1658" s="5" t="s">
        <v>706</v>
      </c>
    </row>
    <row r="1659">
      <c r="A1659" s="4">
        <v>45256.74866295139</v>
      </c>
      <c r="B1659" s="5" t="s">
        <v>1897</v>
      </c>
      <c r="C1659" s="5">
        <v>8.383892097E9</v>
      </c>
      <c r="G1659" s="5" t="s">
        <v>303</v>
      </c>
      <c r="H1659" s="5" t="s">
        <v>701</v>
      </c>
    </row>
    <row r="1660">
      <c r="A1660" s="4">
        <v>45256.74960390046</v>
      </c>
      <c r="B1660" s="5" t="s">
        <v>1898</v>
      </c>
      <c r="C1660" s="5">
        <v>8.700571292E9</v>
      </c>
      <c r="G1660" s="5" t="s">
        <v>303</v>
      </c>
      <c r="H1660" s="5" t="s">
        <v>701</v>
      </c>
    </row>
    <row r="1661">
      <c r="A1661" s="4">
        <v>45256.75224890046</v>
      </c>
      <c r="B1661" s="5" t="s">
        <v>569</v>
      </c>
      <c r="C1661" s="5">
        <v>9.711924615E9</v>
      </c>
      <c r="E1661" s="5" t="s">
        <v>769</v>
      </c>
      <c r="G1661" s="5" t="s">
        <v>303</v>
      </c>
      <c r="H1661" s="5" t="s">
        <v>706</v>
      </c>
    </row>
    <row r="1662">
      <c r="A1662" s="4">
        <v>45256.75260486111</v>
      </c>
      <c r="B1662" s="5" t="s">
        <v>1899</v>
      </c>
      <c r="C1662" s="5">
        <v>9.971475902E9</v>
      </c>
      <c r="G1662" s="5" t="s">
        <v>303</v>
      </c>
      <c r="H1662" s="5" t="s">
        <v>701</v>
      </c>
    </row>
    <row r="1663">
      <c r="A1663" s="4">
        <v>45256.753732916666</v>
      </c>
      <c r="B1663" s="5" t="s">
        <v>1900</v>
      </c>
      <c r="C1663" s="5">
        <v>8.826287066E9</v>
      </c>
      <c r="E1663" s="5" t="s">
        <v>769</v>
      </c>
      <c r="G1663" s="5" t="s">
        <v>303</v>
      </c>
      <c r="H1663" s="5" t="s">
        <v>706</v>
      </c>
    </row>
    <row r="1664">
      <c r="A1664" s="4">
        <v>45256.754612951394</v>
      </c>
      <c r="B1664" s="5" t="s">
        <v>1901</v>
      </c>
      <c r="C1664" s="5">
        <v>9.355092149E9</v>
      </c>
      <c r="G1664" s="5" t="s">
        <v>303</v>
      </c>
      <c r="H1664" s="5" t="s">
        <v>701</v>
      </c>
    </row>
    <row r="1665">
      <c r="A1665" s="4">
        <v>45256.75631759259</v>
      </c>
      <c r="B1665" s="5" t="s">
        <v>1644</v>
      </c>
      <c r="C1665" s="5">
        <v>7.982522588E9</v>
      </c>
      <c r="E1665" s="5" t="s">
        <v>1902</v>
      </c>
      <c r="G1665" s="5" t="s">
        <v>303</v>
      </c>
      <c r="H1665" s="5" t="s">
        <v>706</v>
      </c>
    </row>
    <row r="1666">
      <c r="A1666" s="4">
        <v>45256.75636079861</v>
      </c>
      <c r="B1666" s="5" t="s">
        <v>1903</v>
      </c>
      <c r="C1666" s="5">
        <v>7.060038887E9</v>
      </c>
      <c r="E1666" s="5" t="s">
        <v>1904</v>
      </c>
      <c r="G1666" s="5" t="s">
        <v>289</v>
      </c>
      <c r="H1666" s="5" t="s">
        <v>706</v>
      </c>
    </row>
    <row r="1667">
      <c r="A1667" s="4">
        <v>45256.75888818287</v>
      </c>
      <c r="B1667" s="5" t="s">
        <v>1905</v>
      </c>
      <c r="C1667" s="5">
        <v>9.811433384E9</v>
      </c>
      <c r="G1667" s="5" t="s">
        <v>303</v>
      </c>
      <c r="H1667" s="5" t="s">
        <v>706</v>
      </c>
    </row>
    <row r="1668">
      <c r="A1668" s="4">
        <v>45256.759144525466</v>
      </c>
      <c r="B1668" s="5" t="s">
        <v>1906</v>
      </c>
      <c r="C1668" s="5">
        <v>9.911778988E9</v>
      </c>
      <c r="G1668" s="5" t="s">
        <v>303</v>
      </c>
      <c r="H1668" s="5" t="s">
        <v>701</v>
      </c>
    </row>
    <row r="1669">
      <c r="A1669" s="4">
        <v>45256.768343993055</v>
      </c>
      <c r="B1669" s="5" t="s">
        <v>124</v>
      </c>
      <c r="C1669" s="5">
        <v>9.968385274E9</v>
      </c>
      <c r="E1669" s="5" t="s">
        <v>71</v>
      </c>
      <c r="G1669" s="5" t="s">
        <v>303</v>
      </c>
      <c r="H1669" s="5" t="s">
        <v>706</v>
      </c>
    </row>
    <row r="1670">
      <c r="A1670" s="4">
        <v>45256.769963530096</v>
      </c>
      <c r="B1670" s="5" t="s">
        <v>109</v>
      </c>
      <c r="C1670" s="5">
        <v>9.899105407E9</v>
      </c>
      <c r="E1670" s="5" t="s">
        <v>51</v>
      </c>
      <c r="G1670" s="5" t="s">
        <v>303</v>
      </c>
      <c r="H1670" s="5" t="s">
        <v>706</v>
      </c>
    </row>
    <row r="1671">
      <c r="A1671" s="4">
        <v>45256.77462940972</v>
      </c>
      <c r="B1671" s="5" t="s">
        <v>1907</v>
      </c>
      <c r="C1671" s="5">
        <v>9.311189826E9</v>
      </c>
      <c r="G1671" s="5" t="s">
        <v>303</v>
      </c>
      <c r="H1671" s="5" t="s">
        <v>701</v>
      </c>
    </row>
    <row r="1672">
      <c r="A1672" s="4">
        <v>45256.77846204861</v>
      </c>
      <c r="B1672" s="5" t="s">
        <v>1908</v>
      </c>
      <c r="C1672" s="5">
        <v>9.157508532E9</v>
      </c>
      <c r="E1672" s="5" t="s">
        <v>71</v>
      </c>
      <c r="G1672" s="5" t="s">
        <v>303</v>
      </c>
      <c r="H1672" s="5" t="s">
        <v>706</v>
      </c>
    </row>
    <row r="1673">
      <c r="A1673" s="4">
        <v>45256.78103475695</v>
      </c>
      <c r="B1673" s="5" t="s">
        <v>1909</v>
      </c>
      <c r="C1673" s="5">
        <v>9.354445455E9</v>
      </c>
      <c r="E1673" s="5" t="s">
        <v>71</v>
      </c>
      <c r="G1673" s="5" t="s">
        <v>303</v>
      </c>
      <c r="H1673" s="5" t="s">
        <v>706</v>
      </c>
    </row>
    <row r="1674">
      <c r="A1674" s="4">
        <v>45256.788154803246</v>
      </c>
      <c r="B1674" s="5" t="s">
        <v>1910</v>
      </c>
      <c r="C1674" s="5">
        <v>9.54088803E9</v>
      </c>
      <c r="E1674" s="5" t="s">
        <v>424</v>
      </c>
      <c r="G1674" s="5" t="s">
        <v>303</v>
      </c>
      <c r="H1674" s="5" t="s">
        <v>706</v>
      </c>
    </row>
    <row r="1675">
      <c r="A1675" s="4">
        <v>45256.791206643524</v>
      </c>
      <c r="B1675" s="5" t="s">
        <v>1911</v>
      </c>
      <c r="C1675" s="5">
        <v>9.430331256E9</v>
      </c>
      <c r="E1675" s="5" t="s">
        <v>769</v>
      </c>
      <c r="G1675" s="5" t="s">
        <v>303</v>
      </c>
      <c r="H1675" s="5" t="s">
        <v>706</v>
      </c>
    </row>
    <row r="1676">
      <c r="A1676" s="4">
        <v>45256.7962247338</v>
      </c>
      <c r="B1676" s="5" t="s">
        <v>1912</v>
      </c>
      <c r="C1676" s="5">
        <v>9.999360204E9</v>
      </c>
      <c r="E1676" s="5" t="s">
        <v>1913</v>
      </c>
      <c r="G1676" s="5" t="s">
        <v>303</v>
      </c>
      <c r="H1676" s="5" t="s">
        <v>706</v>
      </c>
    </row>
    <row r="1677">
      <c r="A1677" s="4">
        <v>45256.81247804398</v>
      </c>
      <c r="B1677" s="5" t="s">
        <v>1914</v>
      </c>
      <c r="C1677" s="5">
        <v>8.595241741E9</v>
      </c>
      <c r="G1677" s="5" t="s">
        <v>303</v>
      </c>
      <c r="H1677" s="5" t="s">
        <v>701</v>
      </c>
    </row>
    <row r="1678">
      <c r="A1678" s="4">
        <v>45256.81287171296</v>
      </c>
      <c r="B1678" s="5" t="s">
        <v>1915</v>
      </c>
      <c r="C1678" s="5">
        <v>9.540697597E9</v>
      </c>
      <c r="G1678" s="5" t="s">
        <v>303</v>
      </c>
      <c r="H1678" s="5" t="s">
        <v>701</v>
      </c>
    </row>
    <row r="1679">
      <c r="A1679" s="4">
        <v>45256.81336552084</v>
      </c>
      <c r="B1679" s="5" t="s">
        <v>1446</v>
      </c>
      <c r="C1679" s="5">
        <v>9.71808476E9</v>
      </c>
      <c r="G1679" s="5" t="s">
        <v>303</v>
      </c>
      <c r="H1679" s="5" t="s">
        <v>701</v>
      </c>
    </row>
    <row r="1680">
      <c r="A1680" s="4">
        <v>45256.81355402777</v>
      </c>
      <c r="B1680" s="5" t="s">
        <v>1916</v>
      </c>
      <c r="C1680" s="5">
        <v>9.643001645E9</v>
      </c>
      <c r="E1680" s="5" t="s">
        <v>143</v>
      </c>
      <c r="G1680" s="5" t="s">
        <v>303</v>
      </c>
      <c r="H1680" s="5" t="s">
        <v>706</v>
      </c>
    </row>
    <row r="1681">
      <c r="A1681" s="4">
        <v>45256.81376278935</v>
      </c>
      <c r="B1681" s="5" t="s">
        <v>1917</v>
      </c>
      <c r="C1681" s="5">
        <v>9.870484553E9</v>
      </c>
      <c r="G1681" s="5" t="s">
        <v>303</v>
      </c>
      <c r="H1681" s="5" t="s">
        <v>701</v>
      </c>
    </row>
    <row r="1682">
      <c r="A1682" s="4">
        <v>45256.81419109953</v>
      </c>
      <c r="B1682" s="5" t="s">
        <v>777</v>
      </c>
      <c r="C1682" s="5">
        <v>7.042512737E9</v>
      </c>
      <c r="G1682" s="5" t="s">
        <v>303</v>
      </c>
      <c r="H1682" s="5" t="s">
        <v>701</v>
      </c>
    </row>
    <row r="1683">
      <c r="A1683" s="4">
        <v>45256.81830555556</v>
      </c>
      <c r="B1683" s="5" t="s">
        <v>1918</v>
      </c>
      <c r="C1683" s="5">
        <v>9.654764065E9</v>
      </c>
      <c r="G1683" s="5" t="s">
        <v>303</v>
      </c>
      <c r="H1683" s="5" t="s">
        <v>701</v>
      </c>
    </row>
    <row r="1684">
      <c r="A1684" s="4">
        <v>45256.825704386574</v>
      </c>
      <c r="B1684" s="5" t="s">
        <v>1919</v>
      </c>
      <c r="C1684" s="5">
        <v>9.953221888E9</v>
      </c>
      <c r="E1684" s="5" t="s">
        <v>1920</v>
      </c>
      <c r="G1684" s="5" t="s">
        <v>303</v>
      </c>
      <c r="H1684" s="5" t="s">
        <v>706</v>
      </c>
    </row>
    <row r="1685">
      <c r="A1685" s="4">
        <v>45256.83122046296</v>
      </c>
      <c r="B1685" s="5" t="s">
        <v>1353</v>
      </c>
      <c r="C1685" s="5">
        <v>9.582518428E9</v>
      </c>
      <c r="G1685" s="5" t="s">
        <v>303</v>
      </c>
      <c r="H1685" s="5" t="s">
        <v>701</v>
      </c>
    </row>
    <row r="1686">
      <c r="A1686" s="4">
        <v>45257.48221081018</v>
      </c>
      <c r="B1686" s="5" t="s">
        <v>1921</v>
      </c>
      <c r="C1686" s="5">
        <v>7.600439676E9</v>
      </c>
      <c r="G1686" s="5" t="s">
        <v>303</v>
      </c>
      <c r="H1686" s="5" t="s">
        <v>701</v>
      </c>
    </row>
    <row r="1687">
      <c r="A1687" s="4">
        <v>45257.49015023148</v>
      </c>
      <c r="B1687" s="5" t="s">
        <v>1131</v>
      </c>
      <c r="C1687" s="5">
        <v>9.968397453E9</v>
      </c>
      <c r="E1687" s="5" t="s">
        <v>15</v>
      </c>
      <c r="G1687" s="5" t="s">
        <v>303</v>
      </c>
      <c r="H1687" s="5" t="s">
        <v>706</v>
      </c>
    </row>
    <row r="1688">
      <c r="A1688" s="4">
        <v>45257.490528263894</v>
      </c>
      <c r="B1688" s="5" t="s">
        <v>1922</v>
      </c>
      <c r="C1688" s="5">
        <v>7.988646656E9</v>
      </c>
      <c r="G1688" s="5" t="s">
        <v>303</v>
      </c>
      <c r="H1688" s="5" t="s">
        <v>701</v>
      </c>
    </row>
    <row r="1689">
      <c r="A1689" s="4">
        <v>45257.4927230787</v>
      </c>
      <c r="B1689" s="5" t="s">
        <v>1923</v>
      </c>
      <c r="C1689" s="5">
        <v>7.017387612E9</v>
      </c>
      <c r="E1689" s="5" t="s">
        <v>15</v>
      </c>
      <c r="G1689" s="5" t="s">
        <v>303</v>
      </c>
      <c r="H1689" s="5" t="s">
        <v>706</v>
      </c>
    </row>
    <row r="1690">
      <c r="A1690" s="4">
        <v>45257.50731700231</v>
      </c>
      <c r="B1690" s="5" t="s">
        <v>1924</v>
      </c>
      <c r="C1690" s="5">
        <v>9.811088872E9</v>
      </c>
      <c r="E1690" s="5" t="s">
        <v>79</v>
      </c>
      <c r="G1690" s="5" t="s">
        <v>303</v>
      </c>
      <c r="H1690" s="5" t="s">
        <v>706</v>
      </c>
    </row>
    <row r="1691">
      <c r="A1691" s="4">
        <v>45257.51450196759</v>
      </c>
      <c r="B1691" s="5" t="s">
        <v>1925</v>
      </c>
      <c r="C1691" s="5">
        <v>9.919919819E9</v>
      </c>
      <c r="E1691" s="5" t="s">
        <v>15</v>
      </c>
      <c r="G1691" s="5" t="s">
        <v>303</v>
      </c>
      <c r="H1691" s="5" t="s">
        <v>706</v>
      </c>
    </row>
    <row r="1692">
      <c r="A1692" s="4">
        <v>45257.515569560186</v>
      </c>
      <c r="B1692" s="5" t="s">
        <v>1926</v>
      </c>
      <c r="C1692" s="5">
        <v>8.178051346E9</v>
      </c>
      <c r="G1692" s="5" t="s">
        <v>303</v>
      </c>
      <c r="H1692" s="5" t="s">
        <v>701</v>
      </c>
    </row>
    <row r="1693">
      <c r="A1693" s="4">
        <v>45257.51572642361</v>
      </c>
      <c r="B1693" s="5" t="s">
        <v>1927</v>
      </c>
      <c r="C1693" s="5">
        <v>9.818990071E9</v>
      </c>
      <c r="E1693" s="5" t="s">
        <v>15</v>
      </c>
      <c r="G1693" s="5" t="s">
        <v>303</v>
      </c>
      <c r="H1693" s="5" t="s">
        <v>706</v>
      </c>
    </row>
    <row r="1694">
      <c r="A1694" s="4">
        <v>45257.515920370366</v>
      </c>
      <c r="B1694" s="5" t="s">
        <v>204</v>
      </c>
      <c r="C1694" s="5">
        <v>9.81897672E9</v>
      </c>
      <c r="E1694" s="5" t="s">
        <v>79</v>
      </c>
      <c r="G1694" s="5" t="s">
        <v>303</v>
      </c>
      <c r="H1694" s="5" t="s">
        <v>706</v>
      </c>
    </row>
    <row r="1695">
      <c r="A1695" s="4">
        <v>45257.52109703704</v>
      </c>
      <c r="B1695" s="5" t="s">
        <v>1928</v>
      </c>
      <c r="C1695" s="5">
        <v>9.899115181E9</v>
      </c>
      <c r="G1695" s="5" t="s">
        <v>303</v>
      </c>
      <c r="H1695" s="5" t="s">
        <v>701</v>
      </c>
    </row>
    <row r="1696">
      <c r="A1696" s="4">
        <v>45257.52144898148</v>
      </c>
      <c r="B1696" s="5" t="s">
        <v>1929</v>
      </c>
      <c r="C1696" s="5">
        <v>9.311091412E9</v>
      </c>
      <c r="E1696" s="5" t="s">
        <v>227</v>
      </c>
      <c r="G1696" s="5" t="s">
        <v>303</v>
      </c>
      <c r="H1696" s="5" t="s">
        <v>706</v>
      </c>
    </row>
    <row r="1697">
      <c r="A1697" s="4">
        <v>45257.52164237268</v>
      </c>
      <c r="B1697" s="5" t="s">
        <v>1930</v>
      </c>
      <c r="C1697" s="5">
        <v>9.81109422E9</v>
      </c>
      <c r="G1697" s="5" t="s">
        <v>303</v>
      </c>
      <c r="H1697" s="5" t="s">
        <v>701</v>
      </c>
    </row>
    <row r="1698">
      <c r="A1698" s="4">
        <v>45257.522609004634</v>
      </c>
      <c r="B1698" s="5" t="s">
        <v>1931</v>
      </c>
      <c r="C1698" s="5">
        <v>9.315012431E9</v>
      </c>
      <c r="E1698" s="5" t="s">
        <v>227</v>
      </c>
      <c r="G1698" s="5" t="s">
        <v>303</v>
      </c>
      <c r="H1698" s="5" t="s">
        <v>706</v>
      </c>
    </row>
    <row r="1699">
      <c r="A1699" s="4">
        <v>45257.52511636574</v>
      </c>
      <c r="B1699" s="5" t="s">
        <v>1932</v>
      </c>
      <c r="C1699" s="5">
        <v>9.929020605E9</v>
      </c>
      <c r="E1699" s="5" t="s">
        <v>227</v>
      </c>
      <c r="G1699" s="5" t="s">
        <v>303</v>
      </c>
      <c r="H1699" s="5" t="s">
        <v>706</v>
      </c>
    </row>
    <row r="1700">
      <c r="A1700" s="4">
        <v>45257.53494805556</v>
      </c>
      <c r="B1700" s="5" t="s">
        <v>1933</v>
      </c>
      <c r="C1700" s="5">
        <v>9.289123505E9</v>
      </c>
      <c r="G1700" s="5" t="s">
        <v>303</v>
      </c>
      <c r="H1700" s="5" t="s">
        <v>706</v>
      </c>
    </row>
    <row r="1701">
      <c r="A1701" s="4">
        <v>45257.536938668985</v>
      </c>
      <c r="B1701" s="5" t="s">
        <v>1934</v>
      </c>
      <c r="C1701" s="5">
        <v>9.015593048E9</v>
      </c>
      <c r="E1701" s="5" t="s">
        <v>227</v>
      </c>
      <c r="G1701" s="5" t="s">
        <v>303</v>
      </c>
      <c r="H1701" s="5" t="s">
        <v>706</v>
      </c>
    </row>
    <row r="1702">
      <c r="A1702" s="4">
        <v>45257.54076876157</v>
      </c>
      <c r="B1702" s="5" t="s">
        <v>1935</v>
      </c>
      <c r="C1702" s="5">
        <v>9.599310295E9</v>
      </c>
      <c r="G1702" s="5" t="s">
        <v>303</v>
      </c>
      <c r="H1702" s="5" t="s">
        <v>701</v>
      </c>
    </row>
    <row r="1703">
      <c r="A1703" s="4">
        <v>45257.54117402778</v>
      </c>
      <c r="B1703" s="5" t="s">
        <v>1936</v>
      </c>
      <c r="C1703" s="5">
        <v>9.008182463E9</v>
      </c>
      <c r="E1703" s="5" t="s">
        <v>15</v>
      </c>
      <c r="G1703" s="5" t="s">
        <v>303</v>
      </c>
      <c r="H1703" s="5" t="s">
        <v>706</v>
      </c>
    </row>
    <row r="1704">
      <c r="A1704" s="4">
        <v>45257.54523050926</v>
      </c>
      <c r="B1704" s="5" t="s">
        <v>1937</v>
      </c>
      <c r="C1704" s="5">
        <v>9.818100754E9</v>
      </c>
      <c r="E1704" s="5" t="s">
        <v>793</v>
      </c>
      <c r="G1704" s="5" t="s">
        <v>303</v>
      </c>
      <c r="H1704" s="5" t="s">
        <v>706</v>
      </c>
    </row>
    <row r="1705">
      <c r="A1705" s="4">
        <v>45257.5463852199</v>
      </c>
      <c r="B1705" s="5" t="s">
        <v>845</v>
      </c>
      <c r="C1705" s="5">
        <v>9.999209552E9</v>
      </c>
      <c r="E1705" s="5" t="s">
        <v>1938</v>
      </c>
      <c r="G1705" s="5" t="s">
        <v>303</v>
      </c>
      <c r="H1705" s="5" t="s">
        <v>706</v>
      </c>
    </row>
    <row r="1706">
      <c r="A1706" s="4">
        <v>45257.55023652778</v>
      </c>
      <c r="B1706" s="5" t="s">
        <v>1382</v>
      </c>
      <c r="C1706" s="5">
        <v>8.86106739E9</v>
      </c>
      <c r="G1706" s="5" t="s">
        <v>303</v>
      </c>
      <c r="H1706" s="5" t="s">
        <v>706</v>
      </c>
    </row>
    <row r="1707">
      <c r="A1707" s="4">
        <v>45257.55067591435</v>
      </c>
      <c r="B1707" s="5" t="s">
        <v>812</v>
      </c>
      <c r="C1707" s="5">
        <v>9.368074051E9</v>
      </c>
      <c r="E1707" s="5" t="s">
        <v>608</v>
      </c>
      <c r="G1707" s="5" t="s">
        <v>303</v>
      </c>
      <c r="H1707" s="5" t="s">
        <v>706</v>
      </c>
    </row>
    <row r="1708">
      <c r="A1708" s="4">
        <v>45257.55269309028</v>
      </c>
      <c r="B1708" s="5" t="s">
        <v>1930</v>
      </c>
      <c r="C1708" s="5">
        <v>7.042107044E9</v>
      </c>
      <c r="G1708" s="5" t="s">
        <v>303</v>
      </c>
      <c r="H1708" s="5" t="s">
        <v>701</v>
      </c>
    </row>
    <row r="1709">
      <c r="A1709" s="4">
        <v>45257.553265486116</v>
      </c>
      <c r="B1709" s="5" t="s">
        <v>254</v>
      </c>
      <c r="C1709" s="5">
        <v>9.81855742E9</v>
      </c>
      <c r="G1709" s="5" t="s">
        <v>303</v>
      </c>
      <c r="H1709" s="5" t="s">
        <v>701</v>
      </c>
    </row>
    <row r="1710">
      <c r="A1710" s="4">
        <v>45257.554184849534</v>
      </c>
      <c r="B1710" s="5" t="s">
        <v>1258</v>
      </c>
      <c r="C1710" s="5">
        <v>9.289072884E9</v>
      </c>
      <c r="G1710" s="5" t="s">
        <v>303</v>
      </c>
      <c r="H1710" s="5" t="s">
        <v>701</v>
      </c>
    </row>
    <row r="1711">
      <c r="A1711" s="4">
        <v>45257.5542637037</v>
      </c>
      <c r="B1711" s="5" t="s">
        <v>1939</v>
      </c>
      <c r="C1711" s="5">
        <v>9.211015518E9</v>
      </c>
      <c r="G1711" s="5" t="s">
        <v>303</v>
      </c>
      <c r="H1711" s="5" t="s">
        <v>701</v>
      </c>
    </row>
    <row r="1712">
      <c r="A1712" s="4">
        <v>45257.554270057866</v>
      </c>
      <c r="B1712" s="5" t="s">
        <v>1940</v>
      </c>
      <c r="C1712" s="5">
        <v>8.745000456E9</v>
      </c>
      <c r="E1712" s="5" t="s">
        <v>15</v>
      </c>
      <c r="G1712" s="5" t="s">
        <v>303</v>
      </c>
      <c r="H1712" s="5" t="s">
        <v>706</v>
      </c>
    </row>
    <row r="1713">
      <c r="A1713" s="4">
        <v>45257.554427916664</v>
      </c>
      <c r="B1713" s="5" t="s">
        <v>1941</v>
      </c>
      <c r="C1713" s="5">
        <v>8.586821399E9</v>
      </c>
      <c r="G1713" s="5" t="s">
        <v>303</v>
      </c>
      <c r="H1713" s="5" t="s">
        <v>701</v>
      </c>
    </row>
    <row r="1714">
      <c r="A1714" s="4">
        <v>45257.55476320602</v>
      </c>
      <c r="B1714" s="5" t="s">
        <v>653</v>
      </c>
      <c r="C1714" s="5">
        <v>9.81124108E9</v>
      </c>
      <c r="G1714" s="5" t="s">
        <v>303</v>
      </c>
      <c r="H1714" s="5" t="s">
        <v>701</v>
      </c>
    </row>
    <row r="1715">
      <c r="A1715" s="4">
        <v>45257.555072187504</v>
      </c>
      <c r="B1715" s="5" t="s">
        <v>1942</v>
      </c>
      <c r="C1715" s="5">
        <v>7.400055455E9</v>
      </c>
      <c r="G1715" s="5" t="s">
        <v>303</v>
      </c>
      <c r="H1715" s="5" t="s">
        <v>701</v>
      </c>
    </row>
    <row r="1716">
      <c r="A1716" s="4">
        <v>45257.55534303241</v>
      </c>
      <c r="B1716" s="5" t="s">
        <v>1943</v>
      </c>
      <c r="C1716" s="5">
        <v>9.910835432E9</v>
      </c>
      <c r="E1716" s="5" t="s">
        <v>15</v>
      </c>
      <c r="G1716" s="5" t="s">
        <v>303</v>
      </c>
      <c r="H1716" s="5" t="s">
        <v>706</v>
      </c>
    </row>
    <row r="1717">
      <c r="A1717" s="4">
        <v>45257.55537011574</v>
      </c>
      <c r="B1717" s="5" t="s">
        <v>1944</v>
      </c>
      <c r="C1717" s="5">
        <v>9.452147983E9</v>
      </c>
      <c r="G1717" s="5" t="s">
        <v>303</v>
      </c>
      <c r="H1717" s="5" t="s">
        <v>701</v>
      </c>
    </row>
    <row r="1718">
      <c r="A1718" s="4">
        <v>45257.55563805556</v>
      </c>
      <c r="B1718" s="5" t="s">
        <v>1573</v>
      </c>
      <c r="C1718" s="5">
        <v>9.990114995E9</v>
      </c>
      <c r="G1718" s="5" t="s">
        <v>303</v>
      </c>
      <c r="H1718" s="5" t="s">
        <v>701</v>
      </c>
    </row>
    <row r="1719">
      <c r="A1719" s="4">
        <v>45257.555735312504</v>
      </c>
      <c r="B1719" s="5" t="s">
        <v>1945</v>
      </c>
      <c r="C1719" s="5">
        <v>8.368631932E9</v>
      </c>
      <c r="G1719" s="5" t="s">
        <v>303</v>
      </c>
      <c r="H1719" s="5" t="s">
        <v>701</v>
      </c>
    </row>
    <row r="1720">
      <c r="A1720" s="4">
        <v>45257.55596965278</v>
      </c>
      <c r="B1720" s="5" t="s">
        <v>1946</v>
      </c>
      <c r="C1720" s="5">
        <v>9.450361751E9</v>
      </c>
      <c r="G1720" s="5" t="s">
        <v>303</v>
      </c>
      <c r="H1720" s="5" t="s">
        <v>701</v>
      </c>
    </row>
    <row r="1721">
      <c r="A1721" s="4">
        <v>45257.55719075231</v>
      </c>
      <c r="B1721" s="5" t="s">
        <v>1947</v>
      </c>
      <c r="C1721" s="5">
        <v>9.5829322E9</v>
      </c>
      <c r="E1721" s="5" t="s">
        <v>15</v>
      </c>
      <c r="G1721" s="5" t="s">
        <v>303</v>
      </c>
      <c r="H1721" s="5" t="s">
        <v>706</v>
      </c>
    </row>
    <row r="1722">
      <c r="A1722" s="4">
        <v>45257.55749851852</v>
      </c>
      <c r="B1722" s="5" t="s">
        <v>1948</v>
      </c>
      <c r="C1722" s="5">
        <v>9.213140444E9</v>
      </c>
      <c r="E1722" s="5" t="s">
        <v>15</v>
      </c>
      <c r="G1722" s="5" t="s">
        <v>303</v>
      </c>
      <c r="H1722" s="5" t="s">
        <v>706</v>
      </c>
    </row>
    <row r="1723">
      <c r="A1723" s="4">
        <v>45257.558051747685</v>
      </c>
      <c r="B1723" s="5" t="s">
        <v>207</v>
      </c>
      <c r="C1723" s="5">
        <v>8.882886386E9</v>
      </c>
      <c r="E1723" s="5" t="s">
        <v>15</v>
      </c>
      <c r="G1723" s="5" t="s">
        <v>303</v>
      </c>
      <c r="H1723" s="5" t="s">
        <v>706</v>
      </c>
    </row>
    <row r="1724">
      <c r="A1724" s="4">
        <v>45257.5588602662</v>
      </c>
      <c r="B1724" s="5" t="s">
        <v>1949</v>
      </c>
      <c r="C1724" s="5">
        <v>9.582604063E9</v>
      </c>
      <c r="E1724" s="5" t="s">
        <v>15</v>
      </c>
      <c r="G1724" s="5" t="s">
        <v>303</v>
      </c>
      <c r="H1724" s="5" t="s">
        <v>706</v>
      </c>
    </row>
    <row r="1725">
      <c r="A1725" s="4">
        <v>45257.55887807871</v>
      </c>
      <c r="B1725" s="5" t="s">
        <v>1950</v>
      </c>
      <c r="C1725" s="5">
        <v>9.86844001E9</v>
      </c>
      <c r="E1725" s="5" t="s">
        <v>1951</v>
      </c>
      <c r="G1725" s="5" t="s">
        <v>303</v>
      </c>
      <c r="H1725" s="5" t="s">
        <v>706</v>
      </c>
    </row>
    <row r="1726">
      <c r="A1726" s="4">
        <v>45257.55918658565</v>
      </c>
      <c r="B1726" s="5" t="s">
        <v>1952</v>
      </c>
      <c r="C1726" s="5">
        <v>9.873282856E9</v>
      </c>
      <c r="G1726" s="5" t="s">
        <v>303</v>
      </c>
      <c r="H1726" s="5" t="s">
        <v>701</v>
      </c>
    </row>
    <row r="1727">
      <c r="A1727" s="4">
        <v>45257.57290054398</v>
      </c>
      <c r="B1727" s="5" t="s">
        <v>1953</v>
      </c>
      <c r="C1727" s="5">
        <v>9.810784755E9</v>
      </c>
      <c r="E1727" s="5" t="s">
        <v>1902</v>
      </c>
      <c r="G1727" s="5" t="s">
        <v>303</v>
      </c>
      <c r="H1727" s="5" t="s">
        <v>706</v>
      </c>
    </row>
    <row r="1728">
      <c r="A1728" s="4">
        <v>45257.57585270834</v>
      </c>
      <c r="B1728" s="5" t="s">
        <v>518</v>
      </c>
      <c r="C1728" s="5">
        <v>9.810233837E9</v>
      </c>
      <c r="E1728" s="5" t="s">
        <v>15</v>
      </c>
      <c r="G1728" s="5" t="s">
        <v>303</v>
      </c>
      <c r="H1728" s="5" t="s">
        <v>706</v>
      </c>
    </row>
    <row r="1729">
      <c r="A1729" s="4">
        <v>45257.58175798611</v>
      </c>
      <c r="B1729" s="5" t="s">
        <v>1954</v>
      </c>
      <c r="C1729" s="5">
        <v>9.87311333E9</v>
      </c>
      <c r="E1729" s="5" t="s">
        <v>15</v>
      </c>
      <c r="G1729" s="5" t="s">
        <v>303</v>
      </c>
      <c r="H1729" s="5" t="s">
        <v>706</v>
      </c>
    </row>
    <row r="1730">
      <c r="A1730" s="4">
        <v>45257.58750241898</v>
      </c>
      <c r="B1730" s="5" t="s">
        <v>1955</v>
      </c>
      <c r="C1730" s="5">
        <v>9.9582715E9</v>
      </c>
      <c r="E1730" s="5" t="s">
        <v>227</v>
      </c>
      <c r="G1730" s="5" t="s">
        <v>303</v>
      </c>
      <c r="H1730" s="5" t="s">
        <v>706</v>
      </c>
    </row>
    <row r="1731">
      <c r="A1731" s="4">
        <v>45257.593671145834</v>
      </c>
      <c r="B1731" s="5" t="s">
        <v>1956</v>
      </c>
      <c r="C1731" s="5">
        <v>9.871001452E9</v>
      </c>
      <c r="E1731" s="5" t="s">
        <v>891</v>
      </c>
      <c r="G1731" s="5" t="s">
        <v>303</v>
      </c>
      <c r="H1731" s="5" t="s">
        <v>706</v>
      </c>
    </row>
    <row r="1732">
      <c r="A1732" s="4">
        <v>45257.6028274537</v>
      </c>
      <c r="B1732" s="5" t="s">
        <v>1957</v>
      </c>
      <c r="C1732" s="5">
        <v>8.800687106E9</v>
      </c>
      <c r="E1732" s="5" t="s">
        <v>481</v>
      </c>
      <c r="G1732" s="5" t="s">
        <v>303</v>
      </c>
      <c r="H1732" s="5" t="s">
        <v>706</v>
      </c>
    </row>
    <row r="1733">
      <c r="A1733" s="4">
        <v>45257.60514025463</v>
      </c>
      <c r="B1733" s="5" t="s">
        <v>1958</v>
      </c>
      <c r="C1733" s="5">
        <v>7.078167187E9</v>
      </c>
      <c r="E1733" s="5" t="s">
        <v>227</v>
      </c>
      <c r="G1733" s="5" t="s">
        <v>303</v>
      </c>
      <c r="H1733" s="5" t="s">
        <v>706</v>
      </c>
    </row>
    <row r="1734">
      <c r="A1734" s="4">
        <v>45257.61250870371</v>
      </c>
      <c r="B1734" s="5" t="s">
        <v>1959</v>
      </c>
      <c r="C1734" s="5">
        <v>9.821619733E9</v>
      </c>
      <c r="E1734" s="5" t="s">
        <v>79</v>
      </c>
      <c r="G1734" s="5" t="s">
        <v>303</v>
      </c>
      <c r="H1734" s="5" t="s">
        <v>706</v>
      </c>
    </row>
    <row r="1735">
      <c r="A1735" s="4">
        <v>45257.61275236111</v>
      </c>
      <c r="B1735" s="5" t="s">
        <v>1960</v>
      </c>
      <c r="C1735" s="5">
        <v>9.310206232E9</v>
      </c>
      <c r="G1735" s="5" t="s">
        <v>303</v>
      </c>
      <c r="H1735" s="5" t="s">
        <v>706</v>
      </c>
    </row>
    <row r="1736">
      <c r="A1736" s="4">
        <v>45257.61898195602</v>
      </c>
      <c r="B1736" s="5" t="s">
        <v>1961</v>
      </c>
      <c r="C1736" s="5">
        <v>9.413303502E9</v>
      </c>
      <c r="E1736" s="5" t="s">
        <v>15</v>
      </c>
      <c r="G1736" s="5" t="s">
        <v>303</v>
      </c>
      <c r="H1736" s="5" t="s">
        <v>706</v>
      </c>
    </row>
    <row r="1737">
      <c r="A1737" s="4">
        <v>45257.6256989699</v>
      </c>
      <c r="B1737" s="5" t="s">
        <v>1962</v>
      </c>
      <c r="C1737" s="5">
        <v>8.745000081E9</v>
      </c>
      <c r="E1737" s="5" t="s">
        <v>15</v>
      </c>
      <c r="G1737" s="5" t="s">
        <v>303</v>
      </c>
      <c r="H1737" s="5" t="s">
        <v>706</v>
      </c>
    </row>
    <row r="1738">
      <c r="A1738" s="4">
        <v>45257.65718875</v>
      </c>
      <c r="B1738" s="5" t="s">
        <v>1963</v>
      </c>
      <c r="C1738" s="5">
        <v>9.81062895E9</v>
      </c>
      <c r="E1738" s="5" t="s">
        <v>1964</v>
      </c>
      <c r="G1738" s="5" t="s">
        <v>303</v>
      </c>
      <c r="H1738" s="5" t="s">
        <v>706</v>
      </c>
    </row>
    <row r="1739">
      <c r="A1739" s="4">
        <v>45257.66256065972</v>
      </c>
      <c r="B1739" s="5" t="s">
        <v>1965</v>
      </c>
      <c r="C1739" s="5">
        <v>9.58224393E9</v>
      </c>
      <c r="D1739" s="5" t="s">
        <v>1966</v>
      </c>
      <c r="E1739" s="5" t="s">
        <v>1967</v>
      </c>
      <c r="G1739" s="5" t="s">
        <v>289</v>
      </c>
      <c r="H1739" s="5" t="s">
        <v>701</v>
      </c>
    </row>
    <row r="1740">
      <c r="A1740" s="4">
        <v>45257.662814166666</v>
      </c>
      <c r="B1740" s="5" t="s">
        <v>1968</v>
      </c>
      <c r="C1740" s="5">
        <v>8.44740694E9</v>
      </c>
      <c r="D1740" s="5" t="s">
        <v>1969</v>
      </c>
      <c r="E1740" s="5" t="s">
        <v>51</v>
      </c>
      <c r="G1740" s="5" t="s">
        <v>303</v>
      </c>
      <c r="H1740" s="5" t="s">
        <v>701</v>
      </c>
    </row>
    <row r="1741">
      <c r="A1741" s="4">
        <v>45257.69374174769</v>
      </c>
      <c r="B1741" s="5" t="s">
        <v>1078</v>
      </c>
      <c r="C1741" s="5">
        <v>9.871317684E9</v>
      </c>
      <c r="E1741" s="5" t="s">
        <v>79</v>
      </c>
      <c r="G1741" s="5" t="s">
        <v>303</v>
      </c>
      <c r="H1741" s="5" t="s">
        <v>706</v>
      </c>
    </row>
    <row r="1742">
      <c r="A1742" s="4">
        <v>45257.69437224537</v>
      </c>
      <c r="B1742" s="5" t="s">
        <v>363</v>
      </c>
      <c r="C1742" s="5">
        <v>9.718920872E9</v>
      </c>
      <c r="E1742" s="5" t="s">
        <v>79</v>
      </c>
      <c r="G1742" s="5" t="s">
        <v>303</v>
      </c>
      <c r="H1742" s="5" t="s">
        <v>706</v>
      </c>
    </row>
    <row r="1743">
      <c r="A1743" s="4">
        <v>45257.694948564815</v>
      </c>
      <c r="B1743" s="5" t="s">
        <v>1970</v>
      </c>
      <c r="C1743" s="5">
        <v>9.953130766E9</v>
      </c>
      <c r="E1743" s="5" t="s">
        <v>879</v>
      </c>
      <c r="G1743" s="5" t="s">
        <v>303</v>
      </c>
      <c r="H1743" s="5" t="s">
        <v>706</v>
      </c>
    </row>
    <row r="1744">
      <c r="A1744" s="4">
        <v>45257.695200567134</v>
      </c>
      <c r="B1744" s="5" t="s">
        <v>1617</v>
      </c>
      <c r="C1744" s="5">
        <v>9.899606045E9</v>
      </c>
      <c r="E1744" s="5" t="s">
        <v>1971</v>
      </c>
      <c r="G1744" s="5" t="s">
        <v>303</v>
      </c>
      <c r="H1744" s="5" t="s">
        <v>706</v>
      </c>
    </row>
    <row r="1745">
      <c r="A1745" s="4">
        <v>45257.69825289352</v>
      </c>
      <c r="B1745" s="5" t="s">
        <v>1972</v>
      </c>
      <c r="C1745" s="5">
        <v>9.350894952E9</v>
      </c>
      <c r="E1745" s="5" t="s">
        <v>15</v>
      </c>
      <c r="G1745" s="5" t="s">
        <v>303</v>
      </c>
      <c r="H1745" s="5" t="s">
        <v>706</v>
      </c>
    </row>
    <row r="1746">
      <c r="A1746" s="4">
        <v>45257.70164170139</v>
      </c>
      <c r="B1746" s="5" t="s">
        <v>1973</v>
      </c>
      <c r="C1746" s="5">
        <v>8.209613964E9</v>
      </c>
      <c r="E1746" s="5" t="s">
        <v>227</v>
      </c>
      <c r="G1746" s="5" t="s">
        <v>303</v>
      </c>
      <c r="H1746" s="5" t="s">
        <v>706</v>
      </c>
    </row>
    <row r="1747">
      <c r="A1747" s="4">
        <v>45257.70856385417</v>
      </c>
      <c r="B1747" s="5" t="s">
        <v>1974</v>
      </c>
      <c r="C1747" s="5">
        <v>9.755511248E9</v>
      </c>
      <c r="G1747" s="5" t="s">
        <v>303</v>
      </c>
      <c r="H1747" s="5" t="s">
        <v>1035</v>
      </c>
    </row>
    <row r="1748">
      <c r="A1748" s="4">
        <v>45257.709822881945</v>
      </c>
      <c r="B1748" s="5" t="s">
        <v>1975</v>
      </c>
      <c r="C1748" s="5">
        <v>9.810198602E9</v>
      </c>
      <c r="G1748" s="5" t="s">
        <v>303</v>
      </c>
      <c r="H1748" s="5" t="s">
        <v>701</v>
      </c>
    </row>
    <row r="1749">
      <c r="A1749" s="4">
        <v>45257.710376724535</v>
      </c>
      <c r="B1749" s="5" t="s">
        <v>1976</v>
      </c>
      <c r="C1749" s="5">
        <v>7.669993921E9</v>
      </c>
      <c r="G1749" s="5" t="s">
        <v>303</v>
      </c>
      <c r="H1749" s="5" t="s">
        <v>701</v>
      </c>
    </row>
    <row r="1750">
      <c r="A1750" s="4">
        <v>45257.71071684027</v>
      </c>
      <c r="B1750" s="5" t="s">
        <v>1977</v>
      </c>
      <c r="C1750" s="5">
        <v>7.827657624E9</v>
      </c>
      <c r="G1750" s="5" t="s">
        <v>303</v>
      </c>
      <c r="H1750" s="5" t="s">
        <v>701</v>
      </c>
    </row>
    <row r="1751">
      <c r="A1751" s="4">
        <v>45257.71142414352</v>
      </c>
      <c r="B1751" s="5" t="s">
        <v>1907</v>
      </c>
      <c r="C1751" s="5">
        <v>7.982281122E9</v>
      </c>
      <c r="G1751" s="5" t="s">
        <v>303</v>
      </c>
      <c r="H1751" s="5" t="s">
        <v>701</v>
      </c>
    </row>
    <row r="1752">
      <c r="A1752" s="4">
        <v>45257.711699629624</v>
      </c>
      <c r="B1752" s="5" t="s">
        <v>1978</v>
      </c>
      <c r="C1752" s="5">
        <v>8.178421518E9</v>
      </c>
      <c r="E1752" s="5" t="s">
        <v>1979</v>
      </c>
      <c r="F1752" s="7" t="s">
        <v>1980</v>
      </c>
      <c r="G1752" s="5" t="s">
        <v>303</v>
      </c>
      <c r="H1752" s="5" t="s">
        <v>706</v>
      </c>
    </row>
    <row r="1753">
      <c r="A1753" s="4">
        <v>45257.71796202546</v>
      </c>
      <c r="B1753" s="5" t="s">
        <v>1981</v>
      </c>
      <c r="C1753" s="5">
        <v>9.31288009E9</v>
      </c>
      <c r="E1753" s="5" t="s">
        <v>1982</v>
      </c>
      <c r="F1753" s="7" t="s">
        <v>1983</v>
      </c>
      <c r="G1753" s="5" t="s">
        <v>303</v>
      </c>
      <c r="H1753" s="5" t="s">
        <v>706</v>
      </c>
    </row>
    <row r="1754">
      <c r="A1754" s="4">
        <v>45257.73423090277</v>
      </c>
      <c r="B1754" s="5" t="s">
        <v>470</v>
      </c>
      <c r="C1754" s="5">
        <v>8.557001311E9</v>
      </c>
      <c r="E1754" s="5" t="s">
        <v>1984</v>
      </c>
      <c r="G1754" s="5" t="s">
        <v>303</v>
      </c>
      <c r="H1754" s="5" t="s">
        <v>706</v>
      </c>
    </row>
    <row r="1755">
      <c r="A1755" s="4">
        <v>45257.73787921296</v>
      </c>
      <c r="B1755" s="5" t="s">
        <v>1985</v>
      </c>
      <c r="C1755" s="5">
        <v>9.810230004E9</v>
      </c>
      <c r="E1755" s="5" t="s">
        <v>1986</v>
      </c>
      <c r="G1755" s="5" t="s">
        <v>303</v>
      </c>
      <c r="H1755" s="5" t="s">
        <v>706</v>
      </c>
    </row>
    <row r="1756">
      <c r="A1756" s="4">
        <v>45257.740284375</v>
      </c>
      <c r="B1756" s="5" t="s">
        <v>432</v>
      </c>
      <c r="C1756" s="5">
        <v>9.990299038E9</v>
      </c>
      <c r="E1756" s="5" t="s">
        <v>46</v>
      </c>
      <c r="G1756" s="5" t="s">
        <v>303</v>
      </c>
      <c r="H1756" s="5" t="s">
        <v>706</v>
      </c>
    </row>
    <row r="1757">
      <c r="A1757" s="4">
        <v>45257.75615724537</v>
      </c>
      <c r="B1757" s="5" t="s">
        <v>1987</v>
      </c>
      <c r="C1757" s="5">
        <v>9.650346035E9</v>
      </c>
      <c r="E1757" s="5" t="s">
        <v>891</v>
      </c>
      <c r="G1757" s="5" t="s">
        <v>303</v>
      </c>
      <c r="H1757" s="5" t="s">
        <v>706</v>
      </c>
    </row>
    <row r="1758">
      <c r="A1758" s="4">
        <v>45257.768110439814</v>
      </c>
      <c r="B1758" s="5" t="s">
        <v>1988</v>
      </c>
      <c r="C1758" s="5">
        <v>7.732998256E9</v>
      </c>
      <c r="G1758" s="5" t="s">
        <v>303</v>
      </c>
      <c r="H1758" s="5" t="s">
        <v>701</v>
      </c>
    </row>
    <row r="1759">
      <c r="A1759" s="4">
        <v>45257.806027094906</v>
      </c>
      <c r="B1759" s="5" t="s">
        <v>1989</v>
      </c>
      <c r="C1759" s="5">
        <v>8.178225347E9</v>
      </c>
      <c r="E1759" s="5" t="s">
        <v>1990</v>
      </c>
      <c r="G1759" s="5" t="s">
        <v>303</v>
      </c>
      <c r="H1759" s="5" t="s">
        <v>706</v>
      </c>
    </row>
    <row r="1760">
      <c r="C1760" s="10"/>
    </row>
    <row r="1761">
      <c r="C1761" s="10"/>
    </row>
    <row r="1762">
      <c r="C1762" s="10"/>
    </row>
    <row r="1763">
      <c r="C1763" s="10"/>
    </row>
    <row r="1764">
      <c r="C1764" s="10"/>
    </row>
    <row r="1765">
      <c r="C1765" s="10"/>
    </row>
    <row r="1766">
      <c r="C1766" s="10"/>
    </row>
    <row r="1767">
      <c r="C1767" s="10"/>
    </row>
    <row r="1768">
      <c r="C1768" s="10"/>
    </row>
    <row r="1769">
      <c r="C1769" s="10"/>
    </row>
    <row r="1770">
      <c r="C1770" s="10"/>
    </row>
    <row r="1771">
      <c r="C1771" s="10"/>
    </row>
    <row r="1772">
      <c r="C1772" s="10"/>
    </row>
    <row r="1773">
      <c r="C1773" s="10"/>
    </row>
    <row r="1774">
      <c r="C1774" s="10"/>
    </row>
    <row r="1775">
      <c r="C1775" s="10"/>
    </row>
    <row r="1776">
      <c r="C1776" s="10"/>
    </row>
    <row r="1777">
      <c r="C1777" s="10"/>
    </row>
    <row r="1778">
      <c r="C1778" s="10"/>
    </row>
    <row r="1779">
      <c r="C1779" s="10"/>
    </row>
    <row r="1780">
      <c r="C1780" s="10"/>
    </row>
    <row r="1781">
      <c r="C1781" s="10"/>
    </row>
    <row r="1782">
      <c r="C1782" s="10"/>
    </row>
    <row r="1783">
      <c r="C1783" s="10"/>
    </row>
    <row r="1784">
      <c r="C1784" s="10"/>
    </row>
    <row r="1785">
      <c r="C1785" s="10"/>
    </row>
    <row r="1786">
      <c r="C1786" s="10"/>
    </row>
    <row r="1787">
      <c r="C1787" s="10"/>
    </row>
    <row r="1788">
      <c r="C1788" s="10"/>
    </row>
    <row r="1789">
      <c r="C1789" s="10"/>
    </row>
    <row r="1790">
      <c r="C1790" s="10"/>
    </row>
    <row r="1791">
      <c r="C1791" s="10"/>
    </row>
    <row r="1792">
      <c r="C1792" s="10"/>
    </row>
    <row r="1793">
      <c r="C1793" s="10"/>
    </row>
    <row r="1794">
      <c r="C1794" s="10"/>
    </row>
    <row r="1795">
      <c r="C1795" s="10"/>
    </row>
    <row r="1796">
      <c r="C1796" s="10"/>
    </row>
    <row r="1797">
      <c r="C1797" s="10"/>
    </row>
    <row r="1798">
      <c r="C1798" s="10"/>
    </row>
    <row r="1799">
      <c r="C1799" s="10"/>
    </row>
    <row r="1800">
      <c r="C1800" s="10"/>
    </row>
    <row r="1801">
      <c r="C1801" s="10"/>
    </row>
    <row r="1802">
      <c r="C1802" s="10"/>
    </row>
    <row r="1803">
      <c r="C1803" s="10"/>
    </row>
    <row r="1804">
      <c r="C1804" s="10"/>
    </row>
    <row r="1805">
      <c r="C1805" s="10"/>
    </row>
    <row r="1806">
      <c r="C1806" s="10"/>
    </row>
    <row r="1807">
      <c r="C1807" s="10"/>
    </row>
    <row r="1808">
      <c r="C1808" s="10"/>
    </row>
    <row r="1809">
      <c r="C1809" s="10"/>
    </row>
    <row r="1810">
      <c r="C1810" s="10"/>
    </row>
    <row r="1811">
      <c r="C1811" s="10"/>
    </row>
    <row r="1812">
      <c r="C1812" s="10"/>
    </row>
    <row r="1813">
      <c r="C1813" s="10"/>
    </row>
    <row r="1814">
      <c r="C1814" s="10"/>
    </row>
    <row r="1815">
      <c r="C1815" s="10"/>
    </row>
    <row r="1816">
      <c r="C1816" s="10"/>
    </row>
    <row r="1817">
      <c r="C1817" s="10"/>
    </row>
    <row r="1818">
      <c r="C1818" s="10"/>
    </row>
    <row r="1819">
      <c r="C1819" s="10"/>
    </row>
    <row r="1820">
      <c r="C1820" s="10"/>
    </row>
    <row r="1821">
      <c r="C1821" s="10"/>
    </row>
    <row r="1822">
      <c r="C1822" s="10"/>
    </row>
    <row r="1823">
      <c r="C1823" s="10"/>
    </row>
    <row r="1824">
      <c r="C1824" s="10"/>
    </row>
    <row r="1825">
      <c r="C1825" s="10"/>
    </row>
    <row r="1826">
      <c r="C1826" s="10"/>
    </row>
    <row r="1827">
      <c r="C1827" s="10"/>
    </row>
    <row r="1828">
      <c r="C1828" s="10"/>
    </row>
    <row r="1829">
      <c r="C1829" s="10"/>
    </row>
    <row r="1830">
      <c r="C1830" s="10"/>
    </row>
    <row r="1831">
      <c r="C1831" s="10"/>
    </row>
    <row r="1832">
      <c r="C1832" s="10"/>
    </row>
    <row r="1833">
      <c r="C1833" s="10"/>
    </row>
    <row r="1834">
      <c r="C1834" s="10"/>
    </row>
    <row r="1835">
      <c r="C1835" s="10"/>
    </row>
    <row r="1836">
      <c r="C1836" s="10"/>
    </row>
    <row r="1837">
      <c r="C1837" s="10"/>
    </row>
    <row r="1838">
      <c r="C1838" s="10"/>
    </row>
    <row r="1839">
      <c r="C1839" s="10"/>
    </row>
    <row r="1840">
      <c r="C1840" s="10"/>
    </row>
    <row r="1841">
      <c r="C1841" s="10"/>
    </row>
    <row r="1842">
      <c r="C1842" s="10"/>
    </row>
    <row r="1843">
      <c r="C1843" s="10"/>
    </row>
    <row r="1844">
      <c r="C1844" s="10"/>
    </row>
    <row r="1845">
      <c r="C1845" s="10"/>
    </row>
    <row r="1846">
      <c r="C1846" s="10"/>
    </row>
    <row r="1847">
      <c r="C1847" s="10"/>
    </row>
    <row r="1848">
      <c r="C1848" s="10"/>
    </row>
    <row r="1849">
      <c r="C1849" s="10"/>
    </row>
    <row r="1850">
      <c r="C1850" s="10"/>
    </row>
    <row r="1851">
      <c r="C1851" s="10"/>
    </row>
    <row r="1852">
      <c r="C1852" s="10"/>
    </row>
    <row r="1853">
      <c r="C1853" s="10"/>
    </row>
    <row r="1854">
      <c r="C1854" s="10"/>
    </row>
    <row r="1855">
      <c r="C1855" s="10"/>
    </row>
    <row r="1856">
      <c r="C1856" s="10"/>
    </row>
    <row r="1857">
      <c r="C1857" s="10"/>
    </row>
    <row r="1858">
      <c r="C1858" s="10"/>
    </row>
    <row r="1859">
      <c r="C1859" s="10"/>
    </row>
  </sheetData>
  <autoFilter ref="$G$1:$G$1859"/>
  <conditionalFormatting sqref="A144:P144">
    <cfRule type="notContainsBlanks" dxfId="0" priority="1">
      <formula>LEN(TRIM(A144))&gt;0</formula>
    </cfRule>
  </conditionalFormatting>
  <hyperlinks>
    <hyperlink r:id="rId1" ref="F17"/>
    <hyperlink r:id="rId2" ref="F27"/>
    <hyperlink r:id="rId3" ref="F44"/>
    <hyperlink r:id="rId4" ref="F45"/>
    <hyperlink r:id="rId5" ref="E67"/>
    <hyperlink r:id="rId6" ref="F92"/>
    <hyperlink r:id="rId7" ref="D116"/>
    <hyperlink r:id="rId8" ref="F116"/>
    <hyperlink r:id="rId9" ref="F135"/>
    <hyperlink r:id="rId10" ref="F139"/>
    <hyperlink r:id="rId11" ref="F141"/>
    <hyperlink r:id="rId12" ref="F142"/>
    <hyperlink r:id="rId13" ref="F143"/>
    <hyperlink r:id="rId14" ref="F148"/>
    <hyperlink r:id="rId15" ref="F151"/>
    <hyperlink r:id="rId16" ref="F153"/>
    <hyperlink r:id="rId17" ref="F203"/>
    <hyperlink r:id="rId18" ref="F205"/>
    <hyperlink r:id="rId19" ref="F207"/>
    <hyperlink r:id="rId20" ref="F235"/>
    <hyperlink r:id="rId21" ref="F270"/>
    <hyperlink r:id="rId22" ref="F272"/>
    <hyperlink r:id="rId23" ref="D274"/>
    <hyperlink r:id="rId24" ref="F288"/>
    <hyperlink r:id="rId25" ref="F347"/>
    <hyperlink r:id="rId26" ref="F353"/>
    <hyperlink r:id="rId27" ref="F500"/>
    <hyperlink r:id="rId28" ref="F522"/>
    <hyperlink r:id="rId29" ref="F580"/>
    <hyperlink r:id="rId30" ref="F636"/>
    <hyperlink r:id="rId31" ref="F703"/>
    <hyperlink r:id="rId32" ref="F739"/>
    <hyperlink r:id="rId33" ref="F889"/>
    <hyperlink r:id="rId34" ref="F1057"/>
    <hyperlink r:id="rId35" ref="F1247"/>
    <hyperlink r:id="rId36" ref="F1259"/>
    <hyperlink r:id="rId37" ref="F1321"/>
    <hyperlink r:id="rId38" ref="F1325"/>
    <hyperlink r:id="rId39" ref="F1451"/>
    <hyperlink r:id="rId40" ref="F1752"/>
    <hyperlink r:id="rId41" ref="F1753"/>
  </hyperlinks>
  <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v>
      </c>
      <c r="B1" s="11" t="s">
        <v>1991</v>
      </c>
      <c r="C1" s="12"/>
      <c r="D1" s="11" t="s">
        <v>1992</v>
      </c>
      <c r="E1" s="12"/>
      <c r="F1" s="11" t="s">
        <v>1993</v>
      </c>
    </row>
    <row r="2">
      <c r="A2" s="5" t="s">
        <v>125</v>
      </c>
      <c r="B2" s="6">
        <v>8.882965014E9</v>
      </c>
      <c r="F2" s="5" t="s">
        <v>126</v>
      </c>
    </row>
    <row r="3">
      <c r="A3" s="5" t="s">
        <v>127</v>
      </c>
      <c r="B3" s="6">
        <v>9.873237758E9</v>
      </c>
      <c r="C3" s="5" t="s">
        <v>128</v>
      </c>
      <c r="D3" s="5" t="s">
        <v>56</v>
      </c>
      <c r="F3" s="5" t="s">
        <v>126</v>
      </c>
    </row>
    <row r="4">
      <c r="A4" s="5" t="s">
        <v>129</v>
      </c>
      <c r="B4" s="6">
        <v>9.999179679E9</v>
      </c>
    </row>
    <row r="5">
      <c r="A5" s="13" t="s">
        <v>130</v>
      </c>
      <c r="B5" s="14">
        <v>9.818351405E9</v>
      </c>
      <c r="C5" s="13" t="s">
        <v>131</v>
      </c>
      <c r="D5" s="13" t="s">
        <v>132</v>
      </c>
      <c r="F5" s="5" t="s">
        <v>126</v>
      </c>
    </row>
    <row r="6">
      <c r="A6" s="5" t="s">
        <v>133</v>
      </c>
      <c r="B6" s="6">
        <v>9.899006886E9</v>
      </c>
      <c r="D6" s="5" t="s">
        <v>134</v>
      </c>
      <c r="F6" s="5" t="s">
        <v>126</v>
      </c>
    </row>
    <row r="7">
      <c r="A7" s="5" t="s">
        <v>135</v>
      </c>
      <c r="B7" s="6">
        <v>9.810806625E9</v>
      </c>
    </row>
    <row r="8">
      <c r="A8" s="15" t="s">
        <v>136</v>
      </c>
      <c r="B8" s="16">
        <v>9.416212767E9</v>
      </c>
      <c r="C8" s="17"/>
      <c r="D8" s="18" t="s">
        <v>137</v>
      </c>
      <c r="E8" s="17"/>
      <c r="F8" s="15" t="s">
        <v>126</v>
      </c>
    </row>
    <row r="9">
      <c r="A9" s="5" t="s">
        <v>138</v>
      </c>
      <c r="B9" s="6">
        <v>7.838808945E9</v>
      </c>
      <c r="D9" s="5" t="s">
        <v>139</v>
      </c>
      <c r="F9" s="5" t="s">
        <v>126</v>
      </c>
    </row>
    <row r="10">
      <c r="A10" s="5" t="s">
        <v>140</v>
      </c>
      <c r="B10" s="6">
        <v>9.508950477E9</v>
      </c>
    </row>
    <row r="11">
      <c r="A11" s="5" t="s">
        <v>141</v>
      </c>
      <c r="B11" s="6">
        <v>7.982909025E9</v>
      </c>
      <c r="C11" s="5" t="s">
        <v>142</v>
      </c>
      <c r="D11" s="5" t="s">
        <v>143</v>
      </c>
      <c r="F11" s="5" t="s">
        <v>126</v>
      </c>
    </row>
    <row r="12">
      <c r="A12" s="5" t="s">
        <v>144</v>
      </c>
      <c r="B12" s="6">
        <v>9.971997121E9</v>
      </c>
      <c r="F12" s="5" t="s">
        <v>126</v>
      </c>
    </row>
    <row r="13">
      <c r="A13" s="5" t="s">
        <v>145</v>
      </c>
      <c r="B13" s="6">
        <v>9.310130869E9</v>
      </c>
      <c r="F13" s="5" t="s">
        <v>126</v>
      </c>
    </row>
    <row r="14">
      <c r="A14" s="5" t="s">
        <v>146</v>
      </c>
      <c r="B14" s="6">
        <v>9.971103645E9</v>
      </c>
      <c r="D14" s="5" t="s">
        <v>147</v>
      </c>
      <c r="F14" s="5" t="s">
        <v>126</v>
      </c>
    </row>
    <row r="15">
      <c r="A15" s="5" t="s">
        <v>148</v>
      </c>
      <c r="B15" s="6">
        <v>9.811073069E9</v>
      </c>
      <c r="F15" s="5" t="s">
        <v>126</v>
      </c>
    </row>
    <row r="16">
      <c r="A16" s="5" t="s">
        <v>149</v>
      </c>
      <c r="B16" s="6">
        <v>9.910228116E9</v>
      </c>
      <c r="D16" s="5" t="s">
        <v>143</v>
      </c>
      <c r="F16" s="5" t="s">
        <v>126</v>
      </c>
    </row>
    <row r="17">
      <c r="A17" s="5" t="s">
        <v>150</v>
      </c>
      <c r="B17" s="6">
        <v>9.045677696E9</v>
      </c>
      <c r="F17" s="5" t="s">
        <v>126</v>
      </c>
    </row>
    <row r="18">
      <c r="A18" s="5" t="s">
        <v>151</v>
      </c>
      <c r="B18" s="6">
        <v>9.997779146E9</v>
      </c>
      <c r="F18" s="5" t="s">
        <v>126</v>
      </c>
    </row>
    <row r="19">
      <c r="A19" s="5" t="s">
        <v>152</v>
      </c>
      <c r="B19" s="6">
        <v>8.218135183E9</v>
      </c>
      <c r="F19" s="5" t="s">
        <v>126</v>
      </c>
    </row>
    <row r="20">
      <c r="A20" s="5" t="s">
        <v>153</v>
      </c>
      <c r="B20" s="6">
        <v>9.65490719E9</v>
      </c>
      <c r="D20" s="5" t="s">
        <v>154</v>
      </c>
      <c r="F20" s="5" t="s">
        <v>126</v>
      </c>
    </row>
    <row r="21">
      <c r="A21" s="5" t="s">
        <v>155</v>
      </c>
      <c r="B21" s="6">
        <v>8.810266707E9</v>
      </c>
      <c r="C21" s="5" t="s">
        <v>156</v>
      </c>
    </row>
    <row r="22">
      <c r="A22" s="13" t="s">
        <v>157</v>
      </c>
      <c r="B22" s="14">
        <v>8.130312E9</v>
      </c>
      <c r="C22" s="13" t="s">
        <v>158</v>
      </c>
      <c r="D22" s="19"/>
      <c r="F22" s="5" t="s">
        <v>126</v>
      </c>
    </row>
    <row r="23">
      <c r="A23" s="5" t="s">
        <v>159</v>
      </c>
      <c r="B23" s="6">
        <v>8.305061443E9</v>
      </c>
      <c r="F23" s="5" t="s">
        <v>126</v>
      </c>
    </row>
    <row r="24">
      <c r="A24" s="5" t="s">
        <v>160</v>
      </c>
      <c r="B24" s="6">
        <v>9.868187296E9</v>
      </c>
      <c r="D24" s="5" t="s">
        <v>11</v>
      </c>
      <c r="F24" s="5" t="s">
        <v>126</v>
      </c>
    </row>
    <row r="25">
      <c r="A25" s="5" t="s">
        <v>161</v>
      </c>
      <c r="B25" s="6">
        <v>9.811202232E9</v>
      </c>
      <c r="F25" s="5" t="s">
        <v>126</v>
      </c>
    </row>
    <row r="26">
      <c r="A26" s="5" t="s">
        <v>162</v>
      </c>
      <c r="B26" s="6">
        <v>8.587875959E9</v>
      </c>
      <c r="C26" s="5" t="s">
        <v>163</v>
      </c>
      <c r="D26" s="5" t="s">
        <v>164</v>
      </c>
      <c r="F26" s="5" t="s">
        <v>126</v>
      </c>
    </row>
    <row r="27">
      <c r="A27" s="5" t="s">
        <v>165</v>
      </c>
      <c r="B27" s="6">
        <v>9.811698569E9</v>
      </c>
      <c r="C27" s="5" t="s">
        <v>166</v>
      </c>
      <c r="D27" s="5" t="s">
        <v>167</v>
      </c>
      <c r="F27" s="5" t="s">
        <v>126</v>
      </c>
    </row>
    <row r="28">
      <c r="A28" s="5" t="s">
        <v>168</v>
      </c>
      <c r="B28" s="6">
        <v>9.868272424E9</v>
      </c>
      <c r="F28" s="5" t="s">
        <v>126</v>
      </c>
    </row>
    <row r="29">
      <c r="A29" s="5" t="s">
        <v>169</v>
      </c>
      <c r="B29" s="6">
        <v>9.811471982E9</v>
      </c>
      <c r="F29" s="5" t="s">
        <v>126</v>
      </c>
    </row>
    <row r="30">
      <c r="A30" s="5" t="s">
        <v>170</v>
      </c>
      <c r="B30" s="6">
        <v>9.810499331E9</v>
      </c>
      <c r="D30" s="5" t="s">
        <v>171</v>
      </c>
      <c r="F30" s="5" t="s">
        <v>126</v>
      </c>
    </row>
    <row r="31">
      <c r="A31" s="20" t="s">
        <v>172</v>
      </c>
      <c r="B31" s="21">
        <v>9.050618274E9</v>
      </c>
      <c r="C31" s="22"/>
      <c r="D31" s="20" t="s">
        <v>119</v>
      </c>
      <c r="E31" s="22"/>
      <c r="F31" s="20" t="s">
        <v>126</v>
      </c>
    </row>
    <row r="32">
      <c r="A32" s="5" t="s">
        <v>173</v>
      </c>
      <c r="B32" s="6">
        <v>9.718310272E9</v>
      </c>
      <c r="C32" s="5" t="s">
        <v>174</v>
      </c>
      <c r="F32" s="5" t="s">
        <v>126</v>
      </c>
    </row>
    <row r="33">
      <c r="A33" s="5" t="s">
        <v>175</v>
      </c>
      <c r="B33" s="6">
        <v>9.810072259E9</v>
      </c>
      <c r="C33" s="5" t="s">
        <v>176</v>
      </c>
      <c r="D33" s="5" t="s">
        <v>177</v>
      </c>
      <c r="E33" s="7" t="s">
        <v>178</v>
      </c>
      <c r="F33" s="5" t="s">
        <v>126</v>
      </c>
    </row>
    <row r="34">
      <c r="A34" s="15" t="s">
        <v>179</v>
      </c>
      <c r="B34" s="16">
        <v>9.71102823E9</v>
      </c>
      <c r="C34" s="17"/>
      <c r="D34" s="15" t="s">
        <v>114</v>
      </c>
      <c r="F34" s="5" t="s">
        <v>126</v>
      </c>
    </row>
    <row r="35">
      <c r="A35" s="5" t="s">
        <v>180</v>
      </c>
      <c r="B35" s="6">
        <v>9.560515597E9</v>
      </c>
      <c r="C35" s="5" t="s">
        <v>181</v>
      </c>
      <c r="D35" s="5" t="s">
        <v>182</v>
      </c>
      <c r="F35" s="5" t="s">
        <v>126</v>
      </c>
    </row>
    <row r="36">
      <c r="A36" s="5" t="s">
        <v>183</v>
      </c>
      <c r="B36" s="6">
        <v>9.868150647E9</v>
      </c>
      <c r="F36" s="5" t="s">
        <v>126</v>
      </c>
    </row>
    <row r="37">
      <c r="A37" s="13" t="s">
        <v>184</v>
      </c>
      <c r="B37" s="14">
        <v>7.862895786E9</v>
      </c>
      <c r="C37" s="19"/>
      <c r="D37" s="19"/>
      <c r="F37" s="5" t="s">
        <v>126</v>
      </c>
    </row>
    <row r="38">
      <c r="A38" s="5" t="s">
        <v>185</v>
      </c>
      <c r="B38" s="6">
        <v>9.212517669E9</v>
      </c>
      <c r="C38" s="5" t="s">
        <v>186</v>
      </c>
      <c r="F38" s="5" t="s">
        <v>126</v>
      </c>
    </row>
    <row r="39">
      <c r="A39" s="5" t="s">
        <v>187</v>
      </c>
      <c r="B39" s="6">
        <v>9.82151433E9</v>
      </c>
      <c r="F39" s="5" t="s">
        <v>126</v>
      </c>
    </row>
    <row r="40">
      <c r="A40" s="5" t="s">
        <v>188</v>
      </c>
      <c r="B40" s="6">
        <v>7.982891368E9</v>
      </c>
      <c r="D40" s="5" t="s">
        <v>119</v>
      </c>
      <c r="F40" s="5" t="s">
        <v>126</v>
      </c>
    </row>
    <row r="41">
      <c r="A41" s="15" t="s">
        <v>189</v>
      </c>
      <c r="B41" s="16">
        <v>9.311089867E9</v>
      </c>
      <c r="C41" s="17"/>
      <c r="D41" s="15" t="s">
        <v>114</v>
      </c>
      <c r="E41" s="17"/>
      <c r="F41" s="15" t="s">
        <v>126</v>
      </c>
    </row>
    <row r="42">
      <c r="A42" s="5" t="s">
        <v>190</v>
      </c>
      <c r="B42" s="6">
        <v>7.982220254E9</v>
      </c>
      <c r="D42" s="5" t="s">
        <v>15</v>
      </c>
      <c r="F42" s="5" t="s">
        <v>126</v>
      </c>
    </row>
    <row r="43">
      <c r="A43" s="5" t="s">
        <v>191</v>
      </c>
      <c r="B43" s="6">
        <v>9.213599845E9</v>
      </c>
      <c r="D43" s="5" t="s">
        <v>192</v>
      </c>
      <c r="F43" s="5" t="s">
        <v>126</v>
      </c>
    </row>
    <row r="44">
      <c r="A44" s="5" t="s">
        <v>193</v>
      </c>
      <c r="B44" s="6">
        <v>8.700977029E9</v>
      </c>
      <c r="C44" s="5" t="s">
        <v>194</v>
      </c>
      <c r="F44" s="5" t="s">
        <v>126</v>
      </c>
    </row>
    <row r="45">
      <c r="A45" s="5" t="s">
        <v>195</v>
      </c>
      <c r="B45" s="6">
        <v>9.811661191E9</v>
      </c>
      <c r="F45" s="5" t="s">
        <v>126</v>
      </c>
    </row>
    <row r="46">
      <c r="A46" s="5" t="s">
        <v>196</v>
      </c>
      <c r="B46" s="6">
        <v>8.799722173E9</v>
      </c>
      <c r="F46" s="5" t="s">
        <v>126</v>
      </c>
    </row>
    <row r="47">
      <c r="A47" s="5" t="s">
        <v>197</v>
      </c>
      <c r="B47" s="6">
        <v>9.910368195E9</v>
      </c>
      <c r="F47" s="5" t="s">
        <v>126</v>
      </c>
    </row>
    <row r="48">
      <c r="A48" s="5" t="s">
        <v>198</v>
      </c>
      <c r="B48" s="6">
        <v>7.827743525E9</v>
      </c>
      <c r="F48" s="5" t="s">
        <v>126</v>
      </c>
    </row>
    <row r="49">
      <c r="A49" s="5" t="s">
        <v>199</v>
      </c>
      <c r="B49" s="6">
        <v>9.4030017E9</v>
      </c>
      <c r="F49" s="5" t="s">
        <v>126</v>
      </c>
    </row>
    <row r="50">
      <c r="A50" s="23" t="s">
        <v>200</v>
      </c>
      <c r="B50" s="24">
        <v>9.818713799E9</v>
      </c>
      <c r="C50" s="23" t="s">
        <v>201</v>
      </c>
      <c r="D50" s="25"/>
      <c r="E50" s="25"/>
      <c r="F50" s="23" t="s">
        <v>126</v>
      </c>
    </row>
    <row r="51">
      <c r="A51" s="26" t="s">
        <v>202</v>
      </c>
      <c r="B51" s="27">
        <v>8.882083128E9</v>
      </c>
      <c r="C51" s="28"/>
      <c r="D51" s="28"/>
      <c r="E51" s="28"/>
      <c r="F51" s="26" t="s">
        <v>126</v>
      </c>
    </row>
    <row r="52">
      <c r="A52" s="5" t="s">
        <v>203</v>
      </c>
      <c r="B52" s="6">
        <v>7.703867722E9</v>
      </c>
      <c r="F52" s="5" t="s">
        <v>126</v>
      </c>
    </row>
    <row r="53">
      <c r="A53" s="5" t="s">
        <v>204</v>
      </c>
      <c r="B53" s="6">
        <v>7.503214251E9</v>
      </c>
      <c r="F53" s="5" t="s">
        <v>126</v>
      </c>
    </row>
    <row r="54">
      <c r="A54" s="5" t="s">
        <v>205</v>
      </c>
      <c r="B54" s="6">
        <v>9.873410316E9</v>
      </c>
      <c r="D54" s="5" t="s">
        <v>21</v>
      </c>
      <c r="F54" s="5" t="s">
        <v>126</v>
      </c>
    </row>
    <row r="55">
      <c r="A55" s="5" t="s">
        <v>206</v>
      </c>
      <c r="B55" s="6">
        <v>9.810432902E9</v>
      </c>
      <c r="F55" s="5" t="s">
        <v>126</v>
      </c>
    </row>
    <row r="56">
      <c r="A56" s="5" t="s">
        <v>207</v>
      </c>
      <c r="B56" s="6">
        <v>7.982334384E9</v>
      </c>
      <c r="F56" s="5" t="s">
        <v>126</v>
      </c>
    </row>
    <row r="57">
      <c r="A57" s="13" t="s">
        <v>208</v>
      </c>
      <c r="B57" s="14">
        <v>9.810156736E9</v>
      </c>
      <c r="C57" s="29" t="s">
        <v>209</v>
      </c>
      <c r="D57" s="13" t="s">
        <v>21</v>
      </c>
      <c r="E57" s="29" t="s">
        <v>210</v>
      </c>
      <c r="F57" s="13" t="s">
        <v>126</v>
      </c>
    </row>
    <row r="58">
      <c r="A58" s="5" t="s">
        <v>211</v>
      </c>
      <c r="B58" s="6">
        <v>9.818468666E9</v>
      </c>
      <c r="F58" s="5" t="s">
        <v>126</v>
      </c>
    </row>
    <row r="59">
      <c r="A59" s="5" t="s">
        <v>212</v>
      </c>
      <c r="B59" s="6">
        <v>8.368568171E9</v>
      </c>
      <c r="F59" s="5" t="s">
        <v>126</v>
      </c>
    </row>
    <row r="60">
      <c r="A60" s="5" t="s">
        <v>213</v>
      </c>
      <c r="B60" s="6">
        <v>9.315928317E9</v>
      </c>
      <c r="D60" s="5" t="s">
        <v>214</v>
      </c>
      <c r="F60" s="5" t="s">
        <v>126</v>
      </c>
    </row>
    <row r="61">
      <c r="A61" s="5" t="s">
        <v>215</v>
      </c>
      <c r="B61" s="6">
        <v>9.958082239E9</v>
      </c>
      <c r="D61" s="5" t="s">
        <v>216</v>
      </c>
      <c r="F61" s="5" t="s">
        <v>126</v>
      </c>
    </row>
    <row r="62">
      <c r="B62" s="6">
        <v>9.811011E9</v>
      </c>
      <c r="D62" s="5" t="s">
        <v>217</v>
      </c>
    </row>
    <row r="63">
      <c r="A63" s="5" t="s">
        <v>218</v>
      </c>
      <c r="B63" s="6">
        <v>9.350223438E9</v>
      </c>
      <c r="D63" s="5" t="s">
        <v>11</v>
      </c>
      <c r="F63" s="5" t="s">
        <v>126</v>
      </c>
    </row>
    <row r="64">
      <c r="A64" s="5" t="s">
        <v>219</v>
      </c>
      <c r="B64" s="6">
        <v>9.868381528E9</v>
      </c>
      <c r="F64" s="5" t="s">
        <v>126</v>
      </c>
    </row>
    <row r="65">
      <c r="A65" s="5" t="s">
        <v>220</v>
      </c>
      <c r="B65" s="6">
        <v>7.906204355E9</v>
      </c>
      <c r="F65" s="5" t="s">
        <v>126</v>
      </c>
    </row>
    <row r="66">
      <c r="A66" s="5" t="s">
        <v>221</v>
      </c>
      <c r="B66" s="6">
        <v>9.871474947E9</v>
      </c>
      <c r="F66" s="5" t="s">
        <v>126</v>
      </c>
    </row>
    <row r="67">
      <c r="A67" s="15" t="s">
        <v>222</v>
      </c>
      <c r="B67" s="16">
        <v>9.266778087E9</v>
      </c>
      <c r="C67" s="17"/>
      <c r="D67" s="17"/>
      <c r="E67" s="17"/>
      <c r="F67" s="15" t="s">
        <v>126</v>
      </c>
    </row>
    <row r="68">
      <c r="A68" s="5" t="s">
        <v>223</v>
      </c>
      <c r="B68" s="6">
        <v>9.81199222E9</v>
      </c>
      <c r="D68" s="5" t="s">
        <v>15</v>
      </c>
      <c r="F68" s="5" t="s">
        <v>126</v>
      </c>
    </row>
    <row r="69">
      <c r="A69" s="5" t="s">
        <v>224</v>
      </c>
      <c r="B69" s="6">
        <v>9.810828927E9</v>
      </c>
      <c r="D69" s="5" t="s">
        <v>13</v>
      </c>
      <c r="F69" s="5" t="s">
        <v>126</v>
      </c>
    </row>
    <row r="70">
      <c r="A70" s="5" t="s">
        <v>225</v>
      </c>
      <c r="B70" s="6">
        <v>9.015383758E9</v>
      </c>
      <c r="D70" s="5" t="s">
        <v>226</v>
      </c>
      <c r="F70" s="5" t="s">
        <v>126</v>
      </c>
    </row>
    <row r="71">
      <c r="A71" s="5" t="s">
        <v>219</v>
      </c>
      <c r="B71" s="6">
        <v>9.711383909E9</v>
      </c>
      <c r="D71" s="5" t="s">
        <v>227</v>
      </c>
      <c r="F71" s="5" t="s">
        <v>126</v>
      </c>
    </row>
    <row r="72">
      <c r="A72" s="5" t="s">
        <v>228</v>
      </c>
      <c r="B72" s="6">
        <v>9.868323227E9</v>
      </c>
      <c r="F72" s="5" t="s">
        <v>126</v>
      </c>
    </row>
    <row r="73">
      <c r="A73" s="5" t="s">
        <v>229</v>
      </c>
      <c r="B73" s="6">
        <v>9.911819068E9</v>
      </c>
      <c r="D73" s="5" t="s">
        <v>116</v>
      </c>
      <c r="F73" s="5" t="s">
        <v>126</v>
      </c>
    </row>
    <row r="74">
      <c r="A74" s="5" t="s">
        <v>230</v>
      </c>
      <c r="B74" s="6">
        <v>9.971743E9</v>
      </c>
      <c r="D74" s="5" t="s">
        <v>15</v>
      </c>
      <c r="F74" s="5" t="s">
        <v>126</v>
      </c>
    </row>
    <row r="75">
      <c r="A75" s="5" t="s">
        <v>231</v>
      </c>
      <c r="B75" s="6">
        <v>9.318181843E9</v>
      </c>
      <c r="D75" s="5" t="s">
        <v>232</v>
      </c>
      <c r="F75" s="5" t="s">
        <v>126</v>
      </c>
    </row>
    <row r="76">
      <c r="A76" s="5" t="s">
        <v>233</v>
      </c>
      <c r="B76" s="6">
        <v>8.470005997E9</v>
      </c>
      <c r="C76" s="5" t="s">
        <v>234</v>
      </c>
      <c r="D76" s="5" t="s">
        <v>26</v>
      </c>
      <c r="E76" s="7" t="s">
        <v>235</v>
      </c>
      <c r="F76" s="5" t="s">
        <v>126</v>
      </c>
    </row>
    <row r="77">
      <c r="A77" s="13" t="s">
        <v>236</v>
      </c>
      <c r="B77" s="14">
        <v>9.861990218E9</v>
      </c>
      <c r="C77" s="19"/>
      <c r="D77" s="19"/>
      <c r="E77" s="19"/>
      <c r="F77" s="13" t="s">
        <v>126</v>
      </c>
      <c r="G77" s="19"/>
    </row>
    <row r="78">
      <c r="A78" s="5" t="s">
        <v>237</v>
      </c>
      <c r="B78" s="6">
        <v>9.910705306E9</v>
      </c>
      <c r="F78" s="5" t="s">
        <v>126</v>
      </c>
    </row>
    <row r="79">
      <c r="A79" s="5" t="s">
        <v>238</v>
      </c>
      <c r="B79" s="6">
        <v>9.58040338E9</v>
      </c>
      <c r="F79" s="5" t="s">
        <v>126</v>
      </c>
    </row>
    <row r="80">
      <c r="A80" s="5" t="s">
        <v>239</v>
      </c>
      <c r="B80" s="6">
        <v>8.130475858E9</v>
      </c>
      <c r="C80" s="5" t="s">
        <v>240</v>
      </c>
      <c r="D80" s="5" t="s">
        <v>21</v>
      </c>
      <c r="E80" s="7" t="s">
        <v>241</v>
      </c>
      <c r="F80" s="5" t="s">
        <v>126</v>
      </c>
    </row>
    <row r="81">
      <c r="A81" s="5" t="s">
        <v>242</v>
      </c>
      <c r="B81" s="6">
        <v>7.275888878E9</v>
      </c>
      <c r="D81" s="5" t="s">
        <v>243</v>
      </c>
      <c r="F81" s="5" t="s">
        <v>126</v>
      </c>
    </row>
    <row r="82">
      <c r="A82" s="15" t="s">
        <v>244</v>
      </c>
      <c r="B82" s="16">
        <v>9.810063069E9</v>
      </c>
      <c r="C82" s="17"/>
      <c r="D82" s="15" t="s">
        <v>26</v>
      </c>
      <c r="E82" s="18" t="s">
        <v>245</v>
      </c>
      <c r="F82" s="15" t="s">
        <v>126</v>
      </c>
    </row>
    <row r="83">
      <c r="A83" s="5" t="s">
        <v>246</v>
      </c>
      <c r="B83" s="6">
        <v>9.818900489E9</v>
      </c>
      <c r="D83" s="5" t="s">
        <v>26</v>
      </c>
      <c r="E83" s="7" t="s">
        <v>247</v>
      </c>
      <c r="F83" s="5" t="s">
        <v>126</v>
      </c>
    </row>
    <row r="84">
      <c r="A84" s="5" t="s">
        <v>248</v>
      </c>
      <c r="B84" s="6">
        <v>9.212168823E9</v>
      </c>
      <c r="D84" s="5" t="s">
        <v>26</v>
      </c>
      <c r="E84" s="7" t="s">
        <v>249</v>
      </c>
      <c r="F84" s="5" t="s">
        <v>126</v>
      </c>
    </row>
    <row r="85">
      <c r="A85" s="5" t="s">
        <v>250</v>
      </c>
      <c r="B85" s="6">
        <v>8.860787306E9</v>
      </c>
      <c r="F85" s="5" t="s">
        <v>126</v>
      </c>
    </row>
    <row r="86">
      <c r="A86" s="5" t="s">
        <v>251</v>
      </c>
      <c r="B86" s="6">
        <v>7.042462567E9</v>
      </c>
      <c r="F86" s="5" t="s">
        <v>126</v>
      </c>
    </row>
    <row r="87">
      <c r="A87" s="5" t="s">
        <v>252</v>
      </c>
      <c r="B87" s="6">
        <v>9.354548931E9</v>
      </c>
      <c r="F87" s="5" t="s">
        <v>126</v>
      </c>
    </row>
    <row r="88">
      <c r="A88" s="5" t="s">
        <v>253</v>
      </c>
      <c r="B88" s="6">
        <v>8.86037224E9</v>
      </c>
      <c r="F88" s="5" t="s">
        <v>126</v>
      </c>
    </row>
    <row r="89">
      <c r="A89" s="5" t="s">
        <v>254</v>
      </c>
      <c r="B89" s="6">
        <v>9.310536E9</v>
      </c>
      <c r="C89" s="5" t="s">
        <v>255</v>
      </c>
      <c r="D89" s="5" t="s">
        <v>26</v>
      </c>
      <c r="E89" s="7" t="s">
        <v>256</v>
      </c>
      <c r="F89" s="5" t="s">
        <v>126</v>
      </c>
    </row>
    <row r="90">
      <c r="A90" s="5" t="s">
        <v>257</v>
      </c>
      <c r="B90" s="6">
        <v>8.800191827E9</v>
      </c>
      <c r="F90" s="5" t="s">
        <v>126</v>
      </c>
    </row>
    <row r="91">
      <c r="A91" s="5" t="s">
        <v>258</v>
      </c>
      <c r="B91" s="6">
        <v>9.65460486E9</v>
      </c>
      <c r="D91" s="5" t="s">
        <v>15</v>
      </c>
      <c r="F91" s="5" t="s">
        <v>126</v>
      </c>
    </row>
    <row r="92">
      <c r="A92" s="5" t="s">
        <v>259</v>
      </c>
      <c r="B92" s="6">
        <v>7.303350761E9</v>
      </c>
      <c r="D92" s="5" t="s">
        <v>26</v>
      </c>
      <c r="E92" s="7" t="s">
        <v>260</v>
      </c>
      <c r="F92" s="5" t="s">
        <v>126</v>
      </c>
    </row>
    <row r="93">
      <c r="B93" s="6">
        <v>9.560770805E9</v>
      </c>
      <c r="C93" s="5" t="s">
        <v>261</v>
      </c>
      <c r="D93" s="5" t="s">
        <v>262</v>
      </c>
      <c r="F93" s="5" t="s">
        <v>126</v>
      </c>
    </row>
    <row r="94">
      <c r="A94" s="5" t="s">
        <v>263</v>
      </c>
      <c r="B94" s="6">
        <v>9.55584441E9</v>
      </c>
      <c r="C94" s="5" t="s">
        <v>264</v>
      </c>
      <c r="D94" s="5" t="s">
        <v>26</v>
      </c>
      <c r="E94" s="7" t="s">
        <v>265</v>
      </c>
      <c r="F94" s="5" t="s">
        <v>126</v>
      </c>
    </row>
    <row r="95">
      <c r="A95" s="5" t="s">
        <v>266</v>
      </c>
      <c r="B95" s="6">
        <v>7.060008973E9</v>
      </c>
      <c r="D95" s="5" t="s">
        <v>15</v>
      </c>
      <c r="F95" s="5" t="s">
        <v>126</v>
      </c>
    </row>
    <row r="96">
      <c r="A96" s="5" t="s">
        <v>267</v>
      </c>
      <c r="B96" s="6">
        <v>9.871991971E9</v>
      </c>
      <c r="C96" s="5" t="s">
        <v>268</v>
      </c>
      <c r="F96" s="5" t="s">
        <v>126</v>
      </c>
    </row>
    <row r="97">
      <c r="A97" s="5" t="s">
        <v>269</v>
      </c>
      <c r="B97" s="6">
        <v>9.899916146E9</v>
      </c>
      <c r="D97" s="5" t="s">
        <v>15</v>
      </c>
      <c r="F97" s="5" t="s">
        <v>126</v>
      </c>
    </row>
    <row r="98">
      <c r="A98" s="13" t="s">
        <v>270</v>
      </c>
      <c r="B98" s="14">
        <v>9.971848148E9</v>
      </c>
      <c r="C98" s="19"/>
      <c r="D98" s="13" t="s">
        <v>79</v>
      </c>
      <c r="E98" s="19"/>
      <c r="F98" s="13" t="s">
        <v>126</v>
      </c>
    </row>
    <row r="99">
      <c r="A99" s="5" t="s">
        <v>271</v>
      </c>
      <c r="B99" s="6">
        <v>9.873705367E9</v>
      </c>
      <c r="F99" s="5" t="s">
        <v>126</v>
      </c>
    </row>
    <row r="100">
      <c r="A100" s="5" t="s">
        <v>272</v>
      </c>
      <c r="B100" s="6">
        <v>9.899883466E9</v>
      </c>
      <c r="D100" s="5" t="s">
        <v>273</v>
      </c>
      <c r="F100" s="5" t="s">
        <v>126</v>
      </c>
    </row>
    <row r="101">
      <c r="A101" s="20" t="s">
        <v>302</v>
      </c>
      <c r="B101" s="21">
        <v>8.233131716E9</v>
      </c>
      <c r="C101" s="22"/>
      <c r="D101" s="22"/>
      <c r="E101" s="22"/>
      <c r="F101" s="20" t="s">
        <v>303</v>
      </c>
    </row>
    <row r="102">
      <c r="A102" s="5" t="s">
        <v>307</v>
      </c>
      <c r="B102" s="6">
        <v>9.603929783E9</v>
      </c>
      <c r="D102" s="5" t="s">
        <v>15</v>
      </c>
      <c r="F102" s="5" t="s">
        <v>303</v>
      </c>
    </row>
    <row r="103">
      <c r="A103" s="5" t="s">
        <v>316</v>
      </c>
      <c r="B103" s="6">
        <v>9.891477748E9</v>
      </c>
      <c r="C103" s="5" t="s">
        <v>317</v>
      </c>
      <c r="F103" s="5" t="s">
        <v>303</v>
      </c>
    </row>
    <row r="104">
      <c r="A104" s="5" t="s">
        <v>320</v>
      </c>
      <c r="B104" s="6">
        <v>9.891477748E9</v>
      </c>
      <c r="C104" s="5" t="s">
        <v>321</v>
      </c>
      <c r="F104" s="5" t="s">
        <v>303</v>
      </c>
    </row>
    <row r="105">
      <c r="A105" s="13" t="s">
        <v>322</v>
      </c>
      <c r="B105" s="14">
        <v>9.958379191E9</v>
      </c>
      <c r="C105" s="19"/>
      <c r="D105" s="13" t="s">
        <v>15</v>
      </c>
      <c r="E105" s="19"/>
      <c r="F105" s="13" t="s">
        <v>303</v>
      </c>
    </row>
    <row r="106">
      <c r="A106" s="5" t="s">
        <v>325</v>
      </c>
      <c r="B106" s="6">
        <v>9.811131753E9</v>
      </c>
      <c r="F106" s="5" t="s">
        <v>303</v>
      </c>
    </row>
    <row r="107">
      <c r="A107" s="5" t="s">
        <v>327</v>
      </c>
      <c r="B107" s="6">
        <v>9.311417626E9</v>
      </c>
      <c r="D107" s="5" t="s">
        <v>11</v>
      </c>
      <c r="F107" s="5" t="s">
        <v>303</v>
      </c>
    </row>
    <row r="108">
      <c r="A108" s="5" t="s">
        <v>339</v>
      </c>
      <c r="B108" s="6">
        <v>9.31015627E9</v>
      </c>
      <c r="D108" s="5" t="s">
        <v>340</v>
      </c>
      <c r="F108" s="5" t="s">
        <v>303</v>
      </c>
    </row>
    <row r="109">
      <c r="A109" s="5" t="s">
        <v>341</v>
      </c>
      <c r="B109" s="6">
        <v>8.851002687E9</v>
      </c>
      <c r="D109" s="5" t="s">
        <v>243</v>
      </c>
      <c r="F109" s="5" t="s">
        <v>303</v>
      </c>
    </row>
    <row r="110">
      <c r="A110" s="5" t="s">
        <v>342</v>
      </c>
      <c r="B110" s="6">
        <v>9.540294686E9</v>
      </c>
      <c r="C110" s="5" t="s">
        <v>343</v>
      </c>
      <c r="D110" s="5" t="s">
        <v>344</v>
      </c>
      <c r="E110" s="7" t="s">
        <v>345</v>
      </c>
      <c r="F110" s="5" t="s">
        <v>303</v>
      </c>
    </row>
    <row r="111">
      <c r="A111" s="5" t="s">
        <v>346</v>
      </c>
      <c r="B111" s="6">
        <v>9.918690211E9</v>
      </c>
      <c r="C111" s="5" t="s">
        <v>347</v>
      </c>
      <c r="D111" s="5" t="s">
        <v>348</v>
      </c>
      <c r="F111" s="5" t="s">
        <v>303</v>
      </c>
    </row>
    <row r="112">
      <c r="A112" s="5" t="s">
        <v>349</v>
      </c>
      <c r="B112" s="6">
        <v>9.971916298E9</v>
      </c>
      <c r="C112" s="5" t="s">
        <v>350</v>
      </c>
      <c r="D112" s="5" t="s">
        <v>21</v>
      </c>
      <c r="E112" s="7" t="s">
        <v>351</v>
      </c>
      <c r="F112" s="5" t="s">
        <v>303</v>
      </c>
    </row>
    <row r="113">
      <c r="A113" s="5" t="s">
        <v>352</v>
      </c>
      <c r="B113" s="6">
        <v>9.814197351E9</v>
      </c>
      <c r="D113" s="5" t="s">
        <v>39</v>
      </c>
      <c r="F113" s="5" t="s">
        <v>303</v>
      </c>
    </row>
    <row r="114">
      <c r="A114" s="5" t="s">
        <v>353</v>
      </c>
      <c r="B114" s="6">
        <v>9.31111125E9</v>
      </c>
      <c r="D114" s="5" t="s">
        <v>344</v>
      </c>
      <c r="E114" s="7" t="s">
        <v>354</v>
      </c>
      <c r="F114" s="5" t="s">
        <v>303</v>
      </c>
    </row>
    <row r="115">
      <c r="A115" s="30" t="s">
        <v>355</v>
      </c>
      <c r="B115" s="31">
        <v>7.678695876E9</v>
      </c>
      <c r="C115" s="30" t="s">
        <v>356</v>
      </c>
      <c r="D115" s="32"/>
      <c r="E115" s="32"/>
      <c r="F115" s="30" t="s">
        <v>303</v>
      </c>
    </row>
    <row r="116">
      <c r="A116" s="5" t="s">
        <v>357</v>
      </c>
      <c r="B116" s="6">
        <v>9.718176206E9</v>
      </c>
      <c r="F116" s="5" t="s">
        <v>303</v>
      </c>
    </row>
    <row r="117">
      <c r="A117" s="5" t="s">
        <v>358</v>
      </c>
      <c r="B117" s="6">
        <v>9.213887979E9</v>
      </c>
      <c r="D117" s="5" t="s">
        <v>359</v>
      </c>
      <c r="F117" s="5" t="s">
        <v>303</v>
      </c>
    </row>
    <row r="118">
      <c r="A118" s="5" t="s">
        <v>360</v>
      </c>
      <c r="B118" s="6">
        <v>9.911338801E9</v>
      </c>
      <c r="F118" s="5" t="s">
        <v>303</v>
      </c>
    </row>
    <row r="119">
      <c r="A119" s="5" t="s">
        <v>361</v>
      </c>
      <c r="B119" s="6">
        <v>9.953710995E9</v>
      </c>
      <c r="D119" s="5" t="s">
        <v>362</v>
      </c>
      <c r="F119" s="5" t="s">
        <v>303</v>
      </c>
    </row>
    <row r="120">
      <c r="A120" s="5" t="s">
        <v>363</v>
      </c>
      <c r="B120" s="6">
        <v>9.871434511E9</v>
      </c>
      <c r="F120" s="5" t="s">
        <v>303</v>
      </c>
    </row>
    <row r="121">
      <c r="A121" s="30" t="s">
        <v>364</v>
      </c>
      <c r="B121" s="31">
        <v>9.315053207E9</v>
      </c>
      <c r="C121" s="32"/>
      <c r="D121" s="32"/>
      <c r="E121" s="32"/>
      <c r="F121" s="30" t="s">
        <v>303</v>
      </c>
      <c r="G121" s="32"/>
    </row>
    <row r="122">
      <c r="A122" s="5" t="s">
        <v>365</v>
      </c>
      <c r="B122" s="6">
        <v>9.871193489E9</v>
      </c>
      <c r="C122" s="5" t="s">
        <v>366</v>
      </c>
      <c r="D122" s="5" t="s">
        <v>79</v>
      </c>
      <c r="F122" s="5" t="s">
        <v>303</v>
      </c>
    </row>
    <row r="123">
      <c r="A123" s="5" t="s">
        <v>367</v>
      </c>
      <c r="B123" s="6">
        <v>9.71193235E9</v>
      </c>
      <c r="C123" s="5" t="s">
        <v>368</v>
      </c>
      <c r="D123" s="5" t="s">
        <v>227</v>
      </c>
      <c r="F123" s="5" t="s">
        <v>303</v>
      </c>
    </row>
    <row r="124">
      <c r="A124" s="5" t="s">
        <v>374</v>
      </c>
      <c r="B124" s="6">
        <v>9.899894096E9</v>
      </c>
      <c r="C124" s="5" t="s">
        <v>375</v>
      </c>
      <c r="D124" s="5" t="s">
        <v>376</v>
      </c>
      <c r="F124" s="5" t="s">
        <v>303</v>
      </c>
    </row>
    <row r="125">
      <c r="A125" s="13" t="s">
        <v>377</v>
      </c>
      <c r="B125" s="14">
        <v>9.910536646E9</v>
      </c>
      <c r="C125" s="19"/>
      <c r="D125" s="13" t="s">
        <v>378</v>
      </c>
      <c r="E125" s="19"/>
      <c r="F125" s="13" t="s">
        <v>303</v>
      </c>
    </row>
    <row r="126">
      <c r="A126" s="5" t="s">
        <v>379</v>
      </c>
      <c r="B126" s="6">
        <v>9.871952223E9</v>
      </c>
      <c r="F126" s="5" t="s">
        <v>303</v>
      </c>
    </row>
    <row r="127">
      <c r="A127" s="5" t="s">
        <v>380</v>
      </c>
      <c r="B127" s="6">
        <v>9.999830464E9</v>
      </c>
      <c r="D127" s="5" t="s">
        <v>15</v>
      </c>
      <c r="F127" s="5" t="s">
        <v>303</v>
      </c>
    </row>
    <row r="128">
      <c r="A128" s="5" t="s">
        <v>389</v>
      </c>
      <c r="B128" s="6">
        <v>9.315837731E9</v>
      </c>
      <c r="D128" s="5" t="s">
        <v>362</v>
      </c>
      <c r="F128" s="5" t="s">
        <v>303</v>
      </c>
    </row>
    <row r="129">
      <c r="A129" s="5" t="s">
        <v>391</v>
      </c>
      <c r="B129" s="6">
        <v>9.891209008E9</v>
      </c>
      <c r="F129" s="5" t="s">
        <v>303</v>
      </c>
    </row>
    <row r="130">
      <c r="A130" s="5" t="s">
        <v>392</v>
      </c>
      <c r="B130" s="6">
        <v>8.882377506E9</v>
      </c>
      <c r="C130" s="5" t="s">
        <v>393</v>
      </c>
      <c r="D130" s="5" t="s">
        <v>15</v>
      </c>
      <c r="F130" s="5" t="s">
        <v>303</v>
      </c>
    </row>
    <row r="131">
      <c r="A131" s="5" t="s">
        <v>394</v>
      </c>
      <c r="B131" s="6">
        <v>9.81886679E9</v>
      </c>
      <c r="D131" s="5" t="s">
        <v>21</v>
      </c>
      <c r="E131" s="7" t="s">
        <v>395</v>
      </c>
      <c r="F131" s="5" t="s">
        <v>303</v>
      </c>
    </row>
    <row r="132">
      <c r="A132" s="5" t="s">
        <v>396</v>
      </c>
      <c r="B132" s="6">
        <v>9.958370703E9</v>
      </c>
      <c r="C132" s="5" t="s">
        <v>397</v>
      </c>
      <c r="D132" s="5" t="s">
        <v>398</v>
      </c>
      <c r="F132" s="5" t="s">
        <v>303</v>
      </c>
    </row>
    <row r="133">
      <c r="A133" s="5" t="s">
        <v>399</v>
      </c>
      <c r="B133" s="6">
        <v>9.266123588E9</v>
      </c>
      <c r="F133" s="5" t="s">
        <v>303</v>
      </c>
    </row>
    <row r="134">
      <c r="A134" s="5" t="s">
        <v>400</v>
      </c>
      <c r="B134" s="6">
        <v>9.213938727E9</v>
      </c>
      <c r="F134" s="5" t="s">
        <v>303</v>
      </c>
    </row>
    <row r="135">
      <c r="A135" s="5" t="s">
        <v>401</v>
      </c>
      <c r="B135" s="6">
        <v>9.999926937E9</v>
      </c>
      <c r="C135" s="5" t="s">
        <v>402</v>
      </c>
      <c r="F135" s="5" t="s">
        <v>303</v>
      </c>
    </row>
    <row r="136">
      <c r="A136" s="30" t="s">
        <v>404</v>
      </c>
      <c r="B136" s="31">
        <v>9.871071756E9</v>
      </c>
      <c r="C136" s="32"/>
      <c r="D136" s="32"/>
      <c r="E136" s="32"/>
      <c r="F136" s="30" t="s">
        <v>303</v>
      </c>
    </row>
    <row r="137">
      <c r="A137" s="5" t="s">
        <v>405</v>
      </c>
      <c r="B137" s="6">
        <v>9.213872247E9</v>
      </c>
      <c r="D137" s="5" t="s">
        <v>406</v>
      </c>
      <c r="F137" s="5" t="s">
        <v>303</v>
      </c>
    </row>
    <row r="138">
      <c r="A138" s="5" t="s">
        <v>52</v>
      </c>
      <c r="B138" s="6">
        <v>7.018285791E9</v>
      </c>
      <c r="C138" s="5" t="s">
        <v>407</v>
      </c>
      <c r="F138" s="5" t="s">
        <v>303</v>
      </c>
    </row>
    <row r="139">
      <c r="A139" s="5" t="s">
        <v>408</v>
      </c>
      <c r="B139" s="6">
        <v>8.802307409E9</v>
      </c>
      <c r="F139" s="5" t="s">
        <v>303</v>
      </c>
    </row>
    <row r="140">
      <c r="A140" s="5" t="s">
        <v>409</v>
      </c>
      <c r="B140" s="6">
        <v>9.811137056E9</v>
      </c>
      <c r="D140" s="5" t="s">
        <v>15</v>
      </c>
      <c r="F140" s="5" t="s">
        <v>303</v>
      </c>
    </row>
    <row r="141">
      <c r="A141" s="5" t="s">
        <v>410</v>
      </c>
      <c r="B141" s="6">
        <v>9.315070998E9</v>
      </c>
      <c r="D141" s="5" t="s">
        <v>411</v>
      </c>
      <c r="F141" s="5" t="s">
        <v>303</v>
      </c>
    </row>
    <row r="142">
      <c r="A142" s="5" t="s">
        <v>412</v>
      </c>
      <c r="B142" s="6">
        <v>9.868922637E9</v>
      </c>
      <c r="C142" s="5" t="s">
        <v>413</v>
      </c>
      <c r="F142" s="5" t="s">
        <v>303</v>
      </c>
    </row>
    <row r="143">
      <c r="A143" s="5" t="s">
        <v>414</v>
      </c>
      <c r="B143" s="6">
        <v>9.871137526E9</v>
      </c>
      <c r="D143" s="5" t="s">
        <v>227</v>
      </c>
      <c r="F143" s="5" t="s">
        <v>303</v>
      </c>
    </row>
    <row r="144">
      <c r="A144" s="5" t="s">
        <v>415</v>
      </c>
      <c r="B144" s="6">
        <v>9.971960101E9</v>
      </c>
      <c r="D144" s="5" t="s">
        <v>15</v>
      </c>
      <c r="F144" s="5" t="s">
        <v>303</v>
      </c>
    </row>
    <row r="145">
      <c r="A145" s="13" t="s">
        <v>416</v>
      </c>
      <c r="B145" s="14">
        <v>9.911115452E9</v>
      </c>
      <c r="C145" s="19"/>
      <c r="D145" s="19"/>
      <c r="E145" s="19"/>
      <c r="F145" s="13" t="s">
        <v>303</v>
      </c>
      <c r="G145" s="19"/>
    </row>
    <row r="146">
      <c r="A146" s="5" t="s">
        <v>417</v>
      </c>
      <c r="B146" s="6">
        <v>9.111659999E9</v>
      </c>
      <c r="C146" s="5" t="s">
        <v>418</v>
      </c>
      <c r="D146" s="5" t="s">
        <v>419</v>
      </c>
      <c r="F146" s="5" t="s">
        <v>303</v>
      </c>
    </row>
    <row r="147">
      <c r="A147" s="5" t="s">
        <v>420</v>
      </c>
      <c r="B147" s="6">
        <v>8.851507298E9</v>
      </c>
      <c r="F147" s="5" t="s">
        <v>303</v>
      </c>
    </row>
    <row r="148">
      <c r="A148" s="5" t="s">
        <v>421</v>
      </c>
      <c r="B148" s="6">
        <v>9.999697707E9</v>
      </c>
      <c r="D148" s="5" t="s">
        <v>13</v>
      </c>
      <c r="F148" s="5" t="s">
        <v>303</v>
      </c>
    </row>
    <row r="149">
      <c r="A149" s="5" t="s">
        <v>422</v>
      </c>
      <c r="B149" s="6">
        <v>9.911614449E9</v>
      </c>
      <c r="F149" s="5" t="s">
        <v>303</v>
      </c>
    </row>
    <row r="150">
      <c r="A150" s="5" t="s">
        <v>179</v>
      </c>
      <c r="B150" s="6">
        <v>9.87320992E9</v>
      </c>
      <c r="F150" s="5" t="s">
        <v>303</v>
      </c>
    </row>
    <row r="151">
      <c r="A151" s="5" t="s">
        <v>423</v>
      </c>
      <c r="B151" s="6">
        <v>9.868141042E9</v>
      </c>
      <c r="D151" s="5" t="s">
        <v>424</v>
      </c>
      <c r="F151" s="5" t="s">
        <v>303</v>
      </c>
    </row>
    <row r="152">
      <c r="A152" s="5" t="s">
        <v>426</v>
      </c>
      <c r="B152" s="6">
        <v>9.91162781E9</v>
      </c>
      <c r="F152" s="5" t="s">
        <v>303</v>
      </c>
    </row>
    <row r="153">
      <c r="A153" s="5" t="s">
        <v>427</v>
      </c>
      <c r="B153" s="5">
        <v>9.999873448E9</v>
      </c>
      <c r="D153" s="5" t="s">
        <v>227</v>
      </c>
      <c r="F153" s="5" t="s">
        <v>303</v>
      </c>
    </row>
    <row r="154">
      <c r="A154" s="5" t="s">
        <v>428</v>
      </c>
      <c r="B154" s="5">
        <v>9.310382244E9</v>
      </c>
      <c r="D154" s="5" t="s">
        <v>227</v>
      </c>
      <c r="F154" s="5" t="s">
        <v>303</v>
      </c>
    </row>
    <row r="155">
      <c r="A155" s="5" t="s">
        <v>429</v>
      </c>
      <c r="B155" s="5">
        <v>9.891907806E9</v>
      </c>
      <c r="D155" s="5" t="s">
        <v>79</v>
      </c>
      <c r="F155" s="5" t="s">
        <v>303</v>
      </c>
    </row>
    <row r="156">
      <c r="A156" s="30" t="s">
        <v>430</v>
      </c>
      <c r="B156" s="30">
        <v>9.538924001E9</v>
      </c>
      <c r="C156" s="30" t="s">
        <v>431</v>
      </c>
      <c r="D156" s="32"/>
      <c r="E156" s="32"/>
      <c r="F156" s="30" t="s">
        <v>303</v>
      </c>
    </row>
    <row r="157">
      <c r="A157" s="5" t="s">
        <v>432</v>
      </c>
      <c r="B157" s="5">
        <v>9.654237028E9</v>
      </c>
      <c r="C157" s="5" t="s">
        <v>433</v>
      </c>
      <c r="F157" s="5" t="s">
        <v>303</v>
      </c>
    </row>
    <row r="158">
      <c r="A158" s="5" t="s">
        <v>434</v>
      </c>
      <c r="B158" s="5">
        <v>9.319157833E9</v>
      </c>
      <c r="C158" s="5" t="s">
        <v>435</v>
      </c>
      <c r="F158" s="5" t="s">
        <v>303</v>
      </c>
    </row>
    <row r="159">
      <c r="A159" s="5" t="s">
        <v>436</v>
      </c>
      <c r="B159" s="5">
        <v>9.810003635E9</v>
      </c>
      <c r="D159" s="5" t="s">
        <v>437</v>
      </c>
      <c r="F159" s="5" t="s">
        <v>303</v>
      </c>
    </row>
    <row r="160">
      <c r="A160" s="5" t="s">
        <v>438</v>
      </c>
      <c r="B160" s="5">
        <v>9.315260228E9</v>
      </c>
      <c r="C160" s="5" t="s">
        <v>439</v>
      </c>
      <c r="F160" s="5" t="s">
        <v>303</v>
      </c>
    </row>
    <row r="161">
      <c r="A161" s="5" t="s">
        <v>440</v>
      </c>
      <c r="B161" s="5">
        <v>8.882071166E9</v>
      </c>
      <c r="D161" s="5" t="s">
        <v>273</v>
      </c>
      <c r="F161" s="5" t="s">
        <v>303</v>
      </c>
    </row>
    <row r="162">
      <c r="A162" s="5" t="s">
        <v>441</v>
      </c>
      <c r="B162" s="5">
        <v>9.654175618E9</v>
      </c>
      <c r="D162" s="5" t="s">
        <v>13</v>
      </c>
      <c r="F162" s="5" t="s">
        <v>303</v>
      </c>
    </row>
    <row r="163">
      <c r="A163" s="5" t="s">
        <v>444</v>
      </c>
      <c r="B163" s="5">
        <v>9.727484347E9</v>
      </c>
      <c r="C163" s="5" t="s">
        <v>445</v>
      </c>
      <c r="D163" s="5" t="s">
        <v>26</v>
      </c>
      <c r="E163" s="7" t="s">
        <v>446</v>
      </c>
      <c r="F163" s="5" t="s">
        <v>303</v>
      </c>
    </row>
    <row r="164">
      <c r="A164" s="5" t="s">
        <v>447</v>
      </c>
      <c r="B164" s="5">
        <v>9.811198839E9</v>
      </c>
      <c r="C164" s="5" t="s">
        <v>448</v>
      </c>
      <c r="D164" s="5" t="s">
        <v>227</v>
      </c>
      <c r="F164" s="5" t="s">
        <v>303</v>
      </c>
    </row>
    <row r="165">
      <c r="A165" s="5" t="s">
        <v>449</v>
      </c>
      <c r="B165" s="5">
        <v>7.835981515E9</v>
      </c>
      <c r="C165" s="5" t="s">
        <v>450</v>
      </c>
      <c r="D165" s="5" t="s">
        <v>451</v>
      </c>
      <c r="E165" s="7" t="s">
        <v>452</v>
      </c>
      <c r="F165" s="5" t="s">
        <v>303</v>
      </c>
    </row>
    <row r="166">
      <c r="A166" s="5" t="s">
        <v>453</v>
      </c>
      <c r="B166" s="5">
        <v>7.280930368E9</v>
      </c>
      <c r="D166" s="5" t="s">
        <v>79</v>
      </c>
      <c r="F166" s="5" t="s">
        <v>303</v>
      </c>
    </row>
    <row r="167">
      <c r="A167" s="5" t="s">
        <v>454</v>
      </c>
      <c r="B167" s="5">
        <v>8.920818897E9</v>
      </c>
      <c r="C167" s="7" t="s">
        <v>455</v>
      </c>
      <c r="D167" s="5" t="s">
        <v>26</v>
      </c>
      <c r="F167" s="5" t="s">
        <v>303</v>
      </c>
    </row>
    <row r="168">
      <c r="A168" s="5" t="s">
        <v>456</v>
      </c>
      <c r="B168" s="5">
        <v>9.811471267E9</v>
      </c>
      <c r="C168" s="5" t="s">
        <v>457</v>
      </c>
      <c r="D168" s="5" t="s">
        <v>458</v>
      </c>
      <c r="F168" s="5" t="s">
        <v>303</v>
      </c>
    </row>
    <row r="169">
      <c r="A169" s="5" t="s">
        <v>120</v>
      </c>
      <c r="B169" s="5">
        <v>9.871349567E9</v>
      </c>
      <c r="D169" s="5" t="s">
        <v>459</v>
      </c>
      <c r="F169" s="5" t="s">
        <v>303</v>
      </c>
    </row>
    <row r="170">
      <c r="A170" s="5" t="s">
        <v>460</v>
      </c>
      <c r="B170" s="5">
        <v>8.384022854E9</v>
      </c>
      <c r="C170" s="5" t="s">
        <v>461</v>
      </c>
      <c r="D170" s="5" t="s">
        <v>79</v>
      </c>
      <c r="F170" s="5" t="s">
        <v>303</v>
      </c>
    </row>
    <row r="171">
      <c r="A171" s="5" t="s">
        <v>462</v>
      </c>
      <c r="B171" s="5">
        <v>7.289937648E9</v>
      </c>
      <c r="C171" s="5" t="s">
        <v>463</v>
      </c>
      <c r="D171" s="5" t="s">
        <v>464</v>
      </c>
      <c r="F171" s="5" t="s">
        <v>303</v>
      </c>
    </row>
    <row r="172">
      <c r="A172" s="5" t="s">
        <v>465</v>
      </c>
      <c r="B172" s="5">
        <v>9.971695993E9</v>
      </c>
      <c r="C172" s="5" t="s">
        <v>466</v>
      </c>
      <c r="D172" s="5" t="s">
        <v>467</v>
      </c>
      <c r="F172" s="5" t="s">
        <v>303</v>
      </c>
    </row>
    <row r="173">
      <c r="A173" s="5" t="s">
        <v>468</v>
      </c>
      <c r="B173" s="5">
        <v>8.851229264E9</v>
      </c>
      <c r="D173" s="5" t="s">
        <v>469</v>
      </c>
      <c r="F173" s="5" t="s">
        <v>303</v>
      </c>
    </row>
    <row r="174">
      <c r="A174" s="5" t="s">
        <v>390</v>
      </c>
      <c r="B174" s="5">
        <v>9.810595267E9</v>
      </c>
      <c r="D174" s="5" t="s">
        <v>79</v>
      </c>
      <c r="F174" s="5" t="s">
        <v>303</v>
      </c>
    </row>
    <row r="175">
      <c r="A175" s="5" t="s">
        <v>470</v>
      </c>
      <c r="B175" s="5">
        <v>9.990361779E9</v>
      </c>
      <c r="C175" s="5" t="s">
        <v>471</v>
      </c>
      <c r="D175" s="5" t="s">
        <v>472</v>
      </c>
      <c r="F175" s="5" t="s">
        <v>303</v>
      </c>
    </row>
    <row r="176">
      <c r="A176" s="30" t="s">
        <v>473</v>
      </c>
      <c r="B176" s="30">
        <v>8.810214823E9</v>
      </c>
      <c r="C176" s="30" t="s">
        <v>474</v>
      </c>
      <c r="D176" s="30" t="s">
        <v>79</v>
      </c>
      <c r="E176" s="32"/>
      <c r="F176" s="30" t="s">
        <v>303</v>
      </c>
      <c r="G176" s="32"/>
    </row>
    <row r="177">
      <c r="A177" s="5" t="s">
        <v>475</v>
      </c>
      <c r="B177" s="5">
        <v>8.076143164E9</v>
      </c>
      <c r="C177" s="5" t="s">
        <v>476</v>
      </c>
      <c r="D177" s="5" t="s">
        <v>116</v>
      </c>
      <c r="F177" s="5" t="s">
        <v>303</v>
      </c>
    </row>
    <row r="178">
      <c r="A178" s="5" t="s">
        <v>477</v>
      </c>
      <c r="B178" s="5">
        <v>9.837445E9</v>
      </c>
      <c r="D178" s="5" t="s">
        <v>13</v>
      </c>
      <c r="F178" s="5" t="s">
        <v>303</v>
      </c>
    </row>
    <row r="179">
      <c r="A179" s="5" t="s">
        <v>478</v>
      </c>
      <c r="B179" s="5">
        <v>9.837010736E9</v>
      </c>
      <c r="F179" s="5" t="s">
        <v>303</v>
      </c>
    </row>
    <row r="180">
      <c r="A180" s="5" t="s">
        <v>479</v>
      </c>
      <c r="B180" s="5">
        <v>8.882856762E9</v>
      </c>
      <c r="C180" s="5" t="s">
        <v>480</v>
      </c>
      <c r="D180" s="5" t="s">
        <v>481</v>
      </c>
      <c r="F180" s="5" t="s">
        <v>303</v>
      </c>
    </row>
    <row r="181">
      <c r="A181" s="5" t="s">
        <v>482</v>
      </c>
      <c r="B181" s="5">
        <v>8.800613336E9</v>
      </c>
      <c r="D181" s="5" t="s">
        <v>26</v>
      </c>
      <c r="E181" s="7" t="s">
        <v>483</v>
      </c>
      <c r="F181" s="5" t="s">
        <v>303</v>
      </c>
    </row>
    <row r="182">
      <c r="A182" s="5" t="s">
        <v>485</v>
      </c>
      <c r="B182" s="5">
        <v>9.818009247E9</v>
      </c>
      <c r="D182" s="5" t="s">
        <v>11</v>
      </c>
      <c r="F182" s="5" t="s">
        <v>303</v>
      </c>
    </row>
    <row r="183">
      <c r="A183" s="5" t="s">
        <v>488</v>
      </c>
      <c r="B183" s="5">
        <v>9.711170176E9</v>
      </c>
      <c r="C183" s="5" t="s">
        <v>489</v>
      </c>
      <c r="D183" s="5" t="s">
        <v>79</v>
      </c>
      <c r="F183" s="5" t="s">
        <v>303</v>
      </c>
    </row>
    <row r="184">
      <c r="A184" s="5" t="s">
        <v>490</v>
      </c>
      <c r="B184" s="5">
        <v>7.68306741E9</v>
      </c>
      <c r="F184" s="5" t="s">
        <v>303</v>
      </c>
    </row>
    <row r="185">
      <c r="A185" s="5" t="s">
        <v>491</v>
      </c>
      <c r="B185" s="5">
        <v>9.671853414E9</v>
      </c>
      <c r="C185" s="5" t="s">
        <v>492</v>
      </c>
      <c r="D185" s="5" t="s">
        <v>39</v>
      </c>
      <c r="F185" s="5" t="s">
        <v>303</v>
      </c>
    </row>
    <row r="186">
      <c r="A186" s="5" t="s">
        <v>493</v>
      </c>
      <c r="B186" s="5">
        <v>8.29540703E9</v>
      </c>
      <c r="C186" s="5" t="s">
        <v>494</v>
      </c>
      <c r="F186" s="5" t="s">
        <v>303</v>
      </c>
    </row>
    <row r="187">
      <c r="A187" s="5" t="s">
        <v>496</v>
      </c>
      <c r="B187" s="5">
        <v>8.826893089E9</v>
      </c>
      <c r="C187" s="5" t="s">
        <v>497</v>
      </c>
      <c r="D187" s="5" t="s">
        <v>15</v>
      </c>
      <c r="F187" s="5" t="s">
        <v>303</v>
      </c>
    </row>
    <row r="188">
      <c r="A188" s="5" t="s">
        <v>498</v>
      </c>
      <c r="B188" s="5">
        <v>7.503459351E9</v>
      </c>
      <c r="C188" s="5" t="s">
        <v>499</v>
      </c>
      <c r="D188" s="5" t="s">
        <v>13</v>
      </c>
      <c r="F188" s="5" t="s">
        <v>303</v>
      </c>
    </row>
    <row r="189">
      <c r="A189" s="5" t="s">
        <v>500</v>
      </c>
      <c r="B189" s="5">
        <v>9.72940152E9</v>
      </c>
      <c r="C189" s="5" t="s">
        <v>501</v>
      </c>
      <c r="F189" s="5" t="s">
        <v>303</v>
      </c>
    </row>
    <row r="190">
      <c r="A190" s="5" t="s">
        <v>502</v>
      </c>
      <c r="B190" s="5">
        <v>7.056037777E9</v>
      </c>
      <c r="C190" s="5" t="s">
        <v>503</v>
      </c>
      <c r="F190" s="5" t="s">
        <v>303</v>
      </c>
    </row>
    <row r="191">
      <c r="A191" s="5" t="s">
        <v>504</v>
      </c>
      <c r="B191" s="5">
        <v>7.827617333E9</v>
      </c>
      <c r="C191" s="5" t="s">
        <v>505</v>
      </c>
      <c r="F191" s="5" t="s">
        <v>303</v>
      </c>
    </row>
    <row r="192">
      <c r="A192" s="5" t="s">
        <v>506</v>
      </c>
      <c r="B192" s="5">
        <v>7.706904591E9</v>
      </c>
      <c r="F192" s="5" t="s">
        <v>303</v>
      </c>
    </row>
    <row r="193">
      <c r="A193" s="5" t="s">
        <v>507</v>
      </c>
      <c r="B193" s="5">
        <v>7.053086007E9</v>
      </c>
      <c r="C193" s="5" t="s">
        <v>508</v>
      </c>
      <c r="F193" s="5" t="s">
        <v>303</v>
      </c>
    </row>
    <row r="194">
      <c r="A194" s="5" t="s">
        <v>509</v>
      </c>
      <c r="B194" s="5">
        <v>9.217663281E9</v>
      </c>
      <c r="D194" s="5" t="s">
        <v>114</v>
      </c>
      <c r="F194" s="5" t="s">
        <v>303</v>
      </c>
    </row>
    <row r="195">
      <c r="A195" s="5" t="s">
        <v>35</v>
      </c>
      <c r="B195" s="5">
        <v>8.398992983E9</v>
      </c>
      <c r="F195" s="5" t="s">
        <v>303</v>
      </c>
    </row>
    <row r="196">
      <c r="A196" s="5" t="s">
        <v>161</v>
      </c>
      <c r="B196" s="5">
        <v>7.217655299E9</v>
      </c>
      <c r="F196" s="5" t="s">
        <v>303</v>
      </c>
    </row>
    <row r="197">
      <c r="A197" s="5" t="s">
        <v>512</v>
      </c>
      <c r="B197" s="5">
        <v>9.416080018E9</v>
      </c>
      <c r="C197" s="5" t="s">
        <v>513</v>
      </c>
      <c r="D197" s="5" t="s">
        <v>11</v>
      </c>
      <c r="F197" s="5" t="s">
        <v>303</v>
      </c>
    </row>
    <row r="198">
      <c r="A198" s="30" t="s">
        <v>514</v>
      </c>
      <c r="B198" s="30">
        <v>9.560593114E9</v>
      </c>
      <c r="C198" s="32"/>
      <c r="D198" s="30" t="s">
        <v>15</v>
      </c>
      <c r="E198" s="32"/>
      <c r="F198" s="5" t="s">
        <v>303</v>
      </c>
    </row>
    <row r="199">
      <c r="A199" s="5" t="s">
        <v>515</v>
      </c>
      <c r="B199" s="5">
        <v>7.982341882E9</v>
      </c>
      <c r="F199" s="5" t="s">
        <v>303</v>
      </c>
    </row>
    <row r="200">
      <c r="A200" s="5" t="s">
        <v>516</v>
      </c>
      <c r="B200" s="5">
        <v>8.81039181E9</v>
      </c>
      <c r="F200" s="5" t="s">
        <v>303</v>
      </c>
    </row>
    <row r="201">
      <c r="A201" s="5" t="s">
        <v>517</v>
      </c>
      <c r="B201" s="5">
        <v>9.958052326E9</v>
      </c>
      <c r="F201" s="5" t="s">
        <v>303</v>
      </c>
    </row>
    <row r="202">
      <c r="A202" s="5" t="s">
        <v>518</v>
      </c>
      <c r="B202" s="5">
        <v>7.037855976E9</v>
      </c>
      <c r="D202" s="5" t="s">
        <v>15</v>
      </c>
      <c r="F202" s="5" t="s">
        <v>303</v>
      </c>
    </row>
    <row r="203">
      <c r="A203" s="5" t="s">
        <v>519</v>
      </c>
      <c r="B203" s="5">
        <v>9.818358636E9</v>
      </c>
      <c r="F203" s="5" t="s">
        <v>303</v>
      </c>
    </row>
    <row r="204">
      <c r="A204" s="5" t="s">
        <v>520</v>
      </c>
      <c r="B204" s="5">
        <v>9.95365389E9</v>
      </c>
      <c r="C204" s="5" t="s">
        <v>521</v>
      </c>
      <c r="D204" s="5" t="s">
        <v>522</v>
      </c>
      <c r="F204" s="5" t="s">
        <v>303</v>
      </c>
    </row>
    <row r="205">
      <c r="A205" s="5" t="s">
        <v>523</v>
      </c>
      <c r="B205" s="5">
        <v>6.398522478E9</v>
      </c>
      <c r="C205" s="5" t="s">
        <v>524</v>
      </c>
      <c r="F205" s="5" t="s">
        <v>303</v>
      </c>
    </row>
    <row r="206">
      <c r="A206" s="5" t="s">
        <v>526</v>
      </c>
      <c r="B206" s="5">
        <v>9.034748409E9</v>
      </c>
      <c r="C206" s="5" t="s">
        <v>527</v>
      </c>
      <c r="D206" s="5" t="s">
        <v>79</v>
      </c>
      <c r="F206" s="5" t="s">
        <v>303</v>
      </c>
    </row>
    <row r="207">
      <c r="A207" s="20" t="s">
        <v>528</v>
      </c>
      <c r="B207" s="20">
        <v>9.654323271E9</v>
      </c>
      <c r="C207" s="22"/>
      <c r="D207" s="22"/>
      <c r="F207" s="5" t="s">
        <v>303</v>
      </c>
    </row>
    <row r="208">
      <c r="A208" s="5" t="s">
        <v>529</v>
      </c>
      <c r="B208" s="5">
        <v>9.752644854E9</v>
      </c>
      <c r="F208" s="5" t="s">
        <v>303</v>
      </c>
    </row>
    <row r="209">
      <c r="A209" s="5" t="s">
        <v>808</v>
      </c>
      <c r="B209" s="5">
        <v>8.5272626E9</v>
      </c>
      <c r="F209" s="5" t="s">
        <v>303</v>
      </c>
    </row>
    <row r="210">
      <c r="A210" s="5" t="s">
        <v>531</v>
      </c>
      <c r="B210" s="5">
        <v>8.36825676E9</v>
      </c>
      <c r="F210" s="5" t="s">
        <v>303</v>
      </c>
    </row>
    <row r="211">
      <c r="A211" s="5" t="s">
        <v>532</v>
      </c>
      <c r="B211" s="5">
        <v>7.004491675E9</v>
      </c>
      <c r="F211" s="5" t="s">
        <v>303</v>
      </c>
    </row>
    <row r="212">
      <c r="A212" s="5" t="s">
        <v>533</v>
      </c>
      <c r="B212" s="5">
        <v>8.882190498E9</v>
      </c>
      <c r="F212" s="5" t="s">
        <v>303</v>
      </c>
    </row>
    <row r="213">
      <c r="A213" s="5" t="s">
        <v>534</v>
      </c>
      <c r="B213" s="5">
        <v>7.838305155E9</v>
      </c>
      <c r="F213" s="5" t="s">
        <v>303</v>
      </c>
    </row>
    <row r="214">
      <c r="A214" s="5" t="s">
        <v>535</v>
      </c>
      <c r="B214" s="5">
        <v>9.650063938E9</v>
      </c>
      <c r="F214" s="5" t="s">
        <v>303</v>
      </c>
    </row>
    <row r="215">
      <c r="A215" s="5" t="s">
        <v>536</v>
      </c>
      <c r="B215" s="5">
        <v>9.013444353E9</v>
      </c>
      <c r="F215" s="5" t="s">
        <v>303</v>
      </c>
    </row>
    <row r="216">
      <c r="A216" s="5" t="s">
        <v>539</v>
      </c>
      <c r="B216" s="5">
        <v>8.948618421E9</v>
      </c>
      <c r="C216" s="5" t="s">
        <v>540</v>
      </c>
      <c r="F216" s="5" t="s">
        <v>303</v>
      </c>
    </row>
    <row r="217">
      <c r="A217" s="5" t="s">
        <v>207</v>
      </c>
      <c r="B217" s="5">
        <v>8.076918882E9</v>
      </c>
      <c r="C217" s="5" t="s">
        <v>542</v>
      </c>
      <c r="F217" s="5" t="s">
        <v>303</v>
      </c>
    </row>
    <row r="218">
      <c r="A218" s="5" t="s">
        <v>543</v>
      </c>
      <c r="B218" s="5">
        <v>9.810107784E9</v>
      </c>
      <c r="F218" s="5" t="s">
        <v>303</v>
      </c>
    </row>
    <row r="219">
      <c r="A219" s="5" t="s">
        <v>545</v>
      </c>
      <c r="B219" s="5">
        <v>8.168563385E9</v>
      </c>
      <c r="C219" s="5" t="s">
        <v>546</v>
      </c>
      <c r="F219" s="5" t="s">
        <v>303</v>
      </c>
    </row>
    <row r="220">
      <c r="A220" s="5" t="s">
        <v>548</v>
      </c>
      <c r="B220" s="5">
        <v>9.518490658E9</v>
      </c>
      <c r="C220" s="5" t="s">
        <v>549</v>
      </c>
      <c r="D220" s="5" t="s">
        <v>79</v>
      </c>
      <c r="F220" s="5" t="s">
        <v>303</v>
      </c>
    </row>
    <row r="221">
      <c r="A221" s="33" t="s">
        <v>550</v>
      </c>
      <c r="B221" s="33">
        <v>9.971784005E9</v>
      </c>
      <c r="C221" s="34"/>
      <c r="D221" s="34"/>
      <c r="E221" s="34"/>
      <c r="F221" s="33" t="s">
        <v>303</v>
      </c>
    </row>
    <row r="222">
      <c r="A222" s="5" t="s">
        <v>554</v>
      </c>
      <c r="B222" s="5">
        <v>9.818193519E9</v>
      </c>
      <c r="D222" s="5" t="s">
        <v>555</v>
      </c>
      <c r="F222" s="5" t="s">
        <v>303</v>
      </c>
    </row>
    <row r="223">
      <c r="A223" s="5" t="s">
        <v>560</v>
      </c>
      <c r="B223" s="5">
        <v>8.920035535E9</v>
      </c>
      <c r="E223" s="7" t="s">
        <v>561</v>
      </c>
      <c r="F223" s="5" t="s">
        <v>303</v>
      </c>
    </row>
    <row r="224">
      <c r="A224" s="5" t="s">
        <v>562</v>
      </c>
      <c r="B224" s="5">
        <v>8.920069012E9</v>
      </c>
      <c r="F224" s="5" t="s">
        <v>289</v>
      </c>
    </row>
    <row r="225">
      <c r="A225" s="5" t="s">
        <v>563</v>
      </c>
      <c r="B225" s="5">
        <v>8.448443885E9</v>
      </c>
      <c r="C225" s="5" t="s">
        <v>564</v>
      </c>
      <c r="D225" s="5" t="s">
        <v>565</v>
      </c>
      <c r="F225" s="5" t="s">
        <v>303</v>
      </c>
    </row>
    <row r="226">
      <c r="A226" s="5" t="s">
        <v>566</v>
      </c>
      <c r="B226" s="5">
        <v>9.958350501E9</v>
      </c>
      <c r="D226" s="5" t="s">
        <v>567</v>
      </c>
      <c r="F226" s="5" t="s">
        <v>303</v>
      </c>
    </row>
    <row r="227">
      <c r="A227" s="5" t="s">
        <v>569</v>
      </c>
      <c r="B227" s="5">
        <v>9.899300593E9</v>
      </c>
      <c r="D227" s="5" t="s">
        <v>15</v>
      </c>
      <c r="F227" s="5" t="s">
        <v>303</v>
      </c>
    </row>
    <row r="228">
      <c r="A228" s="5" t="s">
        <v>570</v>
      </c>
      <c r="B228" s="5">
        <v>9.350242772E9</v>
      </c>
      <c r="E228" s="7" t="s">
        <v>571</v>
      </c>
      <c r="F228" s="5" t="s">
        <v>303</v>
      </c>
    </row>
    <row r="229">
      <c r="A229" s="5" t="s">
        <v>573</v>
      </c>
      <c r="B229" s="5">
        <v>9.813387044E9</v>
      </c>
      <c r="F229" s="5" t="s">
        <v>303</v>
      </c>
    </row>
    <row r="230">
      <c r="A230" s="5" t="s">
        <v>575</v>
      </c>
      <c r="B230" s="5">
        <v>8.950343046E9</v>
      </c>
      <c r="F230" s="5" t="s">
        <v>303</v>
      </c>
    </row>
    <row r="231">
      <c r="A231" s="5" t="s">
        <v>254</v>
      </c>
      <c r="B231" s="5">
        <v>9.31307011E9</v>
      </c>
      <c r="F231" s="5" t="s">
        <v>303</v>
      </c>
    </row>
    <row r="232">
      <c r="A232" s="5" t="s">
        <v>578</v>
      </c>
      <c r="B232" s="5">
        <v>9.810638093E9</v>
      </c>
      <c r="C232" s="5" t="s">
        <v>579</v>
      </c>
      <c r="D232" s="5" t="s">
        <v>26</v>
      </c>
      <c r="F232" s="5" t="s">
        <v>303</v>
      </c>
    </row>
    <row r="233">
      <c r="A233" s="5" t="s">
        <v>580</v>
      </c>
      <c r="B233" s="5">
        <v>9.871477706E9</v>
      </c>
      <c r="D233" s="5" t="s">
        <v>39</v>
      </c>
      <c r="F233" s="5" t="s">
        <v>303</v>
      </c>
    </row>
    <row r="234">
      <c r="A234" s="5" t="s">
        <v>270</v>
      </c>
      <c r="B234" s="5">
        <v>9.953317903E9</v>
      </c>
      <c r="D234" s="5" t="s">
        <v>15</v>
      </c>
      <c r="F234" s="5" t="s">
        <v>303</v>
      </c>
    </row>
    <row r="235">
      <c r="A235" s="5" t="s">
        <v>582</v>
      </c>
      <c r="B235" s="5">
        <v>9.999888671E9</v>
      </c>
      <c r="C235" s="5" t="s">
        <v>583</v>
      </c>
      <c r="D235" s="5" t="s">
        <v>584</v>
      </c>
      <c r="F235" s="5" t="s">
        <v>303</v>
      </c>
    </row>
    <row r="236">
      <c r="A236" s="5" t="s">
        <v>588</v>
      </c>
      <c r="B236" s="5">
        <v>9.811228697E9</v>
      </c>
      <c r="D236" s="5" t="s">
        <v>21</v>
      </c>
      <c r="F236" s="5" t="s">
        <v>303</v>
      </c>
    </row>
    <row r="237">
      <c r="A237" s="35" t="s">
        <v>590</v>
      </c>
      <c r="B237" s="35">
        <v>9.891815228E9</v>
      </c>
      <c r="C237" s="36"/>
      <c r="D237" s="35" t="s">
        <v>15</v>
      </c>
      <c r="F237" s="5" t="s">
        <v>303</v>
      </c>
    </row>
    <row r="238">
      <c r="A238" s="5" t="s">
        <v>592</v>
      </c>
      <c r="B238" s="5">
        <v>9.999205324E9</v>
      </c>
      <c r="C238" s="5" t="s">
        <v>593</v>
      </c>
      <c r="D238" s="5" t="s">
        <v>594</v>
      </c>
      <c r="F238" s="5" t="s">
        <v>303</v>
      </c>
    </row>
    <row r="239">
      <c r="A239" s="5" t="s">
        <v>595</v>
      </c>
      <c r="B239" s="5">
        <v>9.868593561E9</v>
      </c>
      <c r="D239" s="5" t="s">
        <v>273</v>
      </c>
      <c r="F239" s="5" t="s">
        <v>303</v>
      </c>
    </row>
    <row r="240">
      <c r="A240" s="5" t="s">
        <v>596</v>
      </c>
      <c r="B240" s="5">
        <v>9.310507886E9</v>
      </c>
      <c r="C240" s="5" t="s">
        <v>597</v>
      </c>
      <c r="F240" s="5" t="s">
        <v>303</v>
      </c>
    </row>
    <row r="241">
      <c r="A241" s="5" t="s">
        <v>598</v>
      </c>
      <c r="B241" s="5">
        <v>9.354521341E9</v>
      </c>
      <c r="D241" s="5" t="s">
        <v>599</v>
      </c>
      <c r="F241" s="5" t="s">
        <v>303</v>
      </c>
    </row>
    <row r="242">
      <c r="A242" s="5" t="s">
        <v>601</v>
      </c>
      <c r="B242" s="5">
        <v>8.447750845E9</v>
      </c>
      <c r="D242" s="5" t="s">
        <v>602</v>
      </c>
      <c r="F242" s="5" t="s">
        <v>303</v>
      </c>
    </row>
    <row r="243">
      <c r="A243" s="5" t="s">
        <v>603</v>
      </c>
      <c r="B243" s="5">
        <v>8.447750849E9</v>
      </c>
      <c r="F243" s="5" t="s">
        <v>303</v>
      </c>
    </row>
    <row r="244">
      <c r="A244" s="5" t="s">
        <v>390</v>
      </c>
      <c r="B244" s="5">
        <v>9.540658998E9</v>
      </c>
      <c r="F244" s="5" t="s">
        <v>303</v>
      </c>
    </row>
    <row r="245">
      <c r="A245" s="5" t="s">
        <v>604</v>
      </c>
      <c r="B245" s="5">
        <v>9.711128103E9</v>
      </c>
      <c r="D245" s="5" t="s">
        <v>605</v>
      </c>
      <c r="F245" s="5" t="s">
        <v>303</v>
      </c>
    </row>
    <row r="246">
      <c r="A246" s="5" t="s">
        <v>607</v>
      </c>
      <c r="B246" s="5">
        <v>9.81816743E9</v>
      </c>
      <c r="D246" s="5" t="s">
        <v>608</v>
      </c>
      <c r="F246" s="5" t="s">
        <v>303</v>
      </c>
    </row>
    <row r="247">
      <c r="A247" s="5" t="s">
        <v>610</v>
      </c>
      <c r="B247" s="5">
        <v>7.50343398E9</v>
      </c>
      <c r="F247" s="5" t="s">
        <v>303</v>
      </c>
    </row>
    <row r="248">
      <c r="A248" s="5" t="s">
        <v>611</v>
      </c>
      <c r="B248" s="5">
        <v>8.860607579E9</v>
      </c>
      <c r="D248" s="5" t="s">
        <v>21</v>
      </c>
      <c r="F248" s="5" t="s">
        <v>303</v>
      </c>
    </row>
    <row r="249">
      <c r="A249" s="5" t="s">
        <v>613</v>
      </c>
      <c r="B249" s="5">
        <v>8.285298978E9</v>
      </c>
      <c r="F249" s="5" t="s">
        <v>303</v>
      </c>
    </row>
    <row r="250">
      <c r="A250" s="5" t="s">
        <v>615</v>
      </c>
      <c r="B250" s="5">
        <v>8.882486802E9</v>
      </c>
      <c r="D250" s="5" t="s">
        <v>599</v>
      </c>
      <c r="F250" s="5" t="s">
        <v>303</v>
      </c>
    </row>
    <row r="251">
      <c r="A251" s="5" t="s">
        <v>371</v>
      </c>
      <c r="B251" s="5">
        <v>7.838454508E9</v>
      </c>
      <c r="D251" s="5" t="s">
        <v>608</v>
      </c>
      <c r="F251" s="5" t="s">
        <v>303</v>
      </c>
    </row>
    <row r="252">
      <c r="A252" s="5" t="s">
        <v>617</v>
      </c>
      <c r="B252" s="5">
        <v>7.015517269E9</v>
      </c>
      <c r="D252" s="5" t="s">
        <v>79</v>
      </c>
      <c r="F252" s="5" t="s">
        <v>303</v>
      </c>
    </row>
    <row r="253">
      <c r="A253" s="5" t="s">
        <v>618</v>
      </c>
      <c r="B253" s="5">
        <v>9.81832918E9</v>
      </c>
      <c r="F253" s="5" t="s">
        <v>303</v>
      </c>
    </row>
    <row r="254">
      <c r="A254" s="5" t="s">
        <v>619</v>
      </c>
      <c r="B254" s="5">
        <v>9.899187501E9</v>
      </c>
      <c r="D254" s="5" t="s">
        <v>620</v>
      </c>
      <c r="F254" s="5" t="s">
        <v>303</v>
      </c>
    </row>
    <row r="255">
      <c r="A255" s="5" t="s">
        <v>622</v>
      </c>
      <c r="B255" s="5">
        <v>9.728500002E9</v>
      </c>
      <c r="D255" s="5" t="s">
        <v>378</v>
      </c>
      <c r="F255" s="5" t="s">
        <v>303</v>
      </c>
    </row>
    <row r="256">
      <c r="A256" s="5" t="s">
        <v>623</v>
      </c>
      <c r="B256" s="5">
        <v>9.990090212E9</v>
      </c>
      <c r="D256" s="5" t="s">
        <v>15</v>
      </c>
      <c r="F256" s="5" t="s">
        <v>303</v>
      </c>
    </row>
    <row r="257">
      <c r="A257" s="5" t="s">
        <v>624</v>
      </c>
      <c r="B257" s="5">
        <v>9.999355536E9</v>
      </c>
      <c r="D257" s="5" t="s">
        <v>15</v>
      </c>
      <c r="F257" s="5" t="s">
        <v>303</v>
      </c>
    </row>
    <row r="258">
      <c r="A258" s="5" t="s">
        <v>625</v>
      </c>
      <c r="B258" s="5">
        <v>9.643593168E9</v>
      </c>
      <c r="D258" s="5" t="s">
        <v>626</v>
      </c>
      <c r="F258" s="5" t="s">
        <v>303</v>
      </c>
    </row>
    <row r="259">
      <c r="A259" s="5" t="s">
        <v>627</v>
      </c>
      <c r="B259" s="5">
        <v>9.357777547E9</v>
      </c>
      <c r="D259" s="5" t="s">
        <v>21</v>
      </c>
      <c r="F259" s="5" t="s">
        <v>303</v>
      </c>
    </row>
    <row r="260">
      <c r="A260" s="5" t="s">
        <v>628</v>
      </c>
      <c r="B260" s="5">
        <v>8.558932188E9</v>
      </c>
      <c r="C260" s="5" t="s">
        <v>629</v>
      </c>
      <c r="D260" s="5" t="s">
        <v>114</v>
      </c>
      <c r="F260" s="5" t="s">
        <v>303</v>
      </c>
    </row>
    <row r="261">
      <c r="A261" s="5" t="s">
        <v>628</v>
      </c>
      <c r="B261" s="5">
        <v>8.558932188E9</v>
      </c>
      <c r="D261" s="5" t="s">
        <v>15</v>
      </c>
      <c r="F261" s="5" t="s">
        <v>303</v>
      </c>
    </row>
    <row r="262">
      <c r="A262" s="5" t="s">
        <v>630</v>
      </c>
      <c r="B262" s="5">
        <v>9.717633424E9</v>
      </c>
      <c r="F262" s="5" t="s">
        <v>303</v>
      </c>
    </row>
    <row r="263">
      <c r="A263" s="5" t="s">
        <v>204</v>
      </c>
      <c r="B263" s="5">
        <v>9.899195175E9</v>
      </c>
      <c r="F263" s="5" t="s">
        <v>303</v>
      </c>
    </row>
    <row r="264">
      <c r="A264" s="5" t="s">
        <v>631</v>
      </c>
      <c r="B264" s="5">
        <v>9.958598121E9</v>
      </c>
      <c r="F264" s="5" t="s">
        <v>303</v>
      </c>
    </row>
    <row r="265">
      <c r="A265" s="5" t="s">
        <v>632</v>
      </c>
      <c r="B265" s="5">
        <v>7.982053421E9</v>
      </c>
      <c r="F265" s="5" t="s">
        <v>303</v>
      </c>
    </row>
    <row r="266">
      <c r="A266" s="5" t="s">
        <v>633</v>
      </c>
      <c r="B266" s="5">
        <v>8.860441442E9</v>
      </c>
      <c r="C266" s="5" t="s">
        <v>634</v>
      </c>
      <c r="D266" s="5" t="s">
        <v>635</v>
      </c>
      <c r="F266" s="5" t="s">
        <v>303</v>
      </c>
    </row>
    <row r="267">
      <c r="A267" s="5" t="s">
        <v>636</v>
      </c>
      <c r="B267" s="5">
        <v>7.98290861E9</v>
      </c>
      <c r="D267" s="5" t="s">
        <v>637</v>
      </c>
      <c r="F267" s="5" t="s">
        <v>303</v>
      </c>
    </row>
    <row r="268">
      <c r="A268" s="37" t="s">
        <v>470</v>
      </c>
      <c r="B268" s="37">
        <v>9.810500352E9</v>
      </c>
      <c r="C268" s="38"/>
      <c r="D268" s="37" t="s">
        <v>638</v>
      </c>
      <c r="E268" s="38"/>
      <c r="F268" s="37" t="s">
        <v>303</v>
      </c>
    </row>
    <row r="269">
      <c r="A269" s="5" t="s">
        <v>639</v>
      </c>
      <c r="B269" s="5">
        <v>9.810455005E9</v>
      </c>
      <c r="D269" s="5" t="s">
        <v>71</v>
      </c>
      <c r="F269" s="5" t="s">
        <v>303</v>
      </c>
    </row>
    <row r="270">
      <c r="A270" s="5" t="s">
        <v>640</v>
      </c>
      <c r="B270" s="5">
        <v>9.911021076E9</v>
      </c>
      <c r="D270" s="5" t="s">
        <v>641</v>
      </c>
      <c r="F270" s="5" t="s">
        <v>303</v>
      </c>
    </row>
    <row r="271">
      <c r="A271" s="5" t="s">
        <v>642</v>
      </c>
      <c r="B271" s="5">
        <v>9.212189755E9</v>
      </c>
      <c r="D271" s="5" t="s">
        <v>79</v>
      </c>
      <c r="F271" s="5" t="s">
        <v>303</v>
      </c>
    </row>
    <row r="272">
      <c r="A272" s="5" t="s">
        <v>643</v>
      </c>
      <c r="B272" s="5">
        <v>9.967587582E9</v>
      </c>
      <c r="F272" s="5" t="s">
        <v>303</v>
      </c>
    </row>
    <row r="273">
      <c r="A273" s="5" t="s">
        <v>644</v>
      </c>
      <c r="B273" s="5">
        <v>9.821717097E9</v>
      </c>
      <c r="C273" s="5" t="s">
        <v>645</v>
      </c>
      <c r="D273" s="5" t="s">
        <v>71</v>
      </c>
      <c r="F273" s="5" t="s">
        <v>303</v>
      </c>
    </row>
    <row r="274">
      <c r="A274" s="5" t="s">
        <v>646</v>
      </c>
      <c r="B274" s="5">
        <v>8.233131816E9</v>
      </c>
      <c r="F274" s="5" t="s">
        <v>303</v>
      </c>
    </row>
    <row r="275">
      <c r="A275" s="5" t="s">
        <v>649</v>
      </c>
      <c r="B275" s="5">
        <v>9.899193221E9</v>
      </c>
      <c r="F275" s="5" t="s">
        <v>303</v>
      </c>
    </row>
    <row r="276">
      <c r="A276" s="5" t="s">
        <v>650</v>
      </c>
      <c r="B276" s="5">
        <v>9.31525881E9</v>
      </c>
      <c r="F276" s="5" t="s">
        <v>303</v>
      </c>
    </row>
    <row r="277">
      <c r="A277" s="5" t="s">
        <v>651</v>
      </c>
      <c r="B277" s="5">
        <v>9.671932719E9</v>
      </c>
      <c r="F277" s="5" t="s">
        <v>303</v>
      </c>
    </row>
    <row r="278">
      <c r="A278" s="5" t="s">
        <v>655</v>
      </c>
      <c r="B278" s="5">
        <v>9.81188726E9</v>
      </c>
      <c r="F278" s="5" t="s">
        <v>303</v>
      </c>
    </row>
    <row r="279">
      <c r="A279" s="5" t="s">
        <v>656</v>
      </c>
      <c r="B279" s="5">
        <v>9.911883588E9</v>
      </c>
      <c r="F279" s="5" t="s">
        <v>303</v>
      </c>
    </row>
    <row r="280">
      <c r="A280" s="5" t="s">
        <v>657</v>
      </c>
      <c r="B280" s="5">
        <v>7.527053735E9</v>
      </c>
      <c r="F280" s="5" t="s">
        <v>303</v>
      </c>
    </row>
    <row r="281">
      <c r="A281" s="5" t="s">
        <v>658</v>
      </c>
      <c r="B281" s="5">
        <v>7.04242042E9</v>
      </c>
      <c r="F281" s="5" t="s">
        <v>303</v>
      </c>
    </row>
    <row r="282">
      <c r="A282" s="39" t="s">
        <v>659</v>
      </c>
      <c r="B282" s="40">
        <v>9.817433373E9</v>
      </c>
      <c r="C282" s="41"/>
      <c r="D282" s="42"/>
      <c r="F282" s="5" t="s">
        <v>303</v>
      </c>
    </row>
    <row r="283">
      <c r="A283" s="5" t="s">
        <v>660</v>
      </c>
      <c r="B283" s="5">
        <v>8.368214545E9</v>
      </c>
      <c r="F283" s="5" t="s">
        <v>303</v>
      </c>
    </row>
    <row r="284">
      <c r="A284" s="5" t="s">
        <v>661</v>
      </c>
      <c r="B284" s="5">
        <v>9.6530181E9</v>
      </c>
      <c r="D284" s="5" t="s">
        <v>662</v>
      </c>
      <c r="F284" s="5" t="s">
        <v>303</v>
      </c>
    </row>
    <row r="285">
      <c r="A285" s="5" t="s">
        <v>663</v>
      </c>
      <c r="B285" s="5">
        <v>9.971712516E9</v>
      </c>
      <c r="F285" s="5" t="s">
        <v>303</v>
      </c>
    </row>
    <row r="286">
      <c r="A286" s="5" t="s">
        <v>664</v>
      </c>
      <c r="B286" s="5">
        <v>7.290997505E9</v>
      </c>
      <c r="C286" s="5" t="s">
        <v>665</v>
      </c>
      <c r="D286" s="5" t="s">
        <v>15</v>
      </c>
      <c r="F286" s="5" t="s">
        <v>303</v>
      </c>
    </row>
    <row r="287">
      <c r="A287" s="5" t="s">
        <v>666</v>
      </c>
      <c r="B287" s="5">
        <v>7.982978397E9</v>
      </c>
      <c r="C287" s="5" t="s">
        <v>667</v>
      </c>
      <c r="D287" s="5" t="s">
        <v>599</v>
      </c>
      <c r="F287" s="5" t="s">
        <v>303</v>
      </c>
    </row>
    <row r="288">
      <c r="A288" s="5" t="s">
        <v>668</v>
      </c>
      <c r="B288" s="5">
        <v>9.870521545E9</v>
      </c>
      <c r="F288" s="5" t="s">
        <v>303</v>
      </c>
    </row>
    <row r="289">
      <c r="A289" s="5" t="s">
        <v>539</v>
      </c>
      <c r="B289" s="5">
        <v>8.58687987E9</v>
      </c>
      <c r="D289" s="5" t="s">
        <v>599</v>
      </c>
      <c r="F289" s="5" t="s">
        <v>303</v>
      </c>
    </row>
    <row r="290">
      <c r="A290" s="5" t="s">
        <v>669</v>
      </c>
      <c r="B290" s="5">
        <v>8.901388384E9</v>
      </c>
      <c r="F290" s="5" t="s">
        <v>303</v>
      </c>
    </row>
    <row r="291">
      <c r="A291" s="5" t="s">
        <v>670</v>
      </c>
      <c r="B291" s="5">
        <v>8.800787853E9</v>
      </c>
      <c r="F291" s="5" t="s">
        <v>303</v>
      </c>
    </row>
    <row r="292">
      <c r="A292" s="5" t="s">
        <v>671</v>
      </c>
      <c r="B292" s="5">
        <v>9.692897928E9</v>
      </c>
      <c r="F292" s="5" t="s">
        <v>303</v>
      </c>
    </row>
    <row r="293">
      <c r="A293" s="5" t="s">
        <v>673</v>
      </c>
      <c r="B293" s="5">
        <v>9.910310221E9</v>
      </c>
      <c r="D293" s="5" t="s">
        <v>599</v>
      </c>
      <c r="F293" s="5" t="s">
        <v>303</v>
      </c>
    </row>
    <row r="294">
      <c r="A294" s="5" t="s">
        <v>676</v>
      </c>
      <c r="B294" s="5">
        <v>9.57204501E9</v>
      </c>
      <c r="D294" s="5" t="s">
        <v>599</v>
      </c>
      <c r="F294" s="5" t="s">
        <v>303</v>
      </c>
    </row>
    <row r="295">
      <c r="A295" s="5" t="s">
        <v>679</v>
      </c>
      <c r="B295" s="5">
        <v>9.64395943E9</v>
      </c>
      <c r="C295" s="5" t="s">
        <v>680</v>
      </c>
      <c r="D295" s="5" t="s">
        <v>681</v>
      </c>
      <c r="F295" s="5" t="s">
        <v>303</v>
      </c>
    </row>
    <row r="296">
      <c r="A296" s="5" t="s">
        <v>169</v>
      </c>
      <c r="B296" s="5">
        <v>8.802571074E9</v>
      </c>
      <c r="F296" s="5" t="s">
        <v>303</v>
      </c>
    </row>
    <row r="297">
      <c r="A297" s="5" t="s">
        <v>699</v>
      </c>
      <c r="B297" s="5">
        <v>9.555311183E9</v>
      </c>
      <c r="F297" s="5" t="s">
        <v>303</v>
      </c>
    </row>
    <row r="298">
      <c r="A298" s="5" t="s">
        <v>700</v>
      </c>
      <c r="B298" s="5">
        <v>7.83836025E9</v>
      </c>
      <c r="F298" s="5" t="s">
        <v>303</v>
      </c>
    </row>
    <row r="299">
      <c r="A299" s="5" t="s">
        <v>702</v>
      </c>
      <c r="B299" s="5">
        <v>7.72889472E9</v>
      </c>
      <c r="F299" s="5" t="s">
        <v>303</v>
      </c>
    </row>
    <row r="300">
      <c r="A300" s="5" t="s">
        <v>703</v>
      </c>
      <c r="B300" s="5">
        <v>8.826269262E9</v>
      </c>
      <c r="C300" s="5" t="s">
        <v>704</v>
      </c>
      <c r="D300" s="5" t="s">
        <v>705</v>
      </c>
      <c r="F300" s="5" t="s">
        <v>303</v>
      </c>
    </row>
    <row r="301">
      <c r="A301" s="5" t="s">
        <v>707</v>
      </c>
      <c r="B301" s="5">
        <v>7.428676767E9</v>
      </c>
      <c r="F301" s="5" t="s">
        <v>303</v>
      </c>
    </row>
    <row r="302">
      <c r="A302" s="5" t="s">
        <v>708</v>
      </c>
      <c r="B302" s="5">
        <v>8.37699338E9</v>
      </c>
      <c r="D302" s="5" t="s">
        <v>79</v>
      </c>
      <c r="F302" s="5" t="s">
        <v>303</v>
      </c>
    </row>
    <row r="303">
      <c r="A303" s="5" t="s">
        <v>709</v>
      </c>
      <c r="B303" s="5">
        <v>9.729600811E9</v>
      </c>
      <c r="D303" s="5" t="s">
        <v>71</v>
      </c>
      <c r="F303" s="5" t="s">
        <v>303</v>
      </c>
    </row>
    <row r="304">
      <c r="A304" s="5" t="s">
        <v>710</v>
      </c>
      <c r="B304" s="5">
        <v>9.255555983E9</v>
      </c>
      <c r="F304" s="5" t="s">
        <v>303</v>
      </c>
    </row>
    <row r="305">
      <c r="A305" s="5" t="s">
        <v>649</v>
      </c>
      <c r="B305" s="5">
        <v>7.678427428E9</v>
      </c>
      <c r="F305" s="5" t="s">
        <v>303</v>
      </c>
    </row>
    <row r="306">
      <c r="A306" s="5" t="s">
        <v>711</v>
      </c>
      <c r="B306" s="5">
        <v>9.999456491E9</v>
      </c>
      <c r="C306" s="5" t="s">
        <v>712</v>
      </c>
      <c r="F306" s="5" t="s">
        <v>303</v>
      </c>
    </row>
    <row r="307">
      <c r="A307" s="5" t="s">
        <v>713</v>
      </c>
      <c r="B307" s="5">
        <v>9.871041701E9</v>
      </c>
      <c r="C307" s="5" t="s">
        <v>714</v>
      </c>
      <c r="F307" s="5" t="s">
        <v>303</v>
      </c>
    </row>
    <row r="308">
      <c r="A308" s="5" t="s">
        <v>715</v>
      </c>
      <c r="B308" s="5">
        <v>9.510980962E9</v>
      </c>
      <c r="F308" s="5" t="s">
        <v>303</v>
      </c>
    </row>
    <row r="309">
      <c r="A309" s="5" t="s">
        <v>717</v>
      </c>
      <c r="B309" s="5">
        <v>9.729999195E9</v>
      </c>
      <c r="D309" s="5" t="s">
        <v>718</v>
      </c>
      <c r="F309" s="5" t="s">
        <v>303</v>
      </c>
    </row>
    <row r="310">
      <c r="A310" s="5" t="s">
        <v>720</v>
      </c>
      <c r="B310" s="5">
        <v>9.43196959E9</v>
      </c>
      <c r="D310" s="5" t="s">
        <v>721</v>
      </c>
      <c r="F310" s="5" t="s">
        <v>303</v>
      </c>
    </row>
    <row r="311">
      <c r="A311" s="5" t="s">
        <v>724</v>
      </c>
      <c r="B311" s="5">
        <v>7.983758686E9</v>
      </c>
      <c r="D311" s="5" t="s">
        <v>725</v>
      </c>
      <c r="F311" s="5" t="s">
        <v>303</v>
      </c>
    </row>
    <row r="312">
      <c r="A312" s="5" t="s">
        <v>726</v>
      </c>
      <c r="B312" s="5">
        <v>7.503600259E9</v>
      </c>
      <c r="D312" s="5" t="s">
        <v>79</v>
      </c>
      <c r="F312" s="5" t="s">
        <v>303</v>
      </c>
    </row>
    <row r="313">
      <c r="A313" s="13" t="s">
        <v>727</v>
      </c>
      <c r="B313" s="13">
        <v>9.667713321E9</v>
      </c>
      <c r="C313" s="19"/>
      <c r="D313" s="19"/>
      <c r="E313" s="19"/>
      <c r="F313" s="13" t="s">
        <v>303</v>
      </c>
      <c r="G313" s="19"/>
    </row>
    <row r="314">
      <c r="A314" s="5" t="s">
        <v>414</v>
      </c>
      <c r="B314" s="5">
        <v>9.310108131E9</v>
      </c>
      <c r="D314" s="5" t="s">
        <v>728</v>
      </c>
      <c r="F314" s="5" t="s">
        <v>303</v>
      </c>
    </row>
    <row r="315">
      <c r="A315" s="5" t="s">
        <v>729</v>
      </c>
      <c r="B315" s="5">
        <v>8.447697639E9</v>
      </c>
      <c r="C315" s="5" t="s">
        <v>730</v>
      </c>
      <c r="D315" s="5" t="s">
        <v>79</v>
      </c>
      <c r="F315" s="5" t="s">
        <v>303</v>
      </c>
    </row>
    <row r="316">
      <c r="A316" s="5" t="s">
        <v>731</v>
      </c>
      <c r="B316" s="5">
        <v>8.447697639E9</v>
      </c>
      <c r="C316" s="5" t="s">
        <v>732</v>
      </c>
      <c r="F316" s="5" t="s">
        <v>303</v>
      </c>
    </row>
    <row r="317">
      <c r="A317" s="5" t="s">
        <v>733</v>
      </c>
      <c r="B317" s="5">
        <v>9.910000632E9</v>
      </c>
      <c r="C317" s="5" t="s">
        <v>734</v>
      </c>
      <c r="F317" s="5" t="s">
        <v>303</v>
      </c>
    </row>
    <row r="318">
      <c r="A318" s="5" t="s">
        <v>740</v>
      </c>
      <c r="B318" s="5">
        <v>8.802343445E9</v>
      </c>
      <c r="F318" s="5" t="s">
        <v>303</v>
      </c>
    </row>
    <row r="319">
      <c r="A319" s="5" t="s">
        <v>745</v>
      </c>
      <c r="B319" s="5">
        <v>9.897628823E9</v>
      </c>
      <c r="D319" s="5" t="s">
        <v>79</v>
      </c>
      <c r="F319" s="5" t="s">
        <v>303</v>
      </c>
    </row>
    <row r="320">
      <c r="A320" s="5" t="s">
        <v>746</v>
      </c>
      <c r="B320" s="5">
        <v>9.560818599E9</v>
      </c>
      <c r="F320" s="5" t="s">
        <v>303</v>
      </c>
    </row>
    <row r="321">
      <c r="A321" s="5" t="s">
        <v>747</v>
      </c>
      <c r="B321" s="5">
        <v>9.810850496E9</v>
      </c>
      <c r="D321" s="5" t="s">
        <v>748</v>
      </c>
      <c r="F321" s="5" t="s">
        <v>303</v>
      </c>
    </row>
    <row r="322">
      <c r="A322" s="5" t="s">
        <v>749</v>
      </c>
      <c r="B322" s="5">
        <v>9.899807013E9</v>
      </c>
      <c r="D322" s="5" t="s">
        <v>51</v>
      </c>
      <c r="F322" s="5" t="s">
        <v>303</v>
      </c>
    </row>
    <row r="323">
      <c r="A323" s="5" t="s">
        <v>750</v>
      </c>
      <c r="B323" s="5">
        <v>9.873078134E9</v>
      </c>
      <c r="D323" s="5" t="s">
        <v>79</v>
      </c>
      <c r="F323" s="5" t="s">
        <v>303</v>
      </c>
    </row>
    <row r="324">
      <c r="A324" s="5" t="s">
        <v>751</v>
      </c>
      <c r="B324" s="5">
        <v>9.821538053E9</v>
      </c>
      <c r="D324" s="5" t="s">
        <v>79</v>
      </c>
      <c r="F324" s="5" t="s">
        <v>303</v>
      </c>
    </row>
    <row r="325">
      <c r="A325" s="5" t="s">
        <v>752</v>
      </c>
      <c r="B325" s="5">
        <v>9.99794739E9</v>
      </c>
      <c r="F325" s="5" t="s">
        <v>303</v>
      </c>
    </row>
    <row r="326">
      <c r="A326" s="5" t="s">
        <v>753</v>
      </c>
      <c r="B326" s="5">
        <v>9.358011988E9</v>
      </c>
      <c r="D326" s="5" t="s">
        <v>21</v>
      </c>
      <c r="E326" s="7" t="s">
        <v>754</v>
      </c>
      <c r="F326" s="5" t="s">
        <v>303</v>
      </c>
    </row>
    <row r="327">
      <c r="A327" s="5" t="s">
        <v>755</v>
      </c>
      <c r="B327" s="5">
        <v>9.810850496E9</v>
      </c>
      <c r="F327" s="5" t="s">
        <v>303</v>
      </c>
    </row>
    <row r="328">
      <c r="A328" s="5" t="s">
        <v>756</v>
      </c>
      <c r="B328" s="5">
        <v>9.310055032E9</v>
      </c>
      <c r="C328" s="5" t="s">
        <v>757</v>
      </c>
      <c r="F328" s="5" t="s">
        <v>303</v>
      </c>
    </row>
    <row r="329">
      <c r="A329" s="5" t="s">
        <v>758</v>
      </c>
      <c r="B329" s="5">
        <v>9.8680933E9</v>
      </c>
      <c r="D329" s="5" t="s">
        <v>759</v>
      </c>
      <c r="F329" s="5" t="s">
        <v>303</v>
      </c>
    </row>
    <row r="330">
      <c r="A330" s="5" t="s">
        <v>760</v>
      </c>
      <c r="B330" s="5">
        <v>9.105564802E9</v>
      </c>
      <c r="C330" s="5" t="s">
        <v>761</v>
      </c>
      <c r="F330" s="5" t="s">
        <v>303</v>
      </c>
    </row>
    <row r="331">
      <c r="A331" s="5" t="s">
        <v>762</v>
      </c>
      <c r="B331" s="5">
        <v>9.89758288E9</v>
      </c>
      <c r="F331" s="5" t="s">
        <v>303</v>
      </c>
    </row>
    <row r="332">
      <c r="A332" s="5" t="s">
        <v>763</v>
      </c>
      <c r="B332" s="5">
        <v>9.990729019E9</v>
      </c>
      <c r="D332" s="5" t="s">
        <v>764</v>
      </c>
      <c r="F332" s="5" t="s">
        <v>303</v>
      </c>
    </row>
    <row r="333">
      <c r="A333" s="13" t="s">
        <v>765</v>
      </c>
      <c r="B333" s="13">
        <v>9.971139277E9</v>
      </c>
      <c r="C333" s="13" t="s">
        <v>766</v>
      </c>
      <c r="D333" s="19"/>
      <c r="E333" s="19"/>
      <c r="F333" s="13" t="s">
        <v>303</v>
      </c>
    </row>
    <row r="334">
      <c r="A334" s="5" t="s">
        <v>767</v>
      </c>
      <c r="B334" s="5">
        <v>9.968278496E9</v>
      </c>
      <c r="F334" s="5" t="s">
        <v>303</v>
      </c>
    </row>
    <row r="335">
      <c r="A335" s="5" t="s">
        <v>768</v>
      </c>
      <c r="B335" s="5">
        <v>9.015292013E9</v>
      </c>
      <c r="D335" s="5" t="s">
        <v>769</v>
      </c>
      <c r="F335" s="5" t="s">
        <v>303</v>
      </c>
    </row>
    <row r="336">
      <c r="A336" s="5" t="s">
        <v>770</v>
      </c>
      <c r="B336" s="5">
        <v>9.315574697E9</v>
      </c>
      <c r="F336" s="5" t="s">
        <v>303</v>
      </c>
    </row>
    <row r="337">
      <c r="A337" s="5" t="s">
        <v>771</v>
      </c>
      <c r="B337" s="5">
        <v>9.810702912E9</v>
      </c>
      <c r="F337" s="5" t="s">
        <v>303</v>
      </c>
    </row>
    <row r="338">
      <c r="A338" s="5" t="s">
        <v>772</v>
      </c>
      <c r="B338" s="5">
        <v>9.86863402E9</v>
      </c>
      <c r="F338" s="5" t="s">
        <v>303</v>
      </c>
    </row>
    <row r="339">
      <c r="A339" s="5" t="s">
        <v>291</v>
      </c>
      <c r="B339" s="5">
        <v>9.953202106E9</v>
      </c>
      <c r="C339" s="5" t="s">
        <v>773</v>
      </c>
      <c r="F339" s="5" t="s">
        <v>303</v>
      </c>
    </row>
    <row r="340">
      <c r="A340" s="5" t="s">
        <v>774</v>
      </c>
      <c r="B340" s="5">
        <v>9.711004903E9</v>
      </c>
      <c r="F340" s="5" t="s">
        <v>303</v>
      </c>
    </row>
    <row r="341">
      <c r="A341" s="5" t="s">
        <v>775</v>
      </c>
      <c r="B341" s="5">
        <v>9.540325879E9</v>
      </c>
      <c r="D341" s="5" t="s">
        <v>79</v>
      </c>
      <c r="F341" s="5" t="s">
        <v>303</v>
      </c>
    </row>
    <row r="342">
      <c r="A342" s="5" t="s">
        <v>776</v>
      </c>
      <c r="B342" s="5">
        <v>9.868429229E9</v>
      </c>
      <c r="F342" s="5" t="s">
        <v>303</v>
      </c>
    </row>
    <row r="343">
      <c r="A343" s="5" t="s">
        <v>777</v>
      </c>
      <c r="B343" s="5">
        <v>8.527283567E9</v>
      </c>
      <c r="C343" s="5" t="s">
        <v>778</v>
      </c>
      <c r="F343" s="5" t="s">
        <v>303</v>
      </c>
    </row>
    <row r="344">
      <c r="A344" s="5" t="s">
        <v>516</v>
      </c>
      <c r="B344" s="5">
        <v>9.650766897E9</v>
      </c>
      <c r="C344" s="5" t="s">
        <v>779</v>
      </c>
      <c r="F344" s="5" t="s">
        <v>303</v>
      </c>
    </row>
    <row r="345">
      <c r="A345" s="5" t="s">
        <v>780</v>
      </c>
      <c r="B345" s="5">
        <v>7.835992121E9</v>
      </c>
      <c r="C345" s="5" t="s">
        <v>781</v>
      </c>
      <c r="F345" s="5" t="s">
        <v>303</v>
      </c>
    </row>
    <row r="346">
      <c r="A346" s="5" t="s">
        <v>782</v>
      </c>
      <c r="B346" s="5">
        <v>8.587975931E9</v>
      </c>
      <c r="F346" s="5" t="s">
        <v>303</v>
      </c>
    </row>
    <row r="347">
      <c r="A347" s="5" t="s">
        <v>783</v>
      </c>
      <c r="B347" s="5">
        <v>9.911189092E9</v>
      </c>
      <c r="F347" s="5" t="s">
        <v>303</v>
      </c>
    </row>
    <row r="348">
      <c r="A348" s="5" t="s">
        <v>784</v>
      </c>
      <c r="B348" s="5">
        <v>9.819808647E9</v>
      </c>
      <c r="C348" s="5" t="s">
        <v>785</v>
      </c>
      <c r="D348" s="5" t="s">
        <v>786</v>
      </c>
      <c r="E348" s="7" t="s">
        <v>787</v>
      </c>
      <c r="F348" s="5" t="s">
        <v>303</v>
      </c>
    </row>
    <row r="349">
      <c r="A349" s="5" t="s">
        <v>788</v>
      </c>
      <c r="B349" s="5">
        <v>9.289846101E9</v>
      </c>
      <c r="D349" s="5" t="s">
        <v>79</v>
      </c>
      <c r="F349" s="5" t="s">
        <v>303</v>
      </c>
    </row>
    <row r="350">
      <c r="A350" s="5" t="s">
        <v>789</v>
      </c>
      <c r="B350" s="5">
        <v>7.838134901E9</v>
      </c>
      <c r="F350" s="5" t="s">
        <v>303</v>
      </c>
    </row>
    <row r="351">
      <c r="A351" s="5" t="s">
        <v>790</v>
      </c>
      <c r="B351" s="5">
        <v>7.011511636E9</v>
      </c>
      <c r="F351" s="5" t="s">
        <v>303</v>
      </c>
    </row>
    <row r="352">
      <c r="A352" s="5" t="s">
        <v>791</v>
      </c>
      <c r="B352" s="5">
        <v>8.05393043E9</v>
      </c>
      <c r="F352" s="5" t="s">
        <v>303</v>
      </c>
    </row>
    <row r="353">
      <c r="A353" s="13" t="s">
        <v>792</v>
      </c>
      <c r="B353" s="13">
        <v>8.813882129E9</v>
      </c>
      <c r="C353" s="19"/>
      <c r="D353" s="13" t="s">
        <v>793</v>
      </c>
      <c r="E353" s="19"/>
      <c r="F353" s="5" t="s">
        <v>303</v>
      </c>
    </row>
    <row r="354">
      <c r="A354" s="5" t="s">
        <v>794</v>
      </c>
      <c r="B354" s="5">
        <v>9.8710642E9</v>
      </c>
      <c r="D354" s="5" t="s">
        <v>795</v>
      </c>
      <c r="F354" s="5" t="s">
        <v>303</v>
      </c>
    </row>
    <row r="355">
      <c r="A355" s="5" t="s">
        <v>796</v>
      </c>
      <c r="B355" s="5">
        <v>9.650243333E9</v>
      </c>
      <c r="C355" s="5" t="s">
        <v>797</v>
      </c>
      <c r="F355" s="5" t="s">
        <v>303</v>
      </c>
    </row>
    <row r="356">
      <c r="A356" s="5" t="s">
        <v>798</v>
      </c>
      <c r="B356" s="5">
        <v>9.667993383E9</v>
      </c>
      <c r="C356" s="5" t="s">
        <v>799</v>
      </c>
      <c r="F356" s="5" t="s">
        <v>303</v>
      </c>
    </row>
    <row r="357">
      <c r="A357" s="5" t="s">
        <v>371</v>
      </c>
      <c r="B357" s="5">
        <v>8.764035354E9</v>
      </c>
      <c r="F357" s="5" t="s">
        <v>303</v>
      </c>
    </row>
    <row r="358">
      <c r="A358" s="5" t="s">
        <v>800</v>
      </c>
      <c r="B358" s="5">
        <v>9.818926496E9</v>
      </c>
      <c r="C358" s="5" t="s">
        <v>801</v>
      </c>
      <c r="F358" s="5" t="s">
        <v>303</v>
      </c>
    </row>
    <row r="359">
      <c r="A359" s="5" t="s">
        <v>802</v>
      </c>
      <c r="B359" s="5">
        <v>9.810490279E9</v>
      </c>
      <c r="C359" s="5" t="s">
        <v>803</v>
      </c>
      <c r="F359" s="5" t="s">
        <v>303</v>
      </c>
    </row>
    <row r="360">
      <c r="A360" s="5" t="s">
        <v>804</v>
      </c>
      <c r="B360" s="5">
        <v>9.354316687E9</v>
      </c>
      <c r="D360" s="5" t="s">
        <v>143</v>
      </c>
      <c r="F360" s="5" t="s">
        <v>303</v>
      </c>
    </row>
    <row r="361">
      <c r="A361" s="5" t="s">
        <v>805</v>
      </c>
      <c r="B361" s="5">
        <v>9.929074118E9</v>
      </c>
      <c r="D361" s="5" t="s">
        <v>79</v>
      </c>
      <c r="F361" s="5" t="s">
        <v>303</v>
      </c>
    </row>
    <row r="362">
      <c r="A362" s="5" t="s">
        <v>806</v>
      </c>
      <c r="B362" s="5">
        <v>9.910044303E9</v>
      </c>
      <c r="D362" s="5" t="s">
        <v>769</v>
      </c>
      <c r="F362" s="5" t="s">
        <v>303</v>
      </c>
    </row>
    <row r="363">
      <c r="A363" s="5" t="s">
        <v>807</v>
      </c>
      <c r="B363" s="5">
        <v>9.818989744E9</v>
      </c>
      <c r="F363" s="5" t="s">
        <v>303</v>
      </c>
    </row>
    <row r="364">
      <c r="A364" s="5" t="s">
        <v>808</v>
      </c>
      <c r="B364" s="5">
        <v>7.678122408E9</v>
      </c>
      <c r="F364" s="5" t="s">
        <v>303</v>
      </c>
    </row>
    <row r="365">
      <c r="A365" s="5" t="s">
        <v>809</v>
      </c>
      <c r="B365" s="5">
        <v>7.982527397E9</v>
      </c>
      <c r="F365" s="5" t="s">
        <v>303</v>
      </c>
    </row>
    <row r="366">
      <c r="A366" s="5" t="s">
        <v>810</v>
      </c>
      <c r="B366" s="5">
        <v>9.971237514E9</v>
      </c>
      <c r="F366" s="5" t="s">
        <v>303</v>
      </c>
    </row>
    <row r="367">
      <c r="A367" s="5" t="s">
        <v>811</v>
      </c>
      <c r="B367" s="5">
        <v>9.416032444E9</v>
      </c>
      <c r="F367" s="5" t="s">
        <v>303</v>
      </c>
    </row>
    <row r="368">
      <c r="A368" s="5" t="s">
        <v>812</v>
      </c>
      <c r="B368" s="5">
        <v>8.860382778E9</v>
      </c>
      <c r="D368" s="5" t="s">
        <v>79</v>
      </c>
      <c r="F368" s="5" t="s">
        <v>303</v>
      </c>
    </row>
    <row r="369">
      <c r="A369" s="5" t="s">
        <v>813</v>
      </c>
      <c r="B369" s="5">
        <v>8.595701213E9</v>
      </c>
      <c r="F369" s="5" t="s">
        <v>303</v>
      </c>
    </row>
    <row r="370">
      <c r="A370" s="5" t="s">
        <v>109</v>
      </c>
      <c r="B370" s="5">
        <v>9.818364903E9</v>
      </c>
      <c r="D370" s="5" t="s">
        <v>814</v>
      </c>
      <c r="F370" s="5" t="s">
        <v>303</v>
      </c>
    </row>
    <row r="371">
      <c r="A371" s="5" t="s">
        <v>815</v>
      </c>
      <c r="B371" s="5">
        <v>9.990087872E9</v>
      </c>
      <c r="F371" s="5" t="s">
        <v>303</v>
      </c>
    </row>
    <row r="372">
      <c r="A372" s="5" t="s">
        <v>816</v>
      </c>
      <c r="B372" s="5">
        <v>7.042168871E9</v>
      </c>
      <c r="D372" s="5" t="s">
        <v>143</v>
      </c>
      <c r="F372" s="5" t="s">
        <v>303</v>
      </c>
    </row>
    <row r="373">
      <c r="A373" s="13" t="s">
        <v>817</v>
      </c>
      <c r="B373" s="13">
        <v>8.285968093E9</v>
      </c>
      <c r="C373" s="19"/>
      <c r="D373" s="13" t="s">
        <v>227</v>
      </c>
      <c r="E373" s="19"/>
      <c r="F373" s="5" t="s">
        <v>303</v>
      </c>
    </row>
    <row r="374">
      <c r="A374" s="5" t="s">
        <v>818</v>
      </c>
      <c r="B374" s="5">
        <v>9.999217858E9</v>
      </c>
      <c r="C374" s="5" t="s">
        <v>819</v>
      </c>
      <c r="F374" s="5" t="s">
        <v>303</v>
      </c>
    </row>
    <row r="375">
      <c r="A375" s="5" t="s">
        <v>820</v>
      </c>
      <c r="B375" s="5">
        <v>8.447410447E9</v>
      </c>
      <c r="D375" s="5" t="s">
        <v>227</v>
      </c>
      <c r="F375" s="5" t="s">
        <v>303</v>
      </c>
    </row>
    <row r="376">
      <c r="A376" s="5" t="s">
        <v>821</v>
      </c>
      <c r="B376" s="5">
        <v>9.811425384E9</v>
      </c>
      <c r="D376" s="5" t="s">
        <v>79</v>
      </c>
      <c r="F376" s="5" t="s">
        <v>303</v>
      </c>
    </row>
    <row r="377">
      <c r="A377" s="5" t="s">
        <v>822</v>
      </c>
      <c r="B377" s="5">
        <v>7.042556601E9</v>
      </c>
      <c r="D377" s="5" t="s">
        <v>823</v>
      </c>
      <c r="F377" s="5" t="s">
        <v>303</v>
      </c>
    </row>
    <row r="378">
      <c r="A378" s="5" t="s">
        <v>824</v>
      </c>
      <c r="B378" s="5">
        <v>9.62595893E9</v>
      </c>
      <c r="F378" s="5" t="s">
        <v>303</v>
      </c>
    </row>
    <row r="379">
      <c r="A379" s="5" t="s">
        <v>825</v>
      </c>
      <c r="B379" s="5">
        <v>9.210586675E9</v>
      </c>
      <c r="F379" s="5" t="s">
        <v>303</v>
      </c>
    </row>
    <row r="380">
      <c r="A380" s="5" t="s">
        <v>826</v>
      </c>
      <c r="B380" s="5">
        <v>9.212459436E9</v>
      </c>
      <c r="F380" s="5" t="s">
        <v>303</v>
      </c>
    </row>
    <row r="381">
      <c r="A381" s="5" t="s">
        <v>827</v>
      </c>
      <c r="B381" s="5">
        <v>8.287455411E9</v>
      </c>
      <c r="D381" s="5" t="s">
        <v>227</v>
      </c>
      <c r="F381" s="5" t="s">
        <v>303</v>
      </c>
    </row>
    <row r="382">
      <c r="A382" s="5" t="s">
        <v>828</v>
      </c>
      <c r="B382" s="5">
        <v>9.810033194E9</v>
      </c>
      <c r="C382" s="5" t="s">
        <v>829</v>
      </c>
      <c r="F382" s="5" t="s">
        <v>303</v>
      </c>
    </row>
    <row r="383">
      <c r="A383" s="5" t="s">
        <v>830</v>
      </c>
      <c r="B383" s="5">
        <v>8.130655666E9</v>
      </c>
      <c r="C383" s="5" t="s">
        <v>831</v>
      </c>
      <c r="F383" s="5" t="s">
        <v>303</v>
      </c>
    </row>
    <row r="384">
      <c r="A384" s="5" t="s">
        <v>832</v>
      </c>
      <c r="B384" s="5">
        <v>8.860773648E9</v>
      </c>
      <c r="C384" s="5" t="s">
        <v>833</v>
      </c>
      <c r="D384" s="5" t="s">
        <v>79</v>
      </c>
      <c r="F384" s="5" t="s">
        <v>303</v>
      </c>
    </row>
    <row r="385">
      <c r="A385" s="5" t="s">
        <v>834</v>
      </c>
      <c r="B385" s="5">
        <v>9.871150444E9</v>
      </c>
      <c r="F385" s="5" t="s">
        <v>303</v>
      </c>
    </row>
    <row r="386">
      <c r="A386" s="5" t="s">
        <v>835</v>
      </c>
      <c r="B386" s="5">
        <v>9.911574217E9</v>
      </c>
      <c r="D386" s="5" t="s">
        <v>79</v>
      </c>
      <c r="F386" s="5" t="s">
        <v>303</v>
      </c>
    </row>
    <row r="387">
      <c r="A387" s="5" t="s">
        <v>836</v>
      </c>
      <c r="B387" s="5">
        <v>9.999962973E9</v>
      </c>
      <c r="D387" s="5" t="s">
        <v>26</v>
      </c>
      <c r="F387" s="5" t="s">
        <v>303</v>
      </c>
    </row>
    <row r="388">
      <c r="A388" s="5" t="s">
        <v>385</v>
      </c>
      <c r="B388" s="5">
        <v>9.81352136E9</v>
      </c>
      <c r="D388" s="5" t="s">
        <v>837</v>
      </c>
      <c r="F388" s="5" t="s">
        <v>303</v>
      </c>
    </row>
    <row r="389">
      <c r="A389" s="5" t="s">
        <v>838</v>
      </c>
      <c r="B389" s="5">
        <v>9.289315307E9</v>
      </c>
      <c r="F389" s="5" t="s">
        <v>303</v>
      </c>
    </row>
    <row r="390">
      <c r="A390" s="5" t="s">
        <v>839</v>
      </c>
      <c r="B390" s="5">
        <v>9.350007424E9</v>
      </c>
      <c r="D390" s="5" t="s">
        <v>15</v>
      </c>
      <c r="F390" s="5" t="s">
        <v>303</v>
      </c>
    </row>
    <row r="391">
      <c r="A391" s="5" t="s">
        <v>840</v>
      </c>
      <c r="B391" s="5">
        <v>9.818412381E9</v>
      </c>
      <c r="D391" s="5" t="s">
        <v>841</v>
      </c>
      <c r="F391" s="5" t="s">
        <v>303</v>
      </c>
    </row>
    <row r="392">
      <c r="A392" s="5" t="s">
        <v>842</v>
      </c>
      <c r="B392" s="5">
        <v>8.755677291E9</v>
      </c>
      <c r="F392" s="5" t="s">
        <v>303</v>
      </c>
    </row>
    <row r="393">
      <c r="A393" s="13" t="s">
        <v>204</v>
      </c>
      <c r="B393" s="13">
        <v>9.654334311E9</v>
      </c>
      <c r="C393" s="19"/>
      <c r="D393" s="13" t="s">
        <v>79</v>
      </c>
      <c r="E393" s="19"/>
      <c r="F393" s="13" t="s">
        <v>303</v>
      </c>
      <c r="G393" s="19"/>
    </row>
    <row r="394">
      <c r="A394" s="5" t="s">
        <v>843</v>
      </c>
      <c r="B394" s="5">
        <v>9.891170912E9</v>
      </c>
      <c r="D394" s="5" t="s">
        <v>769</v>
      </c>
      <c r="F394" s="5" t="s">
        <v>303</v>
      </c>
    </row>
    <row r="395">
      <c r="A395" s="5" t="s">
        <v>649</v>
      </c>
      <c r="B395" s="5">
        <v>9.958746147E9</v>
      </c>
      <c r="D395" s="5" t="s">
        <v>143</v>
      </c>
      <c r="F395" s="5" t="s">
        <v>303</v>
      </c>
    </row>
    <row r="396">
      <c r="A396" s="5" t="s">
        <v>844</v>
      </c>
      <c r="B396" s="5">
        <v>9.871489556E9</v>
      </c>
      <c r="D396" s="5" t="s">
        <v>15</v>
      </c>
      <c r="F396" s="5" t="s">
        <v>303</v>
      </c>
    </row>
    <row r="397">
      <c r="A397" s="5" t="s">
        <v>845</v>
      </c>
      <c r="B397" s="5">
        <v>8.076413835E9</v>
      </c>
      <c r="F397" s="5" t="s">
        <v>303</v>
      </c>
    </row>
    <row r="398">
      <c r="A398" s="5" t="s">
        <v>846</v>
      </c>
      <c r="B398" s="5">
        <v>9.891766693E9</v>
      </c>
      <c r="D398" s="5" t="s">
        <v>71</v>
      </c>
      <c r="F398" s="5" t="s">
        <v>303</v>
      </c>
    </row>
    <row r="399">
      <c r="A399" s="5" t="s">
        <v>847</v>
      </c>
      <c r="B399" s="5">
        <v>8.1711798E9</v>
      </c>
      <c r="D399" s="5" t="s">
        <v>15</v>
      </c>
      <c r="F399" s="5" t="s">
        <v>303</v>
      </c>
    </row>
    <row r="400">
      <c r="A400" s="5" t="s">
        <v>848</v>
      </c>
      <c r="B400" s="5">
        <v>9.837330846E9</v>
      </c>
      <c r="D400" s="5" t="s">
        <v>79</v>
      </c>
      <c r="F400" s="5" t="s">
        <v>303</v>
      </c>
    </row>
    <row r="401">
      <c r="A401" s="5" t="s">
        <v>849</v>
      </c>
      <c r="B401" s="5">
        <v>9.213650565E9</v>
      </c>
      <c r="F401" s="5" t="s">
        <v>303</v>
      </c>
    </row>
    <row r="402">
      <c r="A402" s="5" t="s">
        <v>850</v>
      </c>
      <c r="B402" s="5">
        <v>9.910549664E9</v>
      </c>
      <c r="D402" s="5" t="s">
        <v>26</v>
      </c>
      <c r="F402" s="5" t="s">
        <v>303</v>
      </c>
    </row>
    <row r="403">
      <c r="A403" s="5" t="s">
        <v>851</v>
      </c>
      <c r="B403" s="5">
        <v>9.81159611E9</v>
      </c>
      <c r="D403" s="5" t="s">
        <v>79</v>
      </c>
      <c r="F403" s="5" t="s">
        <v>303</v>
      </c>
    </row>
    <row r="404">
      <c r="A404" s="5" t="s">
        <v>852</v>
      </c>
      <c r="B404" s="5">
        <v>7.042459239E9</v>
      </c>
      <c r="F404" s="5" t="s">
        <v>303</v>
      </c>
    </row>
    <row r="405">
      <c r="A405" s="5" t="s">
        <v>709</v>
      </c>
      <c r="B405" s="5">
        <v>8.076546728E9</v>
      </c>
      <c r="D405" s="5" t="s">
        <v>853</v>
      </c>
      <c r="F405" s="5" t="s">
        <v>303</v>
      </c>
    </row>
    <row r="406">
      <c r="A406" s="5" t="s">
        <v>854</v>
      </c>
      <c r="B406" s="5">
        <v>9.498082453E9</v>
      </c>
      <c r="D406" s="5" t="s">
        <v>26</v>
      </c>
      <c r="E406" s="7" t="s">
        <v>855</v>
      </c>
      <c r="F406" s="5" t="s">
        <v>303</v>
      </c>
    </row>
    <row r="407">
      <c r="A407" s="5" t="s">
        <v>856</v>
      </c>
      <c r="B407" s="5">
        <v>9.650038833E9</v>
      </c>
      <c r="F407" s="5" t="s">
        <v>303</v>
      </c>
    </row>
    <row r="408">
      <c r="A408" s="5" t="s">
        <v>857</v>
      </c>
      <c r="B408" s="5">
        <v>7.683042525E9</v>
      </c>
      <c r="C408" s="5" t="s">
        <v>858</v>
      </c>
      <c r="F408" s="5" t="s">
        <v>303</v>
      </c>
    </row>
    <row r="409">
      <c r="A409" s="5" t="s">
        <v>859</v>
      </c>
      <c r="B409" s="5">
        <v>9.811140702E9</v>
      </c>
      <c r="C409" s="5" t="s">
        <v>860</v>
      </c>
      <c r="F409" s="5" t="s">
        <v>303</v>
      </c>
    </row>
    <row r="410">
      <c r="A410" s="5" t="s">
        <v>861</v>
      </c>
      <c r="B410" s="5">
        <v>9.971607405E9</v>
      </c>
      <c r="D410" s="5" t="s">
        <v>862</v>
      </c>
      <c r="F410" s="5" t="s">
        <v>303</v>
      </c>
    </row>
    <row r="411">
      <c r="A411" s="5" t="s">
        <v>863</v>
      </c>
      <c r="B411" s="5">
        <v>7.42820344E9</v>
      </c>
      <c r="D411" s="5" t="s">
        <v>864</v>
      </c>
      <c r="F411" s="5" t="s">
        <v>303</v>
      </c>
    </row>
    <row r="412">
      <c r="A412" s="5" t="s">
        <v>865</v>
      </c>
      <c r="B412" s="5">
        <v>9.968003624E9</v>
      </c>
      <c r="D412" s="5" t="s">
        <v>21</v>
      </c>
      <c r="F412" s="5" t="s">
        <v>303</v>
      </c>
    </row>
    <row r="413">
      <c r="A413" s="13" t="s">
        <v>630</v>
      </c>
      <c r="B413" s="13">
        <v>9.811228477E9</v>
      </c>
      <c r="C413" s="19"/>
      <c r="D413" s="19"/>
      <c r="E413" s="19"/>
      <c r="F413" s="13" t="s">
        <v>303</v>
      </c>
      <c r="G413" s="19"/>
    </row>
    <row r="414">
      <c r="A414" s="5" t="s">
        <v>866</v>
      </c>
      <c r="B414" s="5">
        <v>9.910137295E9</v>
      </c>
      <c r="D414" s="5" t="s">
        <v>867</v>
      </c>
      <c r="F414" s="5" t="s">
        <v>303</v>
      </c>
    </row>
    <row r="415">
      <c r="A415" s="5" t="s">
        <v>868</v>
      </c>
      <c r="B415" s="5">
        <v>9.711947445E9</v>
      </c>
      <c r="D415" s="5" t="s">
        <v>15</v>
      </c>
      <c r="F415" s="5" t="s">
        <v>303</v>
      </c>
    </row>
    <row r="416">
      <c r="A416" s="5" t="s">
        <v>869</v>
      </c>
      <c r="B416" s="5">
        <v>9.650745331E9</v>
      </c>
      <c r="F416" s="5" t="s">
        <v>303</v>
      </c>
    </row>
    <row r="417">
      <c r="A417" s="5" t="s">
        <v>870</v>
      </c>
      <c r="B417" s="5">
        <v>9.212007023E9</v>
      </c>
      <c r="F417" s="5" t="s">
        <v>303</v>
      </c>
    </row>
    <row r="418">
      <c r="A418" s="5" t="s">
        <v>871</v>
      </c>
      <c r="B418" s="5">
        <v>9.87111801E9</v>
      </c>
      <c r="C418" s="5" t="s">
        <v>872</v>
      </c>
      <c r="D418" s="5" t="s">
        <v>873</v>
      </c>
      <c r="F418" s="5" t="s">
        <v>303</v>
      </c>
    </row>
    <row r="419">
      <c r="A419" s="5" t="s">
        <v>874</v>
      </c>
      <c r="B419" s="5">
        <v>9.315000642E9</v>
      </c>
      <c r="D419" s="5" t="s">
        <v>13</v>
      </c>
      <c r="F419" s="5" t="s">
        <v>303</v>
      </c>
    </row>
    <row r="420">
      <c r="A420" s="5" t="s">
        <v>875</v>
      </c>
      <c r="B420" s="5">
        <v>8.700854695E9</v>
      </c>
      <c r="D420" s="5" t="s">
        <v>79</v>
      </c>
      <c r="F420" s="5" t="s">
        <v>303</v>
      </c>
    </row>
    <row r="421">
      <c r="A421" s="5" t="s">
        <v>876</v>
      </c>
      <c r="B421" s="5">
        <v>9.810339516E9</v>
      </c>
      <c r="F421" s="5" t="s">
        <v>303</v>
      </c>
    </row>
    <row r="422">
      <c r="A422" s="5" t="s">
        <v>877</v>
      </c>
      <c r="B422" s="5">
        <v>9.811956918E9</v>
      </c>
      <c r="D422" s="5" t="s">
        <v>79</v>
      </c>
      <c r="F422" s="5" t="s">
        <v>303</v>
      </c>
    </row>
    <row r="423">
      <c r="A423" s="5" t="s">
        <v>878</v>
      </c>
      <c r="B423" s="5">
        <v>9.648536015E9</v>
      </c>
      <c r="D423" s="5" t="s">
        <v>879</v>
      </c>
      <c r="F423" s="5" t="s">
        <v>303</v>
      </c>
    </row>
    <row r="424">
      <c r="A424" s="5" t="s">
        <v>880</v>
      </c>
      <c r="B424" s="5">
        <v>9.95309502E9</v>
      </c>
      <c r="D424" s="5" t="s">
        <v>79</v>
      </c>
      <c r="F424" s="5" t="s">
        <v>303</v>
      </c>
    </row>
    <row r="425">
      <c r="A425" s="5" t="s">
        <v>75</v>
      </c>
      <c r="B425" s="5">
        <v>9.89918112E9</v>
      </c>
      <c r="D425" s="5" t="s">
        <v>21</v>
      </c>
      <c r="F425" s="5" t="s">
        <v>303</v>
      </c>
    </row>
    <row r="426">
      <c r="A426" s="5" t="s">
        <v>881</v>
      </c>
      <c r="B426" s="5">
        <v>8.586844339E9</v>
      </c>
      <c r="F426" s="5" t="s">
        <v>303</v>
      </c>
    </row>
    <row r="427">
      <c r="A427" s="5" t="s">
        <v>882</v>
      </c>
      <c r="B427" s="5">
        <v>7.838785123E9</v>
      </c>
      <c r="F427" s="5" t="s">
        <v>303</v>
      </c>
    </row>
    <row r="428">
      <c r="A428" s="5" t="s">
        <v>883</v>
      </c>
      <c r="B428" s="5">
        <v>9.278319726E9</v>
      </c>
      <c r="D428" s="5" t="s">
        <v>71</v>
      </c>
      <c r="F428" s="5" t="s">
        <v>303</v>
      </c>
    </row>
    <row r="429">
      <c r="A429" s="5" t="s">
        <v>606</v>
      </c>
      <c r="B429" s="5">
        <v>9.310579045E9</v>
      </c>
      <c r="F429" s="5" t="s">
        <v>303</v>
      </c>
    </row>
    <row r="430">
      <c r="A430" s="5" t="s">
        <v>884</v>
      </c>
      <c r="B430" s="5">
        <v>8.860333929E9</v>
      </c>
      <c r="F430" s="5" t="s">
        <v>303</v>
      </c>
    </row>
    <row r="431">
      <c r="A431" s="5" t="s">
        <v>885</v>
      </c>
      <c r="B431" s="5">
        <v>9.891073026E9</v>
      </c>
      <c r="F431" s="5" t="s">
        <v>303</v>
      </c>
    </row>
    <row r="432">
      <c r="A432" s="5" t="s">
        <v>886</v>
      </c>
      <c r="B432" s="5">
        <v>9.210599666E9</v>
      </c>
      <c r="F432" s="5" t="s">
        <v>303</v>
      </c>
    </row>
    <row r="433">
      <c r="A433" s="13" t="s">
        <v>887</v>
      </c>
      <c r="B433" s="13">
        <v>8.010083688E9</v>
      </c>
      <c r="C433" s="19"/>
      <c r="D433" s="13" t="s">
        <v>13</v>
      </c>
      <c r="E433" s="19"/>
      <c r="F433" s="13" t="s">
        <v>303</v>
      </c>
    </row>
    <row r="434">
      <c r="A434" s="5" t="s">
        <v>888</v>
      </c>
      <c r="B434" s="5">
        <v>7.428640742E9</v>
      </c>
      <c r="D434" s="5" t="s">
        <v>297</v>
      </c>
      <c r="F434" s="5" t="s">
        <v>303</v>
      </c>
    </row>
    <row r="435">
      <c r="A435" s="5" t="s">
        <v>889</v>
      </c>
      <c r="B435" s="5">
        <v>9.810856174E9</v>
      </c>
      <c r="F435" s="5" t="s">
        <v>303</v>
      </c>
    </row>
    <row r="436">
      <c r="A436" s="5" t="s">
        <v>890</v>
      </c>
      <c r="B436" s="5">
        <v>9.211406027E9</v>
      </c>
      <c r="F436" s="5" t="s">
        <v>303</v>
      </c>
    </row>
    <row r="437">
      <c r="A437" s="5" t="s">
        <v>606</v>
      </c>
      <c r="B437" s="5">
        <v>9.910299194E9</v>
      </c>
      <c r="D437" s="5" t="s">
        <v>891</v>
      </c>
      <c r="F437" s="5" t="s">
        <v>303</v>
      </c>
    </row>
    <row r="438">
      <c r="A438" s="5" t="s">
        <v>892</v>
      </c>
      <c r="B438" s="5">
        <v>9.311731358E9</v>
      </c>
      <c r="F438" s="5" t="s">
        <v>303</v>
      </c>
    </row>
    <row r="439">
      <c r="A439" s="5" t="s">
        <v>893</v>
      </c>
      <c r="B439" s="5">
        <v>9.412411768E9</v>
      </c>
      <c r="F439" s="5" t="s">
        <v>303</v>
      </c>
    </row>
    <row r="440">
      <c r="A440" s="5" t="s">
        <v>894</v>
      </c>
      <c r="B440" s="5">
        <v>9.891910994E9</v>
      </c>
      <c r="D440" s="5" t="s">
        <v>11</v>
      </c>
      <c r="F440" s="5" t="s">
        <v>303</v>
      </c>
    </row>
    <row r="441">
      <c r="A441" s="5" t="s">
        <v>490</v>
      </c>
      <c r="B441" s="5">
        <v>9.868668475E9</v>
      </c>
      <c r="D441" s="5" t="s">
        <v>15</v>
      </c>
      <c r="F441" s="5" t="s">
        <v>303</v>
      </c>
    </row>
    <row r="442">
      <c r="A442" s="5" t="s">
        <v>895</v>
      </c>
      <c r="B442" s="5">
        <v>9.891565625E9</v>
      </c>
      <c r="F442" s="5" t="s">
        <v>303</v>
      </c>
    </row>
    <row r="443">
      <c r="A443" s="5" t="s">
        <v>896</v>
      </c>
      <c r="B443" s="5">
        <v>9.868200531E9</v>
      </c>
      <c r="F443" s="5" t="s">
        <v>303</v>
      </c>
    </row>
    <row r="444">
      <c r="A444" s="5" t="s">
        <v>897</v>
      </c>
      <c r="B444" s="5">
        <v>9.811262577E9</v>
      </c>
      <c r="F444" s="5" t="s">
        <v>303</v>
      </c>
    </row>
    <row r="445">
      <c r="A445" s="5" t="s">
        <v>898</v>
      </c>
      <c r="B445" s="5">
        <v>8.074445603E9</v>
      </c>
      <c r="D445" s="5" t="s">
        <v>899</v>
      </c>
      <c r="F445" s="5" t="s">
        <v>303</v>
      </c>
    </row>
    <row r="446">
      <c r="A446" s="5" t="s">
        <v>900</v>
      </c>
      <c r="B446" s="5">
        <v>8.800955909E9</v>
      </c>
      <c r="C446" s="5" t="s">
        <v>901</v>
      </c>
      <c r="F446" s="5" t="s">
        <v>303</v>
      </c>
    </row>
    <row r="447">
      <c r="A447" s="5" t="s">
        <v>902</v>
      </c>
      <c r="B447" s="5">
        <v>9.899415802E9</v>
      </c>
      <c r="C447" s="5" t="s">
        <v>903</v>
      </c>
      <c r="F447" s="5" t="s">
        <v>303</v>
      </c>
    </row>
    <row r="448">
      <c r="A448" s="5" t="s">
        <v>390</v>
      </c>
      <c r="B448" s="5">
        <v>9.871377641E9</v>
      </c>
      <c r="F448" s="5" t="s">
        <v>303</v>
      </c>
    </row>
    <row r="449">
      <c r="A449" s="5" t="s">
        <v>904</v>
      </c>
      <c r="B449" s="5">
        <v>8.882446736E9</v>
      </c>
      <c r="D449" s="5" t="s">
        <v>15</v>
      </c>
      <c r="F449" s="5" t="s">
        <v>303</v>
      </c>
    </row>
    <row r="450">
      <c r="A450" s="5" t="s">
        <v>905</v>
      </c>
      <c r="B450" s="5">
        <v>8.97905488E9</v>
      </c>
      <c r="F450" s="5" t="s">
        <v>303</v>
      </c>
    </row>
    <row r="451">
      <c r="A451" s="5" t="s">
        <v>906</v>
      </c>
      <c r="B451" s="5">
        <v>9.389406565E9</v>
      </c>
      <c r="F451" s="5" t="s">
        <v>303</v>
      </c>
    </row>
    <row r="452">
      <c r="A452" s="5" t="s">
        <v>907</v>
      </c>
      <c r="B452" s="5">
        <v>9.441432207E9</v>
      </c>
      <c r="C452" s="5" t="s">
        <v>908</v>
      </c>
      <c r="F452" s="5" t="s">
        <v>303</v>
      </c>
    </row>
    <row r="453">
      <c r="A453" s="13" t="s">
        <v>909</v>
      </c>
      <c r="B453" s="13">
        <v>8.810307887E9</v>
      </c>
      <c r="C453" s="19"/>
      <c r="D453" s="13" t="s">
        <v>424</v>
      </c>
      <c r="E453" s="19"/>
      <c r="F453" s="13" t="s">
        <v>303</v>
      </c>
      <c r="G453" s="19"/>
    </row>
    <row r="454">
      <c r="A454" s="5" t="s">
        <v>910</v>
      </c>
      <c r="B454" s="5">
        <v>9.8283271E9</v>
      </c>
      <c r="F454" s="5" t="s">
        <v>303</v>
      </c>
    </row>
    <row r="455">
      <c r="A455" s="5" t="s">
        <v>911</v>
      </c>
      <c r="B455" s="5">
        <v>9.891359335E9</v>
      </c>
      <c r="F455" s="5" t="s">
        <v>303</v>
      </c>
    </row>
    <row r="456">
      <c r="A456" s="5" t="s">
        <v>912</v>
      </c>
      <c r="B456" s="5">
        <v>9.99008755E9</v>
      </c>
      <c r="F456" s="5" t="s">
        <v>303</v>
      </c>
    </row>
    <row r="457">
      <c r="A457" s="5" t="s">
        <v>913</v>
      </c>
      <c r="B457" s="5">
        <v>8.800498351E9</v>
      </c>
      <c r="D457" s="5" t="s">
        <v>15</v>
      </c>
      <c r="F457" s="5" t="s">
        <v>303</v>
      </c>
    </row>
    <row r="458">
      <c r="A458" s="5" t="s">
        <v>914</v>
      </c>
      <c r="B458" s="5">
        <v>8.076392071E9</v>
      </c>
      <c r="D458" s="5" t="s">
        <v>21</v>
      </c>
      <c r="F458" s="5" t="s">
        <v>303</v>
      </c>
    </row>
    <row r="459">
      <c r="A459" s="5" t="s">
        <v>711</v>
      </c>
      <c r="B459" s="5">
        <v>8.860568021E9</v>
      </c>
      <c r="F459" s="5" t="s">
        <v>303</v>
      </c>
    </row>
    <row r="460">
      <c r="A460" s="5" t="s">
        <v>915</v>
      </c>
      <c r="B460" s="5">
        <v>9.899122033E9</v>
      </c>
      <c r="F460" s="5" t="s">
        <v>303</v>
      </c>
    </row>
    <row r="461">
      <c r="A461" s="5" t="s">
        <v>916</v>
      </c>
      <c r="B461" s="5">
        <v>9.3118929E9</v>
      </c>
      <c r="F461" s="5" t="s">
        <v>303</v>
      </c>
    </row>
    <row r="462">
      <c r="A462" s="5" t="s">
        <v>917</v>
      </c>
      <c r="B462" s="5">
        <v>9.810676701E9</v>
      </c>
      <c r="D462" s="5" t="s">
        <v>918</v>
      </c>
      <c r="E462" s="7" t="s">
        <v>919</v>
      </c>
      <c r="F462" s="5" t="s">
        <v>303</v>
      </c>
    </row>
    <row r="463">
      <c r="A463" s="5" t="s">
        <v>920</v>
      </c>
      <c r="B463" s="5">
        <v>8.826584991E9</v>
      </c>
      <c r="D463" s="5" t="s">
        <v>15</v>
      </c>
      <c r="F463" s="5" t="s">
        <v>303</v>
      </c>
    </row>
    <row r="464">
      <c r="A464" s="5" t="s">
        <v>921</v>
      </c>
      <c r="B464" s="5">
        <v>9.140000675E9</v>
      </c>
      <c r="D464" s="5" t="s">
        <v>71</v>
      </c>
      <c r="F464" s="5" t="s">
        <v>303</v>
      </c>
    </row>
    <row r="465">
      <c r="A465" s="5" t="s">
        <v>922</v>
      </c>
      <c r="B465" s="5">
        <v>7.011881757E9</v>
      </c>
      <c r="F465" s="5" t="s">
        <v>303</v>
      </c>
    </row>
    <row r="466">
      <c r="A466" s="5" t="s">
        <v>923</v>
      </c>
      <c r="B466" s="5">
        <v>9.968312164E9</v>
      </c>
      <c r="D466" s="5" t="s">
        <v>71</v>
      </c>
      <c r="F466" s="5" t="s">
        <v>303</v>
      </c>
    </row>
    <row r="467">
      <c r="A467" s="5" t="s">
        <v>924</v>
      </c>
      <c r="B467" s="5">
        <v>7.011312243E9</v>
      </c>
      <c r="F467" s="5" t="s">
        <v>303</v>
      </c>
    </row>
    <row r="468">
      <c r="A468" s="5" t="s">
        <v>529</v>
      </c>
      <c r="B468" s="5">
        <v>9.319447459E9</v>
      </c>
      <c r="F468" s="5" t="s">
        <v>303</v>
      </c>
    </row>
    <row r="469">
      <c r="A469" s="5" t="s">
        <v>925</v>
      </c>
      <c r="B469" s="5">
        <v>9.3194292E9</v>
      </c>
      <c r="F469" s="5" t="s">
        <v>303</v>
      </c>
    </row>
    <row r="470">
      <c r="A470" s="5" t="s">
        <v>926</v>
      </c>
      <c r="B470" s="5">
        <v>9.318356185E9</v>
      </c>
      <c r="F470" s="5" t="s">
        <v>303</v>
      </c>
    </row>
    <row r="471">
      <c r="A471" s="5" t="s">
        <v>927</v>
      </c>
      <c r="B471" s="5">
        <v>8.74492049E9</v>
      </c>
      <c r="F471" s="5" t="s">
        <v>303</v>
      </c>
    </row>
    <row r="472">
      <c r="A472" s="5" t="s">
        <v>928</v>
      </c>
      <c r="B472" s="5">
        <v>9.837779696E9</v>
      </c>
      <c r="F472" s="5" t="s">
        <v>303</v>
      </c>
    </row>
    <row r="473">
      <c r="A473" s="13" t="s">
        <v>929</v>
      </c>
      <c r="B473" s="13">
        <v>7.50399586E9</v>
      </c>
      <c r="C473" s="19"/>
      <c r="D473" s="19"/>
      <c r="E473" s="19"/>
      <c r="F473" s="13" t="s">
        <v>303</v>
      </c>
      <c r="G473" s="19"/>
    </row>
    <row r="474">
      <c r="A474" s="5" t="s">
        <v>930</v>
      </c>
      <c r="B474" s="5">
        <v>9.837846489E9</v>
      </c>
      <c r="F474" s="5" t="s">
        <v>303</v>
      </c>
    </row>
    <row r="475">
      <c r="A475" s="5" t="s">
        <v>931</v>
      </c>
      <c r="B475" s="5">
        <v>9.821024357E9</v>
      </c>
      <c r="C475" s="5" t="s">
        <v>932</v>
      </c>
      <c r="F475" s="5" t="s">
        <v>303</v>
      </c>
    </row>
    <row r="476">
      <c r="A476" s="5" t="s">
        <v>121</v>
      </c>
      <c r="B476" s="5">
        <v>7.042633543E9</v>
      </c>
      <c r="F476" s="5" t="s">
        <v>303</v>
      </c>
    </row>
    <row r="477">
      <c r="A477" s="5" t="s">
        <v>933</v>
      </c>
      <c r="B477" s="5">
        <v>9.821024357E9</v>
      </c>
      <c r="C477" s="5" t="s">
        <v>934</v>
      </c>
      <c r="F477" s="5" t="s">
        <v>303</v>
      </c>
    </row>
    <row r="478">
      <c r="A478" s="5" t="s">
        <v>935</v>
      </c>
      <c r="B478" s="5">
        <v>8.28777919E9</v>
      </c>
      <c r="F478" s="5" t="s">
        <v>303</v>
      </c>
    </row>
    <row r="479">
      <c r="A479" s="5" t="s">
        <v>936</v>
      </c>
      <c r="B479" s="5">
        <v>8.708933674E9</v>
      </c>
      <c r="F479" s="5" t="s">
        <v>303</v>
      </c>
    </row>
    <row r="480">
      <c r="A480" s="5" t="s">
        <v>937</v>
      </c>
      <c r="B480" s="5">
        <v>9.31551315E9</v>
      </c>
      <c r="C480" s="5" t="s">
        <v>938</v>
      </c>
      <c r="F480" s="5" t="s">
        <v>303</v>
      </c>
    </row>
    <row r="481">
      <c r="A481" s="5" t="s">
        <v>939</v>
      </c>
      <c r="B481" s="5">
        <v>7.042077936E9</v>
      </c>
      <c r="C481" s="5" t="s">
        <v>940</v>
      </c>
      <c r="F481" s="5" t="s">
        <v>303</v>
      </c>
    </row>
    <row r="482">
      <c r="A482" s="5" t="s">
        <v>933</v>
      </c>
      <c r="B482" s="5">
        <v>9.821024357E9</v>
      </c>
      <c r="F482" s="5" t="s">
        <v>303</v>
      </c>
    </row>
    <row r="483">
      <c r="A483" s="5" t="s">
        <v>941</v>
      </c>
      <c r="B483" s="5">
        <v>9.810824286E9</v>
      </c>
      <c r="D483" s="5" t="s">
        <v>79</v>
      </c>
      <c r="F483" s="5" t="s">
        <v>303</v>
      </c>
    </row>
    <row r="484">
      <c r="A484" s="5" t="s">
        <v>942</v>
      </c>
      <c r="B484" s="5">
        <v>9.891108125E9</v>
      </c>
      <c r="D484" s="5" t="s">
        <v>79</v>
      </c>
      <c r="F484" s="5" t="s">
        <v>303</v>
      </c>
    </row>
    <row r="485">
      <c r="A485" s="5" t="s">
        <v>943</v>
      </c>
      <c r="B485" s="5">
        <v>9.899925289E9</v>
      </c>
      <c r="F485" s="5" t="s">
        <v>303</v>
      </c>
    </row>
    <row r="486">
      <c r="A486" s="5" t="s">
        <v>944</v>
      </c>
      <c r="B486" s="5">
        <v>9.958797582E9</v>
      </c>
      <c r="F486" s="5" t="s">
        <v>303</v>
      </c>
    </row>
    <row r="487">
      <c r="A487" s="5" t="s">
        <v>945</v>
      </c>
      <c r="B487" s="5">
        <v>9.999222644E9</v>
      </c>
      <c r="D487" s="5" t="s">
        <v>79</v>
      </c>
      <c r="F487" s="5" t="s">
        <v>303</v>
      </c>
    </row>
    <row r="488">
      <c r="A488" s="5" t="s">
        <v>946</v>
      </c>
      <c r="B488" s="5">
        <v>8.750919253E9</v>
      </c>
      <c r="F488" s="5" t="s">
        <v>303</v>
      </c>
    </row>
    <row r="489">
      <c r="A489" s="5" t="s">
        <v>947</v>
      </c>
      <c r="B489" s="5">
        <v>7.053586786E9</v>
      </c>
      <c r="F489" s="5" t="s">
        <v>303</v>
      </c>
    </row>
    <row r="490">
      <c r="A490" s="5" t="s">
        <v>948</v>
      </c>
      <c r="B490" s="5">
        <v>9.711843859E9</v>
      </c>
      <c r="D490" s="5" t="s">
        <v>79</v>
      </c>
      <c r="F490" s="5" t="s">
        <v>303</v>
      </c>
    </row>
    <row r="491">
      <c r="A491" s="5" t="s">
        <v>949</v>
      </c>
      <c r="B491" s="5">
        <v>9.991511771E9</v>
      </c>
      <c r="F491" s="5" t="s">
        <v>303</v>
      </c>
    </row>
    <row r="492">
      <c r="A492" s="5" t="s">
        <v>950</v>
      </c>
      <c r="B492" s="5">
        <v>9.013448282E9</v>
      </c>
      <c r="D492" s="5" t="s">
        <v>79</v>
      </c>
      <c r="F492" s="5" t="s">
        <v>303</v>
      </c>
    </row>
    <row r="493">
      <c r="A493" s="13" t="s">
        <v>951</v>
      </c>
      <c r="B493" s="13">
        <v>9.431083833E9</v>
      </c>
      <c r="C493" s="19"/>
      <c r="D493" s="19"/>
      <c r="E493" s="19"/>
      <c r="F493" s="13" t="s">
        <v>303</v>
      </c>
      <c r="G493" s="19"/>
    </row>
    <row r="494">
      <c r="A494" s="5" t="s">
        <v>952</v>
      </c>
      <c r="B494" s="5">
        <v>9.467204416E9</v>
      </c>
      <c r="F494" s="5" t="s">
        <v>303</v>
      </c>
    </row>
    <row r="495">
      <c r="A495" s="5" t="s">
        <v>953</v>
      </c>
      <c r="B495" s="5">
        <v>9.981533372E9</v>
      </c>
      <c r="F495" s="5" t="s">
        <v>303</v>
      </c>
    </row>
    <row r="496">
      <c r="A496" s="5" t="s">
        <v>954</v>
      </c>
      <c r="B496" s="5">
        <v>9.958565432E9</v>
      </c>
      <c r="D496" s="5" t="s">
        <v>227</v>
      </c>
      <c r="F496" s="5" t="s">
        <v>303</v>
      </c>
    </row>
    <row r="497">
      <c r="A497" s="5" t="s">
        <v>955</v>
      </c>
      <c r="B497" s="5">
        <v>8.459447702E9</v>
      </c>
      <c r="F497" s="5" t="s">
        <v>303</v>
      </c>
    </row>
    <row r="498">
      <c r="A498" s="5" t="s">
        <v>956</v>
      </c>
      <c r="B498" s="5">
        <v>9.012151617E9</v>
      </c>
      <c r="D498" s="5" t="s">
        <v>957</v>
      </c>
      <c r="F498" s="5" t="s">
        <v>303</v>
      </c>
    </row>
    <row r="499">
      <c r="A499" s="5" t="s">
        <v>390</v>
      </c>
      <c r="B499" s="5">
        <v>7.703881613E9</v>
      </c>
      <c r="F499" s="5" t="s">
        <v>303</v>
      </c>
    </row>
    <row r="500">
      <c r="A500" s="5" t="s">
        <v>958</v>
      </c>
      <c r="B500" s="5">
        <v>9.891872916E9</v>
      </c>
      <c r="F500" s="5" t="s">
        <v>303</v>
      </c>
    </row>
    <row r="501">
      <c r="A501" s="5" t="s">
        <v>959</v>
      </c>
      <c r="B501" s="5">
        <v>9.711561566E9</v>
      </c>
      <c r="D501" s="5" t="s">
        <v>960</v>
      </c>
      <c r="F501" s="5" t="s">
        <v>303</v>
      </c>
    </row>
    <row r="502">
      <c r="A502" s="5" t="s">
        <v>124</v>
      </c>
      <c r="B502" s="5">
        <v>9.811237684E9</v>
      </c>
      <c r="F502" s="5" t="s">
        <v>303</v>
      </c>
    </row>
    <row r="503">
      <c r="A503" s="5" t="s">
        <v>961</v>
      </c>
      <c r="B503" s="5">
        <v>9.811284065E9</v>
      </c>
      <c r="D503" s="5" t="s">
        <v>71</v>
      </c>
      <c r="F503" s="5" t="s">
        <v>303</v>
      </c>
    </row>
    <row r="504">
      <c r="A504" s="5" t="s">
        <v>962</v>
      </c>
      <c r="B504" s="5">
        <v>9.810013958E9</v>
      </c>
      <c r="D504" s="5" t="s">
        <v>963</v>
      </c>
      <c r="F504" s="5" t="s">
        <v>303</v>
      </c>
    </row>
    <row r="505">
      <c r="A505" s="5" t="s">
        <v>964</v>
      </c>
      <c r="B505" s="5">
        <v>9.818640261E9</v>
      </c>
      <c r="D505" s="5" t="s">
        <v>227</v>
      </c>
      <c r="F505" s="5" t="s">
        <v>303</v>
      </c>
    </row>
    <row r="506">
      <c r="A506" s="5" t="s">
        <v>965</v>
      </c>
      <c r="B506" s="5">
        <v>9.811066932E9</v>
      </c>
      <c r="F506" s="5" t="s">
        <v>303</v>
      </c>
    </row>
    <row r="507">
      <c r="A507" s="5" t="s">
        <v>966</v>
      </c>
      <c r="B507" s="5">
        <v>9.958543101E9</v>
      </c>
      <c r="D507" s="5" t="s">
        <v>227</v>
      </c>
      <c r="F507" s="5" t="s">
        <v>303</v>
      </c>
    </row>
    <row r="508">
      <c r="A508" s="5" t="s">
        <v>967</v>
      </c>
      <c r="B508" s="5">
        <v>9.198938545E9</v>
      </c>
      <c r="F508" s="5" t="s">
        <v>303</v>
      </c>
    </row>
    <row r="509">
      <c r="A509" s="5" t="s">
        <v>516</v>
      </c>
      <c r="B509" s="5">
        <v>9.717200052E9</v>
      </c>
      <c r="D509" s="5" t="s">
        <v>79</v>
      </c>
      <c r="F509" s="5" t="s">
        <v>303</v>
      </c>
    </row>
    <row r="510">
      <c r="A510" s="5" t="s">
        <v>968</v>
      </c>
      <c r="B510" s="5">
        <v>8.076975798E9</v>
      </c>
      <c r="D510" s="5" t="s">
        <v>79</v>
      </c>
      <c r="F510" s="5" t="s">
        <v>303</v>
      </c>
    </row>
    <row r="511">
      <c r="A511" s="5" t="s">
        <v>969</v>
      </c>
      <c r="B511" s="5">
        <v>9.818032161E9</v>
      </c>
      <c r="F511" s="5" t="s">
        <v>303</v>
      </c>
    </row>
    <row r="512">
      <c r="A512" s="5" t="s">
        <v>970</v>
      </c>
      <c r="B512" s="5">
        <v>8.360446177E9</v>
      </c>
      <c r="F512" s="5" t="s">
        <v>303</v>
      </c>
    </row>
    <row r="513">
      <c r="A513" s="13" t="s">
        <v>971</v>
      </c>
      <c r="B513" s="13">
        <v>9.818636535E9</v>
      </c>
      <c r="C513" s="19"/>
      <c r="D513" s="19"/>
      <c r="E513" s="19"/>
      <c r="F513" s="13" t="s">
        <v>303</v>
      </c>
      <c r="G513" s="19"/>
    </row>
    <row r="514">
      <c r="A514" s="5" t="s">
        <v>972</v>
      </c>
      <c r="B514" s="5">
        <v>9.99055662E9</v>
      </c>
      <c r="F514" s="5" t="s">
        <v>303</v>
      </c>
    </row>
    <row r="515">
      <c r="A515" s="5" t="s">
        <v>566</v>
      </c>
      <c r="B515" s="5">
        <v>8.468961059E9</v>
      </c>
      <c r="F515" s="5" t="s">
        <v>303</v>
      </c>
    </row>
    <row r="516">
      <c r="A516" s="5" t="s">
        <v>973</v>
      </c>
      <c r="B516" s="5">
        <v>9.65068026E9</v>
      </c>
      <c r="F516" s="5" t="s">
        <v>303</v>
      </c>
    </row>
    <row r="517">
      <c r="A517" s="5" t="s">
        <v>974</v>
      </c>
      <c r="B517" s="5">
        <v>9.999060881E9</v>
      </c>
      <c r="F517" s="5" t="s">
        <v>303</v>
      </c>
    </row>
    <row r="518">
      <c r="A518" s="5" t="s">
        <v>975</v>
      </c>
      <c r="B518" s="5">
        <v>8.010572273E9</v>
      </c>
      <c r="D518" s="5" t="s">
        <v>976</v>
      </c>
      <c r="F518" s="5" t="s">
        <v>303</v>
      </c>
    </row>
    <row r="519">
      <c r="A519" s="5" t="s">
        <v>977</v>
      </c>
      <c r="B519" s="5">
        <v>8.860939122E9</v>
      </c>
      <c r="F519" s="5" t="s">
        <v>303</v>
      </c>
    </row>
    <row r="520">
      <c r="A520" s="5" t="s">
        <v>978</v>
      </c>
      <c r="B520" s="5">
        <v>9.716002225E9</v>
      </c>
      <c r="F520" s="5" t="s">
        <v>303</v>
      </c>
    </row>
    <row r="521">
      <c r="A521" s="5" t="s">
        <v>979</v>
      </c>
      <c r="B521" s="5">
        <v>9.8688773E9</v>
      </c>
      <c r="F521" s="5" t="s">
        <v>303</v>
      </c>
    </row>
    <row r="522">
      <c r="A522" s="5" t="s">
        <v>980</v>
      </c>
      <c r="B522" s="5">
        <v>8.130582414E9</v>
      </c>
      <c r="F522" s="5" t="s">
        <v>303</v>
      </c>
    </row>
    <row r="523">
      <c r="A523" s="5" t="s">
        <v>981</v>
      </c>
      <c r="B523" s="5">
        <v>7.42860708E9</v>
      </c>
      <c r="F523" s="5" t="s">
        <v>303</v>
      </c>
    </row>
    <row r="524">
      <c r="A524" s="5" t="s">
        <v>982</v>
      </c>
      <c r="B524" s="5">
        <v>8.700949752E9</v>
      </c>
      <c r="F524" s="5" t="s">
        <v>303</v>
      </c>
    </row>
    <row r="525">
      <c r="A525" s="5" t="s">
        <v>983</v>
      </c>
      <c r="B525" s="5">
        <v>8.285622538E9</v>
      </c>
      <c r="F525" s="5" t="s">
        <v>303</v>
      </c>
    </row>
    <row r="526">
      <c r="A526" s="5" t="s">
        <v>984</v>
      </c>
      <c r="B526" s="5">
        <v>9.910226915E9</v>
      </c>
      <c r="D526" s="5" t="s">
        <v>79</v>
      </c>
      <c r="F526" s="5" t="s">
        <v>303</v>
      </c>
    </row>
    <row r="527">
      <c r="A527" s="5" t="s">
        <v>985</v>
      </c>
      <c r="B527" s="5">
        <v>9.315871515E9</v>
      </c>
      <c r="F527" s="5" t="s">
        <v>303</v>
      </c>
    </row>
    <row r="528">
      <c r="A528" s="5" t="s">
        <v>986</v>
      </c>
      <c r="B528" s="5">
        <v>9.873186638E9</v>
      </c>
      <c r="D528" s="5" t="s">
        <v>79</v>
      </c>
      <c r="F528" s="5" t="s">
        <v>303</v>
      </c>
    </row>
    <row r="529">
      <c r="A529" s="5" t="s">
        <v>987</v>
      </c>
      <c r="B529" s="5">
        <v>7.070824743E9</v>
      </c>
      <c r="D529" s="5" t="s">
        <v>988</v>
      </c>
      <c r="E529" s="7" t="s">
        <v>989</v>
      </c>
      <c r="F529" s="5" t="s">
        <v>303</v>
      </c>
    </row>
    <row r="530">
      <c r="A530" s="5" t="s">
        <v>990</v>
      </c>
      <c r="B530" s="5">
        <v>9.873854881E9</v>
      </c>
      <c r="F530" s="5" t="s">
        <v>303</v>
      </c>
    </row>
    <row r="531">
      <c r="A531" s="5" t="s">
        <v>991</v>
      </c>
      <c r="B531" s="5">
        <v>8.287557112E9</v>
      </c>
      <c r="F531" s="5" t="s">
        <v>303</v>
      </c>
    </row>
    <row r="532">
      <c r="A532" s="5" t="s">
        <v>992</v>
      </c>
      <c r="B532" s="5">
        <v>8.586022117E9</v>
      </c>
      <c r="F532" s="5" t="s">
        <v>303</v>
      </c>
    </row>
    <row r="533">
      <c r="A533" s="5" t="s">
        <v>993</v>
      </c>
      <c r="B533" s="5">
        <v>9.462564639E9</v>
      </c>
      <c r="F533" s="5" t="s">
        <v>303</v>
      </c>
    </row>
    <row r="534">
      <c r="A534" s="13" t="s">
        <v>994</v>
      </c>
      <c r="B534" s="13">
        <v>9.899515049E9</v>
      </c>
      <c r="C534" s="19"/>
      <c r="D534" s="13" t="s">
        <v>918</v>
      </c>
      <c r="E534" s="19"/>
      <c r="F534" s="13" t="s">
        <v>303</v>
      </c>
      <c r="G534" s="19"/>
    </row>
    <row r="535">
      <c r="A535" s="5" t="s">
        <v>995</v>
      </c>
      <c r="B535" s="5">
        <v>9.999712408E9</v>
      </c>
      <c r="D535" s="5" t="s">
        <v>273</v>
      </c>
      <c r="F535" s="5" t="s">
        <v>303</v>
      </c>
    </row>
    <row r="536">
      <c r="A536" s="5" t="s">
        <v>996</v>
      </c>
      <c r="B536" s="5">
        <v>8.368284959E9</v>
      </c>
      <c r="D536" s="5" t="s">
        <v>227</v>
      </c>
      <c r="F536" s="5" t="s">
        <v>303</v>
      </c>
    </row>
    <row r="537">
      <c r="A537" s="5" t="s">
        <v>997</v>
      </c>
      <c r="B537" s="5">
        <v>9.582760144E9</v>
      </c>
      <c r="F537" s="5" t="s">
        <v>303</v>
      </c>
    </row>
    <row r="538">
      <c r="A538" s="5" t="s">
        <v>998</v>
      </c>
      <c r="B538" s="5">
        <v>9.643718626E9</v>
      </c>
      <c r="D538" s="5" t="s">
        <v>227</v>
      </c>
      <c r="F538" s="5" t="s">
        <v>303</v>
      </c>
    </row>
    <row r="539">
      <c r="A539" s="5" t="s">
        <v>999</v>
      </c>
      <c r="B539" s="5">
        <v>8.527023969E9</v>
      </c>
      <c r="D539" s="5" t="s">
        <v>227</v>
      </c>
      <c r="F539" s="5" t="s">
        <v>303</v>
      </c>
    </row>
    <row r="540">
      <c r="A540" s="5" t="s">
        <v>1000</v>
      </c>
      <c r="B540" s="5">
        <v>9.810871971E9</v>
      </c>
      <c r="D540" s="5" t="s">
        <v>79</v>
      </c>
      <c r="F540" s="5" t="s">
        <v>303</v>
      </c>
    </row>
    <row r="541">
      <c r="A541" s="5" t="s">
        <v>1001</v>
      </c>
      <c r="B541" s="5">
        <v>9.310093134E9</v>
      </c>
      <c r="F541" s="5" t="s">
        <v>303</v>
      </c>
    </row>
    <row r="542">
      <c r="A542" s="5" t="s">
        <v>1002</v>
      </c>
      <c r="B542" s="5">
        <v>9.212160399E9</v>
      </c>
      <c r="F542" s="5" t="s">
        <v>303</v>
      </c>
    </row>
    <row r="543">
      <c r="A543" s="5" t="s">
        <v>1003</v>
      </c>
      <c r="B543" s="5">
        <v>8.8828991E9</v>
      </c>
      <c r="F543" s="5" t="s">
        <v>303</v>
      </c>
    </row>
    <row r="544">
      <c r="A544" s="5" t="s">
        <v>1004</v>
      </c>
      <c r="B544" s="5">
        <v>7.042752682E9</v>
      </c>
      <c r="F544" s="5" t="s">
        <v>303</v>
      </c>
    </row>
    <row r="545">
      <c r="A545" s="5" t="s">
        <v>1005</v>
      </c>
      <c r="B545" s="5">
        <v>9.06895336E9</v>
      </c>
      <c r="F545" s="5" t="s">
        <v>303</v>
      </c>
    </row>
    <row r="546">
      <c r="A546" s="5" t="s">
        <v>1006</v>
      </c>
      <c r="B546" s="5">
        <v>9.3548186E9</v>
      </c>
      <c r="F546" s="5" t="s">
        <v>303</v>
      </c>
    </row>
    <row r="547">
      <c r="A547" s="13" t="s">
        <v>1007</v>
      </c>
      <c r="B547" s="13">
        <v>9.04510811E9</v>
      </c>
      <c r="C547" s="19"/>
      <c r="D547" s="19"/>
      <c r="E547" s="19"/>
      <c r="F547" s="13" t="s">
        <v>303</v>
      </c>
    </row>
    <row r="548">
      <c r="A548" s="5" t="s">
        <v>507</v>
      </c>
      <c r="B548" s="5">
        <v>9.811979596E9</v>
      </c>
      <c r="F548" s="5" t="s">
        <v>303</v>
      </c>
    </row>
    <row r="549">
      <c r="A549" s="5" t="s">
        <v>1008</v>
      </c>
      <c r="B549" s="5">
        <v>7.999942011E9</v>
      </c>
      <c r="F549" s="5" t="s">
        <v>303</v>
      </c>
    </row>
    <row r="550">
      <c r="A550" s="5" t="s">
        <v>1009</v>
      </c>
      <c r="B550" s="5">
        <v>9.953519239E9</v>
      </c>
      <c r="F550" s="5" t="s">
        <v>303</v>
      </c>
    </row>
    <row r="551">
      <c r="A551" s="5" t="s">
        <v>1010</v>
      </c>
      <c r="B551" s="5">
        <v>9.927992777E9</v>
      </c>
      <c r="F551" s="5" t="s">
        <v>303</v>
      </c>
    </row>
    <row r="552">
      <c r="A552" s="5" t="s">
        <v>1011</v>
      </c>
      <c r="B552" s="5">
        <v>9.084935199E9</v>
      </c>
      <c r="F552" s="5" t="s">
        <v>303</v>
      </c>
    </row>
    <row r="553">
      <c r="A553" s="5" t="s">
        <v>1012</v>
      </c>
      <c r="B553" s="5">
        <v>9.873698127E9</v>
      </c>
      <c r="F553" s="5" t="s">
        <v>303</v>
      </c>
    </row>
    <row r="554">
      <c r="A554" s="5" t="s">
        <v>1013</v>
      </c>
      <c r="B554" s="5">
        <v>9.315318969E9</v>
      </c>
      <c r="D554" s="5" t="s">
        <v>71</v>
      </c>
      <c r="F554" s="5" t="s">
        <v>303</v>
      </c>
    </row>
    <row r="555">
      <c r="A555" s="5" t="s">
        <v>1014</v>
      </c>
      <c r="B555" s="5">
        <v>9.818952362E9</v>
      </c>
      <c r="D555" s="5" t="s">
        <v>227</v>
      </c>
      <c r="F555" s="5" t="s">
        <v>303</v>
      </c>
    </row>
    <row r="556">
      <c r="A556" s="5" t="s">
        <v>1015</v>
      </c>
      <c r="B556" s="5">
        <v>7.838529133E9</v>
      </c>
      <c r="D556" s="5" t="s">
        <v>769</v>
      </c>
      <c r="F556" s="5" t="s">
        <v>303</v>
      </c>
    </row>
    <row r="557">
      <c r="A557" s="5" t="s">
        <v>613</v>
      </c>
      <c r="B557" s="5">
        <v>8.851508406E9</v>
      </c>
      <c r="F557" s="5" t="s">
        <v>303</v>
      </c>
    </row>
    <row r="558">
      <c r="A558" s="5" t="s">
        <v>1016</v>
      </c>
      <c r="B558" s="5">
        <v>9.910888808E9</v>
      </c>
      <c r="F558" s="5" t="s">
        <v>303</v>
      </c>
    </row>
    <row r="559">
      <c r="A559" s="5" t="s">
        <v>1017</v>
      </c>
      <c r="B559" s="5">
        <v>8.810378923E9</v>
      </c>
      <c r="D559" s="5" t="s">
        <v>79</v>
      </c>
      <c r="F559" s="5" t="s">
        <v>303</v>
      </c>
    </row>
    <row r="560">
      <c r="A560" s="5" t="s">
        <v>1018</v>
      </c>
      <c r="B560" s="5">
        <v>7.840899907E9</v>
      </c>
      <c r="F560" s="5" t="s">
        <v>303</v>
      </c>
    </row>
    <row r="561">
      <c r="A561" s="5" t="s">
        <v>1019</v>
      </c>
      <c r="B561" s="5">
        <v>9.911022277E9</v>
      </c>
      <c r="F561" s="5" t="s">
        <v>303</v>
      </c>
    </row>
    <row r="562">
      <c r="A562" s="5" t="s">
        <v>1020</v>
      </c>
      <c r="B562" s="5">
        <v>7.529999495E9</v>
      </c>
      <c r="D562" s="5" t="s">
        <v>764</v>
      </c>
      <c r="F562" s="5" t="s">
        <v>303</v>
      </c>
    </row>
    <row r="563">
      <c r="A563" s="5" t="s">
        <v>1021</v>
      </c>
      <c r="B563" s="5">
        <v>7.290894806E9</v>
      </c>
      <c r="D563" s="5" t="s">
        <v>1022</v>
      </c>
      <c r="F563" s="5" t="s">
        <v>303</v>
      </c>
    </row>
    <row r="564">
      <c r="A564" s="5" t="s">
        <v>604</v>
      </c>
      <c r="B564" s="5">
        <v>9.999152426E9</v>
      </c>
      <c r="D564" s="5" t="s">
        <v>79</v>
      </c>
      <c r="F564" s="5" t="s">
        <v>303</v>
      </c>
    </row>
    <row r="565">
      <c r="A565" s="5" t="s">
        <v>1023</v>
      </c>
      <c r="B565" s="5">
        <v>9.557629228E9</v>
      </c>
      <c r="E565" s="7" t="s">
        <v>1024</v>
      </c>
      <c r="F565" s="5" t="s">
        <v>303</v>
      </c>
    </row>
    <row r="566">
      <c r="A566" s="5" t="s">
        <v>1025</v>
      </c>
      <c r="B566" s="5">
        <v>9.599276778E9</v>
      </c>
      <c r="F566" s="5" t="s">
        <v>303</v>
      </c>
    </row>
    <row r="567">
      <c r="A567" s="13" t="s">
        <v>1026</v>
      </c>
      <c r="B567" s="13">
        <v>8.810653464E9</v>
      </c>
      <c r="C567" s="19"/>
      <c r="D567" s="19"/>
      <c r="E567" s="19"/>
      <c r="F567" s="13" t="s">
        <v>303</v>
      </c>
      <c r="G567" s="19"/>
    </row>
    <row r="568">
      <c r="A568" s="15" t="s">
        <v>1027</v>
      </c>
      <c r="B568" s="5">
        <v>8.800916038E9</v>
      </c>
      <c r="D568" s="5" t="s">
        <v>71</v>
      </c>
      <c r="F568" s="5" t="s">
        <v>303</v>
      </c>
    </row>
    <row r="569">
      <c r="A569" s="15" t="s">
        <v>179</v>
      </c>
      <c r="B569" s="5">
        <v>9.818825444E9</v>
      </c>
      <c r="D569" s="5" t="s">
        <v>71</v>
      </c>
      <c r="F569" s="5" t="s">
        <v>303</v>
      </c>
    </row>
    <row r="570">
      <c r="A570" s="15" t="s">
        <v>1028</v>
      </c>
      <c r="B570" s="5">
        <v>9.899134205E9</v>
      </c>
      <c r="F570" s="5" t="s">
        <v>303</v>
      </c>
    </row>
    <row r="571">
      <c r="A571" s="15" t="s">
        <v>1029</v>
      </c>
      <c r="B571" s="5">
        <v>9.910301357E9</v>
      </c>
      <c r="F571" s="5" t="s">
        <v>303</v>
      </c>
    </row>
    <row r="572">
      <c r="A572" s="15" t="s">
        <v>1030</v>
      </c>
      <c r="B572" s="5">
        <v>9.82078754E9</v>
      </c>
      <c r="D572" s="5" t="s">
        <v>227</v>
      </c>
      <c r="F572" s="5" t="s">
        <v>303</v>
      </c>
    </row>
    <row r="573">
      <c r="A573" s="15" t="s">
        <v>1031</v>
      </c>
      <c r="B573" s="5">
        <v>9.871443232E9</v>
      </c>
      <c r="D573" s="5" t="s">
        <v>227</v>
      </c>
      <c r="F573" s="5" t="s">
        <v>303</v>
      </c>
    </row>
    <row r="574">
      <c r="A574" s="15" t="s">
        <v>1032</v>
      </c>
      <c r="B574" s="5">
        <v>7.599323399E9</v>
      </c>
      <c r="F574" s="5" t="s">
        <v>303</v>
      </c>
    </row>
    <row r="575">
      <c r="A575" s="15" t="s">
        <v>1028</v>
      </c>
      <c r="B575" s="5">
        <v>9.254603624E9</v>
      </c>
      <c r="D575" s="5" t="s">
        <v>71</v>
      </c>
      <c r="F575" s="5" t="s">
        <v>303</v>
      </c>
    </row>
    <row r="576">
      <c r="A576" s="15" t="s">
        <v>1033</v>
      </c>
      <c r="B576" s="5">
        <v>9.958899294E9</v>
      </c>
      <c r="F576" s="5" t="s">
        <v>303</v>
      </c>
    </row>
    <row r="577">
      <c r="A577" s="15" t="s">
        <v>573</v>
      </c>
      <c r="B577" s="5">
        <v>8.700166943E9</v>
      </c>
      <c r="D577" s="5" t="s">
        <v>79</v>
      </c>
      <c r="F577" s="5" t="s">
        <v>303</v>
      </c>
    </row>
    <row r="578">
      <c r="A578" s="15" t="s">
        <v>702</v>
      </c>
      <c r="B578" s="5">
        <v>9.891848378E9</v>
      </c>
      <c r="F578" s="5" t="s">
        <v>303</v>
      </c>
    </row>
    <row r="579">
      <c r="A579" s="15" t="s">
        <v>1034</v>
      </c>
      <c r="B579" s="5">
        <v>9.89724067E9</v>
      </c>
      <c r="F579" s="5" t="s">
        <v>303</v>
      </c>
    </row>
    <row r="580">
      <c r="A580" s="15" t="s">
        <v>1036</v>
      </c>
      <c r="B580" s="5">
        <v>9.810475416E9</v>
      </c>
      <c r="F580" s="5" t="s">
        <v>303</v>
      </c>
    </row>
    <row r="581">
      <c r="A581" s="15" t="s">
        <v>1037</v>
      </c>
      <c r="B581" s="5">
        <v>7.867863922E9</v>
      </c>
      <c r="F581" s="5" t="s">
        <v>303</v>
      </c>
    </row>
    <row r="582">
      <c r="A582" s="15" t="s">
        <v>1038</v>
      </c>
      <c r="B582" s="5">
        <v>9.837494154E9</v>
      </c>
      <c r="F582" s="5" t="s">
        <v>303</v>
      </c>
    </row>
    <row r="583">
      <c r="A583" s="15" t="s">
        <v>1039</v>
      </c>
      <c r="B583" s="5">
        <v>9.259266486E9</v>
      </c>
      <c r="F583" s="5" t="s">
        <v>303</v>
      </c>
    </row>
    <row r="584">
      <c r="A584" s="15" t="s">
        <v>1040</v>
      </c>
      <c r="B584" s="5">
        <v>9.811377734E9</v>
      </c>
      <c r="F584" s="5" t="s">
        <v>303</v>
      </c>
    </row>
    <row r="585">
      <c r="A585" s="15" t="s">
        <v>534</v>
      </c>
      <c r="B585" s="5">
        <v>7.827464273E9</v>
      </c>
      <c r="F585" s="5" t="s">
        <v>303</v>
      </c>
    </row>
    <row r="586">
      <c r="A586" s="15" t="s">
        <v>1041</v>
      </c>
      <c r="B586" s="5">
        <v>8.130573386E9</v>
      </c>
      <c r="F586" s="5" t="s">
        <v>303</v>
      </c>
    </row>
    <row r="587">
      <c r="A587" s="13" t="s">
        <v>1042</v>
      </c>
      <c r="B587" s="13">
        <v>9.953131628E9</v>
      </c>
      <c r="C587" s="19"/>
      <c r="D587" s="19"/>
      <c r="E587" s="19"/>
      <c r="F587" s="13" t="s">
        <v>303</v>
      </c>
      <c r="G587" s="19"/>
    </row>
    <row r="588">
      <c r="A588" s="5" t="s">
        <v>1043</v>
      </c>
      <c r="B588" s="5">
        <v>8.700481289E9</v>
      </c>
      <c r="F588" s="5" t="s">
        <v>303</v>
      </c>
    </row>
    <row r="589">
      <c r="A589" s="5" t="s">
        <v>1044</v>
      </c>
      <c r="B589" s="5">
        <v>9.91036172E9</v>
      </c>
      <c r="F589" s="5" t="s">
        <v>303</v>
      </c>
    </row>
    <row r="590">
      <c r="A590" s="5" t="s">
        <v>1045</v>
      </c>
      <c r="B590" s="5">
        <v>9.873009325E9</v>
      </c>
      <c r="F590" s="5" t="s">
        <v>303</v>
      </c>
    </row>
    <row r="591">
      <c r="A591" s="5" t="s">
        <v>1046</v>
      </c>
      <c r="B591" s="5">
        <v>9.81827868E9</v>
      </c>
      <c r="F591" s="5" t="s">
        <v>303</v>
      </c>
    </row>
    <row r="592">
      <c r="A592" s="5" t="s">
        <v>1047</v>
      </c>
      <c r="B592" s="5">
        <v>8.532842941E9</v>
      </c>
      <c r="F592" s="5" t="s">
        <v>303</v>
      </c>
    </row>
    <row r="593">
      <c r="A593" s="5" t="s">
        <v>1048</v>
      </c>
      <c r="B593" s="5">
        <v>9.953295326E9</v>
      </c>
      <c r="F593" s="5" t="s">
        <v>303</v>
      </c>
    </row>
    <row r="594">
      <c r="A594" s="5" t="s">
        <v>1049</v>
      </c>
      <c r="B594" s="5">
        <v>9.313327555E9</v>
      </c>
      <c r="D594" s="5" t="s">
        <v>79</v>
      </c>
      <c r="F594" s="5" t="s">
        <v>303</v>
      </c>
    </row>
    <row r="595">
      <c r="A595" s="5" t="s">
        <v>1050</v>
      </c>
      <c r="B595" s="5">
        <v>9.81893479E9</v>
      </c>
      <c r="F595" s="5" t="s">
        <v>303</v>
      </c>
    </row>
    <row r="596">
      <c r="A596" s="5" t="s">
        <v>1051</v>
      </c>
      <c r="B596" s="5">
        <v>8.851210573E9</v>
      </c>
      <c r="F596" s="5" t="s">
        <v>303</v>
      </c>
    </row>
    <row r="597">
      <c r="A597" s="5" t="s">
        <v>1052</v>
      </c>
      <c r="B597" s="5">
        <v>9.958204258E9</v>
      </c>
      <c r="F597" s="5" t="s">
        <v>303</v>
      </c>
    </row>
    <row r="598">
      <c r="A598" s="5" t="s">
        <v>1053</v>
      </c>
      <c r="B598" s="5">
        <v>9.78521872E9</v>
      </c>
      <c r="D598" s="5" t="s">
        <v>26</v>
      </c>
      <c r="F598" s="5" t="s">
        <v>303</v>
      </c>
    </row>
    <row r="599">
      <c r="A599" s="5" t="s">
        <v>1054</v>
      </c>
      <c r="B599" s="5">
        <v>9.711226719E9</v>
      </c>
      <c r="F599" s="5" t="s">
        <v>303</v>
      </c>
    </row>
    <row r="600">
      <c r="A600" s="5" t="s">
        <v>1055</v>
      </c>
      <c r="B600" s="5">
        <v>9.868917674E9</v>
      </c>
      <c r="D600" s="5" t="s">
        <v>227</v>
      </c>
      <c r="F600" s="5" t="s">
        <v>303</v>
      </c>
    </row>
    <row r="601">
      <c r="A601" s="5" t="s">
        <v>1056</v>
      </c>
      <c r="B601" s="5">
        <v>7.98818387E9</v>
      </c>
      <c r="F601" s="5" t="s">
        <v>303</v>
      </c>
    </row>
    <row r="602">
      <c r="A602" s="5" t="s">
        <v>1057</v>
      </c>
      <c r="B602" s="5">
        <v>7.678302111E9</v>
      </c>
      <c r="F602" s="5" t="s">
        <v>303</v>
      </c>
    </row>
    <row r="603">
      <c r="A603" s="5" t="s">
        <v>1058</v>
      </c>
      <c r="B603" s="5">
        <v>9.717047066E9</v>
      </c>
      <c r="F603" s="5" t="s">
        <v>303</v>
      </c>
    </row>
    <row r="604">
      <c r="A604" s="5" t="s">
        <v>1059</v>
      </c>
      <c r="B604" s="5">
        <v>9.810357152E9</v>
      </c>
      <c r="D604" s="5" t="s">
        <v>769</v>
      </c>
      <c r="F604" s="5" t="s">
        <v>303</v>
      </c>
    </row>
    <row r="605">
      <c r="A605" s="5" t="s">
        <v>1060</v>
      </c>
      <c r="B605" s="5">
        <v>7.011100151E9</v>
      </c>
      <c r="F605" s="5" t="s">
        <v>303</v>
      </c>
    </row>
    <row r="606">
      <c r="A606" s="5" t="s">
        <v>1061</v>
      </c>
      <c r="B606" s="5">
        <v>9.911071738E9</v>
      </c>
      <c r="D606" s="5" t="s">
        <v>227</v>
      </c>
      <c r="F606" s="5" t="s">
        <v>303</v>
      </c>
    </row>
    <row r="607">
      <c r="A607" s="13" t="s">
        <v>1062</v>
      </c>
      <c r="B607" s="13">
        <v>9.999778779E9</v>
      </c>
      <c r="C607" s="19"/>
      <c r="D607" s="19"/>
      <c r="E607" s="19"/>
      <c r="F607" s="13" t="s">
        <v>303</v>
      </c>
      <c r="G607" s="19"/>
    </row>
    <row r="608">
      <c r="A608" s="5" t="s">
        <v>1063</v>
      </c>
      <c r="B608" s="5">
        <v>8.076405075E9</v>
      </c>
      <c r="F608" s="5" t="s">
        <v>303</v>
      </c>
    </row>
    <row r="609">
      <c r="A609" s="5" t="s">
        <v>1064</v>
      </c>
      <c r="B609" s="5">
        <v>9.540715413E9</v>
      </c>
      <c r="F609" s="5" t="s">
        <v>303</v>
      </c>
    </row>
    <row r="610">
      <c r="A610" s="5" t="s">
        <v>1065</v>
      </c>
      <c r="B610" s="5">
        <v>9.87319521E9</v>
      </c>
      <c r="F610" s="5" t="s">
        <v>303</v>
      </c>
    </row>
    <row r="611">
      <c r="A611" s="5" t="s">
        <v>1066</v>
      </c>
      <c r="B611" s="5">
        <v>8.287384502E9</v>
      </c>
      <c r="F611" s="5" t="s">
        <v>303</v>
      </c>
    </row>
    <row r="612">
      <c r="A612" s="5" t="s">
        <v>1067</v>
      </c>
      <c r="B612" s="5">
        <v>8.920271919E9</v>
      </c>
      <c r="C612" s="5" t="s">
        <v>704</v>
      </c>
      <c r="D612" s="5" t="s">
        <v>1068</v>
      </c>
      <c r="F612" s="5" t="s">
        <v>303</v>
      </c>
    </row>
    <row r="613">
      <c r="A613" s="5" t="s">
        <v>1069</v>
      </c>
      <c r="B613" s="5">
        <v>9.898568358E9</v>
      </c>
      <c r="F613" s="5" t="s">
        <v>303</v>
      </c>
    </row>
    <row r="614">
      <c r="A614" s="5" t="s">
        <v>1070</v>
      </c>
      <c r="B614" s="5">
        <v>9.560356725E9</v>
      </c>
      <c r="F614" s="5" t="s">
        <v>303</v>
      </c>
    </row>
    <row r="615">
      <c r="A615" s="5" t="s">
        <v>1071</v>
      </c>
      <c r="C615" s="5">
        <v>8.851558975E9</v>
      </c>
      <c r="F615" s="5" t="s">
        <v>303</v>
      </c>
    </row>
    <row r="616">
      <c r="A616" s="5" t="s">
        <v>1072</v>
      </c>
      <c r="B616" s="5">
        <v>9.897292396E9</v>
      </c>
      <c r="F616" s="5" t="s">
        <v>303</v>
      </c>
    </row>
    <row r="617">
      <c r="A617" s="5" t="s">
        <v>1073</v>
      </c>
      <c r="B617" s="5">
        <v>9.810050886E9</v>
      </c>
      <c r="F617" s="5" t="s">
        <v>303</v>
      </c>
    </row>
    <row r="618">
      <c r="A618" s="5" t="s">
        <v>109</v>
      </c>
      <c r="B618" s="5">
        <v>9.650473808E9</v>
      </c>
      <c r="F618" s="5" t="s">
        <v>303</v>
      </c>
    </row>
    <row r="619">
      <c r="A619" s="5" t="s">
        <v>1074</v>
      </c>
      <c r="B619" s="5">
        <v>8.810455353E9</v>
      </c>
      <c r="D619" s="5" t="s">
        <v>79</v>
      </c>
      <c r="F619" s="5" t="s">
        <v>303</v>
      </c>
    </row>
    <row r="620">
      <c r="A620" s="5" t="s">
        <v>1075</v>
      </c>
      <c r="B620" s="5">
        <v>8.287463205E9</v>
      </c>
      <c r="D620" s="5" t="s">
        <v>79</v>
      </c>
      <c r="F620" s="5" t="s">
        <v>303</v>
      </c>
    </row>
    <row r="621">
      <c r="A621" s="5" t="s">
        <v>470</v>
      </c>
      <c r="B621" s="5">
        <v>8.882757533E9</v>
      </c>
      <c r="F621" s="5" t="s">
        <v>303</v>
      </c>
    </row>
    <row r="622">
      <c r="A622" s="5" t="s">
        <v>1076</v>
      </c>
      <c r="B622" s="5">
        <v>7.701992094E9</v>
      </c>
      <c r="C622" s="5" t="s">
        <v>1077</v>
      </c>
      <c r="F622" s="5" t="s">
        <v>303</v>
      </c>
    </row>
    <row r="623">
      <c r="A623" s="5" t="s">
        <v>578</v>
      </c>
      <c r="B623" s="5">
        <v>7.302058607E9</v>
      </c>
      <c r="F623" s="5" t="s">
        <v>303</v>
      </c>
    </row>
    <row r="624">
      <c r="A624" s="5" t="s">
        <v>1078</v>
      </c>
      <c r="B624" s="5">
        <v>9.069383477E9</v>
      </c>
      <c r="F624" s="5" t="s">
        <v>303</v>
      </c>
    </row>
    <row r="625">
      <c r="A625" s="5" t="s">
        <v>1079</v>
      </c>
      <c r="B625" s="5">
        <v>8.285771333E9</v>
      </c>
      <c r="F625" s="5" t="s">
        <v>303</v>
      </c>
    </row>
    <row r="626">
      <c r="A626" s="5" t="s">
        <v>1080</v>
      </c>
      <c r="B626" s="5">
        <v>9.369861936E9</v>
      </c>
      <c r="D626" s="5" t="s">
        <v>79</v>
      </c>
      <c r="F626" s="5" t="s">
        <v>303</v>
      </c>
    </row>
    <row r="627">
      <c r="A627" s="5" t="s">
        <v>1081</v>
      </c>
      <c r="B627" s="5">
        <v>8.373990865E9</v>
      </c>
      <c r="F627" s="5" t="s">
        <v>303</v>
      </c>
    </row>
    <row r="628">
      <c r="A628" s="13" t="s">
        <v>1082</v>
      </c>
      <c r="B628" s="13">
        <v>9.81107104E9</v>
      </c>
      <c r="C628" s="19"/>
      <c r="D628" s="13" t="s">
        <v>1083</v>
      </c>
      <c r="E628" s="19"/>
      <c r="F628" s="5" t="s">
        <v>303</v>
      </c>
    </row>
    <row r="629">
      <c r="A629" s="5" t="s">
        <v>1084</v>
      </c>
      <c r="B629" s="5">
        <v>7.827420999E9</v>
      </c>
      <c r="F629" s="5" t="s">
        <v>303</v>
      </c>
    </row>
    <row r="630">
      <c r="A630" s="5" t="s">
        <v>1085</v>
      </c>
      <c r="B630" s="5">
        <v>8.178369552E9</v>
      </c>
      <c r="F630" s="5" t="s">
        <v>303</v>
      </c>
    </row>
    <row r="631">
      <c r="A631" s="5" t="s">
        <v>1086</v>
      </c>
      <c r="B631" s="5">
        <v>8.882673359E9</v>
      </c>
      <c r="F631" s="5" t="s">
        <v>303</v>
      </c>
    </row>
    <row r="632">
      <c r="A632" s="5" t="s">
        <v>1087</v>
      </c>
      <c r="B632" s="5">
        <v>8.802259205E9</v>
      </c>
      <c r="D632" s="5" t="s">
        <v>79</v>
      </c>
      <c r="F632" s="5" t="s">
        <v>303</v>
      </c>
    </row>
    <row r="633">
      <c r="A633" s="5" t="s">
        <v>802</v>
      </c>
      <c r="B633" s="5">
        <v>9.416013958E9</v>
      </c>
      <c r="D633" s="5" t="s">
        <v>918</v>
      </c>
      <c r="F633" s="5" t="s">
        <v>303</v>
      </c>
    </row>
    <row r="634">
      <c r="A634" s="5" t="s">
        <v>916</v>
      </c>
      <c r="B634" s="5">
        <v>9.818122775E9</v>
      </c>
      <c r="F634" s="5" t="s">
        <v>303</v>
      </c>
    </row>
    <row r="635">
      <c r="A635" s="5" t="s">
        <v>1088</v>
      </c>
      <c r="B635" s="5">
        <v>9.910947361E9</v>
      </c>
      <c r="D635" s="5" t="s">
        <v>1089</v>
      </c>
      <c r="F635" s="5" t="s">
        <v>303</v>
      </c>
    </row>
    <row r="636">
      <c r="A636" s="5" t="s">
        <v>392</v>
      </c>
      <c r="B636" s="5">
        <v>9.718419266E9</v>
      </c>
      <c r="F636" s="5" t="s">
        <v>303</v>
      </c>
    </row>
    <row r="637">
      <c r="A637" s="5" t="s">
        <v>1090</v>
      </c>
      <c r="B637" s="5">
        <v>7.906432313E9</v>
      </c>
      <c r="F637" s="5" t="s">
        <v>303</v>
      </c>
    </row>
    <row r="638">
      <c r="A638" s="5" t="s">
        <v>1091</v>
      </c>
      <c r="B638" s="5">
        <v>9.65066964E9</v>
      </c>
      <c r="C638" s="5" t="s">
        <v>1092</v>
      </c>
      <c r="F638" s="5" t="s">
        <v>303</v>
      </c>
    </row>
    <row r="639">
      <c r="A639" s="5" t="s">
        <v>1093</v>
      </c>
      <c r="B639" s="5">
        <v>7.290997342E9</v>
      </c>
      <c r="F639" s="5" t="s">
        <v>303</v>
      </c>
    </row>
    <row r="640">
      <c r="A640" s="5" t="s">
        <v>1094</v>
      </c>
      <c r="B640" s="5">
        <v>9.899200949E9</v>
      </c>
      <c r="F640" s="5" t="s">
        <v>303</v>
      </c>
    </row>
    <row r="641">
      <c r="A641" s="5" t="s">
        <v>1095</v>
      </c>
      <c r="B641" s="5">
        <v>9.891644849E9</v>
      </c>
      <c r="F641" s="5" t="s">
        <v>303</v>
      </c>
    </row>
    <row r="642">
      <c r="A642" s="5" t="s">
        <v>1096</v>
      </c>
      <c r="B642" s="5">
        <v>9.873683662E9</v>
      </c>
      <c r="F642" s="5" t="s">
        <v>303</v>
      </c>
    </row>
    <row r="643">
      <c r="A643" s="5" t="s">
        <v>1097</v>
      </c>
      <c r="B643" s="5">
        <v>8.383057583E9</v>
      </c>
      <c r="F643" s="5" t="s">
        <v>303</v>
      </c>
    </row>
    <row r="644">
      <c r="A644" s="5" t="s">
        <v>1098</v>
      </c>
      <c r="B644" s="5">
        <v>9.999036034E9</v>
      </c>
      <c r="F644" s="5" t="s">
        <v>303</v>
      </c>
    </row>
    <row r="645">
      <c r="A645" s="5" t="s">
        <v>1099</v>
      </c>
      <c r="B645" s="5">
        <v>9.873474943E9</v>
      </c>
      <c r="D645" s="5" t="s">
        <v>227</v>
      </c>
      <c r="F645" s="5" t="s">
        <v>303</v>
      </c>
    </row>
    <row r="646">
      <c r="A646" s="5" t="s">
        <v>1100</v>
      </c>
      <c r="B646" s="5">
        <v>7.04896335E9</v>
      </c>
      <c r="D646" s="5" t="s">
        <v>1101</v>
      </c>
      <c r="F646" s="5" t="s">
        <v>303</v>
      </c>
    </row>
    <row r="647">
      <c r="A647" s="5" t="s">
        <v>1102</v>
      </c>
      <c r="B647" s="5">
        <v>9.654402411E9</v>
      </c>
      <c r="F647" s="5" t="s">
        <v>303</v>
      </c>
    </row>
    <row r="648">
      <c r="A648" s="13" t="s">
        <v>1103</v>
      </c>
      <c r="B648" s="13">
        <v>9.899541532E9</v>
      </c>
      <c r="C648" s="19"/>
      <c r="D648" s="19"/>
      <c r="E648" s="19"/>
      <c r="F648" s="5" t="s">
        <v>303</v>
      </c>
    </row>
    <row r="649">
      <c r="A649" s="5" t="s">
        <v>1104</v>
      </c>
      <c r="B649" s="5">
        <v>7.260976163E9</v>
      </c>
      <c r="F649" s="5" t="s">
        <v>303</v>
      </c>
    </row>
    <row r="650">
      <c r="A650" s="5" t="s">
        <v>1105</v>
      </c>
      <c r="B650" s="5">
        <v>9.21059666E9</v>
      </c>
      <c r="F650" s="5" t="s">
        <v>303</v>
      </c>
    </row>
    <row r="651">
      <c r="A651" s="5" t="s">
        <v>1106</v>
      </c>
      <c r="B651" s="5">
        <v>8.287261371E9</v>
      </c>
      <c r="F651" s="5" t="s">
        <v>303</v>
      </c>
    </row>
    <row r="652">
      <c r="A652" s="5" t="s">
        <v>400</v>
      </c>
      <c r="B652" s="5">
        <v>9.871470631E9</v>
      </c>
      <c r="F652" s="5" t="s">
        <v>303</v>
      </c>
    </row>
    <row r="653">
      <c r="A653" s="5" t="s">
        <v>1107</v>
      </c>
      <c r="B653" s="5">
        <v>9.953199193E9</v>
      </c>
      <c r="D653" s="5" t="s">
        <v>21</v>
      </c>
      <c r="F653" s="5" t="s">
        <v>303</v>
      </c>
    </row>
    <row r="654">
      <c r="A654" s="5" t="s">
        <v>1108</v>
      </c>
      <c r="B654" s="5">
        <v>9.760899169E9</v>
      </c>
      <c r="F654" s="5" t="s">
        <v>303</v>
      </c>
    </row>
    <row r="655">
      <c r="A655" s="5" t="s">
        <v>1109</v>
      </c>
      <c r="B655" s="5">
        <v>9.334491365E9</v>
      </c>
      <c r="D655" s="5" t="s">
        <v>1110</v>
      </c>
      <c r="F655" s="5" t="s">
        <v>303</v>
      </c>
    </row>
    <row r="656">
      <c r="A656" s="5" t="s">
        <v>1111</v>
      </c>
      <c r="B656" s="5">
        <v>9.812755443E9</v>
      </c>
      <c r="C656" s="5" t="s">
        <v>1112</v>
      </c>
      <c r="D656" s="5" t="s">
        <v>1113</v>
      </c>
      <c r="F656" s="5" t="s">
        <v>303</v>
      </c>
    </row>
    <row r="657">
      <c r="A657" s="5" t="s">
        <v>1114</v>
      </c>
      <c r="B657" s="5">
        <v>9.999788252E9</v>
      </c>
      <c r="D657" s="5" t="s">
        <v>15</v>
      </c>
      <c r="F657" s="5" t="s">
        <v>303</v>
      </c>
    </row>
    <row r="658">
      <c r="A658" s="5" t="s">
        <v>1115</v>
      </c>
      <c r="B658" s="5">
        <v>9.873734443E9</v>
      </c>
      <c r="F658" s="5" t="s">
        <v>303</v>
      </c>
    </row>
    <row r="659">
      <c r="A659" s="5" t="s">
        <v>1116</v>
      </c>
      <c r="B659" s="5">
        <v>9.876471095E9</v>
      </c>
      <c r="F659" s="5" t="s">
        <v>303</v>
      </c>
    </row>
    <row r="660">
      <c r="A660" s="5" t="s">
        <v>1117</v>
      </c>
      <c r="B660" s="5">
        <v>9.871778443E9</v>
      </c>
      <c r="D660" s="5" t="s">
        <v>1118</v>
      </c>
      <c r="F660" s="5" t="s">
        <v>303</v>
      </c>
    </row>
    <row r="661">
      <c r="A661" s="5" t="s">
        <v>1119</v>
      </c>
      <c r="B661" s="5">
        <v>9.810100011E9</v>
      </c>
      <c r="F661" s="5" t="s">
        <v>303</v>
      </c>
    </row>
    <row r="662">
      <c r="A662" s="5" t="s">
        <v>604</v>
      </c>
      <c r="B662" s="5">
        <v>9.810100011E9</v>
      </c>
      <c r="F662" s="5" t="s">
        <v>303</v>
      </c>
    </row>
    <row r="663">
      <c r="A663" s="5" t="s">
        <v>1120</v>
      </c>
      <c r="B663" s="5">
        <v>9.899164197E9</v>
      </c>
      <c r="D663" s="5" t="s">
        <v>79</v>
      </c>
      <c r="F663" s="5" t="s">
        <v>303</v>
      </c>
    </row>
    <row r="664">
      <c r="A664" s="5" t="s">
        <v>1121</v>
      </c>
      <c r="B664" s="5">
        <v>9.870353772E9</v>
      </c>
      <c r="F664" s="5" t="s">
        <v>303</v>
      </c>
    </row>
    <row r="665">
      <c r="A665" s="5" t="s">
        <v>1122</v>
      </c>
      <c r="B665" s="5">
        <v>9.91065195E9</v>
      </c>
      <c r="D665" s="5" t="s">
        <v>26</v>
      </c>
      <c r="F665" s="5" t="s">
        <v>303</v>
      </c>
    </row>
    <row r="666">
      <c r="A666" s="5" t="s">
        <v>628</v>
      </c>
      <c r="B666" s="5">
        <v>9.953567385E9</v>
      </c>
      <c r="D666" s="5" t="s">
        <v>769</v>
      </c>
      <c r="F666" s="5" t="s">
        <v>303</v>
      </c>
    </row>
    <row r="667">
      <c r="A667" s="5" t="s">
        <v>1123</v>
      </c>
      <c r="B667" s="5">
        <v>9.654845992E9</v>
      </c>
      <c r="D667" s="5" t="s">
        <v>143</v>
      </c>
      <c r="F667" s="5" t="s">
        <v>303</v>
      </c>
    </row>
    <row r="668">
      <c r="A668" s="13" t="s">
        <v>1124</v>
      </c>
      <c r="B668" s="13">
        <v>7.011746025E9</v>
      </c>
      <c r="C668" s="19"/>
      <c r="D668" s="19"/>
      <c r="E668" s="19"/>
      <c r="F668" s="13" t="s">
        <v>303</v>
      </c>
      <c r="G668" s="19"/>
    </row>
    <row r="669">
      <c r="A669" s="5" t="s">
        <v>1125</v>
      </c>
      <c r="B669" s="5">
        <v>8.700529227E9</v>
      </c>
      <c r="D669" s="5" t="s">
        <v>1126</v>
      </c>
      <c r="F669" s="5" t="s">
        <v>303</v>
      </c>
    </row>
    <row r="670">
      <c r="A670" s="5" t="s">
        <v>1100</v>
      </c>
      <c r="B670" s="5">
        <v>9.711975062E9</v>
      </c>
      <c r="F670" s="5" t="s">
        <v>303</v>
      </c>
    </row>
    <row r="671">
      <c r="A671" s="5" t="s">
        <v>1127</v>
      </c>
      <c r="B671" s="5">
        <v>9.716767457E9</v>
      </c>
      <c r="F671" s="5" t="s">
        <v>303</v>
      </c>
    </row>
    <row r="672">
      <c r="A672" s="5" t="s">
        <v>1128</v>
      </c>
      <c r="B672" s="5">
        <v>9.671962626E9</v>
      </c>
      <c r="F672" s="5" t="s">
        <v>303</v>
      </c>
    </row>
    <row r="673">
      <c r="A673" s="5" t="s">
        <v>35</v>
      </c>
      <c r="B673" s="5">
        <v>9.831677954E9</v>
      </c>
      <c r="D673" s="5" t="s">
        <v>1129</v>
      </c>
      <c r="F673" s="5" t="s">
        <v>303</v>
      </c>
    </row>
    <row r="674">
      <c r="A674" s="5" t="s">
        <v>219</v>
      </c>
      <c r="B674" s="5">
        <v>9.91022025E9</v>
      </c>
      <c r="F674" s="5" t="s">
        <v>303</v>
      </c>
    </row>
    <row r="675">
      <c r="A675" s="5" t="s">
        <v>1130</v>
      </c>
      <c r="B675" s="5">
        <v>9.540010515E9</v>
      </c>
      <c r="F675" s="5" t="s">
        <v>303</v>
      </c>
    </row>
    <row r="676">
      <c r="A676" s="5" t="s">
        <v>1131</v>
      </c>
      <c r="B676" s="5">
        <v>9.811531764E9</v>
      </c>
      <c r="D676" s="5" t="s">
        <v>227</v>
      </c>
      <c r="F676" s="5" t="s">
        <v>303</v>
      </c>
    </row>
    <row r="677">
      <c r="A677" s="5" t="s">
        <v>1132</v>
      </c>
      <c r="B677" s="5">
        <v>9.818434782E9</v>
      </c>
      <c r="F677" s="5" t="s">
        <v>303</v>
      </c>
    </row>
    <row r="678">
      <c r="A678" s="5" t="s">
        <v>1133</v>
      </c>
      <c r="B678" s="5">
        <v>9.814477776E9</v>
      </c>
      <c r="D678" s="5" t="s">
        <v>227</v>
      </c>
      <c r="F678" s="5" t="s">
        <v>303</v>
      </c>
    </row>
    <row r="679">
      <c r="A679" s="5" t="s">
        <v>1134</v>
      </c>
      <c r="B679" s="5">
        <v>9.350195244E9</v>
      </c>
      <c r="D679" s="5" t="s">
        <v>227</v>
      </c>
      <c r="F679" s="5" t="s">
        <v>303</v>
      </c>
    </row>
    <row r="680">
      <c r="A680" s="5" t="s">
        <v>1135</v>
      </c>
      <c r="B680" s="5">
        <v>7.011177425E9</v>
      </c>
      <c r="F680" s="5" t="s">
        <v>303</v>
      </c>
    </row>
    <row r="681">
      <c r="A681" s="5" t="s">
        <v>1136</v>
      </c>
      <c r="B681" s="5">
        <v>9.810296558E9</v>
      </c>
      <c r="F681" s="5" t="s">
        <v>303</v>
      </c>
    </row>
    <row r="682">
      <c r="A682" s="5" t="s">
        <v>1137</v>
      </c>
      <c r="B682" s="5">
        <v>8.851981625E9</v>
      </c>
      <c r="F682" s="5" t="s">
        <v>303</v>
      </c>
    </row>
    <row r="683">
      <c r="A683" s="5" t="s">
        <v>1138</v>
      </c>
      <c r="B683" s="5">
        <v>8.700521475E9</v>
      </c>
      <c r="D683" s="5" t="s">
        <v>1139</v>
      </c>
      <c r="F683" s="5" t="s">
        <v>303</v>
      </c>
    </row>
    <row r="684">
      <c r="A684" s="5" t="s">
        <v>1140</v>
      </c>
      <c r="B684" s="5">
        <v>9.95830166E9</v>
      </c>
      <c r="F684" s="5" t="s">
        <v>303</v>
      </c>
    </row>
    <row r="685">
      <c r="A685" s="5" t="s">
        <v>1141</v>
      </c>
      <c r="B685" s="5">
        <v>7.982438635E9</v>
      </c>
      <c r="F685" s="5" t="s">
        <v>303</v>
      </c>
    </row>
    <row r="686">
      <c r="A686" s="5" t="s">
        <v>771</v>
      </c>
      <c r="B686" s="5">
        <v>8.286514444E9</v>
      </c>
      <c r="F686" s="5" t="s">
        <v>303</v>
      </c>
    </row>
    <row r="687">
      <c r="A687" s="5" t="s">
        <v>1142</v>
      </c>
      <c r="B687" s="5">
        <v>9.891071575E9</v>
      </c>
      <c r="F687" s="5" t="s">
        <v>303</v>
      </c>
    </row>
    <row r="688">
      <c r="A688" s="13" t="s">
        <v>1143</v>
      </c>
      <c r="B688" s="13">
        <v>9.877256193E9</v>
      </c>
      <c r="C688" s="19"/>
      <c r="D688" s="19"/>
      <c r="E688" s="19"/>
      <c r="F688" s="13" t="s">
        <v>303</v>
      </c>
      <c r="G688" s="19"/>
    </row>
    <row r="689">
      <c r="A689" s="5" t="s">
        <v>1144</v>
      </c>
      <c r="B689" s="5">
        <v>7.986864579E9</v>
      </c>
      <c r="F689" s="5" t="s">
        <v>303</v>
      </c>
    </row>
    <row r="690">
      <c r="A690" s="5" t="s">
        <v>1145</v>
      </c>
      <c r="B690" s="5">
        <v>9.528893869E9</v>
      </c>
      <c r="F690" s="5" t="s">
        <v>303</v>
      </c>
    </row>
    <row r="691">
      <c r="A691" s="5" t="s">
        <v>1146</v>
      </c>
      <c r="B691" s="5">
        <v>8.439299415E9</v>
      </c>
      <c r="F691" s="5" t="s">
        <v>303</v>
      </c>
    </row>
    <row r="692">
      <c r="A692" s="5" t="s">
        <v>708</v>
      </c>
      <c r="B692" s="5">
        <v>8.445131465E9</v>
      </c>
      <c r="F692" s="5" t="s">
        <v>303</v>
      </c>
    </row>
    <row r="693">
      <c r="A693" s="5" t="s">
        <v>1147</v>
      </c>
      <c r="B693" s="5">
        <v>7.078132156E9</v>
      </c>
      <c r="F693" s="5" t="s">
        <v>303</v>
      </c>
    </row>
    <row r="694">
      <c r="A694" s="5" t="s">
        <v>1100</v>
      </c>
      <c r="B694" s="5">
        <v>9.811513211E9</v>
      </c>
      <c r="D694" s="5" t="s">
        <v>1139</v>
      </c>
      <c r="F694" s="5" t="s">
        <v>303</v>
      </c>
    </row>
    <row r="695">
      <c r="A695" s="5" t="s">
        <v>1148</v>
      </c>
      <c r="B695" s="5">
        <v>9.620007757E9</v>
      </c>
      <c r="F695" s="5" t="s">
        <v>303</v>
      </c>
    </row>
    <row r="696">
      <c r="A696" s="5" t="s">
        <v>1149</v>
      </c>
      <c r="B696" s="5">
        <v>9.990652611E9</v>
      </c>
      <c r="F696" s="5" t="s">
        <v>303</v>
      </c>
    </row>
    <row r="697">
      <c r="A697" s="5" t="s">
        <v>1150</v>
      </c>
      <c r="B697" s="5">
        <v>9.990563278E9</v>
      </c>
      <c r="F697" s="5" t="s">
        <v>303</v>
      </c>
    </row>
    <row r="698">
      <c r="A698" s="5" t="s">
        <v>1151</v>
      </c>
      <c r="B698" s="5">
        <v>9.818894957E9</v>
      </c>
      <c r="F698" s="5" t="s">
        <v>303</v>
      </c>
    </row>
    <row r="699">
      <c r="A699" s="5" t="s">
        <v>1152</v>
      </c>
      <c r="B699" s="5">
        <v>8.8025E9</v>
      </c>
      <c r="C699" s="5" t="s">
        <v>1153</v>
      </c>
      <c r="D699" s="5" t="s">
        <v>1154</v>
      </c>
      <c r="F699" s="5" t="s">
        <v>303</v>
      </c>
    </row>
    <row r="700">
      <c r="A700" s="5" t="s">
        <v>812</v>
      </c>
      <c r="B700" s="5">
        <v>9.928914801E9</v>
      </c>
      <c r="F700" s="5" t="s">
        <v>303</v>
      </c>
    </row>
    <row r="701">
      <c r="A701" s="5" t="s">
        <v>1155</v>
      </c>
      <c r="B701" s="5">
        <v>7.078462239E9</v>
      </c>
      <c r="F701" s="5" t="s">
        <v>303</v>
      </c>
    </row>
    <row r="702">
      <c r="A702" s="5" t="s">
        <v>1156</v>
      </c>
      <c r="B702" s="5">
        <v>9.810216E9</v>
      </c>
      <c r="F702" s="5" t="s">
        <v>303</v>
      </c>
    </row>
    <row r="703">
      <c r="A703" s="5" t="s">
        <v>534</v>
      </c>
      <c r="B703" s="5">
        <v>9.891109797E9</v>
      </c>
      <c r="F703" s="5" t="s">
        <v>303</v>
      </c>
    </row>
    <row r="704">
      <c r="A704" s="5" t="s">
        <v>1157</v>
      </c>
      <c r="B704" s="5">
        <v>9.971850039E9</v>
      </c>
      <c r="F704" s="5" t="s">
        <v>303</v>
      </c>
    </row>
    <row r="705">
      <c r="A705" s="5" t="s">
        <v>1158</v>
      </c>
      <c r="B705" s="5">
        <v>9.953093456E9</v>
      </c>
      <c r="D705" s="5" t="s">
        <v>79</v>
      </c>
      <c r="F705" s="5" t="s">
        <v>303</v>
      </c>
    </row>
    <row r="706">
      <c r="A706" s="5" t="s">
        <v>1159</v>
      </c>
      <c r="B706" s="5">
        <v>9.990178259E9</v>
      </c>
      <c r="F706" s="5" t="s">
        <v>303</v>
      </c>
    </row>
    <row r="707">
      <c r="A707" s="5" t="s">
        <v>1160</v>
      </c>
      <c r="B707" s="5">
        <v>9.958568875E9</v>
      </c>
      <c r="D707" s="5" t="s">
        <v>79</v>
      </c>
      <c r="F707" s="5" t="s">
        <v>303</v>
      </c>
    </row>
    <row r="708">
      <c r="A708" s="13" t="s">
        <v>1161</v>
      </c>
      <c r="B708" s="13">
        <v>9.99950897E9</v>
      </c>
      <c r="C708" s="19"/>
      <c r="D708" s="13" t="s">
        <v>79</v>
      </c>
      <c r="E708" s="19"/>
      <c r="F708" s="13" t="s">
        <v>303</v>
      </c>
      <c r="G708" s="19"/>
    </row>
    <row r="709">
      <c r="A709" s="5" t="s">
        <v>390</v>
      </c>
      <c r="B709" s="5">
        <v>9.910330327E9</v>
      </c>
      <c r="F709" s="5" t="s">
        <v>303</v>
      </c>
    </row>
    <row r="710">
      <c r="A710" s="5" t="s">
        <v>1162</v>
      </c>
      <c r="B710" s="5">
        <v>9.891377909E9</v>
      </c>
      <c r="F710" s="5" t="s">
        <v>303</v>
      </c>
    </row>
    <row r="711">
      <c r="A711" s="5" t="s">
        <v>1163</v>
      </c>
      <c r="B711" s="5">
        <v>9.717283223E9</v>
      </c>
      <c r="F711" s="5" t="s">
        <v>303</v>
      </c>
    </row>
    <row r="712">
      <c r="A712" s="5" t="s">
        <v>1164</v>
      </c>
      <c r="B712" s="5">
        <v>9.999607257E9</v>
      </c>
      <c r="F712" s="5" t="s">
        <v>303</v>
      </c>
    </row>
    <row r="713">
      <c r="A713" s="5" t="s">
        <v>1165</v>
      </c>
      <c r="B713" s="5">
        <v>9.873606005E9</v>
      </c>
      <c r="F713" s="5" t="s">
        <v>303</v>
      </c>
    </row>
    <row r="714">
      <c r="A714" s="5" t="s">
        <v>1166</v>
      </c>
      <c r="B714" s="5">
        <v>9.971424028E9</v>
      </c>
      <c r="F714" s="5" t="s">
        <v>303</v>
      </c>
    </row>
    <row r="715">
      <c r="A715" s="5" t="s">
        <v>1167</v>
      </c>
      <c r="B715" s="5">
        <v>9.643857045E9</v>
      </c>
      <c r="D715" s="5" t="s">
        <v>918</v>
      </c>
      <c r="E715" s="7" t="s">
        <v>1168</v>
      </c>
      <c r="F715" s="5" t="s">
        <v>303</v>
      </c>
    </row>
    <row r="716">
      <c r="A716" s="5" t="s">
        <v>1169</v>
      </c>
      <c r="B716" s="5">
        <v>8.006431791E9</v>
      </c>
      <c r="D716" s="5" t="s">
        <v>227</v>
      </c>
      <c r="F716" s="5" t="s">
        <v>303</v>
      </c>
    </row>
    <row r="717">
      <c r="A717" s="5" t="s">
        <v>1170</v>
      </c>
      <c r="B717" s="5">
        <v>9.773579821E9</v>
      </c>
      <c r="D717" s="5" t="s">
        <v>227</v>
      </c>
      <c r="F717" s="5" t="s">
        <v>303</v>
      </c>
    </row>
    <row r="718">
      <c r="A718" s="5" t="s">
        <v>1171</v>
      </c>
      <c r="B718" s="5">
        <v>8.826365121E9</v>
      </c>
      <c r="F718" s="5" t="s">
        <v>303</v>
      </c>
    </row>
    <row r="719">
      <c r="A719" s="5" t="s">
        <v>628</v>
      </c>
      <c r="B719" s="5">
        <v>8.800118624E9</v>
      </c>
      <c r="F719" s="5" t="s">
        <v>303</v>
      </c>
    </row>
    <row r="720">
      <c r="A720" s="5" t="s">
        <v>110</v>
      </c>
      <c r="B720" s="5">
        <v>9.6433123E9</v>
      </c>
      <c r="F720" s="5" t="s">
        <v>303</v>
      </c>
    </row>
    <row r="721">
      <c r="A721" s="5" t="s">
        <v>1172</v>
      </c>
      <c r="B721" s="5">
        <v>9.643039713E9</v>
      </c>
      <c r="F721" s="5" t="s">
        <v>303</v>
      </c>
    </row>
    <row r="722">
      <c r="A722" s="5" t="s">
        <v>1173</v>
      </c>
      <c r="B722" s="5">
        <v>8.700001755E9</v>
      </c>
      <c r="F722" s="5" t="s">
        <v>303</v>
      </c>
    </row>
    <row r="723">
      <c r="A723" s="5" t="s">
        <v>1174</v>
      </c>
      <c r="B723" s="5">
        <v>9.456074818E9</v>
      </c>
      <c r="D723" s="5" t="s">
        <v>227</v>
      </c>
      <c r="F723" s="5" t="s">
        <v>303</v>
      </c>
    </row>
    <row r="724">
      <c r="A724" s="5" t="s">
        <v>1175</v>
      </c>
      <c r="B724" s="5">
        <v>9.409021428E9</v>
      </c>
      <c r="D724" s="5" t="s">
        <v>227</v>
      </c>
      <c r="F724" s="5" t="s">
        <v>303</v>
      </c>
    </row>
    <row r="725">
      <c r="A725" s="5" t="s">
        <v>1176</v>
      </c>
      <c r="B725" s="5">
        <v>9.311556679E9</v>
      </c>
      <c r="D725" s="5" t="s">
        <v>227</v>
      </c>
      <c r="F725" s="5" t="s">
        <v>303</v>
      </c>
    </row>
    <row r="726">
      <c r="A726" s="5" t="s">
        <v>1177</v>
      </c>
      <c r="B726" s="5">
        <v>9.711134431E9</v>
      </c>
      <c r="D726" s="5" t="s">
        <v>79</v>
      </c>
      <c r="F726" s="5" t="s">
        <v>303</v>
      </c>
    </row>
    <row r="727">
      <c r="A727" s="5" t="s">
        <v>1178</v>
      </c>
      <c r="B727" s="5">
        <v>8.920518074E9</v>
      </c>
      <c r="D727" s="5" t="s">
        <v>71</v>
      </c>
      <c r="F727" s="5" t="s">
        <v>303</v>
      </c>
    </row>
    <row r="728">
      <c r="A728" s="13" t="s">
        <v>1138</v>
      </c>
      <c r="B728" s="13">
        <v>7.988502833E9</v>
      </c>
      <c r="C728" s="19"/>
      <c r="D728" s="13" t="s">
        <v>227</v>
      </c>
      <c r="E728" s="19"/>
      <c r="F728" s="13" t="s">
        <v>303</v>
      </c>
      <c r="G728" s="19"/>
    </row>
    <row r="729">
      <c r="A729" s="5" t="s">
        <v>1179</v>
      </c>
      <c r="B729" s="5">
        <v>9.67140055E9</v>
      </c>
      <c r="F729" s="5" t="s">
        <v>303</v>
      </c>
    </row>
    <row r="730">
      <c r="A730" s="5" t="s">
        <v>1180</v>
      </c>
      <c r="B730" s="5">
        <v>9.910544189E9</v>
      </c>
      <c r="D730" s="5" t="s">
        <v>79</v>
      </c>
      <c r="F730" s="5" t="s">
        <v>303</v>
      </c>
    </row>
    <row r="731">
      <c r="A731" s="5" t="s">
        <v>1181</v>
      </c>
      <c r="B731" s="5">
        <v>9.968240521E9</v>
      </c>
      <c r="F731" s="5" t="s">
        <v>303</v>
      </c>
    </row>
    <row r="732">
      <c r="A732" s="5" t="s">
        <v>1182</v>
      </c>
      <c r="B732" s="5">
        <v>9.811137281E9</v>
      </c>
      <c r="F732" s="5" t="s">
        <v>303</v>
      </c>
    </row>
    <row r="733">
      <c r="A733" s="5" t="s">
        <v>1100</v>
      </c>
      <c r="B733" s="5">
        <v>9.810712114E9</v>
      </c>
      <c r="D733" s="5" t="s">
        <v>837</v>
      </c>
      <c r="F733" s="5" t="s">
        <v>303</v>
      </c>
    </row>
    <row r="734">
      <c r="A734" s="5" t="s">
        <v>1195</v>
      </c>
      <c r="B734" s="5">
        <v>9.87391383E9</v>
      </c>
      <c r="F734" s="5" t="s">
        <v>303</v>
      </c>
    </row>
    <row r="735">
      <c r="A735" s="5" t="s">
        <v>655</v>
      </c>
      <c r="B735" s="5">
        <v>8.130107044E9</v>
      </c>
      <c r="F735" s="5" t="s">
        <v>303</v>
      </c>
    </row>
    <row r="736">
      <c r="A736" s="5" t="s">
        <v>1213</v>
      </c>
      <c r="B736" s="5">
        <v>9.166085159E9</v>
      </c>
      <c r="F736" s="5" t="s">
        <v>303</v>
      </c>
    </row>
    <row r="737">
      <c r="A737" s="5" t="s">
        <v>1218</v>
      </c>
      <c r="B737" s="5">
        <v>7.011044741E9</v>
      </c>
      <c r="F737" s="5" t="s">
        <v>303</v>
      </c>
    </row>
    <row r="738">
      <c r="A738" s="5" t="s">
        <v>1219</v>
      </c>
      <c r="B738" s="5">
        <v>9.87303439E9</v>
      </c>
      <c r="D738" s="5" t="s">
        <v>1220</v>
      </c>
      <c r="F738" s="5" t="s">
        <v>303</v>
      </c>
    </row>
    <row r="739">
      <c r="A739" s="5" t="s">
        <v>1221</v>
      </c>
      <c r="B739" s="5">
        <v>9.458727872E9</v>
      </c>
      <c r="F739" s="5" t="s">
        <v>303</v>
      </c>
    </row>
    <row r="740">
      <c r="A740" s="5" t="s">
        <v>1224</v>
      </c>
      <c r="B740" s="5">
        <v>7.351541273E9</v>
      </c>
      <c r="F740" s="5" t="s">
        <v>303</v>
      </c>
    </row>
    <row r="741">
      <c r="A741" s="5" t="s">
        <v>1227</v>
      </c>
      <c r="B741" s="5">
        <v>9.568680868E9</v>
      </c>
      <c r="F741" s="5" t="s">
        <v>303</v>
      </c>
    </row>
    <row r="742">
      <c r="A742" s="5" t="s">
        <v>1231</v>
      </c>
      <c r="B742" s="5">
        <v>9.810935927E9</v>
      </c>
      <c r="F742" s="5" t="s">
        <v>303</v>
      </c>
    </row>
    <row r="743">
      <c r="A743" s="5" t="s">
        <v>1247</v>
      </c>
      <c r="B743" s="5">
        <v>9.911659963E9</v>
      </c>
      <c r="D743" s="5" t="s">
        <v>15</v>
      </c>
      <c r="F743" s="5" t="s">
        <v>303</v>
      </c>
    </row>
    <row r="744">
      <c r="A744" s="5" t="s">
        <v>1224</v>
      </c>
      <c r="B744" s="5">
        <v>8.800875071E9</v>
      </c>
      <c r="F744" s="5" t="s">
        <v>303</v>
      </c>
    </row>
    <row r="745">
      <c r="A745" s="5" t="s">
        <v>1250</v>
      </c>
      <c r="B745" s="5">
        <v>9.310171263E9</v>
      </c>
      <c r="F745" s="5" t="s">
        <v>303</v>
      </c>
    </row>
    <row r="746">
      <c r="A746" s="5" t="s">
        <v>1253</v>
      </c>
      <c r="B746" s="5">
        <v>9.717679138E9</v>
      </c>
      <c r="F746" s="5" t="s">
        <v>303</v>
      </c>
    </row>
    <row r="747">
      <c r="A747" s="5" t="s">
        <v>1257</v>
      </c>
      <c r="B747" s="5">
        <v>9.8992725E9</v>
      </c>
      <c r="F747" s="5" t="s">
        <v>303</v>
      </c>
    </row>
    <row r="748">
      <c r="A748" s="5" t="s">
        <v>1258</v>
      </c>
      <c r="B748" s="5">
        <v>8.88287004E9</v>
      </c>
      <c r="D748" s="5" t="s">
        <v>1259</v>
      </c>
      <c r="F748" s="5" t="s">
        <v>303</v>
      </c>
    </row>
    <row r="749">
      <c r="A749" s="5" t="s">
        <v>1285</v>
      </c>
      <c r="B749" s="5">
        <v>9.582336531E9</v>
      </c>
      <c r="F749" s="5" t="s">
        <v>303</v>
      </c>
    </row>
    <row r="750">
      <c r="A750" s="5" t="s">
        <v>1287</v>
      </c>
      <c r="B750" s="5">
        <v>8.587095043E9</v>
      </c>
      <c r="F750" s="5" t="s">
        <v>303</v>
      </c>
    </row>
    <row r="751">
      <c r="A751" s="5" t="s">
        <v>1292</v>
      </c>
      <c r="B751" s="5">
        <v>9.416001087E9</v>
      </c>
      <c r="F751" s="5" t="s">
        <v>303</v>
      </c>
    </row>
    <row r="752">
      <c r="A752" s="5" t="s">
        <v>477</v>
      </c>
      <c r="B752" s="5">
        <v>9.560627105E9</v>
      </c>
      <c r="D752" s="5" t="s">
        <v>227</v>
      </c>
      <c r="F752" s="5" t="s">
        <v>303</v>
      </c>
    </row>
    <row r="753">
      <c r="A753" s="5" t="s">
        <v>1295</v>
      </c>
      <c r="B753" s="5">
        <v>9.896098378E9</v>
      </c>
      <c r="F753" s="5" t="s">
        <v>303</v>
      </c>
    </row>
    <row r="754">
      <c r="A754" s="5" t="s">
        <v>1087</v>
      </c>
      <c r="B754" s="5">
        <v>9.013296384E9</v>
      </c>
      <c r="F754" s="5" t="s">
        <v>303</v>
      </c>
    </row>
    <row r="755">
      <c r="A755" s="5" t="s">
        <v>1298</v>
      </c>
      <c r="B755" s="5">
        <v>8.447431386E9</v>
      </c>
      <c r="F755" s="5" t="s">
        <v>303</v>
      </c>
    </row>
    <row r="756">
      <c r="A756" s="5" t="s">
        <v>1299</v>
      </c>
      <c r="B756" s="5">
        <v>8.826566266E9</v>
      </c>
      <c r="F756" s="5" t="s">
        <v>303</v>
      </c>
    </row>
    <row r="757">
      <c r="A757" s="5" t="s">
        <v>1301</v>
      </c>
      <c r="B757" s="5">
        <v>9.315157034E9</v>
      </c>
      <c r="F757" s="5" t="s">
        <v>303</v>
      </c>
    </row>
    <row r="758">
      <c r="A758" s="5" t="s">
        <v>1305</v>
      </c>
      <c r="B758" s="5">
        <v>9.650839779E9</v>
      </c>
      <c r="D758" s="5" t="s">
        <v>71</v>
      </c>
      <c r="F758" s="5" t="s">
        <v>303</v>
      </c>
    </row>
    <row r="759">
      <c r="A759" s="5" t="s">
        <v>1307</v>
      </c>
      <c r="B759" s="5">
        <v>9.999794698E9</v>
      </c>
      <c r="F759" s="5" t="s">
        <v>303</v>
      </c>
    </row>
    <row r="760">
      <c r="A760" s="5" t="s">
        <v>1310</v>
      </c>
      <c r="B760" s="5">
        <v>7.424890104E9</v>
      </c>
      <c r="F760" s="5" t="s">
        <v>303</v>
      </c>
    </row>
    <row r="761">
      <c r="A761" s="5" t="s">
        <v>427</v>
      </c>
      <c r="B761" s="5">
        <v>9.560195376E9</v>
      </c>
      <c r="F761" s="5" t="s">
        <v>303</v>
      </c>
    </row>
    <row r="762">
      <c r="A762" s="5" t="s">
        <v>1313</v>
      </c>
      <c r="B762" s="5">
        <v>9.079148378E9</v>
      </c>
      <c r="F762" s="5" t="s">
        <v>303</v>
      </c>
    </row>
    <row r="763">
      <c r="A763" s="5" t="s">
        <v>1315</v>
      </c>
      <c r="B763" s="5">
        <v>9.711343316E9</v>
      </c>
      <c r="F763" s="5" t="s">
        <v>303</v>
      </c>
    </row>
    <row r="764">
      <c r="A764" s="5" t="s">
        <v>659</v>
      </c>
      <c r="B764" s="5">
        <v>7.06585968E9</v>
      </c>
      <c r="F764" s="5" t="s">
        <v>303</v>
      </c>
    </row>
    <row r="765">
      <c r="A765" s="5" t="s">
        <v>1319</v>
      </c>
      <c r="B765" s="5">
        <v>9.654601971E9</v>
      </c>
      <c r="F765" s="5" t="s">
        <v>303</v>
      </c>
    </row>
    <row r="766">
      <c r="A766" s="5" t="s">
        <v>229</v>
      </c>
      <c r="B766" s="5">
        <v>9.353218769E9</v>
      </c>
      <c r="F766" s="5" t="s">
        <v>303</v>
      </c>
    </row>
    <row r="767">
      <c r="A767" s="5" t="s">
        <v>1320</v>
      </c>
      <c r="B767" s="5">
        <v>9.900829318E9</v>
      </c>
      <c r="F767" s="5" t="s">
        <v>303</v>
      </c>
    </row>
    <row r="768">
      <c r="A768" s="5" t="s">
        <v>1323</v>
      </c>
      <c r="B768" s="5">
        <v>8.237433062E9</v>
      </c>
      <c r="F768" s="5" t="s">
        <v>303</v>
      </c>
    </row>
    <row r="769">
      <c r="A769" s="5" t="s">
        <v>1326</v>
      </c>
      <c r="B769" s="5">
        <v>9.717243668E9</v>
      </c>
      <c r="F769" s="5" t="s">
        <v>303</v>
      </c>
    </row>
    <row r="770">
      <c r="A770" s="5" t="s">
        <v>1330</v>
      </c>
      <c r="B770" s="5">
        <v>9.311017876E9</v>
      </c>
      <c r="F770" s="5" t="s">
        <v>303</v>
      </c>
    </row>
    <row r="771">
      <c r="A771" s="5" t="s">
        <v>1331</v>
      </c>
      <c r="B771" s="5">
        <v>9.760100216E9</v>
      </c>
      <c r="D771" s="5" t="s">
        <v>227</v>
      </c>
      <c r="F771" s="5" t="s">
        <v>303</v>
      </c>
    </row>
    <row r="772">
      <c r="A772" s="5" t="s">
        <v>1334</v>
      </c>
      <c r="B772" s="5">
        <v>7.892952788E9</v>
      </c>
      <c r="F772" s="5" t="s">
        <v>303</v>
      </c>
    </row>
    <row r="773">
      <c r="A773" s="5" t="s">
        <v>1335</v>
      </c>
      <c r="B773" s="5">
        <v>9.818412116E9</v>
      </c>
      <c r="F773" s="5" t="s">
        <v>303</v>
      </c>
    </row>
    <row r="774">
      <c r="A774" s="5" t="s">
        <v>1336</v>
      </c>
      <c r="B774" s="5">
        <v>7.678522847E9</v>
      </c>
      <c r="F774" s="5" t="s">
        <v>303</v>
      </c>
    </row>
    <row r="775">
      <c r="A775" s="5" t="s">
        <v>1337</v>
      </c>
      <c r="B775" s="5">
        <v>9.211528861E9</v>
      </c>
      <c r="F775" s="5" t="s">
        <v>303</v>
      </c>
    </row>
    <row r="776">
      <c r="A776" s="5" t="s">
        <v>1338</v>
      </c>
      <c r="B776" s="5">
        <v>9.871185853E9</v>
      </c>
      <c r="F776" s="5" t="s">
        <v>303</v>
      </c>
    </row>
    <row r="777">
      <c r="A777" s="5" t="s">
        <v>1224</v>
      </c>
      <c r="B777" s="5">
        <v>9.971765E9</v>
      </c>
      <c r="F777" s="5" t="s">
        <v>303</v>
      </c>
    </row>
    <row r="778">
      <c r="A778" s="5" t="s">
        <v>1339</v>
      </c>
      <c r="B778" s="5">
        <v>9.711473428E9</v>
      </c>
      <c r="F778" s="5" t="s">
        <v>303</v>
      </c>
    </row>
    <row r="779">
      <c r="A779" s="5" t="s">
        <v>1340</v>
      </c>
      <c r="B779" s="5">
        <v>9.21226268E9</v>
      </c>
      <c r="F779" s="5" t="s">
        <v>303</v>
      </c>
    </row>
    <row r="780">
      <c r="A780" s="5" t="s">
        <v>1341</v>
      </c>
      <c r="B780" s="5">
        <v>9.268881696E9</v>
      </c>
      <c r="F780" s="5" t="s">
        <v>303</v>
      </c>
    </row>
    <row r="781">
      <c r="A781" s="5" t="s">
        <v>1342</v>
      </c>
      <c r="B781" s="5">
        <v>9.21169973E9</v>
      </c>
      <c r="F781" s="5" t="s">
        <v>303</v>
      </c>
    </row>
    <row r="782">
      <c r="A782" s="5" t="s">
        <v>1343</v>
      </c>
      <c r="B782" s="5">
        <v>6.39553042E9</v>
      </c>
      <c r="F782" s="5" t="s">
        <v>303</v>
      </c>
    </row>
    <row r="783">
      <c r="A783" s="5" t="s">
        <v>1344</v>
      </c>
      <c r="B783" s="5">
        <v>7.906727502E9</v>
      </c>
      <c r="F783" s="5" t="s">
        <v>303</v>
      </c>
    </row>
    <row r="784">
      <c r="A784" s="5" t="s">
        <v>1345</v>
      </c>
      <c r="B784" s="5">
        <v>9.7118017E9</v>
      </c>
      <c r="F784" s="5" t="s">
        <v>303</v>
      </c>
    </row>
    <row r="785">
      <c r="A785" s="5" t="s">
        <v>1346</v>
      </c>
      <c r="B785" s="5">
        <v>9.315177088E9</v>
      </c>
      <c r="F785" s="5" t="s">
        <v>303</v>
      </c>
    </row>
    <row r="786">
      <c r="A786" s="5" t="s">
        <v>1347</v>
      </c>
      <c r="B786" s="5">
        <v>9.971439003E9</v>
      </c>
      <c r="F786" s="5" t="s">
        <v>303</v>
      </c>
    </row>
    <row r="787">
      <c r="A787" s="5" t="s">
        <v>1348</v>
      </c>
      <c r="B787" s="5">
        <v>8.383050576E9</v>
      </c>
      <c r="F787" s="5" t="s">
        <v>303</v>
      </c>
    </row>
    <row r="788">
      <c r="A788" s="5" t="s">
        <v>1349</v>
      </c>
      <c r="B788" s="5">
        <v>9.03492461E9</v>
      </c>
      <c r="F788" s="5" t="s">
        <v>303</v>
      </c>
    </row>
    <row r="789">
      <c r="A789" s="5" t="s">
        <v>1350</v>
      </c>
      <c r="B789" s="5">
        <v>9.999630318E9</v>
      </c>
      <c r="D789" s="5" t="s">
        <v>1351</v>
      </c>
      <c r="F789" s="5" t="s">
        <v>303</v>
      </c>
    </row>
    <row r="790">
      <c r="A790" s="5" t="s">
        <v>1352</v>
      </c>
      <c r="B790" s="5">
        <v>9.899965739E9</v>
      </c>
      <c r="F790" s="5" t="s">
        <v>303</v>
      </c>
    </row>
    <row r="791">
      <c r="A791" s="5" t="s">
        <v>1353</v>
      </c>
      <c r="B791" s="5">
        <v>8.287053601E9</v>
      </c>
      <c r="F791" s="5" t="s">
        <v>303</v>
      </c>
    </row>
    <row r="792">
      <c r="A792" s="5" t="s">
        <v>1354</v>
      </c>
      <c r="B792" s="5">
        <v>9.250429426E9</v>
      </c>
      <c r="F792" s="5" t="s">
        <v>303</v>
      </c>
    </row>
    <row r="793">
      <c r="A793" s="5" t="s">
        <v>1355</v>
      </c>
      <c r="B793" s="5">
        <v>9.818270113E9</v>
      </c>
      <c r="F793" s="5" t="s">
        <v>303</v>
      </c>
    </row>
    <row r="794">
      <c r="A794" s="5" t="s">
        <v>1356</v>
      </c>
      <c r="B794" s="5">
        <v>7.906432313E9</v>
      </c>
      <c r="F794" s="5" t="s">
        <v>303</v>
      </c>
    </row>
    <row r="795">
      <c r="A795" s="5" t="s">
        <v>1357</v>
      </c>
      <c r="B795" s="5">
        <v>7.042568045E9</v>
      </c>
      <c r="F795" s="5" t="s">
        <v>303</v>
      </c>
    </row>
    <row r="796">
      <c r="A796" s="5" t="s">
        <v>1358</v>
      </c>
      <c r="B796" s="5">
        <v>8.459817166E9</v>
      </c>
      <c r="F796" s="5" t="s">
        <v>303</v>
      </c>
    </row>
    <row r="797">
      <c r="A797" s="5" t="s">
        <v>1359</v>
      </c>
      <c r="B797" s="5">
        <v>8.59560009E9</v>
      </c>
      <c r="F797" s="5" t="s">
        <v>303</v>
      </c>
    </row>
    <row r="798">
      <c r="A798" s="5" t="s">
        <v>1360</v>
      </c>
      <c r="B798" s="5">
        <v>7.838559457E9</v>
      </c>
      <c r="F798" s="5" t="s">
        <v>303</v>
      </c>
    </row>
    <row r="799">
      <c r="A799" s="5" t="s">
        <v>1361</v>
      </c>
      <c r="B799" s="5">
        <v>8.287289592E9</v>
      </c>
      <c r="D799" s="5" t="s">
        <v>39</v>
      </c>
      <c r="E799" s="7" t="s">
        <v>1362</v>
      </c>
      <c r="F799" s="5" t="s">
        <v>303</v>
      </c>
    </row>
    <row r="800">
      <c r="A800" s="5" t="s">
        <v>1363</v>
      </c>
      <c r="B800" s="5">
        <v>9.81141771E9</v>
      </c>
      <c r="D800" s="5" t="s">
        <v>15</v>
      </c>
      <c r="F800" s="5" t="s">
        <v>303</v>
      </c>
    </row>
    <row r="801">
      <c r="A801" s="5" t="s">
        <v>1364</v>
      </c>
      <c r="B801" s="5">
        <v>8.178305139E9</v>
      </c>
      <c r="F801" s="5" t="s">
        <v>303</v>
      </c>
    </row>
    <row r="802">
      <c r="A802" s="5" t="s">
        <v>1365</v>
      </c>
      <c r="B802" s="5">
        <v>9.868466581E9</v>
      </c>
      <c r="F802" s="5" t="s">
        <v>303</v>
      </c>
    </row>
    <row r="803">
      <c r="A803" s="5" t="s">
        <v>1366</v>
      </c>
      <c r="B803" s="5">
        <v>9.899399973E9</v>
      </c>
      <c r="D803" s="5" t="s">
        <v>1367</v>
      </c>
      <c r="F803" s="5" t="s">
        <v>303</v>
      </c>
    </row>
    <row r="804">
      <c r="A804" s="5" t="s">
        <v>1368</v>
      </c>
      <c r="B804" s="5">
        <v>9.810762681E9</v>
      </c>
      <c r="F804" s="5" t="s">
        <v>303</v>
      </c>
    </row>
    <row r="805">
      <c r="A805" s="5" t="s">
        <v>1369</v>
      </c>
      <c r="B805" s="5">
        <v>8.586067717E9</v>
      </c>
      <c r="D805" s="5" t="s">
        <v>79</v>
      </c>
      <c r="F805" s="5" t="s">
        <v>303</v>
      </c>
    </row>
    <row r="806">
      <c r="A806" s="5" t="s">
        <v>1370</v>
      </c>
      <c r="B806" s="5">
        <v>8.586067717E9</v>
      </c>
      <c r="F806" s="5" t="s">
        <v>303</v>
      </c>
    </row>
    <row r="807">
      <c r="A807" s="5" t="s">
        <v>1371</v>
      </c>
      <c r="B807" s="5">
        <v>9.443373062E9</v>
      </c>
      <c r="D807" s="5" t="s">
        <v>79</v>
      </c>
      <c r="F807" s="5" t="s">
        <v>303</v>
      </c>
    </row>
    <row r="808">
      <c r="A808" s="5" t="s">
        <v>1372</v>
      </c>
      <c r="B808" s="5">
        <v>9.654503055E9</v>
      </c>
      <c r="D808" s="5" t="s">
        <v>769</v>
      </c>
      <c r="F808" s="5" t="s">
        <v>303</v>
      </c>
    </row>
    <row r="809">
      <c r="A809" s="5" t="s">
        <v>1373</v>
      </c>
      <c r="B809" s="5">
        <v>9.810925155E9</v>
      </c>
      <c r="F809" s="5" t="s">
        <v>303</v>
      </c>
    </row>
    <row r="810">
      <c r="A810" s="5" t="s">
        <v>1374</v>
      </c>
      <c r="B810" s="5">
        <v>9.135909492E9</v>
      </c>
      <c r="F810" s="5" t="s">
        <v>303</v>
      </c>
    </row>
    <row r="811">
      <c r="A811" s="5" t="s">
        <v>1375</v>
      </c>
      <c r="B811" s="5">
        <v>7.838576942E9</v>
      </c>
      <c r="D811" s="5" t="s">
        <v>793</v>
      </c>
      <c r="F811" s="5" t="s">
        <v>303</v>
      </c>
    </row>
    <row r="812">
      <c r="A812" s="5" t="s">
        <v>1376</v>
      </c>
      <c r="B812" s="5">
        <v>7.985649814E9</v>
      </c>
      <c r="D812" s="5" t="s">
        <v>15</v>
      </c>
      <c r="F812" s="5" t="s">
        <v>303</v>
      </c>
    </row>
    <row r="813">
      <c r="A813" s="5" t="s">
        <v>1377</v>
      </c>
      <c r="B813" s="5">
        <v>7.451069948E9</v>
      </c>
      <c r="D813" s="5" t="s">
        <v>1139</v>
      </c>
      <c r="F813" s="5" t="s">
        <v>303</v>
      </c>
    </row>
    <row r="814">
      <c r="A814" s="5" t="s">
        <v>120</v>
      </c>
      <c r="B814" s="5">
        <v>9.871349567E9</v>
      </c>
      <c r="F814" s="5" t="s">
        <v>303</v>
      </c>
    </row>
    <row r="815">
      <c r="A815" s="5" t="s">
        <v>1378</v>
      </c>
      <c r="B815" s="5">
        <v>9.958289037E9</v>
      </c>
      <c r="D815" s="5" t="s">
        <v>71</v>
      </c>
      <c r="F815" s="5" t="s">
        <v>303</v>
      </c>
    </row>
    <row r="816">
      <c r="A816" s="5" t="s">
        <v>651</v>
      </c>
      <c r="B816" s="5">
        <v>9.646133786E9</v>
      </c>
      <c r="F816" s="5" t="s">
        <v>303</v>
      </c>
    </row>
    <row r="817">
      <c r="A817" s="5" t="s">
        <v>1379</v>
      </c>
      <c r="B817" s="5">
        <v>9.968251805E9</v>
      </c>
      <c r="F817" s="5" t="s">
        <v>303</v>
      </c>
    </row>
    <row r="818">
      <c r="A818" s="5" t="s">
        <v>191</v>
      </c>
      <c r="B818" s="5">
        <v>9.466875167E9</v>
      </c>
      <c r="F818" s="5" t="s">
        <v>303</v>
      </c>
    </row>
    <row r="819">
      <c r="A819" s="5" t="s">
        <v>541</v>
      </c>
      <c r="B819" s="5">
        <v>9.899664866E9</v>
      </c>
      <c r="D819" s="5" t="s">
        <v>71</v>
      </c>
      <c r="F819" s="5" t="s">
        <v>303</v>
      </c>
    </row>
    <row r="820">
      <c r="A820" s="5" t="s">
        <v>1380</v>
      </c>
      <c r="B820" s="5">
        <v>9.971417987E9</v>
      </c>
      <c r="F820" s="5" t="s">
        <v>303</v>
      </c>
    </row>
    <row r="821">
      <c r="A821" s="5" t="s">
        <v>1381</v>
      </c>
      <c r="B821" s="5">
        <v>9.811164181E9</v>
      </c>
      <c r="F821" s="5" t="s">
        <v>303</v>
      </c>
    </row>
    <row r="822">
      <c r="A822" s="5" t="s">
        <v>1382</v>
      </c>
      <c r="B822" s="5">
        <v>9.511102211E9</v>
      </c>
      <c r="D822" s="5" t="s">
        <v>79</v>
      </c>
      <c r="F822" s="5" t="s">
        <v>303</v>
      </c>
    </row>
    <row r="823">
      <c r="A823" s="5" t="s">
        <v>1383</v>
      </c>
      <c r="B823" s="5">
        <v>8.383033578E9</v>
      </c>
      <c r="F823" s="5" t="s">
        <v>303</v>
      </c>
    </row>
    <row r="824">
      <c r="A824" s="5" t="s">
        <v>1384</v>
      </c>
      <c r="B824" s="5">
        <v>9.9714142E9</v>
      </c>
      <c r="D824" s="5" t="s">
        <v>1139</v>
      </c>
      <c r="F824" s="5" t="s">
        <v>303</v>
      </c>
    </row>
    <row r="825">
      <c r="A825" s="5" t="s">
        <v>1150</v>
      </c>
      <c r="B825" s="5">
        <v>9.210304168E9</v>
      </c>
      <c r="D825" s="5" t="s">
        <v>71</v>
      </c>
      <c r="F825" s="5" t="s">
        <v>303</v>
      </c>
    </row>
    <row r="826">
      <c r="A826" s="5" t="s">
        <v>1385</v>
      </c>
      <c r="B826" s="5">
        <v>9.818027072E9</v>
      </c>
      <c r="F826" s="5" t="s">
        <v>303</v>
      </c>
    </row>
    <row r="827">
      <c r="A827" s="5" t="s">
        <v>1386</v>
      </c>
      <c r="B827" s="5">
        <v>9.7182099E9</v>
      </c>
      <c r="F827" s="5" t="s">
        <v>303</v>
      </c>
    </row>
    <row r="828">
      <c r="A828" s="5" t="s">
        <v>1387</v>
      </c>
      <c r="B828" s="5">
        <v>9.560733032E9</v>
      </c>
      <c r="F828" s="5" t="s">
        <v>303</v>
      </c>
    </row>
    <row r="829">
      <c r="A829" s="5" t="s">
        <v>1388</v>
      </c>
      <c r="B829" s="5">
        <v>9.878041237E9</v>
      </c>
      <c r="D829" s="5" t="s">
        <v>15</v>
      </c>
      <c r="F829" s="5" t="s">
        <v>303</v>
      </c>
    </row>
    <row r="830">
      <c r="A830" s="5" t="s">
        <v>1389</v>
      </c>
      <c r="B830" s="5">
        <v>8.130696282E9</v>
      </c>
      <c r="F830" s="5" t="s">
        <v>303</v>
      </c>
    </row>
    <row r="831">
      <c r="A831" s="5" t="s">
        <v>432</v>
      </c>
      <c r="B831" s="5">
        <v>9.910885513E9</v>
      </c>
      <c r="D831" s="5" t="s">
        <v>1390</v>
      </c>
      <c r="F831" s="5" t="s">
        <v>303</v>
      </c>
    </row>
    <row r="832">
      <c r="A832" s="5" t="s">
        <v>1391</v>
      </c>
      <c r="B832" s="5">
        <v>9.717686233E9</v>
      </c>
      <c r="F832" s="5" t="s">
        <v>303</v>
      </c>
    </row>
    <row r="833">
      <c r="A833" s="5" t="s">
        <v>1392</v>
      </c>
      <c r="B833" s="5">
        <v>8.9308831E9</v>
      </c>
      <c r="D833" s="5" t="s">
        <v>1393</v>
      </c>
      <c r="F833" s="5" t="s">
        <v>303</v>
      </c>
    </row>
    <row r="834">
      <c r="A834" s="5" t="s">
        <v>578</v>
      </c>
      <c r="B834" s="5">
        <v>8.708544782E9</v>
      </c>
      <c r="D834" s="5" t="s">
        <v>1390</v>
      </c>
      <c r="F834" s="5" t="s">
        <v>303</v>
      </c>
    </row>
    <row r="835">
      <c r="A835" s="5" t="s">
        <v>1394</v>
      </c>
      <c r="B835" s="5">
        <v>8.800486305E9</v>
      </c>
      <c r="F835" s="5" t="s">
        <v>303</v>
      </c>
    </row>
    <row r="836">
      <c r="A836" s="5" t="s">
        <v>1395</v>
      </c>
      <c r="B836" s="5">
        <v>7.827228389E9</v>
      </c>
      <c r="F836" s="5" t="s">
        <v>303</v>
      </c>
    </row>
    <row r="837">
      <c r="A837" s="5" t="s">
        <v>1396</v>
      </c>
      <c r="B837" s="5">
        <v>9.990268709E9</v>
      </c>
      <c r="D837" s="5" t="s">
        <v>79</v>
      </c>
      <c r="F837" s="5" t="s">
        <v>303</v>
      </c>
    </row>
    <row r="838">
      <c r="A838" s="5" t="s">
        <v>1397</v>
      </c>
      <c r="B838" s="5">
        <v>9.518173629E9</v>
      </c>
      <c r="D838" s="5" t="s">
        <v>481</v>
      </c>
      <c r="F838" s="5" t="s">
        <v>303</v>
      </c>
    </row>
    <row r="839">
      <c r="A839" s="5" t="s">
        <v>1398</v>
      </c>
      <c r="B839" s="5">
        <v>9.404446059E9</v>
      </c>
      <c r="F839" s="5" t="s">
        <v>303</v>
      </c>
    </row>
    <row r="840">
      <c r="A840" s="5" t="s">
        <v>1399</v>
      </c>
      <c r="B840" s="5">
        <v>9.65480599E9</v>
      </c>
      <c r="F840" s="5" t="s">
        <v>303</v>
      </c>
    </row>
    <row r="841">
      <c r="A841" s="5" t="s">
        <v>911</v>
      </c>
      <c r="B841" s="5">
        <v>8.005173299E9</v>
      </c>
      <c r="F841" s="5" t="s">
        <v>303</v>
      </c>
    </row>
    <row r="842">
      <c r="A842" s="5" t="s">
        <v>1400</v>
      </c>
      <c r="B842" s="5">
        <v>9.990977525E9</v>
      </c>
      <c r="F842" s="5" t="s">
        <v>303</v>
      </c>
    </row>
    <row r="843">
      <c r="A843" s="5" t="s">
        <v>1193</v>
      </c>
      <c r="B843" s="5">
        <v>9.999150255E9</v>
      </c>
      <c r="F843" s="5" t="s">
        <v>303</v>
      </c>
    </row>
    <row r="844">
      <c r="A844" s="5" t="s">
        <v>1401</v>
      </c>
      <c r="B844" s="5">
        <v>7.053537747E9</v>
      </c>
      <c r="F844" s="5" t="s">
        <v>303</v>
      </c>
    </row>
    <row r="845">
      <c r="A845" s="5" t="s">
        <v>379</v>
      </c>
      <c r="B845" s="5">
        <v>9.818184141E9</v>
      </c>
      <c r="D845" s="5" t="s">
        <v>1402</v>
      </c>
      <c r="F845" s="5" t="s">
        <v>303</v>
      </c>
    </row>
    <row r="846">
      <c r="A846" s="5" t="s">
        <v>1403</v>
      </c>
      <c r="B846" s="5">
        <v>9.421532413E9</v>
      </c>
      <c r="C846" s="5" t="s">
        <v>1404</v>
      </c>
      <c r="D846" s="5" t="s">
        <v>15</v>
      </c>
      <c r="F846" s="5" t="s">
        <v>303</v>
      </c>
    </row>
    <row r="847">
      <c r="A847" s="5" t="s">
        <v>363</v>
      </c>
      <c r="B847" s="5">
        <v>9.990252777E9</v>
      </c>
      <c r="D847" s="5" t="s">
        <v>1405</v>
      </c>
      <c r="F847" s="5" t="s">
        <v>303</v>
      </c>
    </row>
    <row r="848">
      <c r="A848" s="5" t="s">
        <v>625</v>
      </c>
      <c r="B848" s="5">
        <v>7.982848105E9</v>
      </c>
      <c r="F848" s="5" t="s">
        <v>303</v>
      </c>
    </row>
    <row r="849">
      <c r="A849" s="5" t="s">
        <v>1406</v>
      </c>
      <c r="B849" s="5">
        <v>7.042895508E9</v>
      </c>
      <c r="D849" s="5" t="s">
        <v>1407</v>
      </c>
      <c r="F849" s="5" t="s">
        <v>303</v>
      </c>
    </row>
    <row r="850">
      <c r="A850" s="5" t="s">
        <v>604</v>
      </c>
      <c r="B850" s="5">
        <v>7.065443678E9</v>
      </c>
      <c r="D850" s="5" t="s">
        <v>15</v>
      </c>
      <c r="F850" s="5" t="s">
        <v>303</v>
      </c>
    </row>
    <row r="851">
      <c r="A851" s="5" t="s">
        <v>1408</v>
      </c>
      <c r="B851" s="5">
        <v>9.643267196E9</v>
      </c>
      <c r="F851" s="5" t="s">
        <v>303</v>
      </c>
    </row>
    <row r="852">
      <c r="A852" s="5" t="s">
        <v>1409</v>
      </c>
      <c r="B852" s="5">
        <v>8.467064777E9</v>
      </c>
      <c r="F852" s="5" t="s">
        <v>303</v>
      </c>
    </row>
    <row r="853">
      <c r="A853" s="5" t="s">
        <v>1142</v>
      </c>
      <c r="B853" s="5">
        <v>8.38408337E9</v>
      </c>
      <c r="D853" s="5" t="s">
        <v>26</v>
      </c>
      <c r="F853" s="5" t="s">
        <v>303</v>
      </c>
    </row>
    <row r="854">
      <c r="A854" s="5" t="s">
        <v>1410</v>
      </c>
      <c r="B854" s="5">
        <v>8.860445556E9</v>
      </c>
      <c r="F854" s="5" t="s">
        <v>303</v>
      </c>
    </row>
    <row r="855">
      <c r="A855" s="5" t="s">
        <v>1411</v>
      </c>
      <c r="B855" s="5">
        <v>9.868171454E9</v>
      </c>
      <c r="F855" s="5" t="s">
        <v>303</v>
      </c>
    </row>
    <row r="856">
      <c r="A856" s="5" t="s">
        <v>1412</v>
      </c>
      <c r="B856" s="5">
        <v>9.953643453E9</v>
      </c>
      <c r="F856" s="5" t="s">
        <v>303</v>
      </c>
    </row>
    <row r="857">
      <c r="A857" s="5" t="s">
        <v>1413</v>
      </c>
      <c r="B857" s="5">
        <v>9.891528054E9</v>
      </c>
      <c r="F857" s="5" t="s">
        <v>303</v>
      </c>
    </row>
    <row r="858">
      <c r="A858" s="5" t="s">
        <v>1028</v>
      </c>
      <c r="B858" s="5">
        <v>8.920719095E9</v>
      </c>
      <c r="F858" s="5" t="s">
        <v>303</v>
      </c>
    </row>
    <row r="859">
      <c r="A859" s="5" t="s">
        <v>1137</v>
      </c>
      <c r="B859" s="5">
        <v>8.235380448E9</v>
      </c>
      <c r="D859" s="5" t="s">
        <v>481</v>
      </c>
      <c r="F859" s="5" t="s">
        <v>303</v>
      </c>
    </row>
    <row r="860">
      <c r="A860" s="5" t="s">
        <v>1414</v>
      </c>
      <c r="B860" s="5">
        <v>9.899778405E9</v>
      </c>
      <c r="D860" s="5" t="s">
        <v>227</v>
      </c>
      <c r="F860" s="5" t="s">
        <v>303</v>
      </c>
    </row>
    <row r="861">
      <c r="A861" s="5" t="s">
        <v>1415</v>
      </c>
      <c r="B861" s="5">
        <v>9.045015642E9</v>
      </c>
      <c r="F861" s="5" t="s">
        <v>303</v>
      </c>
    </row>
    <row r="862">
      <c r="A862" s="5" t="s">
        <v>1416</v>
      </c>
      <c r="B862" s="5">
        <v>9.711790616E9</v>
      </c>
      <c r="D862" s="5" t="s">
        <v>15</v>
      </c>
      <c r="F862" s="5" t="s">
        <v>303</v>
      </c>
    </row>
    <row r="863">
      <c r="A863" s="5" t="s">
        <v>563</v>
      </c>
      <c r="B863" s="5">
        <v>9.99998042E9</v>
      </c>
      <c r="D863" s="5" t="s">
        <v>1417</v>
      </c>
      <c r="F863" s="5" t="s">
        <v>303</v>
      </c>
    </row>
    <row r="864">
      <c r="A864" s="5" t="s">
        <v>121</v>
      </c>
      <c r="B864" s="5">
        <v>8.287603303E9</v>
      </c>
      <c r="D864" s="5" t="s">
        <v>15</v>
      </c>
      <c r="F864" s="5" t="s">
        <v>303</v>
      </c>
    </row>
    <row r="865">
      <c r="A865" s="5" t="s">
        <v>490</v>
      </c>
      <c r="B865" s="5">
        <v>9.163489639E9</v>
      </c>
      <c r="F865" s="5" t="s">
        <v>303</v>
      </c>
    </row>
    <row r="866">
      <c r="A866" s="5" t="s">
        <v>1418</v>
      </c>
      <c r="B866" s="5">
        <v>9.990055287E9</v>
      </c>
      <c r="F866" s="5" t="s">
        <v>303</v>
      </c>
    </row>
    <row r="867">
      <c r="A867" s="5" t="s">
        <v>1419</v>
      </c>
      <c r="B867" s="5">
        <v>9.871553478E9</v>
      </c>
      <c r="D867" s="5" t="s">
        <v>1420</v>
      </c>
      <c r="F867" s="5" t="s">
        <v>303</v>
      </c>
    </row>
    <row r="868">
      <c r="A868" s="5" t="s">
        <v>534</v>
      </c>
      <c r="B868" s="5">
        <v>9.999666857E9</v>
      </c>
      <c r="D868" s="5" t="s">
        <v>1422</v>
      </c>
      <c r="F868" s="5" t="s">
        <v>303</v>
      </c>
    </row>
    <row r="869">
      <c r="A869" s="5" t="s">
        <v>1423</v>
      </c>
      <c r="B869" s="5">
        <v>7.011913257E9</v>
      </c>
      <c r="D869" s="5" t="s">
        <v>1424</v>
      </c>
      <c r="F869" s="5" t="s">
        <v>303</v>
      </c>
    </row>
    <row r="870">
      <c r="A870" s="5" t="s">
        <v>1425</v>
      </c>
      <c r="B870" s="5">
        <v>9.871308734E9</v>
      </c>
      <c r="F870" s="5" t="s">
        <v>303</v>
      </c>
    </row>
    <row r="871">
      <c r="A871" s="5" t="s">
        <v>1131</v>
      </c>
      <c r="B871" s="5">
        <v>9.211162027E9</v>
      </c>
      <c r="D871" s="5" t="s">
        <v>567</v>
      </c>
      <c r="F871" s="5" t="s">
        <v>303</v>
      </c>
    </row>
    <row r="872">
      <c r="A872" s="5" t="s">
        <v>1426</v>
      </c>
      <c r="B872" s="5">
        <v>9.717263163E9</v>
      </c>
      <c r="F872" s="5" t="s">
        <v>303</v>
      </c>
    </row>
    <row r="873">
      <c r="A873" s="5" t="s">
        <v>161</v>
      </c>
      <c r="B873" s="5">
        <v>9.818518397E9</v>
      </c>
      <c r="D873" s="5" t="s">
        <v>15</v>
      </c>
      <c r="F873" s="5" t="s">
        <v>303</v>
      </c>
    </row>
    <row r="874">
      <c r="A874" s="5" t="s">
        <v>491</v>
      </c>
      <c r="B874" s="5">
        <v>9.315533294E9</v>
      </c>
      <c r="F874" s="5" t="s">
        <v>303</v>
      </c>
    </row>
    <row r="875">
      <c r="A875" s="5" t="s">
        <v>760</v>
      </c>
      <c r="B875" s="5">
        <v>9.212027966E9</v>
      </c>
      <c r="F875" s="5" t="s">
        <v>303</v>
      </c>
    </row>
    <row r="876">
      <c r="A876" s="5" t="s">
        <v>1427</v>
      </c>
      <c r="B876" s="5">
        <v>9.811026601E9</v>
      </c>
      <c r="F876" s="5" t="s">
        <v>303</v>
      </c>
    </row>
    <row r="877">
      <c r="A877" s="5" t="s">
        <v>1428</v>
      </c>
      <c r="B877" s="5">
        <v>9.910397145E9</v>
      </c>
      <c r="D877" s="5" t="s">
        <v>15</v>
      </c>
      <c r="F877" s="5" t="s">
        <v>303</v>
      </c>
    </row>
    <row r="878">
      <c r="A878" s="5" t="s">
        <v>1429</v>
      </c>
      <c r="B878" s="5">
        <v>9.868209835E9</v>
      </c>
      <c r="F878" s="5" t="s">
        <v>303</v>
      </c>
    </row>
    <row r="879">
      <c r="A879" s="5" t="s">
        <v>1430</v>
      </c>
      <c r="B879" s="5">
        <v>9.716909344E9</v>
      </c>
      <c r="F879" s="5" t="s">
        <v>303</v>
      </c>
    </row>
    <row r="880">
      <c r="A880" s="5" t="s">
        <v>1431</v>
      </c>
      <c r="B880" s="5">
        <v>8.86006E9</v>
      </c>
      <c r="D880" s="5" t="s">
        <v>1432</v>
      </c>
      <c r="F880" s="5" t="s">
        <v>303</v>
      </c>
    </row>
    <row r="881">
      <c r="A881" s="5" t="s">
        <v>1433</v>
      </c>
      <c r="B881" s="5">
        <v>9.55528888E9</v>
      </c>
      <c r="F881" s="5" t="s">
        <v>303</v>
      </c>
    </row>
    <row r="882">
      <c r="A882" s="5" t="s">
        <v>1434</v>
      </c>
      <c r="B882" s="5">
        <v>9.873495572E9</v>
      </c>
      <c r="F882" s="5" t="s">
        <v>303</v>
      </c>
    </row>
    <row r="883">
      <c r="A883" s="5" t="s">
        <v>1435</v>
      </c>
      <c r="B883" s="5">
        <v>8.010020026E9</v>
      </c>
      <c r="F883" s="5" t="s">
        <v>303</v>
      </c>
    </row>
    <row r="884">
      <c r="A884" s="5" t="s">
        <v>1436</v>
      </c>
      <c r="B884" s="5">
        <v>8.882755234E9</v>
      </c>
      <c r="F884" s="5" t="s">
        <v>303</v>
      </c>
    </row>
    <row r="885">
      <c r="A885" s="5" t="s">
        <v>1437</v>
      </c>
      <c r="B885" s="5">
        <v>8.368099274E9</v>
      </c>
      <c r="F885" s="5" t="s">
        <v>303</v>
      </c>
    </row>
    <row r="886">
      <c r="A886" s="5" t="s">
        <v>1018</v>
      </c>
      <c r="B886" s="5">
        <v>8.8008189E9</v>
      </c>
      <c r="F886" s="5" t="s">
        <v>303</v>
      </c>
    </row>
    <row r="887">
      <c r="A887" s="5" t="s">
        <v>1438</v>
      </c>
      <c r="B887" s="5">
        <v>8.527143705E9</v>
      </c>
      <c r="D887" s="5" t="s">
        <v>71</v>
      </c>
      <c r="F887" s="5" t="s">
        <v>303</v>
      </c>
    </row>
    <row r="888">
      <c r="A888" s="5" t="s">
        <v>1439</v>
      </c>
      <c r="B888" s="5">
        <v>8.076208273E9</v>
      </c>
      <c r="D888" s="5" t="s">
        <v>764</v>
      </c>
      <c r="F888" s="5" t="s">
        <v>303</v>
      </c>
    </row>
    <row r="889">
      <c r="A889" s="5" t="s">
        <v>1440</v>
      </c>
      <c r="B889" s="5">
        <v>9.910940756E9</v>
      </c>
      <c r="F889" s="5" t="s">
        <v>303</v>
      </c>
    </row>
    <row r="890">
      <c r="A890" s="5" t="s">
        <v>1441</v>
      </c>
      <c r="B890" s="5">
        <v>9.999210796E9</v>
      </c>
      <c r="D890" s="5" t="s">
        <v>71</v>
      </c>
      <c r="F890" s="5" t="s">
        <v>303</v>
      </c>
    </row>
    <row r="891">
      <c r="A891" s="5" t="s">
        <v>1341</v>
      </c>
      <c r="B891" s="5">
        <v>8.899812772E9</v>
      </c>
      <c r="F891" s="5" t="s">
        <v>303</v>
      </c>
    </row>
    <row r="892">
      <c r="A892" s="5" t="s">
        <v>1442</v>
      </c>
      <c r="B892" s="5">
        <v>9.891895787E9</v>
      </c>
      <c r="F892" s="5" t="s">
        <v>303</v>
      </c>
    </row>
    <row r="893">
      <c r="A893" s="5" t="s">
        <v>1443</v>
      </c>
      <c r="B893" s="5">
        <v>9.71622356E9</v>
      </c>
      <c r="F893" s="5" t="s">
        <v>303</v>
      </c>
    </row>
    <row r="894">
      <c r="A894" s="5" t="s">
        <v>1444</v>
      </c>
      <c r="B894" s="5">
        <v>9.312939315E9</v>
      </c>
      <c r="F894" s="5" t="s">
        <v>303</v>
      </c>
    </row>
    <row r="895">
      <c r="A895" s="5" t="s">
        <v>1445</v>
      </c>
      <c r="B895" s="5">
        <v>6.268776844E9</v>
      </c>
      <c r="D895" s="5" t="s">
        <v>15</v>
      </c>
      <c r="F895" s="5" t="s">
        <v>303</v>
      </c>
    </row>
    <row r="896">
      <c r="A896" s="5" t="s">
        <v>1446</v>
      </c>
      <c r="B896" s="5">
        <v>9.71697718E9</v>
      </c>
      <c r="F896" s="5" t="s">
        <v>303</v>
      </c>
    </row>
    <row r="897">
      <c r="A897" s="5" t="s">
        <v>1447</v>
      </c>
      <c r="B897" s="5">
        <v>9.899148028E9</v>
      </c>
      <c r="D897" s="5" t="s">
        <v>227</v>
      </c>
      <c r="F897" s="5" t="s">
        <v>303</v>
      </c>
    </row>
    <row r="898">
      <c r="A898" s="5" t="s">
        <v>578</v>
      </c>
      <c r="B898" s="5">
        <v>8.802701137E9</v>
      </c>
      <c r="F898" s="5" t="s">
        <v>303</v>
      </c>
    </row>
    <row r="899">
      <c r="A899" s="5" t="s">
        <v>1448</v>
      </c>
      <c r="B899" s="5">
        <v>9.968276693E9</v>
      </c>
      <c r="D899" s="5" t="s">
        <v>15</v>
      </c>
      <c r="F899" s="5" t="s">
        <v>303</v>
      </c>
    </row>
    <row r="900">
      <c r="A900" s="5" t="s">
        <v>1131</v>
      </c>
      <c r="B900" s="5">
        <v>8.287873362E9</v>
      </c>
      <c r="D900" s="5" t="s">
        <v>15</v>
      </c>
      <c r="F900" s="5" t="s">
        <v>303</v>
      </c>
    </row>
    <row r="901">
      <c r="A901" s="5" t="s">
        <v>1449</v>
      </c>
      <c r="B901" s="5">
        <v>8.368885439E9</v>
      </c>
      <c r="D901" s="5" t="s">
        <v>1450</v>
      </c>
      <c r="F901" s="5" t="s">
        <v>303</v>
      </c>
    </row>
    <row r="902">
      <c r="A902" s="5" t="s">
        <v>1451</v>
      </c>
      <c r="B902" s="5">
        <v>7.865438945E9</v>
      </c>
      <c r="F902" s="5" t="s">
        <v>303</v>
      </c>
    </row>
    <row r="903">
      <c r="A903" s="5" t="s">
        <v>1452</v>
      </c>
      <c r="B903" s="5">
        <v>8.86090329E9</v>
      </c>
      <c r="D903" s="5" t="s">
        <v>71</v>
      </c>
      <c r="F903" s="5" t="s">
        <v>303</v>
      </c>
    </row>
    <row r="904">
      <c r="A904" s="5" t="s">
        <v>1453</v>
      </c>
      <c r="B904" s="5">
        <v>8.766230092E9</v>
      </c>
      <c r="F904" s="5" t="s">
        <v>303</v>
      </c>
    </row>
    <row r="905">
      <c r="A905" s="5" t="s">
        <v>1454</v>
      </c>
      <c r="B905" s="5">
        <v>8.81049345E9</v>
      </c>
      <c r="D905" s="5" t="s">
        <v>79</v>
      </c>
      <c r="F905" s="5" t="s">
        <v>303</v>
      </c>
    </row>
    <row r="906">
      <c r="A906" s="5" t="s">
        <v>1455</v>
      </c>
      <c r="B906" s="5">
        <v>7.303909823E9</v>
      </c>
      <c r="F906" s="5" t="s">
        <v>303</v>
      </c>
    </row>
    <row r="907">
      <c r="A907" s="5" t="s">
        <v>1456</v>
      </c>
      <c r="B907" s="5">
        <v>9.910279845E9</v>
      </c>
      <c r="D907" s="5" t="s">
        <v>1407</v>
      </c>
      <c r="F907" s="5" t="s">
        <v>303</v>
      </c>
    </row>
    <row r="908">
      <c r="A908" s="5" t="s">
        <v>1457</v>
      </c>
      <c r="B908" s="5">
        <v>9.999705679E9</v>
      </c>
      <c r="D908" s="5" t="s">
        <v>15</v>
      </c>
      <c r="F908" s="5" t="s">
        <v>303</v>
      </c>
    </row>
    <row r="909">
      <c r="A909" s="5" t="s">
        <v>1458</v>
      </c>
      <c r="B909" s="5">
        <v>9.953439074E9</v>
      </c>
      <c r="F909" s="5" t="s">
        <v>303</v>
      </c>
    </row>
    <row r="910">
      <c r="A910" s="5" t="s">
        <v>1459</v>
      </c>
      <c r="B910" s="5">
        <v>9.654263111E9</v>
      </c>
      <c r="F910" s="5" t="s">
        <v>303</v>
      </c>
    </row>
    <row r="911">
      <c r="A911" s="5" t="s">
        <v>1460</v>
      </c>
      <c r="B911" s="5">
        <v>9.810060342E9</v>
      </c>
      <c r="F911" s="5" t="s">
        <v>303</v>
      </c>
    </row>
    <row r="912">
      <c r="A912" s="5" t="s">
        <v>1461</v>
      </c>
      <c r="B912" s="5">
        <v>9.711915674E9</v>
      </c>
      <c r="F912" s="5" t="s">
        <v>303</v>
      </c>
    </row>
    <row r="913">
      <c r="A913" s="5" t="s">
        <v>1462</v>
      </c>
      <c r="B913" s="5">
        <v>9.911283363E9</v>
      </c>
      <c r="D913" s="5" t="s">
        <v>608</v>
      </c>
      <c r="F913" s="5" t="s">
        <v>303</v>
      </c>
    </row>
    <row r="914">
      <c r="A914" s="5" t="s">
        <v>1463</v>
      </c>
      <c r="B914" s="5">
        <v>9.330474187E9</v>
      </c>
      <c r="F914" s="5" t="s">
        <v>303</v>
      </c>
    </row>
    <row r="915">
      <c r="A915" s="5" t="s">
        <v>1464</v>
      </c>
      <c r="B915" s="5">
        <v>9.250514939E9</v>
      </c>
      <c r="F915" s="5" t="s">
        <v>303</v>
      </c>
    </row>
    <row r="916">
      <c r="A916" s="5" t="s">
        <v>1465</v>
      </c>
      <c r="B916" s="5">
        <v>8.447181518E9</v>
      </c>
      <c r="D916" s="5" t="s">
        <v>13</v>
      </c>
      <c r="F916" s="5" t="s">
        <v>303</v>
      </c>
    </row>
    <row r="917">
      <c r="A917" s="5" t="s">
        <v>1466</v>
      </c>
      <c r="B917" s="5">
        <v>9.953333888E9</v>
      </c>
      <c r="D917" s="5" t="s">
        <v>227</v>
      </c>
      <c r="F917" s="5" t="s">
        <v>303</v>
      </c>
    </row>
    <row r="918">
      <c r="A918" s="5" t="s">
        <v>1467</v>
      </c>
      <c r="B918" s="5">
        <v>9.891213715E9</v>
      </c>
      <c r="D918" s="5" t="s">
        <v>227</v>
      </c>
      <c r="F918" s="5" t="s">
        <v>303</v>
      </c>
    </row>
    <row r="919">
      <c r="A919" s="5" t="s">
        <v>1468</v>
      </c>
      <c r="B919" s="5">
        <v>9.990461394E9</v>
      </c>
      <c r="F919" s="5" t="s">
        <v>303</v>
      </c>
    </row>
    <row r="920">
      <c r="A920" s="5" t="s">
        <v>1304</v>
      </c>
      <c r="B920" s="5">
        <v>8.700163219E9</v>
      </c>
      <c r="F920" s="5" t="s">
        <v>303</v>
      </c>
    </row>
    <row r="921">
      <c r="A921" s="5" t="s">
        <v>1469</v>
      </c>
      <c r="B921" s="5">
        <v>9.729700362E9</v>
      </c>
      <c r="D921" s="5" t="s">
        <v>13</v>
      </c>
      <c r="F921" s="5" t="s">
        <v>303</v>
      </c>
    </row>
    <row r="922">
      <c r="A922" s="5" t="s">
        <v>1470</v>
      </c>
      <c r="B922" s="5">
        <v>9.990624396E9</v>
      </c>
      <c r="F922" s="5" t="s">
        <v>303</v>
      </c>
    </row>
    <row r="923">
      <c r="A923" s="5" t="s">
        <v>331</v>
      </c>
      <c r="B923" s="5">
        <v>9.718664805E9</v>
      </c>
      <c r="F923" s="5" t="s">
        <v>303</v>
      </c>
    </row>
    <row r="924">
      <c r="A924" s="5" t="s">
        <v>1471</v>
      </c>
      <c r="B924" s="5">
        <v>6.392239885E9</v>
      </c>
      <c r="F924" s="5" t="s">
        <v>303</v>
      </c>
    </row>
    <row r="925">
      <c r="A925" s="5" t="s">
        <v>1472</v>
      </c>
      <c r="B925" s="5">
        <v>9.891798934E9</v>
      </c>
      <c r="D925" s="5" t="s">
        <v>13</v>
      </c>
      <c r="F925" s="5" t="s">
        <v>303</v>
      </c>
    </row>
    <row r="926">
      <c r="A926" s="5" t="s">
        <v>1142</v>
      </c>
      <c r="B926" s="5">
        <v>9.971752785E9</v>
      </c>
      <c r="D926" s="5" t="s">
        <v>79</v>
      </c>
      <c r="F926" s="5" t="s">
        <v>303</v>
      </c>
    </row>
    <row r="927">
      <c r="A927" s="5" t="s">
        <v>1473</v>
      </c>
      <c r="B927" s="5">
        <v>9.82141704E9</v>
      </c>
      <c r="F927" s="5" t="s">
        <v>303</v>
      </c>
    </row>
    <row r="928">
      <c r="A928" s="5" t="s">
        <v>1474</v>
      </c>
      <c r="B928" s="5">
        <v>7.309869999E9</v>
      </c>
      <c r="F928" s="5" t="s">
        <v>303</v>
      </c>
    </row>
    <row r="929">
      <c r="A929" s="5" t="s">
        <v>1475</v>
      </c>
      <c r="B929" s="5">
        <v>8.802267064E9</v>
      </c>
      <c r="F929" s="5" t="s">
        <v>303</v>
      </c>
    </row>
    <row r="930">
      <c r="A930" s="5" t="s">
        <v>1476</v>
      </c>
      <c r="B930" s="5">
        <v>9.91183818E9</v>
      </c>
      <c r="F930" s="5" t="s">
        <v>303</v>
      </c>
    </row>
    <row r="931">
      <c r="A931" s="5" t="s">
        <v>1477</v>
      </c>
      <c r="B931" s="5">
        <v>9.289289534E9</v>
      </c>
      <c r="F931" s="5" t="s">
        <v>303</v>
      </c>
    </row>
    <row r="932">
      <c r="A932" s="5" t="s">
        <v>1478</v>
      </c>
      <c r="B932" s="5">
        <v>6.307415417E9</v>
      </c>
      <c r="F932" s="5" t="s">
        <v>303</v>
      </c>
    </row>
    <row r="933">
      <c r="A933" s="5" t="s">
        <v>1479</v>
      </c>
      <c r="B933" s="5">
        <v>9.319783433E9</v>
      </c>
      <c r="F933" s="5" t="s">
        <v>303</v>
      </c>
    </row>
    <row r="934">
      <c r="A934" s="5" t="s">
        <v>1480</v>
      </c>
      <c r="B934" s="5">
        <v>8.59566401E9</v>
      </c>
      <c r="F934" s="5" t="s">
        <v>303</v>
      </c>
    </row>
    <row r="935">
      <c r="A935" s="5" t="s">
        <v>1481</v>
      </c>
      <c r="B935" s="5">
        <v>9.871918755E9</v>
      </c>
      <c r="F935" s="5" t="s">
        <v>303</v>
      </c>
    </row>
    <row r="936">
      <c r="A936" s="5" t="s">
        <v>1482</v>
      </c>
      <c r="B936" s="5">
        <v>7.21780303E9</v>
      </c>
      <c r="F936" s="5" t="s">
        <v>303</v>
      </c>
    </row>
    <row r="937">
      <c r="A937" s="5" t="s">
        <v>1483</v>
      </c>
      <c r="B937" s="5">
        <v>9.415420095E9</v>
      </c>
      <c r="F937" s="5" t="s">
        <v>303</v>
      </c>
    </row>
    <row r="938">
      <c r="A938" s="5" t="s">
        <v>1427</v>
      </c>
      <c r="B938" s="5">
        <v>8.800823533E9</v>
      </c>
      <c r="D938" s="5" t="s">
        <v>15</v>
      </c>
      <c r="F938" s="5" t="s">
        <v>303</v>
      </c>
    </row>
    <row r="939">
      <c r="A939" s="5" t="s">
        <v>1484</v>
      </c>
      <c r="B939" s="5">
        <v>9.999243234E9</v>
      </c>
      <c r="F939" s="5" t="s">
        <v>303</v>
      </c>
    </row>
    <row r="940">
      <c r="A940" s="5" t="s">
        <v>1485</v>
      </c>
      <c r="B940" s="5">
        <v>9.999497806E9</v>
      </c>
      <c r="F940" s="5" t="s">
        <v>303</v>
      </c>
    </row>
    <row r="941">
      <c r="A941" s="5" t="s">
        <v>1486</v>
      </c>
      <c r="B941" s="5">
        <v>7.053705E9</v>
      </c>
      <c r="F941" s="5" t="s">
        <v>303</v>
      </c>
    </row>
    <row r="942">
      <c r="A942" s="5" t="s">
        <v>1487</v>
      </c>
      <c r="B942" s="5">
        <v>8.750561049E9</v>
      </c>
      <c r="F942" s="5" t="s">
        <v>303</v>
      </c>
    </row>
    <row r="943">
      <c r="A943" s="5" t="s">
        <v>1488</v>
      </c>
      <c r="B943" s="5">
        <v>9.873803496E9</v>
      </c>
      <c r="D943" s="5" t="s">
        <v>13</v>
      </c>
      <c r="F943" s="5" t="s">
        <v>303</v>
      </c>
    </row>
    <row r="944">
      <c r="A944" s="5" t="s">
        <v>1489</v>
      </c>
      <c r="B944" s="5">
        <v>9.927077337E9</v>
      </c>
      <c r="F944" s="5" t="s">
        <v>303</v>
      </c>
    </row>
    <row r="945">
      <c r="A945" s="5" t="s">
        <v>1446</v>
      </c>
      <c r="B945" s="5">
        <v>9.643729767E9</v>
      </c>
      <c r="F945" s="5" t="s">
        <v>303</v>
      </c>
    </row>
    <row r="946">
      <c r="A946" s="5" t="s">
        <v>1490</v>
      </c>
      <c r="B946" s="5">
        <v>9.853461225E9</v>
      </c>
      <c r="F946" s="5" t="s">
        <v>303</v>
      </c>
    </row>
    <row r="947">
      <c r="A947" s="5" t="s">
        <v>649</v>
      </c>
      <c r="B947" s="5">
        <v>9.268628111E9</v>
      </c>
      <c r="D947" s="5" t="s">
        <v>227</v>
      </c>
      <c r="F947" s="5" t="s">
        <v>303</v>
      </c>
    </row>
    <row r="948">
      <c r="A948" s="5" t="s">
        <v>1491</v>
      </c>
      <c r="B948" s="5">
        <v>7.291041711E9</v>
      </c>
      <c r="F948" s="5" t="s">
        <v>303</v>
      </c>
    </row>
    <row r="949">
      <c r="A949" s="5" t="s">
        <v>1492</v>
      </c>
      <c r="B949" s="5">
        <v>9.023590232E9</v>
      </c>
      <c r="F949" s="5" t="s">
        <v>303</v>
      </c>
    </row>
    <row r="950">
      <c r="A950" s="5" t="s">
        <v>1493</v>
      </c>
      <c r="B950" s="5">
        <v>8.872600132E9</v>
      </c>
      <c r="F950" s="5" t="s">
        <v>303</v>
      </c>
    </row>
    <row r="951">
      <c r="A951" s="5" t="s">
        <v>1494</v>
      </c>
      <c r="B951" s="5">
        <v>9.315846772E9</v>
      </c>
      <c r="F951" s="5" t="s">
        <v>303</v>
      </c>
    </row>
    <row r="952">
      <c r="A952" s="5" t="s">
        <v>1495</v>
      </c>
      <c r="B952" s="5">
        <v>8.586832051E9</v>
      </c>
      <c r="F952" s="5" t="s">
        <v>303</v>
      </c>
    </row>
    <row r="953">
      <c r="A953" s="5" t="s">
        <v>1496</v>
      </c>
      <c r="B953" s="5">
        <v>9.71722661E9</v>
      </c>
      <c r="D953" s="5" t="s">
        <v>227</v>
      </c>
      <c r="F953" s="5" t="s">
        <v>303</v>
      </c>
    </row>
    <row r="954">
      <c r="A954" s="5" t="s">
        <v>1497</v>
      </c>
      <c r="B954" s="5">
        <v>9.868615196E9</v>
      </c>
      <c r="F954" s="5" t="s">
        <v>303</v>
      </c>
    </row>
    <row r="955">
      <c r="A955" s="5" t="s">
        <v>49</v>
      </c>
      <c r="B955" s="5">
        <v>7.497045524E9</v>
      </c>
      <c r="D955" s="5" t="s">
        <v>227</v>
      </c>
      <c r="F955" s="5" t="s">
        <v>303</v>
      </c>
    </row>
    <row r="956">
      <c r="A956" s="5" t="s">
        <v>1498</v>
      </c>
      <c r="B956" s="5">
        <v>9.899776667E9</v>
      </c>
      <c r="D956" s="5" t="s">
        <v>1499</v>
      </c>
      <c r="F956" s="5" t="s">
        <v>303</v>
      </c>
    </row>
    <row r="957">
      <c r="A957" s="5" t="s">
        <v>1500</v>
      </c>
      <c r="B957" s="5">
        <v>9.711131847E9</v>
      </c>
      <c r="F957" s="5" t="s">
        <v>303</v>
      </c>
    </row>
    <row r="958">
      <c r="A958" s="5" t="s">
        <v>1501</v>
      </c>
      <c r="B958" s="5">
        <v>7.404502502E9</v>
      </c>
      <c r="D958" s="5" t="s">
        <v>227</v>
      </c>
      <c r="F958" s="5" t="s">
        <v>303</v>
      </c>
    </row>
    <row r="959">
      <c r="A959" s="5" t="s">
        <v>1502</v>
      </c>
      <c r="B959" s="5">
        <v>7.503402724E9</v>
      </c>
      <c r="F959" s="5" t="s">
        <v>303</v>
      </c>
    </row>
    <row r="960">
      <c r="A960" s="5" t="s">
        <v>1503</v>
      </c>
      <c r="B960" s="5">
        <v>8.447102059E9</v>
      </c>
      <c r="F960" s="5" t="s">
        <v>303</v>
      </c>
    </row>
    <row r="961">
      <c r="A961" s="5" t="s">
        <v>1029</v>
      </c>
      <c r="B961" s="5">
        <v>9.871833443E9</v>
      </c>
      <c r="F961" s="5" t="s">
        <v>303</v>
      </c>
    </row>
    <row r="962">
      <c r="A962" s="5" t="s">
        <v>1504</v>
      </c>
      <c r="B962" s="5">
        <v>9.999271988E9</v>
      </c>
      <c r="F962" s="5" t="s">
        <v>303</v>
      </c>
    </row>
    <row r="963">
      <c r="A963" s="5" t="s">
        <v>649</v>
      </c>
      <c r="B963" s="5">
        <v>9.818201165E9</v>
      </c>
      <c r="D963" s="5" t="s">
        <v>71</v>
      </c>
      <c r="F963" s="5" t="s">
        <v>303</v>
      </c>
    </row>
    <row r="964">
      <c r="A964" s="5" t="s">
        <v>1505</v>
      </c>
      <c r="B964" s="5">
        <v>9.045316587E9</v>
      </c>
      <c r="F964" s="5" t="s">
        <v>303</v>
      </c>
    </row>
    <row r="965">
      <c r="A965" s="5" t="s">
        <v>371</v>
      </c>
      <c r="B965" s="5">
        <v>9.818832206E9</v>
      </c>
      <c r="D965" s="5" t="s">
        <v>26</v>
      </c>
      <c r="F965" s="5" t="s">
        <v>303</v>
      </c>
    </row>
    <row r="966">
      <c r="A966" s="5" t="s">
        <v>1506</v>
      </c>
      <c r="B966" s="5">
        <v>8.527092447E9</v>
      </c>
      <c r="D966" s="5" t="s">
        <v>227</v>
      </c>
      <c r="F966" s="5" t="s">
        <v>303</v>
      </c>
    </row>
    <row r="967">
      <c r="A967" s="5" t="s">
        <v>1507</v>
      </c>
      <c r="B967" s="5">
        <v>9.56085265E9</v>
      </c>
      <c r="F967" s="5" t="s">
        <v>303</v>
      </c>
    </row>
    <row r="968">
      <c r="A968" s="5" t="s">
        <v>1508</v>
      </c>
      <c r="B968" s="5">
        <v>7.500839839E9</v>
      </c>
      <c r="D968" s="5" t="s">
        <v>891</v>
      </c>
      <c r="F968" s="5" t="s">
        <v>303</v>
      </c>
    </row>
    <row r="969">
      <c r="A969" s="5" t="s">
        <v>1509</v>
      </c>
      <c r="B969" s="5">
        <v>9.211406027E9</v>
      </c>
      <c r="D969" s="5" t="s">
        <v>227</v>
      </c>
      <c r="F969" s="5" t="s">
        <v>303</v>
      </c>
    </row>
    <row r="970">
      <c r="A970" s="5" t="s">
        <v>1510</v>
      </c>
      <c r="B970" s="5">
        <v>9.358401555E9</v>
      </c>
      <c r="D970" s="5" t="s">
        <v>1511</v>
      </c>
      <c r="F970" s="5" t="s">
        <v>303</v>
      </c>
    </row>
    <row r="971">
      <c r="A971" s="5" t="s">
        <v>889</v>
      </c>
      <c r="B971" s="5">
        <v>9.810856174E9</v>
      </c>
      <c r="D971" s="5" t="s">
        <v>227</v>
      </c>
      <c r="F971" s="5" t="s">
        <v>303</v>
      </c>
    </row>
    <row r="972">
      <c r="A972" s="5" t="s">
        <v>1512</v>
      </c>
      <c r="B972" s="5">
        <v>9.31099948E9</v>
      </c>
      <c r="F972" s="5" t="s">
        <v>303</v>
      </c>
    </row>
    <row r="973">
      <c r="A973" s="5" t="s">
        <v>1513</v>
      </c>
      <c r="B973" s="5">
        <v>9.958512091E9</v>
      </c>
      <c r="F973" s="5" t="s">
        <v>303</v>
      </c>
    </row>
    <row r="974">
      <c r="A974" s="5" t="s">
        <v>1514</v>
      </c>
      <c r="B974" s="5">
        <v>9.990210504E9</v>
      </c>
      <c r="D974" s="5" t="s">
        <v>227</v>
      </c>
      <c r="F974" s="5" t="s">
        <v>303</v>
      </c>
    </row>
    <row r="975">
      <c r="A975" s="5" t="s">
        <v>1515</v>
      </c>
      <c r="B975" s="5">
        <v>9.810034312E9</v>
      </c>
      <c r="F975" s="5" t="s">
        <v>303</v>
      </c>
    </row>
    <row r="976">
      <c r="A976" s="5" t="s">
        <v>1516</v>
      </c>
      <c r="B976" s="5">
        <v>9.818075039E9</v>
      </c>
      <c r="F976" s="5" t="s">
        <v>303</v>
      </c>
    </row>
    <row r="977">
      <c r="A977" s="5" t="s">
        <v>1517</v>
      </c>
      <c r="B977" s="5">
        <v>9.354552376E9</v>
      </c>
      <c r="F977" s="5" t="s">
        <v>303</v>
      </c>
    </row>
    <row r="978">
      <c r="A978" s="5" t="s">
        <v>1518</v>
      </c>
      <c r="B978" s="5">
        <v>7.303936452E9</v>
      </c>
      <c r="F978" s="5" t="s">
        <v>303</v>
      </c>
    </row>
    <row r="979">
      <c r="A979" s="5" t="s">
        <v>1519</v>
      </c>
      <c r="B979" s="5">
        <v>7.838719293E9</v>
      </c>
      <c r="F979" s="5" t="s">
        <v>303</v>
      </c>
    </row>
    <row r="980">
      <c r="A980" s="5" t="s">
        <v>1520</v>
      </c>
      <c r="B980" s="5">
        <v>8.076445529E9</v>
      </c>
      <c r="F980" s="5" t="s">
        <v>303</v>
      </c>
    </row>
    <row r="981">
      <c r="A981" s="5" t="s">
        <v>490</v>
      </c>
      <c r="B981" s="5">
        <v>8.860317597E9</v>
      </c>
      <c r="F981" s="5" t="s">
        <v>303</v>
      </c>
    </row>
    <row r="982">
      <c r="A982" s="5" t="s">
        <v>911</v>
      </c>
      <c r="B982" s="5">
        <v>9.810319529E9</v>
      </c>
      <c r="D982" s="5" t="s">
        <v>227</v>
      </c>
      <c r="F982" s="5" t="s">
        <v>303</v>
      </c>
    </row>
    <row r="983">
      <c r="A983" s="5" t="s">
        <v>1521</v>
      </c>
      <c r="B983" s="5">
        <v>9.871428293E9</v>
      </c>
      <c r="F983" s="5" t="s">
        <v>303</v>
      </c>
    </row>
    <row r="984">
      <c r="A984" s="5" t="s">
        <v>1522</v>
      </c>
      <c r="B984" s="5">
        <v>9.96882413E9</v>
      </c>
      <c r="D984" s="5" t="s">
        <v>71</v>
      </c>
      <c r="F984" s="5" t="s">
        <v>303</v>
      </c>
    </row>
    <row r="985">
      <c r="A985" s="5" t="s">
        <v>1523</v>
      </c>
      <c r="B985" s="5">
        <v>8.743901516E9</v>
      </c>
      <c r="F985" s="5" t="s">
        <v>303</v>
      </c>
    </row>
    <row r="986">
      <c r="A986" s="5" t="s">
        <v>1524</v>
      </c>
      <c r="B986" s="5">
        <v>9.990628368E9</v>
      </c>
      <c r="D986" s="5" t="s">
        <v>71</v>
      </c>
      <c r="F986" s="5" t="s">
        <v>303</v>
      </c>
    </row>
    <row r="987">
      <c r="A987" s="5" t="s">
        <v>371</v>
      </c>
      <c r="B987" s="5">
        <v>9.212725194E9</v>
      </c>
      <c r="D987" s="5" t="s">
        <v>13</v>
      </c>
      <c r="F987" s="5" t="s">
        <v>303</v>
      </c>
    </row>
    <row r="988">
      <c r="A988" s="5" t="s">
        <v>1525</v>
      </c>
      <c r="B988" s="5">
        <v>9.999290302E9</v>
      </c>
      <c r="E988" s="7" t="s">
        <v>1526</v>
      </c>
      <c r="F988" s="5" t="s">
        <v>303</v>
      </c>
    </row>
    <row r="989">
      <c r="A989" s="5" t="s">
        <v>1527</v>
      </c>
      <c r="B989" s="5">
        <v>8.86002195E9</v>
      </c>
      <c r="F989" s="5" t="s">
        <v>303</v>
      </c>
    </row>
    <row r="990">
      <c r="A990" s="5" t="s">
        <v>1228</v>
      </c>
      <c r="B990" s="5">
        <v>8.851669453E9</v>
      </c>
      <c r="D990" s="5" t="s">
        <v>15</v>
      </c>
      <c r="F990" s="5" t="s">
        <v>303</v>
      </c>
    </row>
    <row r="991">
      <c r="A991" s="5" t="s">
        <v>1528</v>
      </c>
      <c r="B991" s="5">
        <v>9.810635058E9</v>
      </c>
      <c r="F991" s="5" t="s">
        <v>303</v>
      </c>
    </row>
    <row r="992">
      <c r="A992" s="5" t="s">
        <v>1529</v>
      </c>
      <c r="B992" s="5">
        <v>9.891057156E9</v>
      </c>
      <c r="D992" s="5" t="s">
        <v>79</v>
      </c>
      <c r="F992" s="5" t="s">
        <v>303</v>
      </c>
    </row>
    <row r="993">
      <c r="A993" s="5" t="s">
        <v>1530</v>
      </c>
      <c r="B993" s="5">
        <v>9.811121393E9</v>
      </c>
      <c r="F993" s="5" t="s">
        <v>303</v>
      </c>
    </row>
    <row r="994">
      <c r="A994" s="5" t="s">
        <v>1531</v>
      </c>
      <c r="B994" s="5">
        <v>9.540688386E9</v>
      </c>
      <c r="F994" s="5" t="s">
        <v>303</v>
      </c>
    </row>
    <row r="995">
      <c r="A995" s="5" t="s">
        <v>1532</v>
      </c>
      <c r="B995" s="5">
        <v>9.313250404E9</v>
      </c>
      <c r="F995" s="5" t="s">
        <v>303</v>
      </c>
    </row>
    <row r="996">
      <c r="A996" s="5" t="s">
        <v>161</v>
      </c>
      <c r="B996" s="5">
        <v>9.250608505E9</v>
      </c>
      <c r="F996" s="5" t="s">
        <v>303</v>
      </c>
    </row>
    <row r="997">
      <c r="A997" s="5" t="s">
        <v>1416</v>
      </c>
      <c r="B997" s="5">
        <v>9.250608505E9</v>
      </c>
      <c r="F997" s="5" t="s">
        <v>303</v>
      </c>
    </row>
    <row r="998">
      <c r="A998" s="5" t="s">
        <v>1533</v>
      </c>
      <c r="B998" s="5">
        <v>8.448614505E9</v>
      </c>
      <c r="F998" s="5" t="s">
        <v>303</v>
      </c>
    </row>
    <row r="999">
      <c r="A999" s="5" t="s">
        <v>1534</v>
      </c>
      <c r="B999" s="5">
        <v>8.860788358E9</v>
      </c>
      <c r="D999" s="5" t="s">
        <v>15</v>
      </c>
      <c r="F999" s="5" t="s">
        <v>303</v>
      </c>
    </row>
    <row r="1000">
      <c r="A1000" s="5" t="s">
        <v>1535</v>
      </c>
      <c r="B1000" s="5">
        <v>9.999456013E9</v>
      </c>
      <c r="E1000" s="7" t="s">
        <v>1536</v>
      </c>
      <c r="F1000" s="5" t="s">
        <v>303</v>
      </c>
    </row>
    <row r="1001">
      <c r="A1001" s="5" t="s">
        <v>1537</v>
      </c>
      <c r="B1001" s="5">
        <v>9.466847152E9</v>
      </c>
      <c r="F1001" s="5" t="s">
        <v>303</v>
      </c>
    </row>
    <row r="1002">
      <c r="A1002" s="5" t="s">
        <v>1538</v>
      </c>
      <c r="B1002" s="5">
        <v>9.868356275E9</v>
      </c>
      <c r="F1002" s="5" t="s">
        <v>303</v>
      </c>
    </row>
    <row r="1003">
      <c r="A1003" s="5" t="s">
        <v>1539</v>
      </c>
      <c r="B1003" s="5">
        <v>9.96894577E9</v>
      </c>
      <c r="F1003" s="5" t="s">
        <v>303</v>
      </c>
    </row>
    <row r="1004">
      <c r="A1004" s="5" t="s">
        <v>1540</v>
      </c>
      <c r="B1004" s="5">
        <v>8.168782192E9</v>
      </c>
      <c r="D1004" s="5" t="s">
        <v>15</v>
      </c>
      <c r="F1004" s="5" t="s">
        <v>303</v>
      </c>
    </row>
    <row r="1005">
      <c r="A1005" s="5" t="s">
        <v>1541</v>
      </c>
      <c r="B1005" s="5">
        <v>9.953004457E9</v>
      </c>
      <c r="F1005" s="5" t="s">
        <v>303</v>
      </c>
    </row>
    <row r="1006">
      <c r="A1006" s="5" t="s">
        <v>1542</v>
      </c>
      <c r="B1006" s="5">
        <v>9.818388828E9</v>
      </c>
      <c r="D1006" s="5" t="s">
        <v>15</v>
      </c>
      <c r="F1006" s="5" t="s">
        <v>303</v>
      </c>
    </row>
    <row r="1007">
      <c r="A1007" s="5" t="s">
        <v>534</v>
      </c>
      <c r="B1007" s="5">
        <v>9.599311785E9</v>
      </c>
      <c r="F1007" s="5" t="s">
        <v>303</v>
      </c>
    </row>
    <row r="1008">
      <c r="A1008" s="5" t="s">
        <v>1543</v>
      </c>
      <c r="B1008" s="5">
        <v>9.205771287E9</v>
      </c>
      <c r="D1008" s="5" t="s">
        <v>879</v>
      </c>
      <c r="F1008" s="5" t="s">
        <v>303</v>
      </c>
    </row>
    <row r="1009">
      <c r="A1009" s="5" t="s">
        <v>1544</v>
      </c>
      <c r="B1009" s="5">
        <v>8.010003423E9</v>
      </c>
      <c r="F1009" s="5" t="s">
        <v>303</v>
      </c>
    </row>
    <row r="1010">
      <c r="A1010" s="5" t="s">
        <v>1545</v>
      </c>
      <c r="B1010" s="5">
        <v>9.827093039E9</v>
      </c>
      <c r="D1010" s="5" t="s">
        <v>79</v>
      </c>
      <c r="F1010" s="5" t="s">
        <v>303</v>
      </c>
    </row>
    <row r="1011">
      <c r="A1011" s="5" t="s">
        <v>1546</v>
      </c>
      <c r="B1011" s="5">
        <v>9.827232301E9</v>
      </c>
      <c r="D1011" s="5" t="s">
        <v>26</v>
      </c>
      <c r="F1011" s="5" t="s">
        <v>303</v>
      </c>
    </row>
    <row r="1012">
      <c r="A1012" s="5" t="s">
        <v>1547</v>
      </c>
      <c r="B1012" s="5">
        <v>9.21291912E9</v>
      </c>
      <c r="F1012" s="5" t="s">
        <v>303</v>
      </c>
    </row>
    <row r="1013">
      <c r="A1013" s="5" t="s">
        <v>1548</v>
      </c>
      <c r="B1013" s="5">
        <v>7.827379352E9</v>
      </c>
      <c r="D1013" s="5" t="s">
        <v>13</v>
      </c>
      <c r="F1013" s="5" t="s">
        <v>303</v>
      </c>
    </row>
    <row r="1014">
      <c r="A1014" s="5" t="s">
        <v>1549</v>
      </c>
      <c r="B1014" s="5">
        <v>9.667599479E9</v>
      </c>
      <c r="F1014" s="5" t="s">
        <v>303</v>
      </c>
    </row>
    <row r="1015">
      <c r="A1015" s="5" t="s">
        <v>1550</v>
      </c>
      <c r="B1015" s="5">
        <v>7.30364137E9</v>
      </c>
      <c r="F1015" s="5" t="s">
        <v>303</v>
      </c>
    </row>
    <row r="1016">
      <c r="A1016" s="5" t="s">
        <v>1551</v>
      </c>
      <c r="B1016" s="5">
        <v>9.650288566E9</v>
      </c>
      <c r="D1016" s="5" t="s">
        <v>1552</v>
      </c>
      <c r="F1016" s="5" t="s">
        <v>303</v>
      </c>
    </row>
    <row r="1017">
      <c r="A1017" s="5" t="s">
        <v>1553</v>
      </c>
      <c r="B1017" s="5">
        <v>9.99233327E9</v>
      </c>
      <c r="F1017" s="5" t="s">
        <v>303</v>
      </c>
    </row>
    <row r="1018">
      <c r="A1018" s="5" t="s">
        <v>826</v>
      </c>
      <c r="B1018" s="5">
        <v>9.958199115E9</v>
      </c>
      <c r="D1018" s="5" t="s">
        <v>15</v>
      </c>
      <c r="F1018" s="5" t="s">
        <v>303</v>
      </c>
    </row>
    <row r="1019">
      <c r="A1019" s="5" t="s">
        <v>191</v>
      </c>
      <c r="B1019" s="5">
        <v>9.625458533E9</v>
      </c>
      <c r="F1019" s="5" t="s">
        <v>303</v>
      </c>
    </row>
    <row r="1020">
      <c r="A1020" s="5" t="s">
        <v>1554</v>
      </c>
      <c r="B1020" s="5">
        <v>9.968503699E9</v>
      </c>
      <c r="D1020" s="5" t="s">
        <v>567</v>
      </c>
      <c r="F1020" s="5" t="s">
        <v>303</v>
      </c>
    </row>
    <row r="1021">
      <c r="A1021" s="5" t="s">
        <v>1555</v>
      </c>
      <c r="B1021" s="5">
        <v>9.97141981E9</v>
      </c>
      <c r="D1021" s="5" t="s">
        <v>1556</v>
      </c>
      <c r="F1021" s="5" t="s">
        <v>303</v>
      </c>
    </row>
    <row r="1022">
      <c r="A1022" s="5" t="s">
        <v>1557</v>
      </c>
      <c r="B1022" s="5">
        <v>9.899398964E9</v>
      </c>
      <c r="D1022" s="5" t="s">
        <v>227</v>
      </c>
      <c r="F1022" s="5" t="s">
        <v>303</v>
      </c>
    </row>
    <row r="1023">
      <c r="A1023" s="5" t="s">
        <v>1558</v>
      </c>
      <c r="B1023" s="5">
        <v>9.899523117E9</v>
      </c>
      <c r="D1023" s="5" t="s">
        <v>79</v>
      </c>
      <c r="F1023" s="5" t="s">
        <v>303</v>
      </c>
    </row>
    <row r="1024">
      <c r="A1024" s="5" t="s">
        <v>1559</v>
      </c>
      <c r="B1024" s="5">
        <v>9.873228283E9</v>
      </c>
      <c r="F1024" s="5" t="s">
        <v>303</v>
      </c>
    </row>
    <row r="1025">
      <c r="A1025" s="5" t="s">
        <v>1560</v>
      </c>
      <c r="B1025" s="5">
        <v>9.91061166E9</v>
      </c>
      <c r="F1025" s="5" t="s">
        <v>303</v>
      </c>
    </row>
    <row r="1026">
      <c r="A1026" s="5" t="s">
        <v>1561</v>
      </c>
      <c r="B1026" s="5">
        <v>9.312873215E9</v>
      </c>
      <c r="D1026" s="5" t="s">
        <v>15</v>
      </c>
      <c r="F1026" s="5" t="s">
        <v>303</v>
      </c>
    </row>
    <row r="1027">
      <c r="A1027" s="5" t="s">
        <v>1562</v>
      </c>
      <c r="B1027" s="5">
        <v>9.810501814E9</v>
      </c>
      <c r="F1027" s="5" t="s">
        <v>303</v>
      </c>
    </row>
    <row r="1028">
      <c r="A1028" s="5" t="s">
        <v>1563</v>
      </c>
      <c r="B1028" s="5">
        <v>9.31149716E9</v>
      </c>
      <c r="F1028" s="5" t="s">
        <v>303</v>
      </c>
    </row>
    <row r="1029">
      <c r="A1029" s="5" t="s">
        <v>1564</v>
      </c>
      <c r="B1029" s="5">
        <v>9.315787027E9</v>
      </c>
      <c r="D1029" s="5" t="s">
        <v>15</v>
      </c>
      <c r="F1029" s="5" t="s">
        <v>303</v>
      </c>
    </row>
    <row r="1030">
      <c r="A1030" s="5" t="s">
        <v>1565</v>
      </c>
      <c r="B1030" s="5">
        <v>8.448816837E9</v>
      </c>
      <c r="F1030" s="5" t="s">
        <v>303</v>
      </c>
    </row>
    <row r="1031">
      <c r="A1031" s="5" t="s">
        <v>1566</v>
      </c>
      <c r="B1031" s="5">
        <v>7.701907231E9</v>
      </c>
      <c r="D1031" s="5" t="s">
        <v>71</v>
      </c>
      <c r="F1031" s="5" t="s">
        <v>303</v>
      </c>
    </row>
    <row r="1032">
      <c r="A1032" s="5" t="s">
        <v>1567</v>
      </c>
      <c r="B1032" s="5">
        <v>9.625113437E9</v>
      </c>
      <c r="F1032" s="5" t="s">
        <v>303</v>
      </c>
    </row>
    <row r="1033">
      <c r="A1033" s="5" t="s">
        <v>1568</v>
      </c>
      <c r="B1033" s="5">
        <v>9.9532107E9</v>
      </c>
      <c r="D1033" s="5" t="s">
        <v>15</v>
      </c>
      <c r="F1033" s="5" t="s">
        <v>303</v>
      </c>
    </row>
    <row r="1034">
      <c r="A1034" s="5" t="s">
        <v>1569</v>
      </c>
      <c r="B1034" s="5">
        <v>9.368671762E9</v>
      </c>
      <c r="D1034" s="5" t="s">
        <v>227</v>
      </c>
      <c r="F1034" s="5" t="s">
        <v>303</v>
      </c>
    </row>
    <row r="1035">
      <c r="A1035" s="5" t="s">
        <v>1570</v>
      </c>
      <c r="B1035" s="5">
        <v>8.860130037E9</v>
      </c>
      <c r="F1035" s="5" t="s">
        <v>303</v>
      </c>
    </row>
    <row r="1036">
      <c r="A1036" s="5" t="s">
        <v>1304</v>
      </c>
      <c r="B1036" s="5">
        <v>7.206660875E9</v>
      </c>
      <c r="F1036" s="5" t="s">
        <v>303</v>
      </c>
    </row>
    <row r="1037">
      <c r="A1037" s="5" t="s">
        <v>1571</v>
      </c>
      <c r="B1037" s="5">
        <v>9.416694977E9</v>
      </c>
      <c r="F1037" s="5" t="s">
        <v>303</v>
      </c>
    </row>
    <row r="1038">
      <c r="A1038" s="5" t="s">
        <v>1572</v>
      </c>
      <c r="B1038" s="5">
        <v>7.988078592E9</v>
      </c>
      <c r="F1038" s="5" t="s">
        <v>303</v>
      </c>
    </row>
    <row r="1039">
      <c r="A1039" s="5" t="s">
        <v>1573</v>
      </c>
      <c r="B1039" s="5">
        <v>9.560002747E9</v>
      </c>
      <c r="F1039" s="5" t="s">
        <v>303</v>
      </c>
    </row>
    <row r="1040">
      <c r="A1040" s="5" t="s">
        <v>534</v>
      </c>
      <c r="B1040" s="5">
        <v>7.065851322E9</v>
      </c>
      <c r="D1040" s="5" t="s">
        <v>15</v>
      </c>
      <c r="F1040" s="5" t="s">
        <v>303</v>
      </c>
    </row>
    <row r="1041">
      <c r="A1041" s="5" t="s">
        <v>1574</v>
      </c>
      <c r="B1041" s="5">
        <v>9.71665605E9</v>
      </c>
      <c r="D1041" s="5" t="s">
        <v>424</v>
      </c>
      <c r="F1041" s="5" t="s">
        <v>303</v>
      </c>
    </row>
    <row r="1042">
      <c r="A1042" s="5" t="s">
        <v>1575</v>
      </c>
      <c r="B1042" s="5">
        <v>9.650022943E9</v>
      </c>
      <c r="F1042" s="5" t="s">
        <v>303</v>
      </c>
    </row>
    <row r="1043">
      <c r="A1043" s="5" t="s">
        <v>1576</v>
      </c>
      <c r="B1043" s="5">
        <v>9.953561935E9</v>
      </c>
      <c r="F1043" s="5" t="s">
        <v>303</v>
      </c>
    </row>
    <row r="1044">
      <c r="A1044" s="5" t="s">
        <v>1577</v>
      </c>
      <c r="B1044" s="5">
        <v>9.999259394E9</v>
      </c>
      <c r="F1044" s="5" t="s">
        <v>303</v>
      </c>
    </row>
    <row r="1045">
      <c r="A1045" s="5" t="s">
        <v>990</v>
      </c>
      <c r="B1045" s="5">
        <v>9.990987498E9</v>
      </c>
      <c r="D1045" s="5" t="s">
        <v>1578</v>
      </c>
      <c r="F1045" s="5" t="s">
        <v>303</v>
      </c>
    </row>
    <row r="1046">
      <c r="A1046" s="5" t="s">
        <v>338</v>
      </c>
      <c r="B1046" s="5">
        <v>7.06517155E9</v>
      </c>
      <c r="F1046" s="5" t="s">
        <v>303</v>
      </c>
    </row>
    <row r="1047">
      <c r="A1047" s="5" t="s">
        <v>392</v>
      </c>
      <c r="B1047" s="5">
        <v>9.899007811E9</v>
      </c>
      <c r="F1047" s="5" t="s">
        <v>303</v>
      </c>
    </row>
    <row r="1048">
      <c r="A1048" s="5" t="s">
        <v>1579</v>
      </c>
      <c r="B1048" s="5">
        <v>9.83882867E9</v>
      </c>
      <c r="F1048" s="5" t="s">
        <v>303</v>
      </c>
    </row>
    <row r="1049">
      <c r="A1049" s="5" t="s">
        <v>1580</v>
      </c>
      <c r="B1049" s="5">
        <v>8.010214196E9</v>
      </c>
      <c r="F1049" s="5" t="s">
        <v>303</v>
      </c>
    </row>
    <row r="1050">
      <c r="A1050" s="5" t="s">
        <v>1581</v>
      </c>
      <c r="B1050" s="5">
        <v>9.643517133E9</v>
      </c>
      <c r="D1050" s="5" t="s">
        <v>481</v>
      </c>
      <c r="F1050" s="5" t="s">
        <v>303</v>
      </c>
    </row>
    <row r="1051">
      <c r="A1051" s="5" t="s">
        <v>1582</v>
      </c>
      <c r="B1051" s="5">
        <v>7.857081468E9</v>
      </c>
      <c r="D1051" s="5" t="s">
        <v>15</v>
      </c>
      <c r="F1051" s="5" t="s">
        <v>303</v>
      </c>
    </row>
    <row r="1052">
      <c r="A1052" s="5" t="s">
        <v>1583</v>
      </c>
      <c r="B1052" s="5">
        <v>9.810524563E9</v>
      </c>
      <c r="F1052" s="5" t="s">
        <v>303</v>
      </c>
    </row>
    <row r="1053">
      <c r="A1053" s="5" t="s">
        <v>1584</v>
      </c>
      <c r="B1053" s="5">
        <v>8.700463815E9</v>
      </c>
      <c r="F1053" s="5" t="s">
        <v>303</v>
      </c>
    </row>
    <row r="1054">
      <c r="A1054" s="5" t="s">
        <v>1585</v>
      </c>
      <c r="B1054" s="5">
        <v>9.21200633E9</v>
      </c>
      <c r="D1054" s="5" t="s">
        <v>227</v>
      </c>
      <c r="F1054" s="5" t="s">
        <v>303</v>
      </c>
    </row>
    <row r="1055">
      <c r="A1055" s="5" t="s">
        <v>1586</v>
      </c>
      <c r="B1055" s="5">
        <v>9.582664943E9</v>
      </c>
      <c r="F1055" s="5" t="s">
        <v>303</v>
      </c>
    </row>
    <row r="1056">
      <c r="A1056" s="5" t="s">
        <v>1587</v>
      </c>
      <c r="B1056" s="5">
        <v>9.810026304E9</v>
      </c>
      <c r="D1056" s="5" t="s">
        <v>71</v>
      </c>
      <c r="F1056" s="5" t="s">
        <v>303</v>
      </c>
    </row>
    <row r="1057">
      <c r="A1057" s="5" t="s">
        <v>1588</v>
      </c>
      <c r="B1057" s="5">
        <v>9.310674176E9</v>
      </c>
      <c r="F1057" s="5" t="s">
        <v>303</v>
      </c>
    </row>
    <row r="1058">
      <c r="A1058" s="5" t="s">
        <v>726</v>
      </c>
      <c r="B1058" s="5">
        <v>9.811025895E9</v>
      </c>
      <c r="F1058" s="5" t="s">
        <v>303</v>
      </c>
    </row>
    <row r="1059">
      <c r="A1059" s="5" t="s">
        <v>490</v>
      </c>
      <c r="B1059" s="5">
        <v>8.882303132E9</v>
      </c>
      <c r="D1059" s="5" t="s">
        <v>15</v>
      </c>
      <c r="F1059" s="5" t="s">
        <v>303</v>
      </c>
    </row>
    <row r="1060">
      <c r="A1060" s="5" t="s">
        <v>1589</v>
      </c>
      <c r="B1060" s="5">
        <v>9.999090866E9</v>
      </c>
      <c r="D1060" s="5" t="s">
        <v>15</v>
      </c>
      <c r="F1060" s="5" t="s">
        <v>303</v>
      </c>
    </row>
    <row r="1061">
      <c r="A1061" s="5" t="s">
        <v>1590</v>
      </c>
      <c r="B1061" s="5">
        <v>9.891510785E9</v>
      </c>
      <c r="D1061" s="5" t="s">
        <v>1591</v>
      </c>
      <c r="F1061" s="5" t="s">
        <v>303</v>
      </c>
    </row>
    <row r="1062">
      <c r="A1062" s="5" t="s">
        <v>1592</v>
      </c>
      <c r="B1062" s="5">
        <v>9.289722722E9</v>
      </c>
      <c r="D1062" s="5" t="s">
        <v>1593</v>
      </c>
      <c r="E1062" s="7" t="s">
        <v>1594</v>
      </c>
      <c r="F1062" s="5" t="s">
        <v>303</v>
      </c>
    </row>
    <row r="1063">
      <c r="A1063" s="5" t="s">
        <v>1595</v>
      </c>
      <c r="B1063" s="5">
        <v>9.717970069E9</v>
      </c>
      <c r="F1063" s="5" t="s">
        <v>303</v>
      </c>
    </row>
    <row r="1064">
      <c r="A1064" s="5" t="s">
        <v>758</v>
      </c>
      <c r="B1064" s="5">
        <v>9.818703563E9</v>
      </c>
      <c r="F1064" s="5" t="s">
        <v>303</v>
      </c>
    </row>
    <row r="1065">
      <c r="A1065" s="5" t="s">
        <v>1596</v>
      </c>
      <c r="B1065" s="5">
        <v>7.827116401E9</v>
      </c>
      <c r="F1065" s="5" t="s">
        <v>303</v>
      </c>
    </row>
    <row r="1066">
      <c r="A1066" s="5" t="s">
        <v>1597</v>
      </c>
      <c r="B1066" s="5">
        <v>8.287924563E9</v>
      </c>
      <c r="D1066" s="5" t="s">
        <v>1598</v>
      </c>
      <c r="E1066" s="7" t="s">
        <v>1599</v>
      </c>
      <c r="F1066" s="5" t="s">
        <v>303</v>
      </c>
    </row>
    <row r="1067">
      <c r="A1067" s="5" t="s">
        <v>1091</v>
      </c>
      <c r="B1067" s="5">
        <v>9.891800777E9</v>
      </c>
      <c r="F1067" s="5" t="s">
        <v>303</v>
      </c>
    </row>
    <row r="1068">
      <c r="A1068" s="5" t="s">
        <v>541</v>
      </c>
      <c r="B1068" s="5">
        <v>7.503338872E9</v>
      </c>
      <c r="F1068" s="5" t="s">
        <v>303</v>
      </c>
    </row>
    <row r="1069">
      <c r="A1069" s="5" t="s">
        <v>1600</v>
      </c>
      <c r="B1069" s="5">
        <v>9.716379252E9</v>
      </c>
      <c r="F1069" s="5" t="s">
        <v>303</v>
      </c>
    </row>
    <row r="1070">
      <c r="A1070" s="5" t="s">
        <v>1239</v>
      </c>
      <c r="B1070" s="5">
        <v>7.042279101E9</v>
      </c>
      <c r="D1070" s="5" t="s">
        <v>15</v>
      </c>
      <c r="F1070" s="5" t="s">
        <v>303</v>
      </c>
    </row>
    <row r="1071">
      <c r="A1071" s="5" t="s">
        <v>1601</v>
      </c>
      <c r="B1071" s="5">
        <v>8.650280518E9</v>
      </c>
      <c r="D1071" s="5" t="s">
        <v>79</v>
      </c>
      <c r="F1071" s="5" t="s">
        <v>303</v>
      </c>
    </row>
    <row r="1072">
      <c r="A1072" s="5" t="s">
        <v>1602</v>
      </c>
      <c r="B1072" s="5">
        <v>9.717378638E9</v>
      </c>
      <c r="D1072" s="5" t="s">
        <v>15</v>
      </c>
      <c r="F1072" s="5" t="s">
        <v>303</v>
      </c>
    </row>
    <row r="1073">
      <c r="A1073" s="5" t="s">
        <v>1603</v>
      </c>
      <c r="B1073" s="5">
        <v>9.389271138E9</v>
      </c>
      <c r="F1073" s="5" t="s">
        <v>303</v>
      </c>
    </row>
    <row r="1074">
      <c r="A1074" s="5" t="s">
        <v>1604</v>
      </c>
      <c r="B1074" s="5">
        <v>9.9998154E9</v>
      </c>
      <c r="F1074" s="5" t="s">
        <v>303</v>
      </c>
    </row>
    <row r="1075">
      <c r="A1075" s="5" t="s">
        <v>1605</v>
      </c>
      <c r="B1075" s="5">
        <v>9.643975596E9</v>
      </c>
      <c r="D1075" s="5" t="s">
        <v>1606</v>
      </c>
      <c r="F1075" s="5" t="s">
        <v>303</v>
      </c>
    </row>
    <row r="1076">
      <c r="A1076" s="5" t="s">
        <v>1607</v>
      </c>
      <c r="B1076" s="5">
        <v>9.871378355E9</v>
      </c>
      <c r="D1076" s="5" t="s">
        <v>227</v>
      </c>
      <c r="F1076" s="5" t="s">
        <v>303</v>
      </c>
    </row>
    <row r="1077">
      <c r="A1077" s="5" t="s">
        <v>1608</v>
      </c>
      <c r="B1077" s="5">
        <v>9.871681591E9</v>
      </c>
      <c r="D1077" s="5" t="s">
        <v>1609</v>
      </c>
      <c r="F1077" s="5" t="s">
        <v>303</v>
      </c>
    </row>
    <row r="1078">
      <c r="A1078" s="5" t="s">
        <v>1610</v>
      </c>
      <c r="B1078" s="5">
        <v>9.810842702E9</v>
      </c>
      <c r="D1078" s="5" t="s">
        <v>1611</v>
      </c>
      <c r="F1078" s="5" t="s">
        <v>303</v>
      </c>
    </row>
    <row r="1079">
      <c r="A1079" s="5" t="s">
        <v>1612</v>
      </c>
      <c r="B1079" s="5">
        <v>9.818646599E9</v>
      </c>
      <c r="F1079" s="5" t="s">
        <v>303</v>
      </c>
    </row>
    <row r="1080">
      <c r="A1080" s="5" t="s">
        <v>1613</v>
      </c>
      <c r="B1080" s="5">
        <v>7.011342208E9</v>
      </c>
      <c r="F1080" s="5" t="s">
        <v>303</v>
      </c>
    </row>
    <row r="1081">
      <c r="A1081" s="5" t="s">
        <v>1614</v>
      </c>
      <c r="B1081" s="5">
        <v>9.31311997E9</v>
      </c>
      <c r="F1081" s="5" t="s">
        <v>303</v>
      </c>
    </row>
    <row r="1082">
      <c r="A1082" s="5" t="s">
        <v>1615</v>
      </c>
      <c r="B1082" s="5">
        <v>8.383057401E9</v>
      </c>
      <c r="F1082" s="5" t="s">
        <v>303</v>
      </c>
    </row>
    <row r="1083">
      <c r="A1083" s="5" t="s">
        <v>1616</v>
      </c>
      <c r="B1083" s="5">
        <v>9.81025053E9</v>
      </c>
      <c r="F1083" s="5" t="s">
        <v>303</v>
      </c>
    </row>
    <row r="1084">
      <c r="A1084" s="5" t="s">
        <v>1617</v>
      </c>
      <c r="B1084" s="5">
        <v>9.667239002E9</v>
      </c>
      <c r="F1084" s="5" t="s">
        <v>303</v>
      </c>
    </row>
    <row r="1085">
      <c r="A1085" s="5" t="s">
        <v>943</v>
      </c>
      <c r="B1085" s="5">
        <v>9.654168668E9</v>
      </c>
      <c r="D1085" s="5" t="s">
        <v>1618</v>
      </c>
      <c r="F1085" s="5" t="s">
        <v>303</v>
      </c>
    </row>
    <row r="1086">
      <c r="A1086" s="5" t="s">
        <v>1619</v>
      </c>
      <c r="B1086" s="5">
        <v>9.666998585E9</v>
      </c>
      <c r="F1086" s="5" t="s">
        <v>303</v>
      </c>
    </row>
    <row r="1087">
      <c r="A1087" s="5" t="s">
        <v>1620</v>
      </c>
      <c r="B1087" s="5">
        <v>9.99905996E9</v>
      </c>
      <c r="D1087" s="5" t="s">
        <v>227</v>
      </c>
      <c r="F1087" s="5" t="s">
        <v>303</v>
      </c>
    </row>
    <row r="1088">
      <c r="A1088" s="5" t="s">
        <v>1621</v>
      </c>
      <c r="B1088" s="5">
        <v>8.851638279E9</v>
      </c>
      <c r="F1088" s="5" t="s">
        <v>303</v>
      </c>
    </row>
    <row r="1089">
      <c r="A1089" s="5" t="s">
        <v>1224</v>
      </c>
      <c r="B1089" s="5">
        <v>9.718800973E9</v>
      </c>
      <c r="F1089" s="5" t="s">
        <v>303</v>
      </c>
    </row>
    <row r="1090">
      <c r="A1090" s="5" t="s">
        <v>1081</v>
      </c>
      <c r="B1090" s="5">
        <v>9.650353762E9</v>
      </c>
      <c r="F1090" s="5" t="s">
        <v>303</v>
      </c>
    </row>
    <row r="1091">
      <c r="A1091" s="5" t="s">
        <v>1622</v>
      </c>
      <c r="B1091" s="5">
        <v>9.958349947E9</v>
      </c>
      <c r="D1091" s="5" t="s">
        <v>1623</v>
      </c>
      <c r="F1091" s="5" t="s">
        <v>303</v>
      </c>
    </row>
    <row r="1092">
      <c r="A1092" s="5" t="s">
        <v>1624</v>
      </c>
      <c r="B1092" s="5">
        <v>9.969623776E9</v>
      </c>
      <c r="D1092" s="5" t="s">
        <v>481</v>
      </c>
      <c r="F1092" s="5" t="s">
        <v>303</v>
      </c>
    </row>
    <row r="1093">
      <c r="A1093" s="5" t="s">
        <v>1625</v>
      </c>
      <c r="B1093" s="5">
        <v>9.81066177E9</v>
      </c>
      <c r="D1093" s="5" t="s">
        <v>769</v>
      </c>
      <c r="F1093" s="5" t="s">
        <v>303</v>
      </c>
    </row>
    <row r="1094">
      <c r="A1094" s="5" t="s">
        <v>1626</v>
      </c>
      <c r="B1094" s="5">
        <v>9.696444434E9</v>
      </c>
      <c r="D1094" s="5" t="s">
        <v>15</v>
      </c>
      <c r="F1094" s="5" t="s">
        <v>303</v>
      </c>
    </row>
    <row r="1095">
      <c r="A1095" s="5" t="s">
        <v>1627</v>
      </c>
      <c r="B1095" s="5">
        <v>7.011006021E9</v>
      </c>
      <c r="F1095" s="5" t="s">
        <v>303</v>
      </c>
    </row>
    <row r="1096">
      <c r="A1096" s="5" t="s">
        <v>949</v>
      </c>
      <c r="B1096" s="5">
        <v>9.812980505E9</v>
      </c>
      <c r="D1096" s="5" t="s">
        <v>71</v>
      </c>
      <c r="F1096" s="5" t="s">
        <v>303</v>
      </c>
    </row>
    <row r="1097">
      <c r="A1097" s="5" t="s">
        <v>379</v>
      </c>
      <c r="B1097" s="5">
        <v>8.595674002E9</v>
      </c>
      <c r="F1097" s="5" t="s">
        <v>303</v>
      </c>
    </row>
    <row r="1098">
      <c r="A1098" s="5" t="s">
        <v>1628</v>
      </c>
      <c r="B1098" s="5">
        <v>9.59958111E9</v>
      </c>
      <c r="F1098" s="5" t="s">
        <v>303</v>
      </c>
    </row>
    <row r="1099">
      <c r="A1099" s="5" t="s">
        <v>1629</v>
      </c>
      <c r="B1099" s="5">
        <v>8.448914935E9</v>
      </c>
      <c r="F1099" s="5" t="s">
        <v>303</v>
      </c>
    </row>
    <row r="1100">
      <c r="A1100" s="5" t="s">
        <v>1630</v>
      </c>
      <c r="B1100" s="5">
        <v>8.920817335E9</v>
      </c>
      <c r="D1100" s="5" t="s">
        <v>227</v>
      </c>
      <c r="F1100" s="5" t="s">
        <v>303</v>
      </c>
    </row>
    <row r="1101">
      <c r="A1101" s="5" t="s">
        <v>1631</v>
      </c>
      <c r="B1101" s="5">
        <v>9.811490885E9</v>
      </c>
      <c r="F1101" s="5" t="s">
        <v>303</v>
      </c>
    </row>
    <row r="1102">
      <c r="A1102" s="5" t="s">
        <v>1632</v>
      </c>
      <c r="B1102" s="5">
        <v>9.250839231E9</v>
      </c>
      <c r="F1102" s="5" t="s">
        <v>303</v>
      </c>
    </row>
    <row r="1103">
      <c r="A1103" s="5" t="s">
        <v>1042</v>
      </c>
      <c r="B1103" s="5">
        <v>8.076223655E9</v>
      </c>
      <c r="F1103" s="5" t="s">
        <v>303</v>
      </c>
    </row>
    <row r="1104">
      <c r="A1104" s="5" t="s">
        <v>1633</v>
      </c>
      <c r="B1104" s="5">
        <v>9.999178E9</v>
      </c>
      <c r="F1104" s="5" t="s">
        <v>303</v>
      </c>
    </row>
    <row r="1105">
      <c r="A1105" s="5" t="s">
        <v>1032</v>
      </c>
      <c r="B1105" s="5">
        <v>7.060730078E9</v>
      </c>
      <c r="F1105" s="5" t="s">
        <v>303</v>
      </c>
    </row>
    <row r="1106">
      <c r="A1106" s="5" t="s">
        <v>1636</v>
      </c>
      <c r="B1106" s="5">
        <v>9.818748273E9</v>
      </c>
      <c r="F1106" s="5" t="s">
        <v>303</v>
      </c>
    </row>
    <row r="1107">
      <c r="A1107" s="5" t="s">
        <v>1435</v>
      </c>
      <c r="B1107" s="5">
        <v>8.948904461E9</v>
      </c>
      <c r="F1107" s="5" t="s">
        <v>303</v>
      </c>
    </row>
    <row r="1108">
      <c r="A1108" s="5" t="s">
        <v>1637</v>
      </c>
      <c r="B1108" s="5">
        <v>9.311972803E9</v>
      </c>
      <c r="F1108" s="5" t="s">
        <v>303</v>
      </c>
    </row>
    <row r="1109">
      <c r="A1109" s="5" t="s">
        <v>1638</v>
      </c>
      <c r="B1109" s="5">
        <v>9.654848666E9</v>
      </c>
      <c r="F1109" s="5" t="s">
        <v>303</v>
      </c>
    </row>
    <row r="1110">
      <c r="A1110" s="5" t="s">
        <v>1438</v>
      </c>
      <c r="B1110" s="5">
        <v>9.667343071E9</v>
      </c>
      <c r="D1110" s="5" t="s">
        <v>21</v>
      </c>
      <c r="F1110" s="5" t="s">
        <v>303</v>
      </c>
    </row>
    <row r="1111">
      <c r="A1111" s="5" t="s">
        <v>1639</v>
      </c>
      <c r="B1111" s="5">
        <v>9.667733189E9</v>
      </c>
      <c r="D1111" s="5" t="s">
        <v>79</v>
      </c>
      <c r="F1111" s="5" t="s">
        <v>303</v>
      </c>
    </row>
    <row r="1112">
      <c r="A1112" s="5" t="s">
        <v>1640</v>
      </c>
      <c r="B1112" s="5">
        <v>9.953501321E9</v>
      </c>
      <c r="D1112" s="5" t="s">
        <v>1641</v>
      </c>
      <c r="F1112" s="5" t="s">
        <v>303</v>
      </c>
    </row>
    <row r="1113">
      <c r="A1113" s="5" t="s">
        <v>1642</v>
      </c>
      <c r="B1113" s="5">
        <v>9.588179734E9</v>
      </c>
      <c r="F1113" s="5" t="s">
        <v>303</v>
      </c>
    </row>
    <row r="1114">
      <c r="A1114" s="5" t="s">
        <v>1643</v>
      </c>
      <c r="B1114" s="5">
        <v>7.404884976E9</v>
      </c>
      <c r="F1114" s="5" t="s">
        <v>303</v>
      </c>
    </row>
    <row r="1115">
      <c r="A1115" s="5" t="s">
        <v>1644</v>
      </c>
      <c r="B1115" s="5">
        <v>8.92946073E9</v>
      </c>
      <c r="D1115" s="5" t="s">
        <v>1645</v>
      </c>
      <c r="F1115" s="5" t="s">
        <v>303</v>
      </c>
    </row>
    <row r="1116">
      <c r="A1116" s="5" t="s">
        <v>1646</v>
      </c>
      <c r="B1116" s="5">
        <v>9.818858899E9</v>
      </c>
      <c r="F1116" s="5" t="s">
        <v>303</v>
      </c>
    </row>
    <row r="1117">
      <c r="A1117" s="5" t="s">
        <v>1647</v>
      </c>
      <c r="B1117" s="5">
        <v>9.212718715E9</v>
      </c>
      <c r="F1117" s="5" t="s">
        <v>303</v>
      </c>
    </row>
    <row r="1118">
      <c r="A1118" s="5" t="s">
        <v>1208</v>
      </c>
      <c r="B1118" s="5">
        <v>9.968425663E9</v>
      </c>
      <c r="F1118" s="5" t="s">
        <v>303</v>
      </c>
    </row>
    <row r="1119">
      <c r="A1119" s="5" t="s">
        <v>1648</v>
      </c>
      <c r="B1119" s="5">
        <v>9.555625987E9</v>
      </c>
      <c r="F1119" s="5" t="s">
        <v>303</v>
      </c>
    </row>
    <row r="1120">
      <c r="A1120" s="5" t="s">
        <v>1648</v>
      </c>
      <c r="B1120" s="5">
        <v>9.354474284E9</v>
      </c>
      <c r="F1120" s="5" t="s">
        <v>303</v>
      </c>
    </row>
    <row r="1121">
      <c r="A1121" s="5" t="s">
        <v>1649</v>
      </c>
      <c r="B1121" s="5">
        <v>9.311791238E9</v>
      </c>
      <c r="F1121" s="5" t="s">
        <v>303</v>
      </c>
    </row>
    <row r="1122">
      <c r="A1122" s="5" t="s">
        <v>1650</v>
      </c>
      <c r="B1122" s="5">
        <v>7.988203631E9</v>
      </c>
      <c r="F1122" s="5" t="s">
        <v>303</v>
      </c>
    </row>
    <row r="1123">
      <c r="A1123" s="5" t="s">
        <v>1651</v>
      </c>
      <c r="B1123" s="5">
        <v>9.31000913E9</v>
      </c>
      <c r="F1123" s="5" t="s">
        <v>303</v>
      </c>
    </row>
    <row r="1124">
      <c r="A1124" s="5" t="s">
        <v>1652</v>
      </c>
      <c r="B1124" s="5">
        <v>9.555970751E9</v>
      </c>
      <c r="F1124" s="5" t="s">
        <v>303</v>
      </c>
    </row>
    <row r="1125">
      <c r="A1125" s="5" t="s">
        <v>1653</v>
      </c>
      <c r="B1125" s="5">
        <v>9.555970751E9</v>
      </c>
      <c r="F1125" s="5" t="s">
        <v>303</v>
      </c>
    </row>
    <row r="1126">
      <c r="A1126" s="5" t="s">
        <v>432</v>
      </c>
      <c r="B1126" s="5">
        <v>9.315702203E9</v>
      </c>
      <c r="F1126" s="5" t="s">
        <v>303</v>
      </c>
    </row>
    <row r="1127">
      <c r="A1127" s="5" t="s">
        <v>1654</v>
      </c>
      <c r="B1127" s="5">
        <v>9.811746666E9</v>
      </c>
      <c r="D1127" s="5" t="s">
        <v>1655</v>
      </c>
      <c r="F1127" s="5" t="s">
        <v>303</v>
      </c>
    </row>
    <row r="1128">
      <c r="A1128" s="5" t="s">
        <v>1656</v>
      </c>
      <c r="B1128" s="5">
        <v>7.048987553E9</v>
      </c>
      <c r="F1128" s="5" t="s">
        <v>303</v>
      </c>
    </row>
    <row r="1129">
      <c r="A1129" s="5" t="s">
        <v>1657</v>
      </c>
      <c r="B1129" s="5">
        <v>7.906846072E9</v>
      </c>
      <c r="F1129" s="5" t="s">
        <v>303</v>
      </c>
    </row>
    <row r="1130">
      <c r="A1130" s="5" t="s">
        <v>173</v>
      </c>
      <c r="B1130" s="5">
        <v>8.368158627E9</v>
      </c>
      <c r="F1130" s="5" t="s">
        <v>303</v>
      </c>
    </row>
    <row r="1131">
      <c r="A1131" s="5" t="s">
        <v>1658</v>
      </c>
      <c r="B1131" s="5">
        <v>8.368158627E9</v>
      </c>
      <c r="D1131" s="5" t="s">
        <v>1659</v>
      </c>
      <c r="F1131" s="5" t="s">
        <v>303</v>
      </c>
    </row>
    <row r="1132">
      <c r="A1132" s="5" t="s">
        <v>1660</v>
      </c>
      <c r="B1132" s="5">
        <v>9.991119396E9</v>
      </c>
      <c r="F1132" s="5" t="s">
        <v>303</v>
      </c>
    </row>
    <row r="1133">
      <c r="A1133" s="5" t="s">
        <v>1661</v>
      </c>
      <c r="B1133" s="5">
        <v>9.911003114E9</v>
      </c>
      <c r="F1133" s="5" t="s">
        <v>303</v>
      </c>
    </row>
    <row r="1134">
      <c r="A1134" s="5" t="s">
        <v>1662</v>
      </c>
      <c r="B1134" s="5">
        <v>9.953037817E9</v>
      </c>
      <c r="D1134" s="5" t="s">
        <v>1663</v>
      </c>
      <c r="F1134" s="5" t="s">
        <v>303</v>
      </c>
    </row>
    <row r="1135">
      <c r="A1135" s="5" t="s">
        <v>1664</v>
      </c>
      <c r="B1135" s="5">
        <v>7.01124844E9</v>
      </c>
      <c r="D1135" s="5" t="s">
        <v>15</v>
      </c>
      <c r="F1135" s="5" t="s">
        <v>303</v>
      </c>
    </row>
    <row r="1136">
      <c r="A1136" s="5" t="s">
        <v>1665</v>
      </c>
      <c r="B1136" s="5">
        <v>9.250156086E9</v>
      </c>
      <c r="F1136" s="5" t="s">
        <v>303</v>
      </c>
    </row>
    <row r="1137">
      <c r="A1137" s="5" t="s">
        <v>726</v>
      </c>
      <c r="B1137" s="5">
        <v>9.315791897E9</v>
      </c>
      <c r="F1137" s="5" t="s">
        <v>303</v>
      </c>
    </row>
    <row r="1138">
      <c r="A1138" s="5" t="s">
        <v>1666</v>
      </c>
      <c r="B1138" s="5">
        <v>9.871778139E9</v>
      </c>
      <c r="D1138" s="5" t="s">
        <v>1667</v>
      </c>
      <c r="F1138" s="5" t="s">
        <v>303</v>
      </c>
    </row>
    <row r="1139">
      <c r="A1139" s="5" t="s">
        <v>1234</v>
      </c>
      <c r="B1139" s="5">
        <v>9.560453601E9</v>
      </c>
      <c r="D1139" s="5" t="s">
        <v>15</v>
      </c>
      <c r="F1139" s="5" t="s">
        <v>303</v>
      </c>
    </row>
    <row r="1140">
      <c r="A1140" s="5" t="s">
        <v>1668</v>
      </c>
      <c r="B1140" s="5">
        <v>9.340152367E9</v>
      </c>
      <c r="F1140" s="5" t="s">
        <v>303</v>
      </c>
    </row>
    <row r="1141">
      <c r="A1141" s="5" t="s">
        <v>1669</v>
      </c>
      <c r="B1141" s="5">
        <v>9.837156243E9</v>
      </c>
      <c r="F1141" s="5" t="s">
        <v>303</v>
      </c>
    </row>
    <row r="1142">
      <c r="A1142" s="5" t="s">
        <v>421</v>
      </c>
      <c r="B1142" s="5">
        <v>9.8110977E9</v>
      </c>
      <c r="D1142" s="5" t="s">
        <v>1645</v>
      </c>
      <c r="F1142" s="5" t="s">
        <v>303</v>
      </c>
    </row>
    <row r="1143">
      <c r="A1143" s="5" t="s">
        <v>1353</v>
      </c>
      <c r="B1143" s="5">
        <v>9.810826712E9</v>
      </c>
      <c r="F1143" s="5" t="s">
        <v>303</v>
      </c>
    </row>
    <row r="1144">
      <c r="A1144" s="5" t="s">
        <v>1670</v>
      </c>
      <c r="B1144" s="5">
        <v>9.643594967E9</v>
      </c>
      <c r="F1144" s="5" t="s">
        <v>303</v>
      </c>
    </row>
    <row r="1145">
      <c r="A1145" s="5" t="s">
        <v>1671</v>
      </c>
      <c r="B1145" s="5">
        <v>9.803199031E9</v>
      </c>
      <c r="F1145" s="5" t="s">
        <v>303</v>
      </c>
    </row>
    <row r="1146">
      <c r="A1146" s="5" t="s">
        <v>541</v>
      </c>
      <c r="B1146" s="5">
        <v>8.527761717E9</v>
      </c>
      <c r="D1146" s="5" t="s">
        <v>424</v>
      </c>
      <c r="F1146" s="5" t="s">
        <v>303</v>
      </c>
    </row>
    <row r="1147">
      <c r="A1147" s="5" t="s">
        <v>1672</v>
      </c>
      <c r="B1147" s="5">
        <v>8.130088575E9</v>
      </c>
      <c r="D1147" s="5" t="s">
        <v>15</v>
      </c>
      <c r="F1147" s="5" t="s">
        <v>303</v>
      </c>
    </row>
    <row r="1148">
      <c r="A1148" s="5" t="s">
        <v>1673</v>
      </c>
      <c r="B1148" s="5">
        <v>9.759210097E9</v>
      </c>
      <c r="F1148" s="5" t="s">
        <v>303</v>
      </c>
    </row>
    <row r="1149">
      <c r="A1149" s="5" t="s">
        <v>1674</v>
      </c>
      <c r="B1149" s="5">
        <v>8.447055018E9</v>
      </c>
      <c r="D1149" s="5" t="s">
        <v>1675</v>
      </c>
      <c r="F1149" s="5" t="s">
        <v>303</v>
      </c>
    </row>
    <row r="1150">
      <c r="A1150" s="5" t="s">
        <v>1676</v>
      </c>
      <c r="B1150" s="5">
        <v>9.928539646E9</v>
      </c>
      <c r="F1150" s="5" t="s">
        <v>303</v>
      </c>
    </row>
    <row r="1151">
      <c r="A1151" s="5" t="s">
        <v>1677</v>
      </c>
      <c r="B1151" s="5">
        <v>9.65454491E9</v>
      </c>
      <c r="F1151" s="5" t="s">
        <v>303</v>
      </c>
    </row>
    <row r="1152">
      <c r="A1152" s="5" t="s">
        <v>61</v>
      </c>
      <c r="B1152" s="5">
        <v>9.540071893E9</v>
      </c>
      <c r="D1152" s="5" t="s">
        <v>15</v>
      </c>
      <c r="F1152" s="5" t="s">
        <v>303</v>
      </c>
    </row>
    <row r="1153">
      <c r="A1153" s="5" t="s">
        <v>1678</v>
      </c>
      <c r="B1153" s="5">
        <v>9.91076026E9</v>
      </c>
      <c r="D1153" s="5" t="s">
        <v>79</v>
      </c>
      <c r="F1153" s="5" t="s">
        <v>303</v>
      </c>
    </row>
    <row r="1154">
      <c r="A1154" s="5" t="s">
        <v>1679</v>
      </c>
      <c r="B1154" s="5">
        <v>9.958326169E9</v>
      </c>
      <c r="D1154" s="5" t="s">
        <v>79</v>
      </c>
      <c r="F1154" s="5" t="s">
        <v>303</v>
      </c>
    </row>
    <row r="1155">
      <c r="A1155" s="5" t="s">
        <v>1680</v>
      </c>
      <c r="B1155" s="5">
        <v>9.958325881E9</v>
      </c>
      <c r="F1155" s="5" t="s">
        <v>303</v>
      </c>
    </row>
    <row r="1156">
      <c r="A1156" s="5" t="s">
        <v>1681</v>
      </c>
      <c r="B1156" s="5">
        <v>9.26640961E9</v>
      </c>
      <c r="F1156" s="5" t="s">
        <v>303</v>
      </c>
    </row>
    <row r="1157">
      <c r="A1157" s="5" t="s">
        <v>1682</v>
      </c>
      <c r="B1157" s="5">
        <v>7.838644289E9</v>
      </c>
      <c r="F1157" s="5" t="s">
        <v>303</v>
      </c>
    </row>
    <row r="1158">
      <c r="A1158" s="5" t="s">
        <v>1683</v>
      </c>
      <c r="B1158" s="5">
        <v>7.888366009E9</v>
      </c>
      <c r="F1158" s="5" t="s">
        <v>303</v>
      </c>
    </row>
    <row r="1159">
      <c r="A1159" s="5" t="s">
        <v>1684</v>
      </c>
      <c r="B1159" s="5">
        <v>9.599725628E9</v>
      </c>
      <c r="F1159" s="5" t="s">
        <v>303</v>
      </c>
    </row>
    <row r="1160">
      <c r="A1160" s="5" t="s">
        <v>1685</v>
      </c>
      <c r="B1160" s="5">
        <v>9.811995214E9</v>
      </c>
      <c r="F1160" s="5" t="s">
        <v>303</v>
      </c>
    </row>
    <row r="1161">
      <c r="A1161" s="5" t="s">
        <v>1686</v>
      </c>
      <c r="B1161" s="5">
        <v>8.510097787E9</v>
      </c>
      <c r="F1161" s="5" t="s">
        <v>303</v>
      </c>
    </row>
    <row r="1162">
      <c r="A1162" s="5" t="s">
        <v>1687</v>
      </c>
      <c r="B1162" s="5">
        <v>9.899663556E9</v>
      </c>
      <c r="F1162" s="5" t="s">
        <v>303</v>
      </c>
    </row>
    <row r="1163">
      <c r="A1163" s="5" t="s">
        <v>427</v>
      </c>
      <c r="B1163" s="5">
        <v>8.882691508E9</v>
      </c>
      <c r="F1163" s="5" t="s">
        <v>303</v>
      </c>
    </row>
    <row r="1164">
      <c r="A1164" s="5" t="s">
        <v>771</v>
      </c>
      <c r="B1164" s="5">
        <v>8.287837923E9</v>
      </c>
      <c r="F1164" s="5" t="s">
        <v>303</v>
      </c>
    </row>
    <row r="1165">
      <c r="A1165" s="5" t="s">
        <v>1688</v>
      </c>
      <c r="B1165" s="5">
        <v>9.306304224E9</v>
      </c>
      <c r="D1165" s="5" t="s">
        <v>79</v>
      </c>
      <c r="F1165" s="5" t="s">
        <v>303</v>
      </c>
    </row>
    <row r="1166">
      <c r="A1166" s="5" t="s">
        <v>1689</v>
      </c>
      <c r="B1166" s="5">
        <v>7.988468118E9</v>
      </c>
      <c r="F1166" s="5" t="s">
        <v>303</v>
      </c>
    </row>
    <row r="1167">
      <c r="A1167" s="5" t="s">
        <v>1690</v>
      </c>
      <c r="B1167" s="5">
        <v>8.708614419E9</v>
      </c>
      <c r="D1167" s="5" t="s">
        <v>79</v>
      </c>
      <c r="F1167" s="5" t="s">
        <v>303</v>
      </c>
    </row>
    <row r="1168">
      <c r="A1168" s="5" t="s">
        <v>1691</v>
      </c>
      <c r="B1168" s="5">
        <v>9.971505665E9</v>
      </c>
      <c r="F1168" s="5" t="s">
        <v>303</v>
      </c>
    </row>
    <row r="1169">
      <c r="A1169" s="5" t="s">
        <v>709</v>
      </c>
      <c r="B1169" s="5">
        <v>9.990364427E9</v>
      </c>
      <c r="D1169" s="5" t="s">
        <v>79</v>
      </c>
      <c r="F1169" s="5" t="s">
        <v>303</v>
      </c>
    </row>
    <row r="1170">
      <c r="A1170" s="5" t="s">
        <v>1692</v>
      </c>
      <c r="B1170" s="5">
        <v>9.899240702E9</v>
      </c>
      <c r="D1170" s="5" t="s">
        <v>79</v>
      </c>
      <c r="F1170" s="5" t="s">
        <v>303</v>
      </c>
    </row>
    <row r="1171">
      <c r="A1171" s="5" t="s">
        <v>1693</v>
      </c>
      <c r="B1171" s="5">
        <v>9.560953821E9</v>
      </c>
      <c r="F1171" s="5" t="s">
        <v>303</v>
      </c>
    </row>
    <row r="1172">
      <c r="A1172" s="5" t="s">
        <v>1694</v>
      </c>
      <c r="B1172" s="5">
        <v>9.873008448E9</v>
      </c>
      <c r="F1172" s="5" t="s">
        <v>303</v>
      </c>
    </row>
    <row r="1173">
      <c r="A1173" s="5" t="s">
        <v>1695</v>
      </c>
      <c r="B1173" s="5">
        <v>7.836868011E9</v>
      </c>
      <c r="F1173" s="5" t="s">
        <v>303</v>
      </c>
    </row>
    <row r="1174">
      <c r="A1174" s="5" t="s">
        <v>1696</v>
      </c>
      <c r="B1174" s="5">
        <v>9.711898306E9</v>
      </c>
      <c r="F1174" s="5" t="s">
        <v>303</v>
      </c>
    </row>
    <row r="1175">
      <c r="A1175" s="5" t="s">
        <v>1697</v>
      </c>
      <c r="B1175" s="5">
        <v>7.83863071E9</v>
      </c>
      <c r="F1175" s="5" t="s">
        <v>303</v>
      </c>
    </row>
    <row r="1176">
      <c r="A1176" s="5" t="s">
        <v>826</v>
      </c>
      <c r="B1176" s="5">
        <v>9.037926768E9</v>
      </c>
      <c r="D1176" s="5" t="s">
        <v>1698</v>
      </c>
      <c r="F1176" s="5" t="s">
        <v>303</v>
      </c>
    </row>
    <row r="1177">
      <c r="A1177" s="5" t="s">
        <v>1699</v>
      </c>
      <c r="B1177" s="5">
        <v>9.999501179E9</v>
      </c>
      <c r="F1177" s="5" t="s">
        <v>303</v>
      </c>
    </row>
    <row r="1178">
      <c r="A1178" s="5" t="s">
        <v>1700</v>
      </c>
      <c r="B1178" s="5">
        <v>9.540022599E9</v>
      </c>
      <c r="D1178" s="5" t="s">
        <v>879</v>
      </c>
      <c r="F1178" s="5" t="s">
        <v>303</v>
      </c>
    </row>
    <row r="1179">
      <c r="A1179" s="5" t="s">
        <v>1701</v>
      </c>
      <c r="B1179" s="5">
        <v>7.678264566E9</v>
      </c>
      <c r="F1179" s="5" t="s">
        <v>303</v>
      </c>
    </row>
    <row r="1180">
      <c r="A1180" s="5" t="s">
        <v>914</v>
      </c>
      <c r="B1180" s="5">
        <v>9.212638429E9</v>
      </c>
      <c r="F1180" s="5" t="s">
        <v>303</v>
      </c>
    </row>
    <row r="1181">
      <c r="A1181" s="5" t="s">
        <v>1702</v>
      </c>
      <c r="B1181" s="5">
        <v>9.871568901E9</v>
      </c>
      <c r="F1181" s="5" t="s">
        <v>303</v>
      </c>
    </row>
    <row r="1182">
      <c r="A1182" s="5" t="s">
        <v>1703</v>
      </c>
      <c r="B1182" s="5">
        <v>9.868090839E9</v>
      </c>
      <c r="F1182" s="5" t="s">
        <v>303</v>
      </c>
    </row>
    <row r="1183">
      <c r="A1183" s="5" t="s">
        <v>1704</v>
      </c>
      <c r="B1183" s="5">
        <v>9.312030975E9</v>
      </c>
      <c r="D1183" s="5" t="s">
        <v>71</v>
      </c>
      <c r="F1183" s="5" t="s">
        <v>303</v>
      </c>
    </row>
    <row r="1184">
      <c r="A1184" s="5" t="s">
        <v>1705</v>
      </c>
      <c r="B1184" s="5">
        <v>9.953847907E9</v>
      </c>
      <c r="D1184" s="5" t="s">
        <v>71</v>
      </c>
      <c r="F1184" s="5" t="s">
        <v>303</v>
      </c>
    </row>
    <row r="1185">
      <c r="A1185" s="5" t="s">
        <v>1706</v>
      </c>
      <c r="B1185" s="5">
        <v>9.953037233E9</v>
      </c>
      <c r="D1185" s="5" t="s">
        <v>79</v>
      </c>
      <c r="F1185" s="5" t="s">
        <v>303</v>
      </c>
    </row>
    <row r="1186">
      <c r="A1186" s="5" t="s">
        <v>1477</v>
      </c>
      <c r="B1186" s="5">
        <v>8.007388788E9</v>
      </c>
      <c r="D1186" s="5" t="s">
        <v>15</v>
      </c>
      <c r="F1186" s="5" t="s">
        <v>303</v>
      </c>
    </row>
    <row r="1187">
      <c r="A1187" s="5" t="s">
        <v>1707</v>
      </c>
      <c r="B1187" s="5">
        <v>8.791733436E9</v>
      </c>
      <c r="D1187" s="5" t="s">
        <v>481</v>
      </c>
      <c r="F1187" s="5" t="s">
        <v>303</v>
      </c>
    </row>
    <row r="1188">
      <c r="A1188" s="5" t="s">
        <v>1131</v>
      </c>
      <c r="B1188" s="5">
        <v>9.785303247E9</v>
      </c>
      <c r="F1188" s="5" t="s">
        <v>303</v>
      </c>
    </row>
    <row r="1189">
      <c r="A1189" s="5" t="s">
        <v>1708</v>
      </c>
      <c r="B1189" s="5">
        <v>8.587049879E9</v>
      </c>
      <c r="F1189" s="5" t="s">
        <v>303</v>
      </c>
    </row>
    <row r="1190">
      <c r="A1190" s="5" t="s">
        <v>1709</v>
      </c>
      <c r="B1190" s="5">
        <v>9.334625619E9</v>
      </c>
      <c r="D1190" s="5" t="s">
        <v>227</v>
      </c>
      <c r="F1190" s="5" t="s">
        <v>303</v>
      </c>
    </row>
    <row r="1191">
      <c r="A1191" s="5" t="s">
        <v>1710</v>
      </c>
      <c r="B1191" s="5">
        <v>9.998428555E9</v>
      </c>
      <c r="E1191" s="7" t="s">
        <v>1711</v>
      </c>
      <c r="F1191" s="5" t="s">
        <v>303</v>
      </c>
    </row>
    <row r="1192">
      <c r="A1192" s="5" t="s">
        <v>1712</v>
      </c>
      <c r="B1192" s="5">
        <v>7.580809E9</v>
      </c>
      <c r="D1192" s="5" t="s">
        <v>79</v>
      </c>
      <c r="F1192" s="5" t="s">
        <v>303</v>
      </c>
    </row>
    <row r="1193">
      <c r="A1193" s="5" t="s">
        <v>813</v>
      </c>
      <c r="B1193" s="5">
        <v>8.595960542E9</v>
      </c>
      <c r="D1193" s="5" t="s">
        <v>1713</v>
      </c>
      <c r="F1193" s="5" t="s">
        <v>303</v>
      </c>
    </row>
    <row r="1194">
      <c r="A1194" s="5" t="s">
        <v>1714</v>
      </c>
      <c r="B1194" s="5">
        <v>8.700102983E9</v>
      </c>
      <c r="F1194" s="5" t="s">
        <v>303</v>
      </c>
    </row>
    <row r="1195">
      <c r="A1195" s="5" t="s">
        <v>1715</v>
      </c>
      <c r="B1195" s="5">
        <v>8.851063684E9</v>
      </c>
      <c r="F1195" s="5" t="s">
        <v>303</v>
      </c>
    </row>
    <row r="1196">
      <c r="A1196" s="5" t="s">
        <v>1716</v>
      </c>
      <c r="B1196" s="5">
        <v>9.117041121E9</v>
      </c>
      <c r="F1196" s="5" t="s">
        <v>303</v>
      </c>
    </row>
    <row r="1197">
      <c r="A1197" s="5" t="s">
        <v>1717</v>
      </c>
      <c r="B1197" s="5">
        <v>9.911038786E9</v>
      </c>
      <c r="F1197" s="5" t="s">
        <v>303</v>
      </c>
    </row>
    <row r="1198">
      <c r="A1198" s="5" t="s">
        <v>911</v>
      </c>
      <c r="B1198" s="5">
        <v>8.851342161E9</v>
      </c>
      <c r="F1198" s="5" t="s">
        <v>303</v>
      </c>
    </row>
    <row r="1199">
      <c r="A1199" s="5" t="s">
        <v>1087</v>
      </c>
      <c r="B1199" s="5">
        <v>9.873388293E9</v>
      </c>
      <c r="F1199" s="5" t="s">
        <v>303</v>
      </c>
    </row>
    <row r="1200">
      <c r="A1200" s="5" t="s">
        <v>1718</v>
      </c>
      <c r="B1200" s="5">
        <v>9.971586214E9</v>
      </c>
      <c r="D1200" s="5" t="s">
        <v>15</v>
      </c>
      <c r="F1200" s="5" t="s">
        <v>303</v>
      </c>
    </row>
    <row r="1201">
      <c r="A1201" s="5" t="s">
        <v>1382</v>
      </c>
      <c r="B1201" s="5">
        <v>7.011781738E9</v>
      </c>
      <c r="D1201" s="5" t="s">
        <v>1719</v>
      </c>
      <c r="F1201" s="5" t="s">
        <v>303</v>
      </c>
    </row>
    <row r="1202">
      <c r="A1202" s="5" t="s">
        <v>427</v>
      </c>
      <c r="B1202" s="5">
        <v>8.64100008E9</v>
      </c>
      <c r="F1202" s="5" t="s">
        <v>303</v>
      </c>
    </row>
    <row r="1203">
      <c r="A1203" s="5" t="s">
        <v>1720</v>
      </c>
      <c r="B1203" s="5">
        <v>9.818896326E9</v>
      </c>
      <c r="D1203" s="5" t="s">
        <v>39</v>
      </c>
      <c r="F1203" s="5" t="s">
        <v>303</v>
      </c>
    </row>
    <row r="1204">
      <c r="A1204" s="5" t="s">
        <v>1721</v>
      </c>
      <c r="B1204" s="5">
        <v>9.810699303E9</v>
      </c>
      <c r="F1204" s="5" t="s">
        <v>303</v>
      </c>
    </row>
    <row r="1205">
      <c r="A1205" s="5" t="s">
        <v>1722</v>
      </c>
      <c r="B1205" s="5">
        <v>9.667262908E9</v>
      </c>
      <c r="F1205" s="5" t="s">
        <v>303</v>
      </c>
    </row>
    <row r="1206">
      <c r="A1206" s="5" t="s">
        <v>1723</v>
      </c>
      <c r="B1206" s="5">
        <v>8.826628839E9</v>
      </c>
      <c r="D1206" s="5" t="s">
        <v>1724</v>
      </c>
      <c r="F1206" s="5" t="s">
        <v>303</v>
      </c>
    </row>
    <row r="1207">
      <c r="A1207" s="5" t="s">
        <v>1725</v>
      </c>
      <c r="B1207" s="5">
        <v>8.285970468E9</v>
      </c>
      <c r="F1207" s="5" t="s">
        <v>303</v>
      </c>
    </row>
    <row r="1208">
      <c r="A1208" s="5" t="s">
        <v>1726</v>
      </c>
      <c r="B1208" s="5">
        <v>9.619248021E9</v>
      </c>
      <c r="D1208" s="5" t="s">
        <v>1727</v>
      </c>
      <c r="F1208" s="5" t="s">
        <v>303</v>
      </c>
    </row>
    <row r="1209">
      <c r="A1209" s="5" t="s">
        <v>1728</v>
      </c>
      <c r="B1209" s="5">
        <v>9.911371602E9</v>
      </c>
      <c r="F1209" s="5" t="s">
        <v>303</v>
      </c>
    </row>
    <row r="1210">
      <c r="A1210" s="5" t="s">
        <v>1729</v>
      </c>
      <c r="B1210" s="5">
        <v>8.178235687E9</v>
      </c>
      <c r="F1210" s="5" t="s">
        <v>303</v>
      </c>
    </row>
    <row r="1211">
      <c r="A1211" s="5" t="s">
        <v>1730</v>
      </c>
      <c r="B1211" s="5">
        <v>7.503494379E9</v>
      </c>
      <c r="F1211" s="5" t="s">
        <v>303</v>
      </c>
    </row>
    <row r="1212">
      <c r="A1212" s="5" t="s">
        <v>1731</v>
      </c>
      <c r="B1212" s="5">
        <v>9.811167431E9</v>
      </c>
      <c r="F1212" s="5" t="s">
        <v>303</v>
      </c>
    </row>
    <row r="1213">
      <c r="A1213" s="5" t="s">
        <v>1732</v>
      </c>
      <c r="B1213" s="5">
        <v>9.045214128E9</v>
      </c>
      <c r="F1213" s="5" t="s">
        <v>303</v>
      </c>
    </row>
    <row r="1214">
      <c r="A1214" s="5" t="s">
        <v>1733</v>
      </c>
      <c r="B1214" s="5">
        <v>9.65468265E9</v>
      </c>
      <c r="F1214" s="5" t="s">
        <v>303</v>
      </c>
    </row>
    <row r="1215">
      <c r="A1215" s="5" t="s">
        <v>1734</v>
      </c>
      <c r="B1215" s="5">
        <v>8.368576547E9</v>
      </c>
      <c r="F1215" s="5" t="s">
        <v>303</v>
      </c>
    </row>
    <row r="1216">
      <c r="A1216" s="5" t="s">
        <v>1735</v>
      </c>
      <c r="B1216" s="5">
        <v>6.387953068E9</v>
      </c>
      <c r="F1216" s="5" t="s">
        <v>303</v>
      </c>
    </row>
    <row r="1217">
      <c r="A1217" s="5" t="s">
        <v>1736</v>
      </c>
      <c r="B1217" s="5">
        <v>9.899130661E9</v>
      </c>
      <c r="D1217" s="5" t="s">
        <v>79</v>
      </c>
      <c r="F1217" s="5" t="s">
        <v>303</v>
      </c>
    </row>
    <row r="1218">
      <c r="A1218" s="5" t="s">
        <v>1737</v>
      </c>
      <c r="B1218" s="5">
        <v>6.388862301E9</v>
      </c>
      <c r="D1218" s="5" t="s">
        <v>1738</v>
      </c>
      <c r="F1218" s="5" t="s">
        <v>303</v>
      </c>
    </row>
    <row r="1219">
      <c r="A1219" s="5" t="s">
        <v>1739</v>
      </c>
      <c r="B1219" s="5">
        <v>7.696341074E9</v>
      </c>
      <c r="F1219" s="5" t="s">
        <v>303</v>
      </c>
    </row>
    <row r="1220">
      <c r="A1220" s="5" t="s">
        <v>604</v>
      </c>
      <c r="B1220" s="5">
        <v>9.468270858E9</v>
      </c>
      <c r="F1220" s="5" t="s">
        <v>303</v>
      </c>
    </row>
    <row r="1221">
      <c r="A1221" s="5" t="s">
        <v>1740</v>
      </c>
      <c r="B1221" s="5">
        <v>9.996863007E9</v>
      </c>
      <c r="F1221" s="5" t="s">
        <v>303</v>
      </c>
    </row>
    <row r="1222">
      <c r="A1222" s="5" t="s">
        <v>1741</v>
      </c>
      <c r="B1222" s="5">
        <v>9.999565136E9</v>
      </c>
      <c r="F1222" s="5" t="s">
        <v>303</v>
      </c>
    </row>
    <row r="1223">
      <c r="A1223" s="5" t="s">
        <v>1742</v>
      </c>
      <c r="B1223" s="5">
        <v>9.818424256E9</v>
      </c>
      <c r="D1223" s="5" t="s">
        <v>1743</v>
      </c>
      <c r="F1223" s="5" t="s">
        <v>303</v>
      </c>
    </row>
    <row r="1224">
      <c r="A1224" s="5" t="s">
        <v>1744</v>
      </c>
      <c r="B1224" s="5">
        <v>9.910110248E9</v>
      </c>
      <c r="F1224" s="5" t="s">
        <v>303</v>
      </c>
    </row>
    <row r="1225">
      <c r="A1225" s="5" t="s">
        <v>1495</v>
      </c>
      <c r="B1225" s="5">
        <v>9.212315556E9</v>
      </c>
      <c r="D1225" s="5" t="s">
        <v>79</v>
      </c>
      <c r="F1225" s="5" t="s">
        <v>303</v>
      </c>
    </row>
    <row r="1226">
      <c r="A1226" s="5" t="s">
        <v>1745</v>
      </c>
      <c r="B1226" s="5">
        <v>9.773608014E9</v>
      </c>
      <c r="D1226" s="5" t="s">
        <v>79</v>
      </c>
      <c r="F1226" s="5" t="s">
        <v>303</v>
      </c>
    </row>
    <row r="1227">
      <c r="A1227" s="5" t="s">
        <v>1746</v>
      </c>
      <c r="B1227" s="5">
        <v>9.910496557E9</v>
      </c>
      <c r="F1227" s="5" t="s">
        <v>303</v>
      </c>
    </row>
    <row r="1228">
      <c r="A1228" s="5" t="s">
        <v>1747</v>
      </c>
      <c r="B1228" s="5">
        <v>9.888204159E9</v>
      </c>
      <c r="D1228" s="5" t="s">
        <v>79</v>
      </c>
      <c r="F1228" s="5" t="s">
        <v>303</v>
      </c>
    </row>
    <row r="1229">
      <c r="A1229" s="5" t="s">
        <v>1748</v>
      </c>
      <c r="B1229" s="5">
        <v>8.59194E9</v>
      </c>
      <c r="F1229" s="5" t="s">
        <v>303</v>
      </c>
    </row>
    <row r="1230">
      <c r="A1230" s="5" t="s">
        <v>875</v>
      </c>
      <c r="B1230" s="5">
        <v>9.675496754E9</v>
      </c>
      <c r="F1230" s="5" t="s">
        <v>303</v>
      </c>
    </row>
    <row r="1231">
      <c r="A1231" s="5" t="s">
        <v>1749</v>
      </c>
      <c r="B1231" s="5">
        <v>8.874780171E9</v>
      </c>
      <c r="F1231" s="5" t="s">
        <v>303</v>
      </c>
    </row>
    <row r="1232">
      <c r="A1232" s="5" t="s">
        <v>1750</v>
      </c>
      <c r="B1232" s="5">
        <v>9.718884666E9</v>
      </c>
      <c r="F1232" s="5" t="s">
        <v>303</v>
      </c>
    </row>
    <row r="1233">
      <c r="A1233" s="5" t="s">
        <v>1751</v>
      </c>
      <c r="B1233" s="5">
        <v>9.213949567E9</v>
      </c>
      <c r="D1233" s="5" t="s">
        <v>79</v>
      </c>
      <c r="F1233" s="5" t="s">
        <v>303</v>
      </c>
    </row>
    <row r="1234">
      <c r="A1234" s="5" t="s">
        <v>364</v>
      </c>
      <c r="B1234" s="5">
        <v>9.560407603E9</v>
      </c>
      <c r="F1234" s="5" t="s">
        <v>303</v>
      </c>
    </row>
    <row r="1235">
      <c r="A1235" s="5" t="s">
        <v>1752</v>
      </c>
      <c r="B1235" s="5">
        <v>9.560515548E9</v>
      </c>
      <c r="F1235" s="5" t="s">
        <v>303</v>
      </c>
    </row>
    <row r="1236">
      <c r="A1236" s="5" t="s">
        <v>1753</v>
      </c>
      <c r="B1236" s="5">
        <v>8.950783958E9</v>
      </c>
      <c r="F1236" s="5" t="s">
        <v>303</v>
      </c>
    </row>
    <row r="1237">
      <c r="A1237" s="5" t="s">
        <v>1754</v>
      </c>
      <c r="B1237" s="5">
        <v>9.997060999E9</v>
      </c>
      <c r="F1237" s="5" t="s">
        <v>303</v>
      </c>
    </row>
    <row r="1238">
      <c r="A1238" s="5" t="s">
        <v>1755</v>
      </c>
      <c r="B1238" s="5">
        <v>7.419194061E9</v>
      </c>
      <c r="F1238" s="5" t="s">
        <v>303</v>
      </c>
    </row>
    <row r="1239">
      <c r="A1239" s="5" t="s">
        <v>1756</v>
      </c>
      <c r="B1239" s="5">
        <v>9.810036918E9</v>
      </c>
      <c r="F1239" s="5" t="s">
        <v>303</v>
      </c>
    </row>
    <row r="1240">
      <c r="A1240" s="5" t="s">
        <v>1757</v>
      </c>
      <c r="B1240" s="5">
        <v>9.625071302E9</v>
      </c>
      <c r="F1240" s="5" t="s">
        <v>303</v>
      </c>
    </row>
    <row r="1241">
      <c r="A1241" s="5" t="s">
        <v>1758</v>
      </c>
      <c r="B1241" s="5">
        <v>8.920386205E9</v>
      </c>
      <c r="F1241" s="5" t="s">
        <v>303</v>
      </c>
    </row>
    <row r="1242">
      <c r="A1242" s="5" t="s">
        <v>1759</v>
      </c>
      <c r="B1242" s="5">
        <v>9.910299327E9</v>
      </c>
      <c r="D1242" s="5" t="s">
        <v>424</v>
      </c>
      <c r="F1242" s="5" t="s">
        <v>303</v>
      </c>
    </row>
    <row r="1243">
      <c r="A1243" s="5" t="s">
        <v>1760</v>
      </c>
      <c r="B1243" s="5">
        <v>9.899139331E9</v>
      </c>
      <c r="F1243" s="5" t="s">
        <v>303</v>
      </c>
    </row>
    <row r="1244">
      <c r="A1244" s="5" t="s">
        <v>1761</v>
      </c>
      <c r="B1244" s="5">
        <v>9.728705296E9</v>
      </c>
      <c r="F1244" s="5" t="s">
        <v>303</v>
      </c>
    </row>
    <row r="1245">
      <c r="A1245" s="5" t="s">
        <v>1762</v>
      </c>
      <c r="B1245" s="5">
        <v>9.992179799E9</v>
      </c>
      <c r="F1245" s="5" t="s">
        <v>303</v>
      </c>
    </row>
    <row r="1246">
      <c r="A1246" s="5" t="s">
        <v>1763</v>
      </c>
      <c r="B1246" s="5">
        <v>9.213155114E9</v>
      </c>
      <c r="D1246" s="5" t="s">
        <v>1764</v>
      </c>
      <c r="F1246" s="5" t="s">
        <v>303</v>
      </c>
    </row>
    <row r="1247">
      <c r="A1247" s="5" t="s">
        <v>514</v>
      </c>
      <c r="B1247" s="5">
        <v>9.910592746E9</v>
      </c>
      <c r="F1247" s="5" t="s">
        <v>303</v>
      </c>
    </row>
    <row r="1248">
      <c r="A1248" s="5" t="s">
        <v>651</v>
      </c>
      <c r="B1248" s="5">
        <v>8.802824647E9</v>
      </c>
      <c r="F1248" s="5" t="s">
        <v>303</v>
      </c>
    </row>
    <row r="1249">
      <c r="A1249" s="5" t="s">
        <v>1765</v>
      </c>
      <c r="B1249" s="5">
        <v>7.00214361E9</v>
      </c>
      <c r="D1249" s="5" t="s">
        <v>227</v>
      </c>
      <c r="F1249" s="5" t="s">
        <v>303</v>
      </c>
    </row>
    <row r="1250">
      <c r="A1250" s="5" t="s">
        <v>257</v>
      </c>
      <c r="B1250" s="5">
        <v>8.168837905E9</v>
      </c>
      <c r="F1250" s="5" t="s">
        <v>303</v>
      </c>
    </row>
    <row r="1251">
      <c r="A1251" s="5" t="s">
        <v>1766</v>
      </c>
      <c r="B1251" s="5">
        <v>9.053321312E9</v>
      </c>
      <c r="F1251" s="5" t="s">
        <v>303</v>
      </c>
    </row>
    <row r="1252">
      <c r="A1252" s="5" t="s">
        <v>1767</v>
      </c>
      <c r="B1252" s="5">
        <v>8.882535457E9</v>
      </c>
      <c r="F1252" s="5" t="s">
        <v>303</v>
      </c>
    </row>
    <row r="1253">
      <c r="A1253" s="5" t="s">
        <v>1768</v>
      </c>
      <c r="B1253" s="5">
        <v>9.62585262E9</v>
      </c>
      <c r="D1253" s="5" t="s">
        <v>79</v>
      </c>
      <c r="F1253" s="5" t="s">
        <v>303</v>
      </c>
    </row>
    <row r="1254">
      <c r="A1254" s="5" t="s">
        <v>1769</v>
      </c>
      <c r="B1254" s="5">
        <v>6.390641704E9</v>
      </c>
      <c r="F1254" s="5" t="s">
        <v>303</v>
      </c>
    </row>
    <row r="1255">
      <c r="A1255" s="5" t="s">
        <v>27</v>
      </c>
      <c r="B1255" s="5">
        <v>9.6437544E9</v>
      </c>
      <c r="F1255" s="5" t="s">
        <v>303</v>
      </c>
    </row>
    <row r="1256">
      <c r="A1256" s="5" t="s">
        <v>1770</v>
      </c>
      <c r="B1256" s="5">
        <v>9.355650133E9</v>
      </c>
      <c r="F1256" s="5" t="s">
        <v>303</v>
      </c>
    </row>
    <row r="1257">
      <c r="A1257" s="5" t="s">
        <v>1771</v>
      </c>
      <c r="B1257" s="5">
        <v>9.259524523E9</v>
      </c>
      <c r="F1257" s="5" t="s">
        <v>303</v>
      </c>
    </row>
    <row r="1258">
      <c r="A1258" s="5" t="s">
        <v>1053</v>
      </c>
      <c r="B1258" s="5">
        <v>9.882816742E9</v>
      </c>
      <c r="F1258" s="5" t="s">
        <v>303</v>
      </c>
    </row>
    <row r="1259">
      <c r="A1259" s="5" t="s">
        <v>1772</v>
      </c>
      <c r="B1259" s="5">
        <v>8.447384008E9</v>
      </c>
      <c r="F1259" s="5" t="s">
        <v>303</v>
      </c>
    </row>
    <row r="1260">
      <c r="A1260" s="5" t="s">
        <v>606</v>
      </c>
      <c r="B1260" s="5">
        <v>9.891252812E9</v>
      </c>
      <c r="F1260" s="5" t="s">
        <v>303</v>
      </c>
    </row>
    <row r="1261">
      <c r="A1261" s="5" t="s">
        <v>1483</v>
      </c>
      <c r="B1261" s="5">
        <v>8.477925081E9</v>
      </c>
      <c r="F1261" s="5" t="s">
        <v>303</v>
      </c>
    </row>
    <row r="1262">
      <c r="A1262" s="5" t="s">
        <v>1773</v>
      </c>
      <c r="B1262" s="5">
        <v>9.35200242E9</v>
      </c>
      <c r="F1262" s="5" t="s">
        <v>303</v>
      </c>
    </row>
    <row r="1263">
      <c r="A1263" s="5" t="s">
        <v>1774</v>
      </c>
      <c r="B1263" s="5">
        <v>8.448355982E9</v>
      </c>
      <c r="D1263" s="5" t="s">
        <v>15</v>
      </c>
      <c r="F1263" s="5" t="s">
        <v>303</v>
      </c>
    </row>
    <row r="1264">
      <c r="A1264" s="5" t="s">
        <v>1775</v>
      </c>
      <c r="B1264" s="5">
        <v>7.053516651E9</v>
      </c>
      <c r="F1264" s="5" t="s">
        <v>303</v>
      </c>
    </row>
    <row r="1265">
      <c r="A1265" s="5" t="s">
        <v>1776</v>
      </c>
      <c r="B1265" s="5">
        <v>9.560933993E9</v>
      </c>
      <c r="F1265" s="5" t="s">
        <v>303</v>
      </c>
    </row>
    <row r="1266">
      <c r="A1266" s="5" t="s">
        <v>1500</v>
      </c>
      <c r="B1266" s="5">
        <v>9.717010738E9</v>
      </c>
      <c r="F1266" s="5" t="s">
        <v>303</v>
      </c>
    </row>
    <row r="1267">
      <c r="A1267" s="5" t="s">
        <v>1777</v>
      </c>
      <c r="B1267" s="5">
        <v>7.830159025E9</v>
      </c>
      <c r="F1267" s="5" t="s">
        <v>303</v>
      </c>
    </row>
    <row r="1268">
      <c r="A1268" s="5" t="s">
        <v>516</v>
      </c>
      <c r="B1268" s="5">
        <v>8.178838524E9</v>
      </c>
      <c r="D1268" s="5" t="s">
        <v>79</v>
      </c>
      <c r="F1268" s="5" t="s">
        <v>303</v>
      </c>
    </row>
    <row r="1269">
      <c r="A1269" s="5" t="s">
        <v>1778</v>
      </c>
      <c r="B1269" s="5">
        <v>8.810476148E9</v>
      </c>
      <c r="F1269" s="5" t="s">
        <v>303</v>
      </c>
    </row>
    <row r="1270">
      <c r="A1270" s="5" t="s">
        <v>1779</v>
      </c>
      <c r="B1270" s="5">
        <v>8.607484995E9</v>
      </c>
      <c r="D1270" s="5" t="s">
        <v>79</v>
      </c>
      <c r="F1270" s="5" t="s">
        <v>303</v>
      </c>
    </row>
    <row r="1271">
      <c r="A1271" s="5" t="s">
        <v>1780</v>
      </c>
      <c r="B1271" s="5">
        <v>9.911997566E9</v>
      </c>
      <c r="F1271" s="5" t="s">
        <v>303</v>
      </c>
    </row>
    <row r="1272">
      <c r="A1272" s="5" t="s">
        <v>1781</v>
      </c>
      <c r="B1272" s="5">
        <v>9.416789608E9</v>
      </c>
      <c r="F1272" s="5" t="s">
        <v>303</v>
      </c>
    </row>
    <row r="1273">
      <c r="A1273" s="5" t="s">
        <v>1782</v>
      </c>
      <c r="B1273" s="5">
        <v>9.87342675E9</v>
      </c>
      <c r="F1273" s="5" t="s">
        <v>303</v>
      </c>
    </row>
    <row r="1274">
      <c r="A1274" s="5" t="s">
        <v>1783</v>
      </c>
      <c r="B1274" s="5">
        <v>8.527054042E9</v>
      </c>
      <c r="D1274" s="5" t="s">
        <v>227</v>
      </c>
      <c r="F1274" s="5" t="s">
        <v>303</v>
      </c>
    </row>
    <row r="1275">
      <c r="A1275" s="5" t="s">
        <v>1784</v>
      </c>
      <c r="B1275" s="5">
        <v>9.873128973E9</v>
      </c>
      <c r="F1275" s="5" t="s">
        <v>303</v>
      </c>
    </row>
    <row r="1276">
      <c r="A1276" s="5" t="s">
        <v>426</v>
      </c>
      <c r="B1276" s="5">
        <v>9.811319949E9</v>
      </c>
      <c r="F1276" s="5" t="s">
        <v>303</v>
      </c>
    </row>
    <row r="1277">
      <c r="A1277" s="5" t="s">
        <v>1785</v>
      </c>
      <c r="B1277" s="5">
        <v>9.999338381E9</v>
      </c>
      <c r="F1277" s="5" t="s">
        <v>303</v>
      </c>
    </row>
    <row r="1278">
      <c r="A1278" s="5" t="s">
        <v>1786</v>
      </c>
      <c r="B1278" s="5">
        <v>9.210483918E9</v>
      </c>
      <c r="F1278" s="5" t="s">
        <v>303</v>
      </c>
    </row>
    <row r="1279">
      <c r="A1279" s="5" t="s">
        <v>1787</v>
      </c>
      <c r="B1279" s="5">
        <v>9.98474518E9</v>
      </c>
      <c r="D1279" s="5" t="s">
        <v>79</v>
      </c>
      <c r="F1279" s="5" t="s">
        <v>303</v>
      </c>
    </row>
    <row r="1280">
      <c r="A1280" s="5" t="s">
        <v>1788</v>
      </c>
      <c r="B1280" s="5">
        <v>8.787076921E9</v>
      </c>
      <c r="F1280" s="5" t="s">
        <v>303</v>
      </c>
    </row>
    <row r="1281">
      <c r="A1281" s="5" t="s">
        <v>1789</v>
      </c>
      <c r="B1281" s="5">
        <v>9.582187215E9</v>
      </c>
      <c r="F1281" s="5" t="s">
        <v>303</v>
      </c>
    </row>
    <row r="1282">
      <c r="A1282" s="5" t="s">
        <v>1790</v>
      </c>
      <c r="B1282" s="5">
        <v>9.968546185E9</v>
      </c>
      <c r="F1282" s="5" t="s">
        <v>303</v>
      </c>
    </row>
    <row r="1283">
      <c r="A1283" s="5" t="s">
        <v>1791</v>
      </c>
      <c r="B1283" s="5">
        <v>8.076551913E9</v>
      </c>
      <c r="F1283" s="5" t="s">
        <v>303</v>
      </c>
    </row>
    <row r="1284">
      <c r="A1284" s="5" t="s">
        <v>1792</v>
      </c>
      <c r="B1284" s="5">
        <v>9.899921478E9</v>
      </c>
      <c r="F1284" s="5" t="s">
        <v>303</v>
      </c>
    </row>
    <row r="1285">
      <c r="A1285" s="5" t="s">
        <v>1793</v>
      </c>
      <c r="B1285" s="5">
        <v>9.968546185E9</v>
      </c>
      <c r="F1285" s="5" t="s">
        <v>303</v>
      </c>
    </row>
    <row r="1286">
      <c r="A1286" s="5" t="s">
        <v>254</v>
      </c>
      <c r="B1286" s="5">
        <v>9.873877924E9</v>
      </c>
      <c r="D1286" s="5" t="s">
        <v>13</v>
      </c>
      <c r="F1286" s="5" t="s">
        <v>303</v>
      </c>
    </row>
    <row r="1287">
      <c r="A1287" s="5" t="s">
        <v>578</v>
      </c>
      <c r="B1287" s="5">
        <v>8.750831223E9</v>
      </c>
      <c r="F1287" s="5" t="s">
        <v>303</v>
      </c>
    </row>
    <row r="1288">
      <c r="A1288" s="5" t="s">
        <v>1794</v>
      </c>
      <c r="B1288" s="5">
        <v>8.273418446E9</v>
      </c>
      <c r="F1288" s="5" t="s">
        <v>303</v>
      </c>
    </row>
    <row r="1289">
      <c r="A1289" s="5" t="s">
        <v>1795</v>
      </c>
      <c r="B1289" s="5">
        <v>9.311526415E9</v>
      </c>
      <c r="F1289" s="5" t="s">
        <v>303</v>
      </c>
    </row>
    <row r="1290">
      <c r="A1290" s="5" t="s">
        <v>1796</v>
      </c>
      <c r="B1290" s="5">
        <v>9.896164575E9</v>
      </c>
      <c r="F1290" s="5" t="s">
        <v>303</v>
      </c>
    </row>
    <row r="1291">
      <c r="A1291" s="5" t="s">
        <v>1797</v>
      </c>
      <c r="B1291" s="5">
        <v>9.896799441E9</v>
      </c>
      <c r="D1291" s="5" t="s">
        <v>1139</v>
      </c>
      <c r="F1291" s="5" t="s">
        <v>303</v>
      </c>
    </row>
    <row r="1292">
      <c r="A1292" s="5" t="s">
        <v>1798</v>
      </c>
      <c r="B1292" s="5">
        <v>9.896317273E9</v>
      </c>
      <c r="F1292" s="5" t="s">
        <v>303</v>
      </c>
    </row>
    <row r="1293">
      <c r="A1293" s="5" t="s">
        <v>1799</v>
      </c>
      <c r="B1293" s="5">
        <v>9.466814188E9</v>
      </c>
      <c r="D1293" s="5" t="s">
        <v>79</v>
      </c>
      <c r="F1293" s="5" t="s">
        <v>303</v>
      </c>
    </row>
    <row r="1294">
      <c r="A1294" s="5" t="s">
        <v>1800</v>
      </c>
      <c r="B1294" s="5">
        <v>9.896164575E9</v>
      </c>
      <c r="F1294" s="5" t="s">
        <v>303</v>
      </c>
    </row>
    <row r="1295">
      <c r="A1295" s="5" t="s">
        <v>1801</v>
      </c>
      <c r="B1295" s="5">
        <v>8.708223832E9</v>
      </c>
      <c r="F1295" s="5" t="s">
        <v>303</v>
      </c>
    </row>
    <row r="1296">
      <c r="A1296" s="5" t="s">
        <v>1802</v>
      </c>
      <c r="B1296" s="5">
        <v>7.838194064E9</v>
      </c>
      <c r="F1296" s="5" t="s">
        <v>303</v>
      </c>
    </row>
    <row r="1297">
      <c r="A1297" s="5" t="s">
        <v>1803</v>
      </c>
      <c r="B1297" s="5">
        <v>8.054252377E9</v>
      </c>
      <c r="F1297" s="5" t="s">
        <v>303</v>
      </c>
    </row>
    <row r="1298">
      <c r="A1298" s="5" t="s">
        <v>727</v>
      </c>
      <c r="B1298" s="5">
        <v>9.050934155E9</v>
      </c>
      <c r="F1298" s="5" t="s">
        <v>303</v>
      </c>
    </row>
    <row r="1299">
      <c r="A1299" s="5" t="s">
        <v>1804</v>
      </c>
      <c r="B1299" s="5">
        <v>8.750913541E9</v>
      </c>
      <c r="F1299" s="5" t="s">
        <v>303</v>
      </c>
    </row>
    <row r="1300">
      <c r="A1300" s="5" t="s">
        <v>1805</v>
      </c>
      <c r="B1300" s="5">
        <v>9.711478697E9</v>
      </c>
      <c r="F1300" s="5" t="s">
        <v>303</v>
      </c>
    </row>
    <row r="1301">
      <c r="A1301" s="5" t="s">
        <v>1806</v>
      </c>
      <c r="B1301" s="5">
        <v>8.368475774E9</v>
      </c>
      <c r="D1301" s="5" t="s">
        <v>21</v>
      </c>
      <c r="F1301" s="5" t="s">
        <v>303</v>
      </c>
    </row>
    <row r="1302">
      <c r="A1302" s="5" t="s">
        <v>1807</v>
      </c>
      <c r="B1302" s="5">
        <v>8.595826909E9</v>
      </c>
      <c r="F1302" s="5" t="s">
        <v>303</v>
      </c>
    </row>
    <row r="1303">
      <c r="A1303" s="5" t="s">
        <v>1808</v>
      </c>
      <c r="B1303" s="5">
        <v>8.273826045E9</v>
      </c>
      <c r="F1303" s="5" t="s">
        <v>303</v>
      </c>
    </row>
    <row r="1304">
      <c r="A1304" s="5" t="s">
        <v>578</v>
      </c>
      <c r="B1304" s="5">
        <v>9.990999887E9</v>
      </c>
      <c r="D1304" s="5" t="s">
        <v>1139</v>
      </c>
      <c r="F1304" s="5" t="s">
        <v>303</v>
      </c>
    </row>
    <row r="1305">
      <c r="A1305" s="5" t="s">
        <v>1809</v>
      </c>
      <c r="B1305" s="5">
        <v>9.250637699E9</v>
      </c>
      <c r="F1305" s="5" t="s">
        <v>303</v>
      </c>
    </row>
    <row r="1306">
      <c r="A1306" s="5" t="s">
        <v>1810</v>
      </c>
      <c r="B1306" s="5">
        <v>8.800485419E9</v>
      </c>
      <c r="F1306" s="5" t="s">
        <v>303</v>
      </c>
    </row>
    <row r="1307">
      <c r="A1307" s="5" t="s">
        <v>1811</v>
      </c>
      <c r="B1307" s="5">
        <v>9.810877139E9</v>
      </c>
      <c r="F1307" s="5" t="s">
        <v>303</v>
      </c>
    </row>
    <row r="1308">
      <c r="A1308" s="5" t="s">
        <v>1812</v>
      </c>
      <c r="B1308" s="5">
        <v>9.810250149E9</v>
      </c>
      <c r="F1308" s="5" t="s">
        <v>303</v>
      </c>
    </row>
    <row r="1309">
      <c r="A1309" s="5" t="s">
        <v>1813</v>
      </c>
      <c r="B1309" s="5">
        <v>9.116112142E9</v>
      </c>
      <c r="F1309" s="5" t="s">
        <v>303</v>
      </c>
    </row>
    <row r="1310">
      <c r="A1310" s="5" t="s">
        <v>57</v>
      </c>
      <c r="B1310" s="5">
        <v>8.05978185E9</v>
      </c>
      <c r="D1310" s="5" t="s">
        <v>13</v>
      </c>
      <c r="F1310" s="5" t="s">
        <v>303</v>
      </c>
    </row>
    <row r="1311">
      <c r="A1311" s="5" t="s">
        <v>1814</v>
      </c>
      <c r="B1311" s="5">
        <v>9.896999113E9</v>
      </c>
      <c r="F1311" s="5" t="s">
        <v>303</v>
      </c>
    </row>
    <row r="1312">
      <c r="A1312" s="5" t="s">
        <v>1815</v>
      </c>
      <c r="B1312" s="5">
        <v>9.643252443E9</v>
      </c>
      <c r="F1312" s="5" t="s">
        <v>303</v>
      </c>
    </row>
    <row r="1313">
      <c r="A1313" s="5" t="s">
        <v>1816</v>
      </c>
      <c r="B1313" s="5">
        <v>9.811752389E9</v>
      </c>
      <c r="F1313" s="5" t="s">
        <v>303</v>
      </c>
    </row>
    <row r="1314">
      <c r="A1314" s="5" t="s">
        <v>1817</v>
      </c>
      <c r="B1314" s="5">
        <v>7.0158379E9</v>
      </c>
      <c r="F1314" s="5" t="s">
        <v>303</v>
      </c>
    </row>
    <row r="1315">
      <c r="A1315" s="5" t="s">
        <v>1818</v>
      </c>
      <c r="B1315" s="5">
        <v>6.387827733E9</v>
      </c>
      <c r="F1315" s="5" t="s">
        <v>303</v>
      </c>
    </row>
    <row r="1316">
      <c r="A1316" s="5" t="s">
        <v>1819</v>
      </c>
      <c r="B1316" s="5">
        <v>9.416068001E9</v>
      </c>
      <c r="D1316" s="5" t="s">
        <v>79</v>
      </c>
      <c r="F1316" s="5" t="s">
        <v>303</v>
      </c>
    </row>
    <row r="1317">
      <c r="A1317" s="5" t="s">
        <v>1023</v>
      </c>
      <c r="B1317" s="5">
        <v>9.560324756E9</v>
      </c>
      <c r="F1317" s="5" t="s">
        <v>303</v>
      </c>
    </row>
    <row r="1318">
      <c r="A1318" s="5" t="s">
        <v>1820</v>
      </c>
      <c r="B1318" s="5">
        <v>8.532039149E9</v>
      </c>
      <c r="F1318" s="5" t="s">
        <v>303</v>
      </c>
    </row>
    <row r="1319">
      <c r="A1319" s="5" t="s">
        <v>1821</v>
      </c>
      <c r="B1319" s="5">
        <v>8.58886022E9</v>
      </c>
      <c r="F1319" s="5" t="s">
        <v>303</v>
      </c>
    </row>
    <row r="1320">
      <c r="A1320" s="5" t="s">
        <v>1822</v>
      </c>
      <c r="B1320" s="5">
        <v>9.990001441E9</v>
      </c>
      <c r="D1320" s="5" t="s">
        <v>79</v>
      </c>
      <c r="F1320" s="5" t="s">
        <v>303</v>
      </c>
    </row>
    <row r="1321">
      <c r="A1321" s="5" t="s">
        <v>1823</v>
      </c>
      <c r="B1321" s="5">
        <v>9.990001442E9</v>
      </c>
      <c r="F1321" s="5" t="s">
        <v>303</v>
      </c>
    </row>
    <row r="1322">
      <c r="A1322" s="5" t="s">
        <v>1370</v>
      </c>
      <c r="B1322" s="5">
        <v>9.990008441E9</v>
      </c>
      <c r="D1322" s="5" t="s">
        <v>227</v>
      </c>
      <c r="F1322" s="5" t="s">
        <v>303</v>
      </c>
    </row>
    <row r="1323">
      <c r="A1323" s="5" t="s">
        <v>1824</v>
      </c>
      <c r="B1323" s="5">
        <v>9.899206142E9</v>
      </c>
      <c r="D1323" s="5" t="s">
        <v>1698</v>
      </c>
      <c r="F1323" s="5" t="s">
        <v>303</v>
      </c>
    </row>
    <row r="1324">
      <c r="A1324" s="5" t="s">
        <v>1825</v>
      </c>
      <c r="B1324" s="5">
        <v>8.510861319E9</v>
      </c>
      <c r="F1324" s="5" t="s">
        <v>303</v>
      </c>
    </row>
    <row r="1325">
      <c r="A1325" s="5" t="s">
        <v>1826</v>
      </c>
      <c r="B1325" s="5">
        <v>8.800224562E9</v>
      </c>
      <c r="D1325" s="5" t="s">
        <v>15</v>
      </c>
      <c r="F1325" s="5" t="s">
        <v>303</v>
      </c>
    </row>
    <row r="1326">
      <c r="A1326" s="5" t="s">
        <v>1827</v>
      </c>
      <c r="B1326" s="5">
        <v>8.920249661E9</v>
      </c>
      <c r="D1326" s="5" t="s">
        <v>1828</v>
      </c>
      <c r="F1326" s="5" t="s">
        <v>303</v>
      </c>
    </row>
    <row r="1327">
      <c r="A1327" s="5" t="s">
        <v>1829</v>
      </c>
      <c r="B1327" s="5">
        <v>9.741235457E9</v>
      </c>
      <c r="F1327" s="5" t="s">
        <v>303</v>
      </c>
    </row>
    <row r="1328">
      <c r="A1328" s="5" t="s">
        <v>1830</v>
      </c>
      <c r="B1328" s="5">
        <v>7.835837852E9</v>
      </c>
      <c r="D1328" s="5" t="s">
        <v>79</v>
      </c>
      <c r="F1328" s="5" t="s">
        <v>303</v>
      </c>
    </row>
    <row r="1329">
      <c r="A1329" s="5" t="s">
        <v>1831</v>
      </c>
      <c r="B1329" s="5">
        <v>7.011671826E9</v>
      </c>
      <c r="F1329" s="5" t="s">
        <v>303</v>
      </c>
    </row>
    <row r="1330">
      <c r="A1330" s="5" t="s">
        <v>1832</v>
      </c>
      <c r="B1330" s="5">
        <v>9.540709013E9</v>
      </c>
      <c r="F1330" s="5" t="s">
        <v>303</v>
      </c>
    </row>
    <row r="1331">
      <c r="A1331" s="5" t="s">
        <v>1833</v>
      </c>
      <c r="B1331" s="5">
        <v>9.999240355E9</v>
      </c>
      <c r="F1331" s="5" t="s">
        <v>303</v>
      </c>
    </row>
    <row r="1332">
      <c r="A1332" s="5" t="s">
        <v>966</v>
      </c>
      <c r="B1332" s="5">
        <v>8.130183355E9</v>
      </c>
      <c r="D1332" s="5" t="s">
        <v>567</v>
      </c>
      <c r="F1332" s="5" t="s">
        <v>303</v>
      </c>
    </row>
    <row r="1333">
      <c r="A1333" s="5" t="s">
        <v>1427</v>
      </c>
      <c r="B1333" s="5">
        <v>8.447581175E9</v>
      </c>
      <c r="D1333" s="5" t="s">
        <v>567</v>
      </c>
      <c r="F1333" s="5" t="s">
        <v>303</v>
      </c>
    </row>
    <row r="1334">
      <c r="A1334" s="5" t="s">
        <v>1834</v>
      </c>
      <c r="B1334" s="5">
        <v>9.810292363E9</v>
      </c>
      <c r="D1334" s="5" t="s">
        <v>1835</v>
      </c>
      <c r="F1334" s="5" t="s">
        <v>303</v>
      </c>
    </row>
    <row r="1335">
      <c r="A1335" s="5" t="s">
        <v>1836</v>
      </c>
      <c r="B1335" s="5">
        <v>9.99102245E9</v>
      </c>
      <c r="F1335" s="5" t="s">
        <v>303</v>
      </c>
    </row>
    <row r="1336">
      <c r="A1336" s="5" t="s">
        <v>1837</v>
      </c>
      <c r="B1336" s="5">
        <v>8.92012816E9</v>
      </c>
      <c r="D1336" s="5" t="s">
        <v>879</v>
      </c>
      <c r="F1336" s="5" t="s">
        <v>303</v>
      </c>
    </row>
    <row r="1337">
      <c r="A1337" s="5" t="s">
        <v>649</v>
      </c>
      <c r="B1337" s="5">
        <v>7.678339364E9</v>
      </c>
      <c r="D1337" s="5" t="s">
        <v>879</v>
      </c>
      <c r="F1337" s="5" t="s">
        <v>303</v>
      </c>
    </row>
    <row r="1338">
      <c r="A1338" s="5" t="s">
        <v>1838</v>
      </c>
      <c r="B1338" s="5">
        <v>9.21436978E9</v>
      </c>
      <c r="F1338" s="5" t="s">
        <v>303</v>
      </c>
    </row>
    <row r="1339">
      <c r="A1339" s="5" t="s">
        <v>219</v>
      </c>
      <c r="B1339" s="5">
        <v>8.810545235E9</v>
      </c>
      <c r="D1339" s="5" t="s">
        <v>79</v>
      </c>
      <c r="F1339" s="5" t="s">
        <v>303</v>
      </c>
    </row>
    <row r="1340">
      <c r="A1340" s="5" t="s">
        <v>1839</v>
      </c>
      <c r="B1340" s="5">
        <v>6.395024487E9</v>
      </c>
      <c r="F1340" s="5" t="s">
        <v>303</v>
      </c>
    </row>
    <row r="1341">
      <c r="A1341" s="5" t="s">
        <v>1840</v>
      </c>
      <c r="B1341" s="5">
        <v>8.384082024E9</v>
      </c>
      <c r="D1341" s="5" t="s">
        <v>79</v>
      </c>
      <c r="F1341" s="5" t="s">
        <v>303</v>
      </c>
    </row>
    <row r="1342">
      <c r="A1342" s="5" t="s">
        <v>1841</v>
      </c>
      <c r="B1342" s="5">
        <v>8.447181611E9</v>
      </c>
      <c r="F1342" s="5" t="s">
        <v>303</v>
      </c>
    </row>
    <row r="1343">
      <c r="A1343" s="5" t="s">
        <v>252</v>
      </c>
      <c r="B1343" s="5">
        <v>8.920031297E9</v>
      </c>
      <c r="D1343" s="5" t="s">
        <v>143</v>
      </c>
      <c r="F1343" s="5" t="s">
        <v>303</v>
      </c>
    </row>
    <row r="1344">
      <c r="A1344" s="5" t="s">
        <v>1842</v>
      </c>
      <c r="B1344" s="5">
        <v>7.011317685E9</v>
      </c>
      <c r="F1344" s="5" t="s">
        <v>303</v>
      </c>
    </row>
    <row r="1345">
      <c r="A1345" s="5" t="s">
        <v>1843</v>
      </c>
      <c r="B1345" s="5">
        <v>9.971518201E9</v>
      </c>
      <c r="F1345" s="5" t="s">
        <v>303</v>
      </c>
    </row>
    <row r="1346">
      <c r="A1346" s="5" t="s">
        <v>1844</v>
      </c>
      <c r="B1346" s="5">
        <v>9.315306715E9</v>
      </c>
      <c r="D1346" s="5" t="s">
        <v>1139</v>
      </c>
      <c r="F1346" s="5" t="s">
        <v>303</v>
      </c>
    </row>
    <row r="1347">
      <c r="A1347" s="5" t="s">
        <v>1845</v>
      </c>
      <c r="B1347" s="5">
        <v>9.650850911E9</v>
      </c>
      <c r="D1347" s="5" t="s">
        <v>1139</v>
      </c>
      <c r="F1347" s="5" t="s">
        <v>303</v>
      </c>
    </row>
    <row r="1348">
      <c r="A1348" s="5" t="s">
        <v>716</v>
      </c>
      <c r="B1348" s="5">
        <v>9.899356565E9</v>
      </c>
      <c r="D1348" s="5" t="s">
        <v>82</v>
      </c>
      <c r="F1348" s="5" t="s">
        <v>303</v>
      </c>
    </row>
    <row r="1349">
      <c r="A1349" s="5" t="s">
        <v>1846</v>
      </c>
      <c r="B1349" s="5">
        <v>9.89117536E9</v>
      </c>
      <c r="D1349" s="5" t="s">
        <v>1847</v>
      </c>
      <c r="F1349" s="5" t="s">
        <v>303</v>
      </c>
    </row>
    <row r="1350">
      <c r="A1350" s="5" t="s">
        <v>1848</v>
      </c>
      <c r="B1350" s="5">
        <v>9.625871071E9</v>
      </c>
      <c r="D1350" s="5" t="s">
        <v>21</v>
      </c>
      <c r="F1350" s="5" t="s">
        <v>303</v>
      </c>
    </row>
    <row r="1351">
      <c r="A1351" s="5" t="s">
        <v>1849</v>
      </c>
      <c r="B1351" s="5">
        <v>8.375086586E9</v>
      </c>
      <c r="D1351" s="5" t="s">
        <v>51</v>
      </c>
      <c r="F1351" s="5" t="s">
        <v>303</v>
      </c>
    </row>
    <row r="1352">
      <c r="A1352" s="5" t="s">
        <v>1850</v>
      </c>
      <c r="B1352" s="5">
        <v>8.130819268E9</v>
      </c>
      <c r="F1352" s="5" t="s">
        <v>303</v>
      </c>
    </row>
    <row r="1353">
      <c r="A1353" s="5" t="s">
        <v>1851</v>
      </c>
      <c r="B1353" s="5">
        <v>7.406770001E9</v>
      </c>
      <c r="D1353" s="5" t="s">
        <v>1852</v>
      </c>
      <c r="F1353" s="5" t="s">
        <v>303</v>
      </c>
    </row>
    <row r="1354">
      <c r="A1354" s="5" t="s">
        <v>529</v>
      </c>
      <c r="B1354" s="5">
        <v>7.838584066E9</v>
      </c>
      <c r="D1354" s="5" t="s">
        <v>21</v>
      </c>
      <c r="F1354" s="5" t="s">
        <v>303</v>
      </c>
    </row>
    <row r="1355">
      <c r="A1355" s="5" t="s">
        <v>1853</v>
      </c>
      <c r="B1355" s="5">
        <v>9.911680695E9</v>
      </c>
      <c r="F1355" s="5" t="s">
        <v>303</v>
      </c>
    </row>
    <row r="1356">
      <c r="A1356" s="5" t="s">
        <v>1854</v>
      </c>
      <c r="B1356" s="5">
        <v>9.250940985E9</v>
      </c>
      <c r="F1356" s="5" t="s">
        <v>303</v>
      </c>
    </row>
    <row r="1357">
      <c r="A1357" s="5" t="s">
        <v>997</v>
      </c>
      <c r="B1357" s="5">
        <v>9.891175666E9</v>
      </c>
      <c r="F1357" s="5" t="s">
        <v>303</v>
      </c>
    </row>
    <row r="1358">
      <c r="A1358" s="5" t="s">
        <v>1855</v>
      </c>
      <c r="B1358" s="5">
        <v>9.560913841E9</v>
      </c>
      <c r="F1358" s="5" t="s">
        <v>303</v>
      </c>
    </row>
    <row r="1359">
      <c r="A1359" s="5" t="s">
        <v>1856</v>
      </c>
      <c r="B1359" s="5">
        <v>9.315506023E9</v>
      </c>
      <c r="F1359" s="5" t="s">
        <v>303</v>
      </c>
    </row>
    <row r="1360">
      <c r="A1360" s="5" t="s">
        <v>1857</v>
      </c>
      <c r="B1360" s="5">
        <v>9.990945214E9</v>
      </c>
      <c r="D1360" s="5" t="s">
        <v>13</v>
      </c>
      <c r="F1360" s="5" t="s">
        <v>303</v>
      </c>
    </row>
    <row r="1361">
      <c r="A1361" s="5" t="s">
        <v>1858</v>
      </c>
      <c r="B1361" s="5">
        <v>9.891093288E9</v>
      </c>
      <c r="F1361" s="5" t="s">
        <v>303</v>
      </c>
    </row>
    <row r="1362">
      <c r="A1362" s="5" t="s">
        <v>1859</v>
      </c>
      <c r="B1362" s="5">
        <v>7.30333065E9</v>
      </c>
      <c r="D1362" s="5" t="s">
        <v>879</v>
      </c>
      <c r="F1362" s="5" t="s">
        <v>303</v>
      </c>
    </row>
    <row r="1363">
      <c r="A1363" s="5" t="s">
        <v>1860</v>
      </c>
      <c r="B1363" s="5">
        <v>9.899356015E9</v>
      </c>
      <c r="D1363" s="5" t="s">
        <v>79</v>
      </c>
      <c r="F1363" s="5" t="s">
        <v>303</v>
      </c>
    </row>
    <row r="1364">
      <c r="A1364" s="5" t="s">
        <v>1861</v>
      </c>
      <c r="B1364" s="5">
        <v>7.451952904E9</v>
      </c>
      <c r="F1364" s="5" t="s">
        <v>303</v>
      </c>
    </row>
    <row r="1365">
      <c r="A1365" s="5" t="s">
        <v>907</v>
      </c>
      <c r="B1365" s="5">
        <v>8.218631745E9</v>
      </c>
      <c r="D1365" s="5" t="s">
        <v>79</v>
      </c>
      <c r="F1365" s="5" t="s">
        <v>303</v>
      </c>
    </row>
    <row r="1366">
      <c r="A1366" s="5" t="s">
        <v>1862</v>
      </c>
      <c r="B1366" s="5">
        <v>9.643088041E9</v>
      </c>
      <c r="F1366" s="5" t="s">
        <v>303</v>
      </c>
    </row>
    <row r="1367">
      <c r="A1367" s="5" t="s">
        <v>1863</v>
      </c>
      <c r="B1367" s="5">
        <v>9.953753268E9</v>
      </c>
      <c r="F1367" s="5" t="s">
        <v>303</v>
      </c>
    </row>
    <row r="1368">
      <c r="A1368" s="5" t="s">
        <v>161</v>
      </c>
      <c r="B1368" s="5">
        <v>7.065914305E9</v>
      </c>
      <c r="F1368" s="5" t="s">
        <v>303</v>
      </c>
    </row>
    <row r="1369">
      <c r="A1369" s="5" t="s">
        <v>1864</v>
      </c>
      <c r="B1369" s="5">
        <v>9.015857505E9</v>
      </c>
      <c r="D1369" s="5" t="s">
        <v>39</v>
      </c>
      <c r="F1369" s="5" t="s">
        <v>303</v>
      </c>
    </row>
    <row r="1370">
      <c r="A1370" s="5" t="s">
        <v>1865</v>
      </c>
      <c r="B1370" s="5">
        <v>8.077188143E9</v>
      </c>
      <c r="D1370" s="5" t="s">
        <v>79</v>
      </c>
      <c r="F1370" s="5" t="s">
        <v>303</v>
      </c>
    </row>
    <row r="1371">
      <c r="A1371" s="5" t="s">
        <v>1866</v>
      </c>
      <c r="B1371" s="5">
        <v>9.811279686E9</v>
      </c>
      <c r="D1371" s="5" t="s">
        <v>79</v>
      </c>
      <c r="F1371" s="5" t="s">
        <v>303</v>
      </c>
    </row>
    <row r="1372">
      <c r="A1372" s="5" t="s">
        <v>1867</v>
      </c>
      <c r="B1372" s="5">
        <v>8.447016952E9</v>
      </c>
      <c r="D1372" s="5" t="s">
        <v>71</v>
      </c>
      <c r="F1372" s="5" t="s">
        <v>303</v>
      </c>
    </row>
    <row r="1373">
      <c r="A1373" s="5" t="s">
        <v>1868</v>
      </c>
      <c r="B1373" s="5">
        <v>9.889797354E9</v>
      </c>
      <c r="D1373" s="5" t="s">
        <v>13</v>
      </c>
      <c r="F1373" s="5" t="s">
        <v>303</v>
      </c>
    </row>
    <row r="1374">
      <c r="A1374" s="5" t="s">
        <v>1869</v>
      </c>
      <c r="B1374" s="5">
        <v>9.268744806E9</v>
      </c>
      <c r="D1374" s="5" t="s">
        <v>15</v>
      </c>
      <c r="F1374" s="5" t="s">
        <v>303</v>
      </c>
    </row>
    <row r="1375">
      <c r="A1375" s="5" t="s">
        <v>1870</v>
      </c>
      <c r="B1375" s="5">
        <v>9.68000603E9</v>
      </c>
      <c r="D1375" s="5" t="s">
        <v>879</v>
      </c>
      <c r="F1375" s="5" t="s">
        <v>303</v>
      </c>
    </row>
    <row r="1376">
      <c r="A1376" s="5" t="s">
        <v>1871</v>
      </c>
      <c r="B1376" s="5">
        <v>9.265290879E9</v>
      </c>
      <c r="D1376" s="5" t="s">
        <v>1113</v>
      </c>
      <c r="F1376" s="5" t="s">
        <v>289</v>
      </c>
    </row>
    <row r="1377">
      <c r="A1377" s="5" t="s">
        <v>1872</v>
      </c>
      <c r="B1377" s="5">
        <v>9.354266303E9</v>
      </c>
      <c r="F1377" s="5" t="s">
        <v>303</v>
      </c>
    </row>
    <row r="1378">
      <c r="A1378" s="5" t="s">
        <v>63</v>
      </c>
      <c r="B1378" s="5">
        <v>9.910822313E9</v>
      </c>
      <c r="F1378" s="5" t="s">
        <v>303</v>
      </c>
    </row>
    <row r="1379">
      <c r="A1379" s="5" t="s">
        <v>1873</v>
      </c>
      <c r="B1379" s="5">
        <v>8.171613405E9</v>
      </c>
      <c r="F1379" s="5" t="s">
        <v>303</v>
      </c>
    </row>
    <row r="1380">
      <c r="A1380" s="5" t="s">
        <v>1874</v>
      </c>
      <c r="B1380" s="5">
        <v>9.136053256E9</v>
      </c>
      <c r="F1380" s="5" t="s">
        <v>303</v>
      </c>
    </row>
    <row r="1381">
      <c r="A1381" s="5" t="s">
        <v>1875</v>
      </c>
      <c r="B1381" s="5">
        <v>8.920796992E9</v>
      </c>
      <c r="F1381" s="5" t="s">
        <v>303</v>
      </c>
    </row>
    <row r="1382">
      <c r="A1382" s="5" t="s">
        <v>1876</v>
      </c>
      <c r="B1382" s="5">
        <v>9.999144457E9</v>
      </c>
      <c r="F1382" s="5" t="s">
        <v>303</v>
      </c>
    </row>
    <row r="1383">
      <c r="A1383" s="5" t="s">
        <v>1829</v>
      </c>
      <c r="B1383" s="5">
        <v>9.654858268E9</v>
      </c>
      <c r="F1383" s="5" t="s">
        <v>303</v>
      </c>
    </row>
    <row r="1384">
      <c r="A1384" s="5" t="s">
        <v>1877</v>
      </c>
      <c r="B1384" s="5">
        <v>9.971655934E9</v>
      </c>
      <c r="F1384" s="5" t="s">
        <v>303</v>
      </c>
    </row>
    <row r="1385">
      <c r="A1385" s="5" t="s">
        <v>1878</v>
      </c>
      <c r="B1385" s="5">
        <v>9.86878787E9</v>
      </c>
      <c r="D1385" s="5" t="s">
        <v>1879</v>
      </c>
      <c r="F1385" s="5" t="s">
        <v>303</v>
      </c>
    </row>
    <row r="1386">
      <c r="A1386" s="5" t="s">
        <v>1880</v>
      </c>
      <c r="B1386" s="5">
        <v>9.873749607E9</v>
      </c>
      <c r="F1386" s="5" t="s">
        <v>303</v>
      </c>
    </row>
    <row r="1387">
      <c r="A1387" s="5" t="s">
        <v>1881</v>
      </c>
      <c r="B1387" s="5">
        <v>9.871969581E9</v>
      </c>
      <c r="D1387" s="5" t="s">
        <v>1882</v>
      </c>
      <c r="F1387" s="5" t="s">
        <v>303</v>
      </c>
    </row>
    <row r="1388">
      <c r="A1388" s="5" t="s">
        <v>1883</v>
      </c>
      <c r="B1388" s="5">
        <v>9.911415882E9</v>
      </c>
      <c r="D1388" s="5" t="s">
        <v>1884</v>
      </c>
      <c r="F1388" s="5" t="s">
        <v>303</v>
      </c>
    </row>
    <row r="1389">
      <c r="A1389" s="5" t="s">
        <v>1885</v>
      </c>
      <c r="B1389" s="5">
        <v>9.87101012E9</v>
      </c>
      <c r="F1389" s="5" t="s">
        <v>303</v>
      </c>
    </row>
    <row r="1390">
      <c r="A1390" s="5" t="s">
        <v>1886</v>
      </c>
      <c r="B1390" s="5">
        <v>9.899991666E9</v>
      </c>
      <c r="F1390" s="5" t="s">
        <v>303</v>
      </c>
    </row>
    <row r="1391">
      <c r="A1391" s="5" t="s">
        <v>1887</v>
      </c>
      <c r="B1391" s="5">
        <v>8.004655555E9</v>
      </c>
      <c r="D1391" s="5" t="s">
        <v>1888</v>
      </c>
      <c r="F1391" s="5" t="s">
        <v>303</v>
      </c>
    </row>
    <row r="1392">
      <c r="A1392" s="5" t="s">
        <v>1889</v>
      </c>
      <c r="B1392" s="5">
        <v>9.891576099E9</v>
      </c>
      <c r="D1392" s="5" t="s">
        <v>769</v>
      </c>
      <c r="F1392" s="5" t="s">
        <v>303</v>
      </c>
    </row>
    <row r="1393">
      <c r="A1393" s="5" t="s">
        <v>1890</v>
      </c>
      <c r="B1393" s="5">
        <v>9.212691224E9</v>
      </c>
      <c r="F1393" s="5" t="s">
        <v>303</v>
      </c>
    </row>
    <row r="1394">
      <c r="A1394" s="5" t="s">
        <v>1891</v>
      </c>
      <c r="B1394" s="5">
        <v>9.931260165E9</v>
      </c>
      <c r="F1394" s="5" t="s">
        <v>303</v>
      </c>
    </row>
    <row r="1395">
      <c r="A1395" s="5" t="s">
        <v>534</v>
      </c>
      <c r="B1395" s="5">
        <v>9.958114553E9</v>
      </c>
      <c r="D1395" s="5" t="s">
        <v>1892</v>
      </c>
      <c r="F1395" s="5" t="s">
        <v>289</v>
      </c>
    </row>
    <row r="1396">
      <c r="A1396" s="5" t="s">
        <v>1893</v>
      </c>
      <c r="B1396" s="5">
        <v>8.447569752E9</v>
      </c>
      <c r="F1396" s="5" t="s">
        <v>303</v>
      </c>
    </row>
    <row r="1397">
      <c r="A1397" s="5" t="s">
        <v>1894</v>
      </c>
      <c r="B1397" s="5">
        <v>9.899387733E9</v>
      </c>
      <c r="F1397" s="5" t="s">
        <v>303</v>
      </c>
    </row>
    <row r="1398">
      <c r="A1398" s="5" t="s">
        <v>1895</v>
      </c>
      <c r="B1398" s="5">
        <v>9.829598357E9</v>
      </c>
      <c r="D1398" s="5" t="s">
        <v>1896</v>
      </c>
      <c r="F1398" s="5" t="s">
        <v>303</v>
      </c>
    </row>
    <row r="1399">
      <c r="A1399" s="5" t="s">
        <v>1897</v>
      </c>
      <c r="B1399" s="5">
        <v>8.383892097E9</v>
      </c>
      <c r="F1399" s="5" t="s">
        <v>303</v>
      </c>
    </row>
    <row r="1400">
      <c r="A1400" s="5" t="s">
        <v>1898</v>
      </c>
      <c r="B1400" s="5">
        <v>8.700571292E9</v>
      </c>
      <c r="F1400" s="5" t="s">
        <v>303</v>
      </c>
    </row>
    <row r="1401">
      <c r="A1401" s="5" t="s">
        <v>569</v>
      </c>
      <c r="B1401" s="5">
        <v>9.711924615E9</v>
      </c>
      <c r="D1401" s="5" t="s">
        <v>769</v>
      </c>
      <c r="F1401" s="5" t="s">
        <v>303</v>
      </c>
    </row>
    <row r="1402">
      <c r="A1402" s="5" t="s">
        <v>1899</v>
      </c>
      <c r="B1402" s="5">
        <v>9.971475902E9</v>
      </c>
      <c r="F1402" s="5" t="s">
        <v>303</v>
      </c>
    </row>
    <row r="1403">
      <c r="A1403" s="5" t="s">
        <v>1900</v>
      </c>
      <c r="B1403" s="5">
        <v>8.826287066E9</v>
      </c>
      <c r="D1403" s="5" t="s">
        <v>769</v>
      </c>
      <c r="F1403" s="5" t="s">
        <v>303</v>
      </c>
    </row>
    <row r="1404">
      <c r="A1404" s="5" t="s">
        <v>1901</v>
      </c>
      <c r="B1404" s="5">
        <v>9.355092149E9</v>
      </c>
      <c r="F1404" s="5" t="s">
        <v>303</v>
      </c>
    </row>
    <row r="1405">
      <c r="A1405" s="5" t="s">
        <v>1644</v>
      </c>
      <c r="B1405" s="5">
        <v>7.982522588E9</v>
      </c>
      <c r="D1405" s="5" t="s">
        <v>1902</v>
      </c>
      <c r="F1405" s="5" t="s">
        <v>303</v>
      </c>
    </row>
    <row r="1406">
      <c r="A1406" s="5" t="s">
        <v>1903</v>
      </c>
      <c r="B1406" s="5">
        <v>7.060038887E9</v>
      </c>
      <c r="D1406" s="5" t="s">
        <v>1904</v>
      </c>
      <c r="F1406" s="5" t="s">
        <v>289</v>
      </c>
    </row>
    <row r="1407">
      <c r="A1407" s="5" t="s">
        <v>1905</v>
      </c>
      <c r="B1407" s="5">
        <v>9.811433384E9</v>
      </c>
      <c r="F1407" s="5" t="s">
        <v>303</v>
      </c>
    </row>
    <row r="1408">
      <c r="A1408" s="5" t="s">
        <v>1906</v>
      </c>
      <c r="B1408" s="5">
        <v>9.911778988E9</v>
      </c>
      <c r="F1408" s="5" t="s">
        <v>303</v>
      </c>
    </row>
    <row r="1409">
      <c r="A1409" s="5" t="s">
        <v>124</v>
      </c>
      <c r="B1409" s="5">
        <v>9.968385274E9</v>
      </c>
      <c r="D1409" s="5" t="s">
        <v>71</v>
      </c>
      <c r="F1409" s="5" t="s">
        <v>303</v>
      </c>
    </row>
    <row r="1410">
      <c r="A1410" s="5" t="s">
        <v>109</v>
      </c>
      <c r="B1410" s="5">
        <v>9.899105407E9</v>
      </c>
      <c r="D1410" s="5" t="s">
        <v>51</v>
      </c>
      <c r="F1410" s="5" t="s">
        <v>303</v>
      </c>
    </row>
    <row r="1411">
      <c r="A1411" s="5" t="s">
        <v>1907</v>
      </c>
      <c r="B1411" s="5">
        <v>9.311189826E9</v>
      </c>
      <c r="F1411" s="5" t="s">
        <v>303</v>
      </c>
    </row>
    <row r="1412">
      <c r="A1412" s="5" t="s">
        <v>1908</v>
      </c>
      <c r="B1412" s="5">
        <v>9.157508532E9</v>
      </c>
      <c r="D1412" s="5" t="s">
        <v>71</v>
      </c>
      <c r="F1412" s="5" t="s">
        <v>303</v>
      </c>
    </row>
    <row r="1413">
      <c r="A1413" s="5" t="s">
        <v>1909</v>
      </c>
      <c r="B1413" s="5">
        <v>9.354445455E9</v>
      </c>
      <c r="D1413" s="5" t="s">
        <v>71</v>
      </c>
      <c r="F1413" s="5" t="s">
        <v>303</v>
      </c>
    </row>
    <row r="1414">
      <c r="A1414" s="5" t="s">
        <v>1910</v>
      </c>
      <c r="B1414" s="5">
        <v>9.54088803E9</v>
      </c>
      <c r="D1414" s="5" t="s">
        <v>424</v>
      </c>
      <c r="F1414" s="5" t="s">
        <v>303</v>
      </c>
    </row>
    <row r="1415">
      <c r="A1415" s="5" t="s">
        <v>1911</v>
      </c>
      <c r="B1415" s="5">
        <v>9.430331256E9</v>
      </c>
      <c r="D1415" s="5" t="s">
        <v>769</v>
      </c>
      <c r="F1415" s="5" t="s">
        <v>303</v>
      </c>
    </row>
    <row r="1416">
      <c r="A1416" s="5" t="s">
        <v>1912</v>
      </c>
      <c r="B1416" s="5">
        <v>9.999360204E9</v>
      </c>
      <c r="D1416" s="5" t="s">
        <v>1913</v>
      </c>
      <c r="F1416" s="5" t="s">
        <v>303</v>
      </c>
    </row>
    <row r="1417">
      <c r="A1417" s="5" t="s">
        <v>1914</v>
      </c>
      <c r="B1417" s="5">
        <v>8.595241741E9</v>
      </c>
      <c r="F1417" s="5" t="s">
        <v>303</v>
      </c>
    </row>
    <row r="1418">
      <c r="A1418" s="5" t="s">
        <v>1915</v>
      </c>
      <c r="B1418" s="5">
        <v>9.540697597E9</v>
      </c>
      <c r="F1418" s="5" t="s">
        <v>303</v>
      </c>
    </row>
    <row r="1419">
      <c r="A1419" s="5" t="s">
        <v>1446</v>
      </c>
      <c r="B1419" s="5">
        <v>9.71808476E9</v>
      </c>
      <c r="F1419" s="5" t="s">
        <v>303</v>
      </c>
    </row>
    <row r="1420">
      <c r="A1420" s="5" t="s">
        <v>1916</v>
      </c>
      <c r="B1420" s="5">
        <v>9.643001645E9</v>
      </c>
      <c r="D1420" s="5" t="s">
        <v>143</v>
      </c>
      <c r="F1420" s="5" t="s">
        <v>303</v>
      </c>
    </row>
    <row r="1421">
      <c r="A1421" s="5" t="s">
        <v>1917</v>
      </c>
      <c r="B1421" s="5">
        <v>9.870484553E9</v>
      </c>
      <c r="F1421" s="5" t="s">
        <v>303</v>
      </c>
    </row>
    <row r="1422">
      <c r="A1422" s="5" t="s">
        <v>777</v>
      </c>
      <c r="B1422" s="5">
        <v>7.042512737E9</v>
      </c>
      <c r="F1422" s="5" t="s">
        <v>303</v>
      </c>
    </row>
    <row r="1423">
      <c r="A1423" s="5" t="s">
        <v>1918</v>
      </c>
      <c r="B1423" s="5">
        <v>9.654764065E9</v>
      </c>
      <c r="F1423" s="5" t="s">
        <v>303</v>
      </c>
    </row>
    <row r="1424">
      <c r="A1424" s="5" t="s">
        <v>1919</v>
      </c>
      <c r="B1424" s="5">
        <v>9.953221888E9</v>
      </c>
      <c r="D1424" s="5" t="s">
        <v>1920</v>
      </c>
      <c r="F1424" s="5" t="s">
        <v>303</v>
      </c>
    </row>
    <row r="1425">
      <c r="A1425" s="5" t="s">
        <v>1353</v>
      </c>
      <c r="B1425" s="5">
        <v>9.582518428E9</v>
      </c>
      <c r="F1425" s="5" t="s">
        <v>303</v>
      </c>
    </row>
    <row r="1426">
      <c r="A1426" s="5" t="s">
        <v>1921</v>
      </c>
      <c r="B1426" s="5">
        <v>7.600439676E9</v>
      </c>
      <c r="F1426" s="5" t="s">
        <v>303</v>
      </c>
    </row>
    <row r="1427">
      <c r="A1427" s="5" t="s">
        <v>1131</v>
      </c>
      <c r="B1427" s="5">
        <v>9.968397453E9</v>
      </c>
      <c r="D1427" s="5" t="s">
        <v>15</v>
      </c>
      <c r="F1427" s="5" t="s">
        <v>303</v>
      </c>
    </row>
    <row r="1428">
      <c r="A1428" s="5" t="s">
        <v>1922</v>
      </c>
      <c r="B1428" s="5">
        <v>7.988646656E9</v>
      </c>
      <c r="F1428" s="5" t="s">
        <v>303</v>
      </c>
    </row>
    <row r="1429">
      <c r="A1429" s="5" t="s">
        <v>1923</v>
      </c>
      <c r="B1429" s="5">
        <v>7.017387612E9</v>
      </c>
      <c r="D1429" s="5" t="s">
        <v>15</v>
      </c>
      <c r="F1429" s="5" t="s">
        <v>303</v>
      </c>
    </row>
    <row r="1430">
      <c r="A1430" s="5" t="s">
        <v>1924</v>
      </c>
      <c r="B1430" s="5">
        <v>9.811088872E9</v>
      </c>
      <c r="D1430" s="5" t="s">
        <v>79</v>
      </c>
      <c r="F1430" s="5" t="s">
        <v>303</v>
      </c>
    </row>
    <row r="1431">
      <c r="A1431" s="5" t="s">
        <v>1925</v>
      </c>
      <c r="B1431" s="5">
        <v>9.919919819E9</v>
      </c>
      <c r="D1431" s="5" t="s">
        <v>15</v>
      </c>
      <c r="F1431" s="5" t="s">
        <v>303</v>
      </c>
    </row>
    <row r="1432">
      <c r="A1432" s="5" t="s">
        <v>1926</v>
      </c>
      <c r="B1432" s="5">
        <v>8.178051346E9</v>
      </c>
      <c r="F1432" s="5" t="s">
        <v>303</v>
      </c>
    </row>
    <row r="1433">
      <c r="A1433" s="5" t="s">
        <v>1927</v>
      </c>
      <c r="B1433" s="5">
        <v>9.818990071E9</v>
      </c>
      <c r="D1433" s="5" t="s">
        <v>15</v>
      </c>
      <c r="F1433" s="5" t="s">
        <v>303</v>
      </c>
    </row>
    <row r="1434">
      <c r="A1434" s="5" t="s">
        <v>204</v>
      </c>
      <c r="B1434" s="5">
        <v>9.81897672E9</v>
      </c>
      <c r="D1434" s="5" t="s">
        <v>79</v>
      </c>
      <c r="F1434" s="5" t="s">
        <v>303</v>
      </c>
    </row>
    <row r="1435">
      <c r="A1435" s="5" t="s">
        <v>1928</v>
      </c>
      <c r="B1435" s="5">
        <v>9.899115181E9</v>
      </c>
      <c r="F1435" s="5" t="s">
        <v>303</v>
      </c>
    </row>
    <row r="1436">
      <c r="A1436" s="5" t="s">
        <v>1929</v>
      </c>
      <c r="B1436" s="5">
        <v>9.311091412E9</v>
      </c>
      <c r="D1436" s="5" t="s">
        <v>227</v>
      </c>
      <c r="F1436" s="5" t="s">
        <v>303</v>
      </c>
    </row>
    <row r="1437">
      <c r="A1437" s="5" t="s">
        <v>1930</v>
      </c>
      <c r="B1437" s="5">
        <v>9.81109422E9</v>
      </c>
      <c r="F1437" s="5" t="s">
        <v>303</v>
      </c>
    </row>
    <row r="1438">
      <c r="A1438" s="5" t="s">
        <v>1931</v>
      </c>
      <c r="B1438" s="5">
        <v>9.315012431E9</v>
      </c>
      <c r="D1438" s="5" t="s">
        <v>227</v>
      </c>
      <c r="F1438" s="5" t="s">
        <v>303</v>
      </c>
    </row>
    <row r="1439">
      <c r="A1439" s="5" t="s">
        <v>1932</v>
      </c>
      <c r="B1439" s="5">
        <v>9.929020605E9</v>
      </c>
      <c r="D1439" s="5" t="s">
        <v>227</v>
      </c>
      <c r="F1439" s="5" t="s">
        <v>303</v>
      </c>
    </row>
    <row r="1440">
      <c r="A1440" s="5" t="s">
        <v>1933</v>
      </c>
      <c r="B1440" s="5">
        <v>9.289123505E9</v>
      </c>
      <c r="F1440" s="5" t="s">
        <v>303</v>
      </c>
    </row>
    <row r="1441">
      <c r="A1441" s="5" t="s">
        <v>1934</v>
      </c>
      <c r="B1441" s="5">
        <v>9.015593048E9</v>
      </c>
      <c r="D1441" s="5" t="s">
        <v>227</v>
      </c>
      <c r="F1441" s="5" t="s">
        <v>303</v>
      </c>
    </row>
    <row r="1442">
      <c r="A1442" s="5" t="s">
        <v>1935</v>
      </c>
      <c r="B1442" s="5">
        <v>9.599310295E9</v>
      </c>
      <c r="F1442" s="5" t="s">
        <v>303</v>
      </c>
    </row>
    <row r="1443">
      <c r="A1443" s="5" t="s">
        <v>1936</v>
      </c>
      <c r="B1443" s="5">
        <v>9.008182463E9</v>
      </c>
      <c r="D1443" s="5" t="s">
        <v>15</v>
      </c>
      <c r="F1443" s="5" t="s">
        <v>303</v>
      </c>
    </row>
    <row r="1444">
      <c r="A1444" s="5" t="s">
        <v>1937</v>
      </c>
      <c r="B1444" s="5">
        <v>9.818100754E9</v>
      </c>
      <c r="D1444" s="5" t="s">
        <v>793</v>
      </c>
      <c r="F1444" s="5" t="s">
        <v>303</v>
      </c>
    </row>
    <row r="1445">
      <c r="A1445" s="5" t="s">
        <v>845</v>
      </c>
      <c r="B1445" s="5">
        <v>9.999209552E9</v>
      </c>
      <c r="D1445" s="5" t="s">
        <v>1938</v>
      </c>
      <c r="F1445" s="5" t="s">
        <v>303</v>
      </c>
    </row>
    <row r="1446">
      <c r="A1446" s="5" t="s">
        <v>1382</v>
      </c>
      <c r="B1446" s="5">
        <v>8.86106739E9</v>
      </c>
      <c r="F1446" s="5" t="s">
        <v>303</v>
      </c>
    </row>
    <row r="1447">
      <c r="A1447" s="5" t="s">
        <v>812</v>
      </c>
      <c r="B1447" s="5">
        <v>9.368074051E9</v>
      </c>
      <c r="D1447" s="5" t="s">
        <v>608</v>
      </c>
      <c r="F1447" s="5" t="s">
        <v>303</v>
      </c>
    </row>
    <row r="1448">
      <c r="A1448" s="5" t="s">
        <v>1930</v>
      </c>
      <c r="B1448" s="5">
        <v>7.042107044E9</v>
      </c>
      <c r="F1448" s="5" t="s">
        <v>303</v>
      </c>
    </row>
    <row r="1449">
      <c r="A1449" s="5" t="s">
        <v>254</v>
      </c>
      <c r="B1449" s="5">
        <v>9.81855742E9</v>
      </c>
      <c r="F1449" s="5" t="s">
        <v>303</v>
      </c>
    </row>
    <row r="1450">
      <c r="A1450" s="5" t="s">
        <v>1258</v>
      </c>
      <c r="B1450" s="5">
        <v>9.289072884E9</v>
      </c>
      <c r="F1450" s="5" t="s">
        <v>303</v>
      </c>
    </row>
    <row r="1451">
      <c r="A1451" s="5" t="s">
        <v>1939</v>
      </c>
      <c r="B1451" s="5">
        <v>9.211015518E9</v>
      </c>
      <c r="F1451" s="5" t="s">
        <v>303</v>
      </c>
    </row>
    <row r="1452">
      <c r="A1452" s="5" t="s">
        <v>1940</v>
      </c>
      <c r="B1452" s="5">
        <v>8.745000456E9</v>
      </c>
      <c r="D1452" s="5" t="s">
        <v>15</v>
      </c>
      <c r="F1452" s="5" t="s">
        <v>303</v>
      </c>
    </row>
    <row r="1453">
      <c r="A1453" s="5" t="s">
        <v>1941</v>
      </c>
      <c r="B1453" s="5">
        <v>8.586821399E9</v>
      </c>
      <c r="F1453" s="5" t="s">
        <v>303</v>
      </c>
    </row>
    <row r="1454">
      <c r="A1454" s="5" t="s">
        <v>653</v>
      </c>
      <c r="B1454" s="5">
        <v>9.81124108E9</v>
      </c>
      <c r="F1454" s="5" t="s">
        <v>303</v>
      </c>
    </row>
    <row r="1455">
      <c r="A1455" s="5" t="s">
        <v>1942</v>
      </c>
      <c r="B1455" s="5">
        <v>7.400055455E9</v>
      </c>
      <c r="F1455" s="5" t="s">
        <v>303</v>
      </c>
    </row>
    <row r="1456">
      <c r="A1456" s="5" t="s">
        <v>1943</v>
      </c>
      <c r="B1456" s="5">
        <v>9.910835432E9</v>
      </c>
      <c r="D1456" s="5" t="s">
        <v>15</v>
      </c>
      <c r="F1456" s="5" t="s">
        <v>303</v>
      </c>
    </row>
    <row r="1457">
      <c r="A1457" s="5" t="s">
        <v>1944</v>
      </c>
      <c r="B1457" s="5">
        <v>9.452147983E9</v>
      </c>
      <c r="F1457" s="5" t="s">
        <v>303</v>
      </c>
    </row>
    <row r="1458">
      <c r="A1458" s="5" t="s">
        <v>1573</v>
      </c>
      <c r="B1458" s="5">
        <v>9.990114995E9</v>
      </c>
      <c r="F1458" s="5" t="s">
        <v>303</v>
      </c>
    </row>
    <row r="1459">
      <c r="A1459" s="5" t="s">
        <v>1945</v>
      </c>
      <c r="B1459" s="5">
        <v>8.368631932E9</v>
      </c>
      <c r="F1459" s="5" t="s">
        <v>303</v>
      </c>
    </row>
    <row r="1460">
      <c r="A1460" s="5" t="s">
        <v>1946</v>
      </c>
      <c r="B1460" s="5">
        <v>9.450361751E9</v>
      </c>
      <c r="F1460" s="5" t="s">
        <v>303</v>
      </c>
    </row>
    <row r="1461">
      <c r="A1461" s="5" t="s">
        <v>1947</v>
      </c>
      <c r="B1461" s="5">
        <v>9.5829322E9</v>
      </c>
      <c r="D1461" s="5" t="s">
        <v>15</v>
      </c>
      <c r="F1461" s="5" t="s">
        <v>303</v>
      </c>
    </row>
    <row r="1462">
      <c r="A1462" s="5" t="s">
        <v>1948</v>
      </c>
      <c r="B1462" s="5">
        <v>9.213140444E9</v>
      </c>
      <c r="D1462" s="5" t="s">
        <v>15</v>
      </c>
      <c r="F1462" s="5" t="s">
        <v>303</v>
      </c>
    </row>
    <row r="1463">
      <c r="A1463" s="5" t="s">
        <v>207</v>
      </c>
      <c r="B1463" s="5">
        <v>8.882886386E9</v>
      </c>
      <c r="D1463" s="5" t="s">
        <v>15</v>
      </c>
      <c r="F1463" s="5" t="s">
        <v>303</v>
      </c>
    </row>
    <row r="1464">
      <c r="A1464" s="5" t="s">
        <v>1949</v>
      </c>
      <c r="B1464" s="5">
        <v>9.582604063E9</v>
      </c>
      <c r="D1464" s="5" t="s">
        <v>15</v>
      </c>
      <c r="F1464" s="5" t="s">
        <v>303</v>
      </c>
    </row>
    <row r="1465">
      <c r="A1465" s="5" t="s">
        <v>1950</v>
      </c>
      <c r="B1465" s="5">
        <v>9.86844001E9</v>
      </c>
      <c r="D1465" s="5" t="s">
        <v>1951</v>
      </c>
      <c r="F1465" s="5" t="s">
        <v>303</v>
      </c>
    </row>
    <row r="1466">
      <c r="A1466" s="5" t="s">
        <v>1952</v>
      </c>
      <c r="B1466" s="5">
        <v>9.873282856E9</v>
      </c>
      <c r="F1466" s="5" t="s">
        <v>303</v>
      </c>
    </row>
    <row r="1467">
      <c r="A1467" s="5" t="s">
        <v>1953</v>
      </c>
      <c r="B1467" s="5">
        <v>9.810784755E9</v>
      </c>
      <c r="D1467" s="5" t="s">
        <v>1902</v>
      </c>
      <c r="F1467" s="5" t="s">
        <v>303</v>
      </c>
    </row>
    <row r="1468">
      <c r="A1468" s="5" t="s">
        <v>518</v>
      </c>
      <c r="B1468" s="5">
        <v>9.810233837E9</v>
      </c>
      <c r="D1468" s="5" t="s">
        <v>15</v>
      </c>
      <c r="F1468" s="5" t="s">
        <v>303</v>
      </c>
    </row>
    <row r="1469">
      <c r="A1469" s="5" t="s">
        <v>1954</v>
      </c>
      <c r="B1469" s="5">
        <v>9.87311333E9</v>
      </c>
      <c r="D1469" s="5" t="s">
        <v>15</v>
      </c>
      <c r="F1469" s="5" t="s">
        <v>303</v>
      </c>
    </row>
    <row r="1470">
      <c r="A1470" s="5" t="s">
        <v>1955</v>
      </c>
      <c r="B1470" s="5">
        <v>9.9582715E9</v>
      </c>
      <c r="D1470" s="5" t="s">
        <v>227</v>
      </c>
      <c r="F1470" s="5" t="s">
        <v>303</v>
      </c>
    </row>
    <row r="1471">
      <c r="A1471" s="5" t="s">
        <v>1956</v>
      </c>
      <c r="B1471" s="5">
        <v>9.871001452E9</v>
      </c>
      <c r="D1471" s="5" t="s">
        <v>891</v>
      </c>
      <c r="F1471" s="5" t="s">
        <v>303</v>
      </c>
    </row>
    <row r="1472">
      <c r="A1472" s="5" t="s">
        <v>1957</v>
      </c>
      <c r="B1472" s="5">
        <v>8.800687106E9</v>
      </c>
      <c r="D1472" s="5" t="s">
        <v>481</v>
      </c>
      <c r="F1472" s="5" t="s">
        <v>303</v>
      </c>
    </row>
    <row r="1473">
      <c r="A1473" s="5" t="s">
        <v>1958</v>
      </c>
      <c r="B1473" s="5">
        <v>7.078167187E9</v>
      </c>
      <c r="D1473" s="5" t="s">
        <v>227</v>
      </c>
      <c r="F1473" s="5" t="s">
        <v>303</v>
      </c>
    </row>
    <row r="1474">
      <c r="A1474" s="5" t="s">
        <v>1959</v>
      </c>
      <c r="B1474" s="5">
        <v>9.821619733E9</v>
      </c>
      <c r="D1474" s="5" t="s">
        <v>79</v>
      </c>
      <c r="F1474" s="5" t="s">
        <v>303</v>
      </c>
    </row>
    <row r="1475">
      <c r="A1475" s="5" t="s">
        <v>1960</v>
      </c>
      <c r="B1475" s="5">
        <v>9.310206232E9</v>
      </c>
      <c r="F1475" s="5" t="s">
        <v>303</v>
      </c>
    </row>
    <row r="1476">
      <c r="A1476" s="5" t="s">
        <v>1961</v>
      </c>
      <c r="B1476" s="5">
        <v>9.413303502E9</v>
      </c>
      <c r="D1476" s="5" t="s">
        <v>15</v>
      </c>
      <c r="F1476" s="5" t="s">
        <v>303</v>
      </c>
    </row>
    <row r="1477">
      <c r="A1477" s="5" t="s">
        <v>1962</v>
      </c>
      <c r="B1477" s="5">
        <v>8.745000081E9</v>
      </c>
      <c r="D1477" s="5" t="s">
        <v>15</v>
      </c>
      <c r="F1477" s="5" t="s">
        <v>303</v>
      </c>
    </row>
    <row r="1478">
      <c r="A1478" s="5" t="s">
        <v>1963</v>
      </c>
      <c r="B1478" s="5">
        <v>9.81062895E9</v>
      </c>
      <c r="D1478" s="5" t="s">
        <v>1964</v>
      </c>
      <c r="F1478" s="5" t="s">
        <v>303</v>
      </c>
    </row>
    <row r="1479">
      <c r="A1479" s="5" t="s">
        <v>1968</v>
      </c>
      <c r="B1479" s="5">
        <v>8.44740694E9</v>
      </c>
      <c r="C1479" s="5" t="s">
        <v>1969</v>
      </c>
      <c r="D1479" s="5" t="s">
        <v>51</v>
      </c>
      <c r="F1479" s="5" t="s">
        <v>303</v>
      </c>
    </row>
    <row r="1480">
      <c r="A1480" s="5" t="s">
        <v>1078</v>
      </c>
      <c r="B1480" s="5">
        <v>9.871317684E9</v>
      </c>
      <c r="D1480" s="5" t="s">
        <v>79</v>
      </c>
      <c r="F1480" s="5" t="s">
        <v>303</v>
      </c>
    </row>
    <row r="1481">
      <c r="A1481" s="5" t="s">
        <v>363</v>
      </c>
      <c r="B1481" s="5">
        <v>9.718920872E9</v>
      </c>
      <c r="D1481" s="5" t="s">
        <v>79</v>
      </c>
      <c r="F1481" s="5" t="s">
        <v>303</v>
      </c>
    </row>
    <row r="1482">
      <c r="A1482" s="5" t="s">
        <v>1970</v>
      </c>
      <c r="B1482" s="5">
        <v>9.953130766E9</v>
      </c>
      <c r="D1482" s="5" t="s">
        <v>879</v>
      </c>
      <c r="F1482" s="5" t="s">
        <v>303</v>
      </c>
    </row>
    <row r="1483">
      <c r="A1483" s="5" t="s">
        <v>1617</v>
      </c>
      <c r="B1483" s="5">
        <v>9.899606045E9</v>
      </c>
      <c r="D1483" s="5" t="s">
        <v>1971</v>
      </c>
      <c r="F1483" s="5" t="s">
        <v>303</v>
      </c>
    </row>
    <row r="1484">
      <c r="A1484" s="5" t="s">
        <v>1972</v>
      </c>
      <c r="B1484" s="5">
        <v>9.350894952E9</v>
      </c>
      <c r="D1484" s="5" t="s">
        <v>15</v>
      </c>
      <c r="F1484" s="5" t="s">
        <v>303</v>
      </c>
    </row>
    <row r="1485">
      <c r="A1485" s="5" t="s">
        <v>1973</v>
      </c>
      <c r="B1485" s="5">
        <v>8.209613964E9</v>
      </c>
      <c r="D1485" s="5" t="s">
        <v>227</v>
      </c>
      <c r="F1485" s="5" t="s">
        <v>303</v>
      </c>
    </row>
    <row r="1486">
      <c r="A1486" s="5" t="s">
        <v>1974</v>
      </c>
      <c r="B1486" s="5">
        <v>9.755511248E9</v>
      </c>
      <c r="F1486" s="5" t="s">
        <v>303</v>
      </c>
    </row>
    <row r="1487">
      <c r="A1487" s="5" t="s">
        <v>1975</v>
      </c>
      <c r="B1487" s="5">
        <v>9.810198602E9</v>
      </c>
      <c r="F1487" s="5" t="s">
        <v>303</v>
      </c>
    </row>
    <row r="1488">
      <c r="A1488" s="5" t="s">
        <v>1976</v>
      </c>
      <c r="B1488" s="5">
        <v>7.669993921E9</v>
      </c>
      <c r="F1488" s="5" t="s">
        <v>303</v>
      </c>
    </row>
    <row r="1489">
      <c r="A1489" s="5" t="s">
        <v>1977</v>
      </c>
      <c r="B1489" s="5">
        <v>7.827657624E9</v>
      </c>
      <c r="F1489" s="5" t="s">
        <v>303</v>
      </c>
    </row>
    <row r="1490">
      <c r="A1490" s="5" t="s">
        <v>1907</v>
      </c>
      <c r="B1490" s="5">
        <v>7.982281122E9</v>
      </c>
      <c r="F1490" s="5" t="s">
        <v>303</v>
      </c>
    </row>
    <row r="1491">
      <c r="A1491" s="5" t="s">
        <v>1978</v>
      </c>
      <c r="B1491" s="5">
        <v>8.178421518E9</v>
      </c>
      <c r="D1491" s="5" t="s">
        <v>1979</v>
      </c>
      <c r="E1491" s="7" t="s">
        <v>1980</v>
      </c>
      <c r="F1491" s="5" t="s">
        <v>303</v>
      </c>
    </row>
    <row r="1492">
      <c r="A1492" s="5" t="s">
        <v>1981</v>
      </c>
      <c r="B1492" s="5">
        <v>9.31288009E9</v>
      </c>
      <c r="D1492" s="5" t="s">
        <v>1982</v>
      </c>
      <c r="E1492" s="7" t="s">
        <v>1983</v>
      </c>
      <c r="F1492" s="5" t="s">
        <v>303</v>
      </c>
    </row>
    <row r="1493">
      <c r="A1493" s="5" t="s">
        <v>470</v>
      </c>
      <c r="B1493" s="5">
        <v>8.557001311E9</v>
      </c>
      <c r="D1493" s="5" t="s">
        <v>1984</v>
      </c>
      <c r="F1493" s="5" t="s">
        <v>303</v>
      </c>
    </row>
    <row r="1494">
      <c r="A1494" s="5" t="s">
        <v>1985</v>
      </c>
      <c r="B1494" s="5">
        <v>9.810230004E9</v>
      </c>
      <c r="D1494" s="5" t="s">
        <v>1986</v>
      </c>
      <c r="F1494" s="5" t="s">
        <v>303</v>
      </c>
    </row>
    <row r="1495">
      <c r="A1495" s="5" t="s">
        <v>432</v>
      </c>
      <c r="B1495" s="5">
        <v>9.990299038E9</v>
      </c>
      <c r="D1495" s="5" t="s">
        <v>46</v>
      </c>
      <c r="F1495" s="5" t="s">
        <v>303</v>
      </c>
    </row>
    <row r="1496">
      <c r="A1496" s="5" t="s">
        <v>1987</v>
      </c>
      <c r="B1496" s="5">
        <v>9.650346035E9</v>
      </c>
      <c r="D1496" s="5" t="s">
        <v>891</v>
      </c>
      <c r="F1496" s="5" t="s">
        <v>303</v>
      </c>
    </row>
    <row r="1497">
      <c r="A1497" s="5" t="s">
        <v>1988</v>
      </c>
      <c r="B1497" s="5">
        <v>7.732998256E9</v>
      </c>
      <c r="F1497" s="5" t="s">
        <v>303</v>
      </c>
    </row>
    <row r="1498">
      <c r="A1498" s="5" t="s">
        <v>1989</v>
      </c>
      <c r="B1498" s="5">
        <v>8.178225347E9</v>
      </c>
      <c r="D1498" s="5" t="s">
        <v>1990</v>
      </c>
      <c r="F1498" s="5" t="s">
        <v>303</v>
      </c>
    </row>
    <row r="1499">
      <c r="A1499" s="5"/>
      <c r="B1499" s="5"/>
      <c r="F1499" s="5"/>
    </row>
    <row r="1500">
      <c r="A1500" s="5"/>
      <c r="B1500" s="5"/>
      <c r="F1500" s="5"/>
    </row>
    <row r="1501">
      <c r="A1501" s="5"/>
      <c r="B1501" s="5"/>
      <c r="F1501" s="5"/>
    </row>
    <row r="1502">
      <c r="A1502" s="5"/>
      <c r="B1502" s="5"/>
      <c r="F1502" s="5"/>
    </row>
    <row r="1503">
      <c r="A1503" s="5"/>
      <c r="B1503" s="5"/>
      <c r="F1503" s="5"/>
    </row>
    <row r="1504">
      <c r="A1504" s="5"/>
      <c r="B1504" s="5"/>
      <c r="F1504" s="5"/>
    </row>
    <row r="1505">
      <c r="A1505" s="5"/>
      <c r="B1505" s="5"/>
      <c r="F1505" s="5"/>
    </row>
    <row r="1506">
      <c r="A1506" s="5"/>
      <c r="B1506" s="5"/>
      <c r="F1506" s="5"/>
    </row>
    <row r="1507">
      <c r="A1507" s="5"/>
      <c r="B1507" s="5"/>
      <c r="F1507" s="5"/>
    </row>
    <row r="1508">
      <c r="A1508" s="5"/>
      <c r="B1508" s="5"/>
      <c r="F1508" s="5"/>
    </row>
    <row r="1509">
      <c r="A1509" s="5"/>
      <c r="B1509" s="5"/>
      <c r="F1509" s="5"/>
    </row>
    <row r="1510">
      <c r="A1510" s="5"/>
      <c r="B1510" s="5"/>
      <c r="F1510" s="5"/>
    </row>
    <row r="1511">
      <c r="A1511" s="5"/>
      <c r="B1511" s="5"/>
      <c r="F1511" s="5"/>
    </row>
    <row r="1512">
      <c r="A1512" s="5"/>
      <c r="B1512" s="5"/>
      <c r="F1512" s="5"/>
    </row>
    <row r="1513">
      <c r="A1513" s="5"/>
      <c r="B1513" s="5"/>
      <c r="F1513" s="5"/>
    </row>
    <row r="1514">
      <c r="A1514" s="5"/>
      <c r="B1514" s="5"/>
      <c r="F1514" s="5"/>
    </row>
    <row r="1515">
      <c r="A1515" s="5"/>
      <c r="B1515" s="5"/>
      <c r="F1515" s="5"/>
    </row>
    <row r="1516">
      <c r="A1516" s="5"/>
      <c r="B1516" s="5"/>
      <c r="F1516" s="5"/>
    </row>
    <row r="1517">
      <c r="A1517" s="5"/>
      <c r="B1517" s="5"/>
      <c r="F1517" s="5"/>
    </row>
    <row r="1518">
      <c r="A1518" s="5"/>
      <c r="B1518" s="5"/>
      <c r="F1518" s="5"/>
    </row>
    <row r="1519">
      <c r="A1519" s="5"/>
      <c r="B1519" s="5"/>
      <c r="F1519" s="5"/>
    </row>
    <row r="1520">
      <c r="A1520" s="5"/>
      <c r="B1520" s="5"/>
      <c r="F1520" s="5"/>
    </row>
    <row r="1521">
      <c r="A1521" s="5"/>
      <c r="B1521" s="5"/>
      <c r="F1521" s="5"/>
    </row>
    <row r="1522">
      <c r="A1522" s="5"/>
      <c r="B1522" s="5"/>
      <c r="F1522" s="5"/>
    </row>
    <row r="1523">
      <c r="A1523" s="5"/>
      <c r="B1523" s="5"/>
      <c r="F1523" s="5"/>
    </row>
    <row r="1524">
      <c r="A1524" s="5"/>
      <c r="B1524" s="5"/>
      <c r="F1524" s="5"/>
    </row>
    <row r="1525">
      <c r="A1525" s="5"/>
      <c r="B1525" s="5"/>
      <c r="F1525" s="5"/>
    </row>
    <row r="1526">
      <c r="A1526" s="5"/>
      <c r="B1526" s="5"/>
      <c r="F1526" s="5"/>
    </row>
    <row r="1527">
      <c r="A1527" s="5"/>
      <c r="B1527" s="5"/>
      <c r="F1527" s="5"/>
    </row>
    <row r="1528">
      <c r="A1528" s="5"/>
      <c r="B1528" s="5"/>
      <c r="F1528" s="5"/>
    </row>
    <row r="1529">
      <c r="A1529" s="5"/>
      <c r="B1529" s="5"/>
      <c r="F1529" s="5"/>
    </row>
    <row r="1530">
      <c r="A1530" s="5"/>
      <c r="B1530" s="5"/>
      <c r="F1530" s="5"/>
    </row>
    <row r="1531">
      <c r="A1531" s="5"/>
      <c r="B1531" s="5"/>
      <c r="F1531" s="5"/>
    </row>
    <row r="1532">
      <c r="A1532" s="5"/>
      <c r="B1532" s="5"/>
      <c r="F1532" s="5"/>
    </row>
    <row r="1533">
      <c r="A1533" s="5"/>
      <c r="B1533" s="5"/>
      <c r="F1533" s="5"/>
    </row>
    <row r="1534">
      <c r="A1534" s="5"/>
      <c r="B1534" s="5"/>
      <c r="F1534" s="5"/>
    </row>
    <row r="1535">
      <c r="A1535" s="5"/>
      <c r="B1535" s="5"/>
      <c r="F1535" s="5"/>
    </row>
    <row r="1536">
      <c r="A1536" s="5"/>
      <c r="B1536" s="5"/>
      <c r="F1536" s="5"/>
    </row>
    <row r="1537">
      <c r="A1537" s="5"/>
      <c r="B1537" s="5"/>
      <c r="F1537" s="5"/>
    </row>
    <row r="1538">
      <c r="A1538" s="5"/>
      <c r="B1538" s="5"/>
      <c r="F1538" s="5"/>
    </row>
    <row r="1539">
      <c r="A1539" s="5"/>
      <c r="B1539" s="5"/>
      <c r="F1539" s="5"/>
    </row>
    <row r="1540">
      <c r="A1540" s="5"/>
      <c r="B1540" s="5"/>
      <c r="F1540" s="5"/>
    </row>
    <row r="1541">
      <c r="A1541" s="5"/>
      <c r="B1541" s="5"/>
      <c r="F1541" s="5"/>
    </row>
    <row r="1542">
      <c r="A1542" s="5"/>
      <c r="B1542" s="5"/>
      <c r="F1542" s="5"/>
    </row>
    <row r="1543">
      <c r="A1543" s="5"/>
      <c r="B1543" s="5"/>
      <c r="F1543" s="5"/>
    </row>
    <row r="1544">
      <c r="A1544" s="5"/>
      <c r="B1544" s="5"/>
      <c r="F1544" s="5"/>
    </row>
    <row r="1545">
      <c r="A1545" s="5"/>
      <c r="B1545" s="5"/>
      <c r="F1545" s="5"/>
    </row>
    <row r="1546">
      <c r="A1546" s="5"/>
      <c r="B1546" s="5"/>
      <c r="F1546" s="5"/>
    </row>
    <row r="1547">
      <c r="A1547" s="5"/>
      <c r="B1547" s="5"/>
      <c r="F1547" s="5"/>
    </row>
    <row r="1548">
      <c r="A1548" s="5"/>
      <c r="B1548" s="5"/>
      <c r="F1548" s="5"/>
    </row>
    <row r="1549">
      <c r="A1549" s="5"/>
      <c r="B1549" s="5"/>
      <c r="F1549" s="5"/>
    </row>
    <row r="1550">
      <c r="A1550" s="5"/>
      <c r="B1550" s="5"/>
      <c r="F1550" s="5"/>
    </row>
    <row r="1551">
      <c r="A1551" s="5"/>
      <c r="B1551" s="5"/>
      <c r="F1551" s="5"/>
    </row>
    <row r="1552">
      <c r="A1552" s="5"/>
      <c r="B1552" s="5"/>
      <c r="F1552" s="5"/>
    </row>
    <row r="1553">
      <c r="A1553" s="5"/>
      <c r="B1553" s="5"/>
      <c r="F1553" s="5"/>
    </row>
    <row r="1554">
      <c r="A1554" s="5"/>
      <c r="B1554" s="5"/>
      <c r="F1554" s="5"/>
    </row>
    <row r="1555">
      <c r="A1555" s="5"/>
      <c r="B1555" s="5"/>
      <c r="F1555" s="5"/>
    </row>
    <row r="1556">
      <c r="A1556" s="5"/>
      <c r="B1556" s="5"/>
      <c r="F1556" s="5"/>
    </row>
    <row r="1557">
      <c r="A1557" s="5"/>
      <c r="B1557" s="5"/>
      <c r="F1557" s="5"/>
    </row>
    <row r="1558">
      <c r="A1558" s="5"/>
      <c r="B1558" s="5"/>
      <c r="F1558" s="5"/>
    </row>
    <row r="1559">
      <c r="A1559" s="5"/>
      <c r="B1559" s="5"/>
      <c r="F1559" s="5"/>
    </row>
    <row r="1560">
      <c r="A1560" s="5"/>
      <c r="B1560" s="5"/>
      <c r="F1560" s="5"/>
    </row>
    <row r="1561">
      <c r="A1561" s="5"/>
      <c r="B1561" s="5"/>
      <c r="F1561" s="5"/>
    </row>
    <row r="1562">
      <c r="A1562" s="5"/>
      <c r="B1562" s="5"/>
      <c r="F1562" s="5"/>
    </row>
    <row r="1563">
      <c r="A1563" s="5"/>
      <c r="B1563" s="5"/>
      <c r="F1563" s="5"/>
    </row>
    <row r="1564">
      <c r="A1564" s="5"/>
      <c r="B1564" s="5"/>
      <c r="F1564" s="5"/>
    </row>
    <row r="1565">
      <c r="A1565" s="5"/>
      <c r="B1565" s="5"/>
      <c r="F1565" s="5"/>
    </row>
    <row r="1566">
      <c r="A1566" s="5"/>
      <c r="B1566" s="5"/>
      <c r="F1566" s="5"/>
    </row>
    <row r="1567">
      <c r="A1567" s="5"/>
      <c r="B1567" s="5"/>
      <c r="F1567" s="5"/>
    </row>
    <row r="1568">
      <c r="A1568" s="5"/>
      <c r="B1568" s="5"/>
      <c r="F1568" s="5"/>
    </row>
    <row r="1569">
      <c r="A1569" s="5"/>
      <c r="B1569" s="5"/>
      <c r="F1569" s="5"/>
    </row>
    <row r="1570">
      <c r="A1570" s="5"/>
      <c r="B1570" s="5"/>
      <c r="F1570" s="5"/>
    </row>
    <row r="1571">
      <c r="A1571" s="5"/>
      <c r="B1571" s="5"/>
      <c r="F1571" s="5"/>
    </row>
    <row r="1572">
      <c r="A1572" s="5"/>
      <c r="B1572" s="5"/>
      <c r="F1572" s="5"/>
    </row>
    <row r="1573">
      <c r="A1573" s="5"/>
      <c r="B1573" s="5"/>
      <c r="F1573" s="5"/>
    </row>
    <row r="1574">
      <c r="A1574" s="5"/>
      <c r="B1574" s="5"/>
      <c r="F1574" s="5"/>
    </row>
    <row r="1575">
      <c r="A1575" s="5"/>
      <c r="B1575" s="5"/>
      <c r="F1575" s="5"/>
    </row>
    <row r="1576">
      <c r="A1576" s="5"/>
      <c r="B1576" s="5"/>
      <c r="F1576" s="5"/>
    </row>
    <row r="1577">
      <c r="A1577" s="5"/>
      <c r="B1577" s="5"/>
      <c r="F1577" s="5"/>
    </row>
    <row r="1578">
      <c r="A1578" s="5"/>
      <c r="B1578" s="5"/>
      <c r="F1578" s="5"/>
    </row>
    <row r="1579">
      <c r="A1579" s="5"/>
      <c r="B1579" s="5"/>
      <c r="F1579" s="5"/>
    </row>
    <row r="1580">
      <c r="A1580" s="5"/>
      <c r="B1580" s="5"/>
      <c r="F1580" s="5"/>
    </row>
    <row r="1581">
      <c r="A1581" s="5"/>
      <c r="B1581" s="5"/>
      <c r="F1581" s="5"/>
    </row>
    <row r="1582">
      <c r="A1582" s="5"/>
      <c r="B1582" s="5"/>
      <c r="F1582" s="5"/>
    </row>
    <row r="1583">
      <c r="A1583" s="5"/>
      <c r="B1583" s="5"/>
      <c r="F1583" s="5"/>
    </row>
    <row r="1584">
      <c r="A1584" s="5"/>
      <c r="B1584" s="5"/>
      <c r="F1584" s="5"/>
    </row>
    <row r="1585">
      <c r="A1585" s="5"/>
      <c r="B1585" s="5"/>
      <c r="F1585" s="5"/>
    </row>
    <row r="1586">
      <c r="A1586" s="5"/>
      <c r="B1586" s="5"/>
      <c r="F1586" s="5"/>
    </row>
    <row r="1587">
      <c r="A1587" s="5"/>
      <c r="B1587" s="5"/>
      <c r="F1587" s="5"/>
    </row>
    <row r="1588">
      <c r="A1588" s="5"/>
      <c r="B1588" s="5"/>
      <c r="F1588" s="5"/>
    </row>
    <row r="1589">
      <c r="A1589" s="5"/>
      <c r="B1589" s="5"/>
      <c r="F1589" s="5"/>
    </row>
    <row r="1590">
      <c r="A1590" s="5"/>
      <c r="B1590" s="5"/>
      <c r="F1590" s="5"/>
    </row>
    <row r="1591">
      <c r="A1591" s="5"/>
      <c r="B1591" s="5"/>
      <c r="F1591" s="5"/>
    </row>
    <row r="1592">
      <c r="A1592" s="5"/>
      <c r="B1592" s="5"/>
      <c r="F1592" s="5"/>
    </row>
    <row r="1593">
      <c r="A1593" s="5"/>
      <c r="B1593" s="5"/>
      <c r="F1593" s="5"/>
    </row>
    <row r="1594">
      <c r="A1594" s="5"/>
      <c r="B1594" s="5"/>
      <c r="F1594" s="5"/>
    </row>
    <row r="1595">
      <c r="A1595" s="5"/>
      <c r="B1595" s="5"/>
      <c r="F1595" s="5"/>
    </row>
    <row r="1596">
      <c r="A1596" s="5"/>
      <c r="B1596" s="5"/>
      <c r="F1596" s="5"/>
    </row>
    <row r="1597">
      <c r="A1597" s="5"/>
      <c r="B1597" s="5"/>
      <c r="F1597" s="5"/>
    </row>
    <row r="1598">
      <c r="A1598" s="5"/>
      <c r="B1598" s="5"/>
      <c r="F1598" s="5"/>
    </row>
    <row r="1599">
      <c r="A1599" s="5"/>
      <c r="B1599" s="5"/>
      <c r="F1599" s="5"/>
    </row>
    <row r="1600">
      <c r="A1600" s="5"/>
      <c r="B1600" s="5"/>
      <c r="F1600" s="5"/>
    </row>
    <row r="1601">
      <c r="A1601" s="5"/>
      <c r="B1601" s="5"/>
      <c r="F1601" s="5"/>
    </row>
    <row r="1602">
      <c r="A1602" s="5"/>
      <c r="B1602" s="5"/>
      <c r="F1602" s="5"/>
    </row>
    <row r="1603">
      <c r="A1603" s="5"/>
      <c r="B1603" s="5"/>
      <c r="F1603" s="5"/>
    </row>
    <row r="1604">
      <c r="A1604" s="5"/>
      <c r="B1604" s="5"/>
      <c r="F1604" s="5"/>
    </row>
    <row r="1605">
      <c r="A1605" s="5"/>
      <c r="B1605" s="5"/>
      <c r="F1605" s="5"/>
    </row>
    <row r="1606">
      <c r="A1606" s="5"/>
      <c r="B1606" s="5"/>
      <c r="F1606" s="5"/>
    </row>
    <row r="1607">
      <c r="A1607" s="5"/>
      <c r="B1607" s="5"/>
      <c r="F1607" s="5"/>
    </row>
    <row r="1608">
      <c r="A1608" s="5"/>
      <c r="B1608" s="5"/>
      <c r="F1608" s="5"/>
    </row>
    <row r="1609">
      <c r="A1609" s="5"/>
      <c r="B1609" s="5"/>
      <c r="F1609" s="5"/>
    </row>
    <row r="1610">
      <c r="A1610" s="5"/>
      <c r="B1610" s="5"/>
      <c r="F1610" s="5"/>
    </row>
    <row r="1611">
      <c r="A1611" s="5"/>
      <c r="B1611" s="5"/>
      <c r="F1611" s="5"/>
    </row>
    <row r="1612">
      <c r="A1612" s="5"/>
      <c r="B1612" s="5"/>
      <c r="F1612" s="5"/>
    </row>
    <row r="1613">
      <c r="A1613" s="5"/>
      <c r="B1613" s="5"/>
      <c r="F1613" s="5"/>
    </row>
    <row r="1614">
      <c r="A1614" s="5"/>
      <c r="B1614" s="5"/>
      <c r="F1614" s="5"/>
    </row>
    <row r="1615">
      <c r="A1615" s="5"/>
      <c r="B1615" s="5"/>
      <c r="F1615" s="5"/>
    </row>
    <row r="1616">
      <c r="A1616" s="5"/>
      <c r="B1616" s="5"/>
      <c r="F1616" s="5"/>
    </row>
    <row r="1617">
      <c r="A1617" s="5"/>
      <c r="B1617" s="5"/>
      <c r="F1617" s="5"/>
    </row>
    <row r="1618">
      <c r="A1618" s="5"/>
      <c r="B1618" s="5"/>
      <c r="F1618" s="5"/>
    </row>
    <row r="1619">
      <c r="A1619" s="5"/>
      <c r="B1619" s="5"/>
      <c r="F1619" s="5"/>
    </row>
    <row r="1620">
      <c r="A1620" s="5"/>
      <c r="B1620" s="5"/>
      <c r="F1620" s="5"/>
    </row>
    <row r="1621">
      <c r="A1621" s="5"/>
      <c r="B1621" s="5"/>
      <c r="F1621" s="5"/>
    </row>
    <row r="1622">
      <c r="A1622" s="5"/>
      <c r="B1622" s="5"/>
      <c r="F1622" s="5"/>
    </row>
    <row r="1623">
      <c r="A1623" s="5"/>
      <c r="B1623" s="5"/>
      <c r="F1623" s="5"/>
    </row>
    <row r="1624">
      <c r="A1624" s="5"/>
      <c r="B1624" s="5"/>
      <c r="F1624" s="5"/>
    </row>
    <row r="1625">
      <c r="A1625" s="5"/>
      <c r="B1625" s="5"/>
      <c r="F1625" s="5"/>
    </row>
    <row r="1626">
      <c r="A1626" s="5"/>
      <c r="B1626" s="5"/>
      <c r="F1626" s="5"/>
    </row>
    <row r="1627">
      <c r="A1627" s="5"/>
      <c r="B1627" s="5"/>
      <c r="F1627" s="5"/>
    </row>
    <row r="1628">
      <c r="A1628" s="5"/>
      <c r="B1628" s="5"/>
      <c r="F1628" s="5"/>
    </row>
    <row r="1629">
      <c r="A1629" s="5"/>
      <c r="B1629" s="5"/>
      <c r="F1629" s="5"/>
    </row>
    <row r="1630">
      <c r="A1630" s="5"/>
      <c r="B1630" s="5"/>
      <c r="F1630" s="5"/>
    </row>
    <row r="1631">
      <c r="A1631" s="5"/>
      <c r="B1631" s="5"/>
      <c r="F1631" s="5"/>
    </row>
    <row r="1632">
      <c r="A1632" s="5"/>
      <c r="B1632" s="5"/>
      <c r="F1632" s="5"/>
    </row>
    <row r="1633">
      <c r="A1633" s="5"/>
      <c r="B1633" s="5"/>
      <c r="F1633" s="5"/>
    </row>
    <row r="1634">
      <c r="A1634" s="5"/>
      <c r="B1634" s="5"/>
      <c r="F1634" s="5"/>
    </row>
    <row r="1635">
      <c r="A1635" s="5"/>
      <c r="B1635" s="5"/>
      <c r="F1635" s="5"/>
    </row>
    <row r="1636">
      <c r="A1636" s="5"/>
      <c r="B1636" s="5"/>
      <c r="F1636" s="5"/>
    </row>
    <row r="1637">
      <c r="A1637" s="5"/>
      <c r="B1637" s="5"/>
      <c r="F1637" s="5"/>
    </row>
    <row r="1638">
      <c r="A1638" s="5"/>
      <c r="B1638" s="5"/>
      <c r="F1638" s="5"/>
    </row>
    <row r="1639">
      <c r="A1639" s="5"/>
      <c r="B1639" s="5"/>
      <c r="F1639" s="5"/>
    </row>
    <row r="1640">
      <c r="A1640" s="5"/>
      <c r="B1640" s="5"/>
      <c r="F1640" s="5"/>
    </row>
    <row r="1641">
      <c r="A1641" s="5"/>
      <c r="B1641" s="5"/>
      <c r="F1641" s="5"/>
    </row>
    <row r="1642">
      <c r="A1642" s="5"/>
      <c r="B1642" s="5"/>
      <c r="F1642" s="5"/>
    </row>
    <row r="1643">
      <c r="A1643" s="5"/>
      <c r="B1643" s="5"/>
      <c r="F1643" s="5"/>
    </row>
    <row r="1644">
      <c r="A1644" s="5"/>
      <c r="B1644" s="5"/>
      <c r="F1644" s="5"/>
    </row>
    <row r="1645">
      <c r="A1645" s="5"/>
      <c r="B1645" s="5"/>
      <c r="F1645" s="5"/>
    </row>
    <row r="1646">
      <c r="A1646" s="5"/>
      <c r="B1646" s="5"/>
      <c r="F1646" s="5"/>
    </row>
    <row r="1647">
      <c r="A1647" s="5"/>
      <c r="B1647" s="5"/>
      <c r="F1647" s="5"/>
    </row>
    <row r="1648">
      <c r="A1648" s="5"/>
      <c r="B1648" s="5"/>
      <c r="F1648" s="5"/>
    </row>
    <row r="1649">
      <c r="A1649" s="5"/>
      <c r="B1649" s="5"/>
      <c r="F1649" s="5"/>
    </row>
    <row r="1650">
      <c r="A1650" s="5"/>
      <c r="B1650" s="5"/>
      <c r="F1650" s="5"/>
    </row>
    <row r="1651">
      <c r="A1651" s="5"/>
      <c r="B1651" s="5"/>
      <c r="F1651" s="5"/>
    </row>
    <row r="1652">
      <c r="A1652" s="5"/>
      <c r="B1652" s="5"/>
      <c r="F1652" s="5"/>
    </row>
    <row r="1653">
      <c r="A1653" s="5"/>
      <c r="B1653" s="5"/>
      <c r="F1653" s="5"/>
    </row>
    <row r="1654">
      <c r="A1654" s="5"/>
      <c r="B1654" s="5"/>
      <c r="F1654" s="5"/>
    </row>
    <row r="1655">
      <c r="A1655" s="5"/>
      <c r="B1655" s="5"/>
      <c r="F1655" s="5"/>
    </row>
    <row r="1656">
      <c r="A1656" s="5"/>
      <c r="B1656" s="5"/>
      <c r="F1656" s="5"/>
    </row>
    <row r="1657">
      <c r="A1657" s="5"/>
      <c r="B1657" s="5"/>
      <c r="F1657" s="5"/>
    </row>
    <row r="1658">
      <c r="A1658" s="5"/>
      <c r="B1658" s="5"/>
      <c r="F1658" s="5"/>
    </row>
    <row r="1659">
      <c r="A1659" s="5"/>
      <c r="B1659" s="5"/>
      <c r="F1659" s="5"/>
    </row>
    <row r="1660">
      <c r="A1660" s="5"/>
      <c r="B1660" s="5"/>
      <c r="F1660" s="5"/>
    </row>
    <row r="1661">
      <c r="A1661" s="5"/>
      <c r="B1661" s="5"/>
      <c r="F1661" s="5"/>
    </row>
    <row r="1662">
      <c r="A1662" s="5"/>
      <c r="B1662" s="5"/>
      <c r="F1662" s="5"/>
    </row>
    <row r="1663">
      <c r="A1663" s="5"/>
      <c r="B1663" s="5"/>
      <c r="F1663" s="5"/>
    </row>
    <row r="1664">
      <c r="A1664" s="5"/>
      <c r="B1664" s="5"/>
      <c r="F1664" s="5"/>
    </row>
    <row r="1665">
      <c r="A1665" s="5"/>
      <c r="B1665" s="5"/>
      <c r="F1665" s="5"/>
    </row>
    <row r="1666">
      <c r="A1666" s="5"/>
      <c r="B1666" s="5"/>
      <c r="F1666" s="5"/>
    </row>
    <row r="1667">
      <c r="A1667" s="5"/>
      <c r="B1667" s="5"/>
      <c r="F1667" s="5"/>
    </row>
    <row r="1668">
      <c r="A1668" s="5"/>
      <c r="B1668" s="5"/>
      <c r="F1668" s="5"/>
    </row>
    <row r="1669">
      <c r="A1669" s="5"/>
      <c r="B1669" s="5"/>
      <c r="F1669" s="5"/>
    </row>
    <row r="1670">
      <c r="A1670" s="5"/>
      <c r="B1670" s="5"/>
      <c r="F1670" s="5"/>
    </row>
    <row r="1671">
      <c r="A1671" s="5"/>
      <c r="B1671" s="5"/>
      <c r="F1671" s="5"/>
    </row>
    <row r="1672">
      <c r="A1672" s="5"/>
      <c r="B1672" s="5"/>
      <c r="F1672" s="5"/>
    </row>
    <row r="1673">
      <c r="A1673" s="5"/>
      <c r="B1673" s="5"/>
      <c r="F1673" s="5"/>
    </row>
    <row r="1674">
      <c r="A1674" s="5"/>
      <c r="B1674" s="5"/>
      <c r="F1674" s="5"/>
    </row>
    <row r="1675">
      <c r="A1675" s="5"/>
      <c r="B1675" s="5"/>
      <c r="F1675" s="5"/>
    </row>
    <row r="1676">
      <c r="A1676" s="5"/>
      <c r="B1676" s="5"/>
      <c r="F1676" s="5"/>
    </row>
    <row r="1677">
      <c r="A1677" s="5"/>
      <c r="B1677" s="5"/>
      <c r="F1677" s="5"/>
    </row>
    <row r="1678">
      <c r="A1678" s="5"/>
      <c r="B1678" s="5"/>
      <c r="F1678" s="5"/>
    </row>
    <row r="1679">
      <c r="A1679" s="5"/>
      <c r="B1679" s="5"/>
      <c r="F1679" s="5"/>
    </row>
    <row r="1680">
      <c r="A1680" s="5"/>
      <c r="B1680" s="5"/>
      <c r="F1680" s="5"/>
    </row>
    <row r="1681">
      <c r="A1681" s="5"/>
      <c r="B1681" s="5"/>
      <c r="F1681" s="5"/>
    </row>
    <row r="1682">
      <c r="A1682" s="5"/>
      <c r="B1682" s="5"/>
      <c r="F1682" s="5"/>
    </row>
    <row r="1683">
      <c r="A1683" s="5"/>
      <c r="B1683" s="5"/>
      <c r="F1683" s="5"/>
    </row>
    <row r="1684">
      <c r="A1684" s="5"/>
      <c r="B1684" s="5"/>
      <c r="F1684" s="5"/>
    </row>
    <row r="1685">
      <c r="A1685" s="5"/>
      <c r="B1685" s="5"/>
      <c r="F1685" s="5"/>
    </row>
    <row r="1686">
      <c r="A1686" s="5"/>
      <c r="B1686" s="5"/>
      <c r="F1686" s="5"/>
    </row>
    <row r="1687">
      <c r="A1687" s="5"/>
      <c r="B1687" s="5"/>
      <c r="F1687" s="5"/>
    </row>
    <row r="1688">
      <c r="A1688" s="5"/>
      <c r="B1688" s="5"/>
      <c r="F1688" s="5"/>
    </row>
    <row r="1689">
      <c r="A1689" s="5"/>
      <c r="B1689" s="5"/>
      <c r="F1689" s="5"/>
    </row>
    <row r="1690">
      <c r="A1690" s="5"/>
      <c r="B1690" s="5"/>
      <c r="F1690" s="5"/>
    </row>
    <row r="1691">
      <c r="A1691" s="5"/>
      <c r="B1691" s="5"/>
      <c r="F1691" s="5"/>
    </row>
    <row r="1692">
      <c r="A1692" s="5"/>
      <c r="B1692" s="5"/>
      <c r="F1692" s="5"/>
    </row>
    <row r="1693">
      <c r="A1693" s="5"/>
      <c r="B1693" s="5"/>
      <c r="F1693" s="5"/>
    </row>
    <row r="1694">
      <c r="A1694" s="5"/>
      <c r="B1694" s="5"/>
      <c r="F1694" s="5"/>
    </row>
    <row r="1695">
      <c r="A1695" s="5"/>
      <c r="B1695" s="5"/>
      <c r="F1695" s="5"/>
    </row>
    <row r="1696">
      <c r="A1696" s="5"/>
      <c r="B1696" s="5"/>
      <c r="F1696" s="5"/>
    </row>
    <row r="1697">
      <c r="A1697" s="5"/>
      <c r="B1697" s="5"/>
      <c r="F1697" s="5"/>
    </row>
    <row r="1698">
      <c r="A1698" s="5"/>
      <c r="B1698" s="5"/>
      <c r="F1698" s="5"/>
    </row>
    <row r="1699">
      <c r="A1699" s="5"/>
      <c r="B1699" s="5"/>
      <c r="F1699" s="5"/>
    </row>
    <row r="1700">
      <c r="A1700" s="5"/>
      <c r="B1700" s="5"/>
      <c r="F1700" s="5"/>
    </row>
    <row r="1701">
      <c r="A1701" s="5"/>
      <c r="B1701" s="5"/>
      <c r="F1701" s="5"/>
    </row>
    <row r="1702">
      <c r="A1702" s="5"/>
      <c r="B1702" s="5"/>
      <c r="F1702" s="5"/>
    </row>
    <row r="1703">
      <c r="A1703" s="5"/>
      <c r="B1703" s="5"/>
      <c r="F1703" s="5"/>
    </row>
    <row r="1704">
      <c r="A1704" s="5"/>
      <c r="B1704" s="5"/>
      <c r="F1704" s="5"/>
    </row>
    <row r="1705">
      <c r="A1705" s="5"/>
      <c r="B1705" s="5"/>
      <c r="F1705" s="5"/>
    </row>
    <row r="1706">
      <c r="A1706" s="5"/>
      <c r="B1706" s="5"/>
      <c r="F1706" s="5"/>
    </row>
    <row r="1707">
      <c r="A1707" s="5"/>
      <c r="B1707" s="5"/>
      <c r="F1707" s="5"/>
    </row>
    <row r="1708">
      <c r="A1708" s="5"/>
      <c r="B1708" s="5"/>
      <c r="F1708" s="5"/>
    </row>
    <row r="1709">
      <c r="A1709" s="5"/>
      <c r="B1709" s="5"/>
      <c r="F1709" s="5"/>
    </row>
    <row r="1710">
      <c r="A1710" s="5"/>
      <c r="B1710" s="5"/>
      <c r="F1710" s="5"/>
    </row>
    <row r="1711">
      <c r="A1711" s="5"/>
      <c r="B1711" s="5"/>
      <c r="F1711" s="5"/>
    </row>
    <row r="1712">
      <c r="A1712" s="5"/>
      <c r="B1712" s="5"/>
      <c r="F1712" s="5"/>
    </row>
    <row r="1713">
      <c r="A1713" s="5"/>
      <c r="B1713" s="5"/>
      <c r="F1713" s="5"/>
    </row>
    <row r="1714">
      <c r="A1714" s="5"/>
      <c r="B1714" s="5"/>
      <c r="F1714" s="5"/>
    </row>
    <row r="1715">
      <c r="A1715" s="5"/>
      <c r="B1715" s="5"/>
      <c r="F1715" s="5"/>
    </row>
    <row r="1716">
      <c r="A1716" s="5"/>
      <c r="B1716" s="5"/>
      <c r="F1716" s="5"/>
    </row>
    <row r="1717">
      <c r="A1717" s="5"/>
      <c r="B1717" s="5"/>
      <c r="F1717" s="5"/>
    </row>
    <row r="1718">
      <c r="A1718" s="5"/>
      <c r="B1718" s="5"/>
      <c r="F1718" s="5"/>
    </row>
    <row r="1719">
      <c r="A1719" s="5"/>
      <c r="B1719" s="5"/>
      <c r="F1719" s="5"/>
    </row>
    <row r="1720">
      <c r="A1720" s="5"/>
      <c r="B1720" s="5"/>
      <c r="F1720" s="5"/>
    </row>
    <row r="1721">
      <c r="A1721" s="5"/>
      <c r="B1721" s="5"/>
      <c r="F1721" s="5"/>
    </row>
    <row r="1722">
      <c r="A1722" s="5"/>
      <c r="B1722" s="5"/>
      <c r="F1722" s="5"/>
    </row>
    <row r="1723">
      <c r="A1723" s="5"/>
      <c r="B1723" s="5"/>
      <c r="F1723" s="5"/>
    </row>
    <row r="1724">
      <c r="A1724" s="5"/>
      <c r="B1724" s="5"/>
      <c r="F1724" s="5"/>
    </row>
    <row r="1725">
      <c r="A1725" s="5"/>
      <c r="B1725" s="5"/>
      <c r="F1725" s="5"/>
    </row>
    <row r="1726">
      <c r="A1726" s="5"/>
      <c r="B1726" s="5"/>
      <c r="F1726" s="5"/>
    </row>
    <row r="1727">
      <c r="A1727" s="5"/>
      <c r="B1727" s="5"/>
      <c r="F1727" s="5"/>
    </row>
    <row r="1728">
      <c r="A1728" s="5"/>
      <c r="B1728" s="5"/>
      <c r="F1728" s="5"/>
    </row>
    <row r="1729">
      <c r="A1729" s="5"/>
      <c r="B1729" s="5"/>
      <c r="F1729" s="5"/>
    </row>
    <row r="1730">
      <c r="A1730" s="5"/>
      <c r="B1730" s="5"/>
      <c r="F1730" s="5"/>
    </row>
    <row r="1731">
      <c r="A1731" s="5"/>
      <c r="B1731" s="5"/>
      <c r="F1731" s="5"/>
    </row>
    <row r="1732">
      <c r="A1732" s="5"/>
      <c r="B1732" s="5"/>
      <c r="F1732" s="5"/>
    </row>
    <row r="1733">
      <c r="A1733" s="5"/>
      <c r="B1733" s="5"/>
      <c r="F1733" s="5"/>
    </row>
    <row r="1734">
      <c r="A1734" s="5"/>
      <c r="B1734" s="5"/>
      <c r="F1734" s="5"/>
    </row>
    <row r="1735">
      <c r="A1735" s="5"/>
      <c r="B1735" s="5"/>
      <c r="F1735" s="5"/>
    </row>
    <row r="1736">
      <c r="A1736" s="5"/>
      <c r="B1736" s="5"/>
      <c r="F1736" s="5"/>
    </row>
    <row r="1737">
      <c r="A1737" s="5"/>
      <c r="B1737" s="5"/>
      <c r="F1737" s="5"/>
    </row>
    <row r="1738">
      <c r="A1738" s="5"/>
      <c r="B1738" s="5"/>
      <c r="F1738" s="5"/>
    </row>
    <row r="1739">
      <c r="A1739" s="5"/>
      <c r="B1739" s="5"/>
      <c r="F1739" s="5"/>
    </row>
    <row r="1740">
      <c r="A1740" s="5"/>
      <c r="B1740" s="5"/>
      <c r="F1740" s="5"/>
    </row>
    <row r="1741">
      <c r="A1741" s="5"/>
      <c r="B1741" s="5"/>
      <c r="F1741" s="5"/>
    </row>
    <row r="1742">
      <c r="A1742" s="5"/>
      <c r="B1742" s="5"/>
      <c r="F1742" s="5"/>
    </row>
    <row r="1743">
      <c r="A1743" s="5"/>
      <c r="B1743" s="5"/>
      <c r="F1743" s="5"/>
    </row>
    <row r="1744">
      <c r="A1744" s="5"/>
      <c r="B1744" s="5"/>
      <c r="F1744" s="5"/>
    </row>
    <row r="1745">
      <c r="A1745" s="5"/>
      <c r="B1745" s="5"/>
      <c r="F1745" s="5"/>
    </row>
    <row r="1746">
      <c r="A1746" s="5"/>
      <c r="B1746" s="5"/>
      <c r="F1746" s="5"/>
    </row>
    <row r="1747">
      <c r="A1747" s="5"/>
      <c r="B1747" s="5"/>
      <c r="F1747" s="5"/>
    </row>
    <row r="1748">
      <c r="A1748" s="5"/>
      <c r="B1748" s="5"/>
      <c r="F1748" s="5"/>
    </row>
    <row r="1749">
      <c r="A1749" s="5"/>
      <c r="B1749" s="5"/>
      <c r="F1749" s="5"/>
    </row>
    <row r="1750">
      <c r="A1750" s="5"/>
      <c r="B1750" s="5"/>
      <c r="F1750" s="5"/>
    </row>
    <row r="1751">
      <c r="A1751" s="5"/>
      <c r="B1751" s="5"/>
      <c r="F1751" s="5"/>
    </row>
    <row r="1752">
      <c r="A1752" s="5"/>
      <c r="B1752" s="5"/>
      <c r="F1752" s="5"/>
    </row>
    <row r="1753">
      <c r="A1753" s="5"/>
      <c r="B1753" s="5"/>
      <c r="F1753" s="5"/>
    </row>
    <row r="1754">
      <c r="A1754" s="5"/>
      <c r="B1754" s="5"/>
      <c r="F1754" s="5"/>
    </row>
    <row r="1755">
      <c r="A1755" s="5"/>
      <c r="B1755" s="5"/>
      <c r="F1755" s="5"/>
    </row>
    <row r="1756">
      <c r="A1756" s="5"/>
      <c r="B1756" s="5"/>
      <c r="F1756" s="5"/>
    </row>
    <row r="1757">
      <c r="A1757" s="5"/>
      <c r="B1757" s="5"/>
      <c r="F1757" s="5"/>
    </row>
    <row r="1758">
      <c r="A1758" s="5"/>
      <c r="B1758" s="5"/>
      <c r="F1758" s="5"/>
    </row>
    <row r="1759">
      <c r="A1759" s="5"/>
      <c r="B1759" s="5"/>
      <c r="F1759" s="5"/>
    </row>
    <row r="1760">
      <c r="A1760" s="5"/>
      <c r="B1760" s="5"/>
      <c r="F1760" s="5"/>
    </row>
    <row r="1761">
      <c r="A1761" s="5"/>
      <c r="B1761" s="5"/>
      <c r="F1761" s="5"/>
    </row>
    <row r="1762">
      <c r="A1762" s="5"/>
      <c r="B1762" s="5"/>
      <c r="F1762" s="5"/>
    </row>
    <row r="1763">
      <c r="A1763" s="5"/>
      <c r="B1763" s="5"/>
      <c r="F1763" s="5"/>
    </row>
    <row r="1764">
      <c r="A1764" s="5"/>
      <c r="B1764" s="5"/>
      <c r="F1764" s="5"/>
    </row>
    <row r="1765">
      <c r="A1765" s="5"/>
      <c r="B1765" s="5"/>
      <c r="F1765" s="5"/>
    </row>
    <row r="1766">
      <c r="A1766" s="5"/>
      <c r="B1766" s="5"/>
      <c r="F1766" s="5"/>
    </row>
    <row r="1767">
      <c r="A1767" s="5"/>
      <c r="B1767" s="5"/>
      <c r="F1767" s="5"/>
    </row>
    <row r="1768">
      <c r="A1768" s="5"/>
      <c r="B1768" s="5"/>
      <c r="F1768" s="5"/>
    </row>
    <row r="1769">
      <c r="A1769" s="5"/>
      <c r="B1769" s="5"/>
      <c r="F1769" s="5"/>
    </row>
    <row r="1770">
      <c r="A1770" s="5"/>
      <c r="B1770" s="5"/>
      <c r="F1770" s="5"/>
    </row>
    <row r="1771">
      <c r="A1771" s="5"/>
      <c r="B1771" s="5"/>
      <c r="F1771" s="5"/>
    </row>
    <row r="1772">
      <c r="A1772" s="5"/>
      <c r="B1772" s="5"/>
      <c r="F1772" s="5"/>
    </row>
    <row r="1773">
      <c r="A1773" s="5"/>
      <c r="B1773" s="5"/>
      <c r="F1773" s="5"/>
    </row>
    <row r="1774">
      <c r="A1774" s="5"/>
      <c r="B1774" s="5"/>
      <c r="F1774" s="5"/>
    </row>
    <row r="1775">
      <c r="A1775" s="5"/>
      <c r="B1775" s="5"/>
      <c r="F1775" s="5"/>
    </row>
    <row r="1776">
      <c r="A1776" s="5"/>
      <c r="B1776" s="5"/>
      <c r="F1776" s="5"/>
    </row>
    <row r="1777">
      <c r="A1777" s="5"/>
      <c r="B1777" s="5"/>
      <c r="F1777" s="5"/>
    </row>
    <row r="1778">
      <c r="A1778" s="5"/>
      <c r="B1778" s="5"/>
      <c r="F1778" s="5"/>
    </row>
    <row r="1779">
      <c r="A1779" s="5"/>
      <c r="B1779" s="5"/>
      <c r="F1779" s="5"/>
    </row>
    <row r="1780">
      <c r="A1780" s="5"/>
      <c r="B1780" s="5"/>
      <c r="F1780" s="5"/>
    </row>
    <row r="1781">
      <c r="A1781" s="5"/>
      <c r="B1781" s="5"/>
      <c r="F1781" s="5"/>
    </row>
    <row r="1782">
      <c r="A1782" s="5"/>
      <c r="B1782" s="5"/>
      <c r="F1782" s="5"/>
    </row>
    <row r="1783">
      <c r="A1783" s="5"/>
      <c r="B1783" s="5"/>
      <c r="F1783" s="5"/>
    </row>
    <row r="1784">
      <c r="A1784" s="5"/>
      <c r="B1784" s="5"/>
      <c r="F1784" s="5"/>
    </row>
    <row r="1785">
      <c r="A1785" s="5"/>
      <c r="B1785" s="5"/>
      <c r="F1785" s="5"/>
    </row>
    <row r="1786">
      <c r="A1786" s="5"/>
      <c r="B1786" s="5"/>
      <c r="F1786" s="5"/>
    </row>
    <row r="1787">
      <c r="A1787" s="5"/>
      <c r="B1787" s="5"/>
      <c r="F1787" s="5"/>
    </row>
    <row r="1788">
      <c r="A1788" s="5"/>
      <c r="B1788" s="5"/>
      <c r="F1788" s="5"/>
    </row>
    <row r="1789">
      <c r="A1789" s="5"/>
      <c r="B1789" s="5"/>
      <c r="F1789" s="5"/>
    </row>
    <row r="1790">
      <c r="A1790" s="5"/>
      <c r="B1790" s="5"/>
      <c r="F1790" s="5"/>
    </row>
    <row r="1791">
      <c r="A1791" s="5"/>
      <c r="B1791" s="5"/>
      <c r="F1791" s="5"/>
    </row>
    <row r="1792">
      <c r="A1792" s="5"/>
      <c r="B1792" s="5"/>
      <c r="F1792" s="5"/>
    </row>
    <row r="1793">
      <c r="A1793" s="5"/>
      <c r="B1793" s="5"/>
      <c r="F1793" s="5"/>
    </row>
    <row r="1794">
      <c r="A1794" s="5"/>
      <c r="B1794" s="5"/>
      <c r="F1794" s="5"/>
    </row>
    <row r="1795">
      <c r="A1795" s="5"/>
      <c r="B1795" s="5"/>
      <c r="F1795" s="5"/>
    </row>
    <row r="1796">
      <c r="A1796" s="5"/>
      <c r="B1796" s="5"/>
      <c r="F1796" s="5"/>
    </row>
    <row r="1797">
      <c r="A1797" s="5"/>
      <c r="B1797" s="5"/>
      <c r="F1797" s="5"/>
    </row>
    <row r="1798">
      <c r="A1798" s="5"/>
      <c r="B1798" s="5"/>
      <c r="F1798" s="5"/>
    </row>
    <row r="1799">
      <c r="A1799" s="5"/>
      <c r="B1799" s="5"/>
      <c r="F1799" s="5"/>
    </row>
    <row r="1800">
      <c r="A1800" s="5"/>
      <c r="B1800" s="5"/>
      <c r="F1800" s="5"/>
    </row>
    <row r="1801">
      <c r="A1801" s="5"/>
      <c r="B1801" s="5"/>
      <c r="F1801" s="5"/>
    </row>
    <row r="1802">
      <c r="A1802" s="5"/>
      <c r="B1802" s="5"/>
      <c r="F1802" s="5"/>
    </row>
    <row r="1803">
      <c r="A1803" s="5"/>
      <c r="B1803" s="5"/>
      <c r="F1803" s="5"/>
    </row>
    <row r="1804">
      <c r="A1804" s="5"/>
      <c r="B1804" s="5"/>
      <c r="F1804" s="5"/>
    </row>
    <row r="1805">
      <c r="A1805" s="5"/>
      <c r="B1805" s="5"/>
      <c r="F1805" s="5"/>
    </row>
    <row r="1806">
      <c r="A1806" s="5"/>
      <c r="B1806" s="5"/>
      <c r="F1806" s="5"/>
    </row>
    <row r="1807">
      <c r="A1807" s="5"/>
      <c r="B1807" s="5"/>
      <c r="F1807" s="5"/>
    </row>
    <row r="1808">
      <c r="A1808" s="5"/>
      <c r="B1808" s="5"/>
      <c r="F1808" s="5"/>
    </row>
    <row r="1809">
      <c r="A1809" s="5"/>
      <c r="B1809" s="5"/>
      <c r="F1809" s="5"/>
    </row>
    <row r="1810">
      <c r="A1810" s="5"/>
      <c r="B1810" s="5"/>
      <c r="F1810" s="5"/>
    </row>
    <row r="1811">
      <c r="A1811" s="5"/>
      <c r="B1811" s="5"/>
      <c r="F1811" s="5"/>
    </row>
    <row r="1812">
      <c r="A1812" s="5"/>
      <c r="B1812" s="5"/>
      <c r="F1812" s="5"/>
    </row>
    <row r="1813">
      <c r="A1813" s="5"/>
      <c r="B1813" s="5"/>
      <c r="F1813" s="5"/>
    </row>
    <row r="1814">
      <c r="A1814" s="5"/>
      <c r="B1814" s="5"/>
      <c r="F1814" s="5"/>
    </row>
    <row r="1815">
      <c r="A1815" s="5"/>
      <c r="B1815" s="5"/>
      <c r="F1815" s="5"/>
    </row>
    <row r="1816">
      <c r="A1816" s="5"/>
      <c r="B1816" s="5"/>
      <c r="F1816" s="5"/>
    </row>
    <row r="1817">
      <c r="A1817" s="5"/>
      <c r="B1817" s="5"/>
      <c r="F1817" s="5"/>
    </row>
    <row r="1818">
      <c r="A1818" s="5"/>
      <c r="B1818" s="5"/>
      <c r="F1818" s="5"/>
    </row>
    <row r="1819">
      <c r="A1819" s="5"/>
      <c r="B1819" s="5"/>
      <c r="F1819" s="5"/>
    </row>
    <row r="1820">
      <c r="A1820" s="5"/>
      <c r="B1820" s="5"/>
      <c r="F1820" s="5"/>
    </row>
    <row r="1821">
      <c r="A1821" s="5"/>
      <c r="B1821" s="5"/>
      <c r="F1821" s="5"/>
    </row>
    <row r="1822">
      <c r="A1822" s="5"/>
      <c r="B1822" s="5"/>
      <c r="F1822" s="5"/>
    </row>
    <row r="1823">
      <c r="A1823" s="5"/>
      <c r="B1823" s="5"/>
      <c r="F1823" s="5"/>
    </row>
    <row r="1824">
      <c r="A1824" s="5"/>
      <c r="B1824" s="5"/>
      <c r="F1824" s="5"/>
    </row>
    <row r="1825">
      <c r="A1825" s="5"/>
      <c r="B1825" s="5"/>
      <c r="F1825" s="5"/>
    </row>
    <row r="1826">
      <c r="A1826" s="5"/>
      <c r="B1826" s="5"/>
      <c r="F1826" s="5"/>
    </row>
    <row r="1827">
      <c r="A1827" s="5"/>
      <c r="B1827" s="5"/>
      <c r="F1827" s="5"/>
    </row>
    <row r="1828">
      <c r="A1828" s="5"/>
      <c r="B1828" s="5"/>
      <c r="F1828" s="5"/>
    </row>
    <row r="1829">
      <c r="A1829" s="5"/>
      <c r="B1829" s="5"/>
      <c r="F1829" s="5"/>
    </row>
    <row r="1830">
      <c r="A1830" s="5"/>
      <c r="B1830" s="5"/>
      <c r="F1830" s="5"/>
    </row>
    <row r="1831">
      <c r="A1831" s="5"/>
      <c r="B1831" s="5"/>
      <c r="F1831" s="5"/>
    </row>
    <row r="1832">
      <c r="A1832" s="5"/>
      <c r="B1832" s="5"/>
      <c r="F1832" s="5"/>
    </row>
    <row r="1833">
      <c r="A1833" s="5"/>
      <c r="B1833" s="5"/>
      <c r="F1833" s="5"/>
    </row>
    <row r="1834">
      <c r="A1834" s="5"/>
      <c r="B1834" s="5"/>
      <c r="F1834" s="5"/>
    </row>
    <row r="1835">
      <c r="A1835" s="5"/>
      <c r="B1835" s="5"/>
      <c r="F1835" s="5"/>
    </row>
    <row r="1836">
      <c r="A1836" s="5"/>
      <c r="B1836" s="5"/>
      <c r="F1836" s="5"/>
    </row>
    <row r="1837">
      <c r="A1837" s="5"/>
      <c r="B1837" s="5"/>
      <c r="F1837" s="5"/>
    </row>
    <row r="1838">
      <c r="A1838" s="5"/>
      <c r="B1838" s="5"/>
      <c r="F1838" s="5"/>
    </row>
    <row r="1839">
      <c r="A1839" s="5"/>
      <c r="B1839" s="5"/>
      <c r="F1839" s="5"/>
    </row>
    <row r="1840">
      <c r="A1840" s="5"/>
      <c r="B1840" s="5"/>
      <c r="F1840" s="5"/>
    </row>
    <row r="1841">
      <c r="A1841" s="5"/>
      <c r="B1841" s="5"/>
      <c r="F1841" s="5"/>
    </row>
    <row r="1842">
      <c r="A1842" s="5"/>
      <c r="B1842" s="5"/>
      <c r="F1842" s="5"/>
    </row>
    <row r="1843">
      <c r="A1843" s="5"/>
      <c r="B1843" s="5"/>
      <c r="F1843" s="5"/>
    </row>
    <row r="1844">
      <c r="A1844" s="5"/>
      <c r="B1844" s="5"/>
      <c r="F1844" s="5"/>
    </row>
    <row r="1845">
      <c r="A1845" s="5"/>
      <c r="B1845" s="5"/>
      <c r="F1845" s="5"/>
    </row>
    <row r="1846">
      <c r="A1846" s="5"/>
      <c r="B1846" s="5"/>
      <c r="F1846" s="5"/>
    </row>
    <row r="1847">
      <c r="A1847" s="5"/>
      <c r="B1847" s="5"/>
      <c r="F1847" s="5"/>
    </row>
    <row r="1848">
      <c r="A1848" s="5"/>
      <c r="B1848" s="5"/>
      <c r="F1848" s="5"/>
    </row>
    <row r="1849">
      <c r="A1849" s="5"/>
      <c r="B1849" s="5"/>
      <c r="F1849" s="5"/>
    </row>
    <row r="1850">
      <c r="A1850" s="5"/>
      <c r="B1850" s="5"/>
      <c r="F1850" s="5"/>
    </row>
    <row r="1851">
      <c r="A1851" s="5"/>
      <c r="B1851" s="5"/>
      <c r="F1851" s="5"/>
    </row>
    <row r="1852">
      <c r="A1852" s="5"/>
      <c r="B1852" s="5"/>
      <c r="F1852" s="5"/>
    </row>
    <row r="1853">
      <c r="A1853" s="5"/>
      <c r="B1853" s="5"/>
      <c r="F1853" s="5"/>
    </row>
    <row r="1854">
      <c r="A1854" s="5"/>
      <c r="B1854" s="5"/>
      <c r="F1854" s="5"/>
    </row>
    <row r="1855">
      <c r="A1855" s="5"/>
      <c r="B1855" s="5"/>
      <c r="F1855" s="5"/>
    </row>
    <row r="1856">
      <c r="A1856" s="5"/>
      <c r="B1856" s="5"/>
      <c r="F1856" s="5"/>
    </row>
    <row r="1857">
      <c r="A1857" s="5"/>
      <c r="B1857" s="5"/>
      <c r="F1857" s="5"/>
    </row>
    <row r="1858">
      <c r="A1858" s="5"/>
      <c r="B1858" s="5"/>
      <c r="F1858" s="5"/>
    </row>
    <row r="1859">
      <c r="A1859" s="5"/>
      <c r="B1859" s="5"/>
      <c r="F1859" s="5"/>
    </row>
    <row r="1860">
      <c r="A1860" s="5"/>
      <c r="B1860" s="5"/>
      <c r="F1860" s="5"/>
    </row>
    <row r="1861">
      <c r="A1861" s="5"/>
      <c r="B1861" s="5"/>
      <c r="F1861" s="5"/>
    </row>
    <row r="1862">
      <c r="A1862" s="5"/>
      <c r="B1862" s="5"/>
      <c r="F1862" s="5"/>
    </row>
    <row r="1863">
      <c r="A1863" s="5"/>
      <c r="B1863" s="5"/>
      <c r="F1863" s="5"/>
    </row>
    <row r="1864">
      <c r="A1864" s="5"/>
      <c r="B1864" s="5"/>
      <c r="F1864" s="5"/>
    </row>
    <row r="1865">
      <c r="A1865" s="5"/>
      <c r="B1865" s="5"/>
      <c r="F1865" s="5"/>
    </row>
    <row r="1866">
      <c r="A1866" s="5"/>
      <c r="B1866" s="5"/>
      <c r="F1866" s="5"/>
    </row>
    <row r="1867">
      <c r="A1867" s="5"/>
      <c r="B1867" s="5"/>
      <c r="F1867" s="5"/>
    </row>
    <row r="1868">
      <c r="A1868" s="5"/>
      <c r="B1868" s="5"/>
      <c r="F1868" s="5"/>
    </row>
    <row r="1869">
      <c r="A1869" s="5"/>
      <c r="B1869" s="5"/>
      <c r="F1869" s="5"/>
    </row>
    <row r="1870">
      <c r="A1870" s="5"/>
      <c r="B1870" s="5"/>
      <c r="F1870" s="5"/>
    </row>
    <row r="1871">
      <c r="A1871" s="5"/>
      <c r="B1871" s="5"/>
      <c r="F1871" s="5"/>
    </row>
    <row r="1872">
      <c r="A1872" s="5"/>
      <c r="B1872" s="5"/>
      <c r="F1872" s="5"/>
    </row>
    <row r="1873">
      <c r="A1873" s="5"/>
      <c r="B1873" s="5"/>
      <c r="F1873" s="5"/>
    </row>
    <row r="1874">
      <c r="A1874" s="5"/>
      <c r="B1874" s="5"/>
      <c r="F1874" s="5"/>
    </row>
    <row r="1875">
      <c r="A1875" s="5"/>
      <c r="B1875" s="5"/>
      <c r="F1875" s="5"/>
    </row>
    <row r="1876">
      <c r="A1876" s="5"/>
      <c r="B1876" s="5"/>
      <c r="F1876" s="5"/>
    </row>
    <row r="1877">
      <c r="A1877" s="5"/>
      <c r="B1877" s="5"/>
      <c r="F1877" s="5"/>
    </row>
    <row r="1878">
      <c r="A1878" s="5"/>
      <c r="B1878" s="5"/>
      <c r="F1878" s="5"/>
    </row>
    <row r="1879">
      <c r="A1879" s="5"/>
      <c r="B1879" s="5"/>
      <c r="F1879" s="5"/>
    </row>
    <row r="1880">
      <c r="A1880" s="5"/>
      <c r="B1880" s="5"/>
      <c r="F1880" s="5"/>
    </row>
    <row r="1881">
      <c r="A1881" s="5"/>
      <c r="B1881" s="5"/>
      <c r="F1881" s="5"/>
    </row>
    <row r="1882">
      <c r="A1882" s="5"/>
      <c r="B1882" s="5"/>
      <c r="F1882" s="5"/>
    </row>
    <row r="1883">
      <c r="A1883" s="5"/>
      <c r="B1883" s="5"/>
      <c r="F1883" s="5"/>
    </row>
    <row r="1884">
      <c r="A1884" s="5"/>
      <c r="B1884" s="5"/>
      <c r="F1884" s="5"/>
    </row>
    <row r="1885">
      <c r="A1885" s="5"/>
      <c r="B1885" s="5"/>
      <c r="F1885" s="5"/>
    </row>
    <row r="1886">
      <c r="A1886" s="5"/>
      <c r="B1886" s="5"/>
      <c r="F1886" s="5"/>
    </row>
    <row r="1887">
      <c r="A1887" s="5"/>
      <c r="B1887" s="5"/>
      <c r="F1887" s="5"/>
    </row>
    <row r="1888">
      <c r="A1888" s="5"/>
      <c r="B1888" s="5"/>
      <c r="F1888" s="5"/>
    </row>
    <row r="1889">
      <c r="A1889" s="5"/>
      <c r="B1889" s="5"/>
      <c r="F1889" s="5"/>
    </row>
    <row r="1890">
      <c r="A1890" s="5"/>
      <c r="B1890" s="5"/>
      <c r="F1890" s="5"/>
    </row>
    <row r="1891">
      <c r="A1891" s="5"/>
      <c r="B1891" s="5"/>
      <c r="F1891" s="5"/>
    </row>
    <row r="1892">
      <c r="A1892" s="5"/>
      <c r="B1892" s="5"/>
      <c r="F1892" s="5"/>
    </row>
    <row r="1893">
      <c r="A1893" s="5"/>
      <c r="B1893" s="5"/>
      <c r="F1893" s="5"/>
    </row>
    <row r="1894">
      <c r="A1894" s="5"/>
      <c r="B1894" s="5"/>
      <c r="F1894" s="5"/>
    </row>
    <row r="1895">
      <c r="A1895" s="5"/>
      <c r="B1895" s="5"/>
      <c r="F1895" s="5"/>
    </row>
    <row r="1896">
      <c r="A1896" s="5"/>
      <c r="B1896" s="5"/>
      <c r="F1896" s="5"/>
    </row>
    <row r="1897">
      <c r="A1897" s="5"/>
      <c r="B1897" s="5"/>
      <c r="F1897" s="5"/>
    </row>
    <row r="1898">
      <c r="A1898" s="5"/>
      <c r="B1898" s="5"/>
      <c r="F1898" s="5"/>
    </row>
    <row r="1899">
      <c r="A1899" s="5"/>
      <c r="B1899" s="5"/>
      <c r="F1899" s="5"/>
    </row>
    <row r="1900">
      <c r="A1900" s="5"/>
      <c r="B1900" s="5"/>
      <c r="F1900" s="5"/>
    </row>
    <row r="1901">
      <c r="A1901" s="5"/>
      <c r="B1901" s="5"/>
      <c r="F1901" s="5"/>
    </row>
    <row r="1902">
      <c r="A1902" s="5"/>
      <c r="B1902" s="5"/>
      <c r="F1902" s="5"/>
    </row>
    <row r="1903">
      <c r="A1903" s="5"/>
      <c r="B1903" s="5"/>
      <c r="F1903" s="5"/>
    </row>
    <row r="1904">
      <c r="A1904" s="5"/>
      <c r="B1904" s="5"/>
      <c r="F1904" s="5"/>
    </row>
    <row r="1905">
      <c r="A1905" s="5"/>
      <c r="B1905" s="5"/>
      <c r="F1905" s="5"/>
    </row>
    <row r="1906">
      <c r="A1906" s="5"/>
      <c r="B1906" s="5"/>
      <c r="F1906" s="5"/>
    </row>
    <row r="1907">
      <c r="A1907" s="5"/>
      <c r="B1907" s="5"/>
      <c r="F1907" s="5"/>
    </row>
    <row r="1908">
      <c r="A1908" s="5"/>
      <c r="B1908" s="5"/>
      <c r="F1908" s="5"/>
    </row>
    <row r="1909">
      <c r="A1909" s="5"/>
      <c r="B1909" s="5"/>
      <c r="F1909" s="5"/>
    </row>
    <row r="1910">
      <c r="A1910" s="5"/>
      <c r="B1910" s="5"/>
      <c r="F1910" s="5"/>
    </row>
    <row r="1911">
      <c r="A1911" s="5"/>
      <c r="B1911" s="5"/>
      <c r="F1911" s="5"/>
    </row>
    <row r="1912">
      <c r="A1912" s="5"/>
      <c r="B1912" s="5"/>
      <c r="F1912" s="5"/>
    </row>
    <row r="1913">
      <c r="A1913" s="5"/>
      <c r="B1913" s="5"/>
      <c r="F1913" s="5"/>
    </row>
    <row r="1914">
      <c r="A1914" s="5"/>
      <c r="B1914" s="5"/>
      <c r="F1914" s="5"/>
    </row>
    <row r="1915">
      <c r="A1915" s="5"/>
      <c r="B1915" s="5"/>
      <c r="F1915" s="5"/>
    </row>
    <row r="1916">
      <c r="A1916" s="5"/>
      <c r="B1916" s="5"/>
      <c r="F1916" s="5"/>
    </row>
    <row r="1917">
      <c r="A1917" s="5"/>
      <c r="B1917" s="5"/>
      <c r="F1917" s="5"/>
    </row>
    <row r="1918">
      <c r="A1918" s="5"/>
      <c r="B1918" s="5"/>
      <c r="F1918" s="5"/>
    </row>
    <row r="1919">
      <c r="A1919" s="5"/>
      <c r="B1919" s="5"/>
      <c r="F1919" s="5"/>
    </row>
    <row r="1920">
      <c r="A1920" s="5"/>
      <c r="B1920" s="5"/>
      <c r="F1920" s="5"/>
    </row>
    <row r="1921">
      <c r="A1921" s="5"/>
      <c r="B1921" s="5"/>
      <c r="F1921" s="5"/>
    </row>
    <row r="1922">
      <c r="A1922" s="5"/>
      <c r="B1922" s="5"/>
      <c r="F1922" s="5"/>
    </row>
    <row r="1923">
      <c r="A1923" s="5"/>
      <c r="B1923" s="5"/>
      <c r="F1923" s="5"/>
    </row>
    <row r="1924">
      <c r="A1924" s="5"/>
      <c r="B1924" s="5"/>
      <c r="F1924" s="5"/>
    </row>
    <row r="1925">
      <c r="A1925" s="5"/>
      <c r="B1925" s="5"/>
      <c r="F1925" s="5"/>
    </row>
    <row r="1926">
      <c r="A1926" s="5"/>
      <c r="B1926" s="5"/>
      <c r="F1926" s="5"/>
    </row>
    <row r="1927">
      <c r="A1927" s="5"/>
      <c r="B1927" s="5"/>
      <c r="F1927" s="5"/>
    </row>
    <row r="1928">
      <c r="A1928" s="5"/>
      <c r="B1928" s="5"/>
      <c r="F1928" s="5"/>
    </row>
    <row r="1929">
      <c r="A1929" s="5"/>
      <c r="B1929" s="5"/>
      <c r="F1929" s="5"/>
    </row>
    <row r="1930">
      <c r="A1930" s="5"/>
      <c r="B1930" s="5"/>
      <c r="F1930" s="5"/>
    </row>
    <row r="1931">
      <c r="A1931" s="5"/>
      <c r="B1931" s="5"/>
      <c r="F1931" s="5"/>
    </row>
    <row r="1932">
      <c r="A1932" s="5"/>
      <c r="B1932" s="5"/>
      <c r="F1932" s="5"/>
    </row>
    <row r="1933">
      <c r="A1933" s="5"/>
      <c r="B1933" s="5"/>
      <c r="F1933" s="5"/>
    </row>
    <row r="1934">
      <c r="A1934" s="5"/>
      <c r="B1934" s="5"/>
      <c r="F1934" s="5"/>
    </row>
    <row r="1935">
      <c r="A1935" s="5"/>
      <c r="B1935" s="5"/>
      <c r="F1935" s="5"/>
    </row>
    <row r="1936">
      <c r="A1936" s="5"/>
      <c r="B1936" s="5"/>
      <c r="F1936" s="5"/>
    </row>
    <row r="1937">
      <c r="A1937" s="5"/>
      <c r="B1937" s="5"/>
      <c r="F1937" s="5"/>
    </row>
    <row r="1938">
      <c r="A1938" s="5"/>
      <c r="B1938" s="5"/>
      <c r="F1938" s="5"/>
    </row>
    <row r="1939">
      <c r="A1939" s="5"/>
      <c r="B1939" s="5"/>
      <c r="F1939" s="5"/>
    </row>
    <row r="1940">
      <c r="A1940" s="5"/>
      <c r="B1940" s="5"/>
      <c r="F1940" s="5"/>
    </row>
    <row r="1941">
      <c r="A1941" s="5"/>
      <c r="B1941" s="5"/>
      <c r="F1941" s="5"/>
    </row>
    <row r="1942">
      <c r="A1942" s="5"/>
      <c r="B1942" s="5"/>
      <c r="F1942" s="5"/>
    </row>
    <row r="1943">
      <c r="A1943" s="5"/>
      <c r="B1943" s="5"/>
      <c r="F1943" s="5"/>
    </row>
    <row r="1944">
      <c r="A1944" s="5"/>
      <c r="B1944" s="5"/>
      <c r="F1944" s="5"/>
    </row>
    <row r="1945">
      <c r="A1945" s="5"/>
      <c r="B1945" s="5"/>
      <c r="F1945" s="5"/>
    </row>
    <row r="1946">
      <c r="A1946" s="5"/>
      <c r="B1946" s="5"/>
      <c r="F1946" s="5"/>
    </row>
    <row r="1947">
      <c r="A1947" s="5"/>
      <c r="B1947" s="5"/>
      <c r="F1947" s="5"/>
    </row>
    <row r="1948">
      <c r="A1948" s="5"/>
      <c r="B1948" s="5"/>
      <c r="F1948" s="5"/>
    </row>
    <row r="1949">
      <c r="A1949" s="5"/>
      <c r="B1949" s="5"/>
      <c r="F1949" s="5"/>
    </row>
    <row r="1950">
      <c r="A1950" s="5"/>
      <c r="B1950" s="5"/>
      <c r="F1950" s="5"/>
    </row>
    <row r="1951">
      <c r="A1951" s="5"/>
      <c r="B1951" s="5"/>
      <c r="F1951" s="5"/>
    </row>
    <row r="1952">
      <c r="A1952" s="5"/>
      <c r="B1952" s="5"/>
      <c r="F1952" s="5"/>
    </row>
    <row r="1953">
      <c r="A1953" s="5"/>
      <c r="B1953" s="5"/>
      <c r="F1953" s="5"/>
    </row>
    <row r="1954">
      <c r="A1954" s="5"/>
      <c r="B1954" s="5"/>
      <c r="F1954" s="5"/>
    </row>
    <row r="1955">
      <c r="A1955" s="5"/>
      <c r="B1955" s="5"/>
      <c r="F1955" s="5"/>
    </row>
    <row r="1956">
      <c r="A1956" s="5"/>
      <c r="B1956" s="5"/>
      <c r="F1956" s="5"/>
    </row>
    <row r="1957">
      <c r="A1957" s="5"/>
      <c r="B1957" s="5"/>
      <c r="F1957" s="5"/>
    </row>
    <row r="1958">
      <c r="A1958" s="5"/>
      <c r="B1958" s="5"/>
      <c r="F1958" s="5"/>
    </row>
    <row r="1959">
      <c r="A1959" s="5"/>
      <c r="B1959" s="5"/>
      <c r="F1959" s="5"/>
    </row>
    <row r="1960">
      <c r="A1960" s="5"/>
      <c r="B1960" s="5"/>
      <c r="F1960" s="5"/>
    </row>
    <row r="1961">
      <c r="A1961" s="5"/>
      <c r="B1961" s="5"/>
      <c r="F1961" s="5"/>
    </row>
    <row r="1962">
      <c r="A1962" s="5"/>
      <c r="B1962" s="5"/>
      <c r="F1962" s="5"/>
    </row>
    <row r="1963">
      <c r="A1963" s="5"/>
      <c r="B1963" s="5"/>
      <c r="F1963" s="5"/>
    </row>
    <row r="1964">
      <c r="A1964" s="5"/>
      <c r="B1964" s="5"/>
      <c r="F1964" s="5"/>
    </row>
    <row r="1965">
      <c r="A1965" s="5"/>
      <c r="B1965" s="5"/>
      <c r="F1965" s="5"/>
    </row>
    <row r="1966">
      <c r="A1966" s="5"/>
      <c r="B1966" s="5"/>
      <c r="F1966" s="5"/>
    </row>
    <row r="1967">
      <c r="A1967" s="5"/>
      <c r="B1967" s="5"/>
      <c r="F1967" s="5"/>
    </row>
    <row r="1968">
      <c r="A1968" s="5"/>
      <c r="B1968" s="5"/>
      <c r="F1968" s="5"/>
    </row>
    <row r="1969">
      <c r="A1969" s="5"/>
      <c r="B1969" s="5"/>
      <c r="F1969" s="5"/>
    </row>
    <row r="1970">
      <c r="A1970" s="5"/>
      <c r="B1970" s="5"/>
      <c r="F1970" s="5"/>
    </row>
    <row r="1971">
      <c r="A1971" s="5"/>
      <c r="B1971" s="5"/>
      <c r="F1971" s="5"/>
    </row>
    <row r="1972">
      <c r="A1972" s="5"/>
      <c r="B1972" s="5"/>
      <c r="F1972" s="5"/>
    </row>
    <row r="1973">
      <c r="A1973" s="5"/>
      <c r="B1973" s="5"/>
      <c r="F1973" s="5"/>
    </row>
    <row r="1974">
      <c r="A1974" s="5"/>
      <c r="B1974" s="5"/>
      <c r="F1974" s="5"/>
    </row>
    <row r="1975">
      <c r="A1975" s="5"/>
      <c r="B1975" s="5"/>
      <c r="F1975" s="5"/>
    </row>
    <row r="1976">
      <c r="A1976" s="5"/>
      <c r="B1976" s="5"/>
      <c r="F1976" s="5"/>
    </row>
    <row r="1977">
      <c r="A1977" s="5"/>
      <c r="B1977" s="5"/>
      <c r="F1977" s="5"/>
    </row>
    <row r="1978">
      <c r="A1978" s="5"/>
      <c r="B1978" s="5"/>
      <c r="F1978" s="5"/>
    </row>
    <row r="1979">
      <c r="A1979" s="5"/>
      <c r="B1979" s="5"/>
      <c r="F1979" s="5"/>
    </row>
    <row r="1980">
      <c r="A1980" s="5"/>
      <c r="B1980" s="5"/>
      <c r="F1980" s="5"/>
    </row>
    <row r="1981">
      <c r="A1981" s="5"/>
      <c r="B1981" s="5"/>
      <c r="F1981" s="5"/>
    </row>
    <row r="1982">
      <c r="A1982" s="5"/>
      <c r="B1982" s="5"/>
      <c r="F1982" s="5"/>
    </row>
    <row r="1983">
      <c r="A1983" s="5"/>
      <c r="B1983" s="5"/>
      <c r="F1983" s="5"/>
    </row>
    <row r="1984">
      <c r="A1984" s="5"/>
      <c r="B1984" s="5"/>
      <c r="F1984" s="5"/>
    </row>
    <row r="1985">
      <c r="A1985" s="5"/>
      <c r="B1985" s="5"/>
      <c r="F1985" s="5"/>
    </row>
    <row r="1986">
      <c r="A1986" s="5"/>
      <c r="B1986" s="5"/>
      <c r="F1986" s="5"/>
    </row>
    <row r="1987">
      <c r="A1987" s="5"/>
      <c r="B1987" s="5"/>
      <c r="F1987" s="5"/>
    </row>
    <row r="1988">
      <c r="A1988" s="5"/>
      <c r="B1988" s="5"/>
      <c r="F1988" s="5"/>
    </row>
    <row r="1989">
      <c r="A1989" s="5"/>
      <c r="B1989" s="5"/>
      <c r="F1989" s="5"/>
    </row>
    <row r="1990">
      <c r="A1990" s="5"/>
      <c r="B1990" s="5"/>
      <c r="F1990" s="5"/>
    </row>
    <row r="1991">
      <c r="A1991" s="5"/>
      <c r="B1991" s="5"/>
      <c r="F1991" s="5"/>
    </row>
    <row r="1992">
      <c r="A1992" s="5"/>
      <c r="B1992" s="5"/>
      <c r="F1992" s="5"/>
    </row>
    <row r="1993">
      <c r="A1993" s="5"/>
      <c r="B1993" s="5"/>
      <c r="F1993" s="5"/>
    </row>
    <row r="1994">
      <c r="A1994" s="5"/>
      <c r="B1994" s="5"/>
      <c r="F1994" s="5"/>
    </row>
    <row r="1995">
      <c r="A1995" s="5"/>
      <c r="B1995" s="5"/>
      <c r="F1995" s="5"/>
    </row>
    <row r="1996">
      <c r="A1996" s="5"/>
      <c r="B1996" s="5"/>
      <c r="F1996" s="5"/>
    </row>
    <row r="1997">
      <c r="A1997" s="5"/>
      <c r="B1997" s="5"/>
      <c r="F1997" s="5"/>
    </row>
    <row r="1998">
      <c r="A1998" s="5"/>
      <c r="B1998" s="5"/>
      <c r="F1998" s="5"/>
    </row>
    <row r="1999">
      <c r="A1999" s="5"/>
      <c r="B1999" s="5"/>
      <c r="F1999" s="5"/>
    </row>
    <row r="2000">
      <c r="A2000" s="5"/>
      <c r="B2000" s="5"/>
      <c r="F2000" s="5"/>
    </row>
    <row r="2001">
      <c r="A2001" s="5"/>
      <c r="B2001" s="5"/>
      <c r="F2001" s="5"/>
    </row>
    <row r="2002">
      <c r="A2002" s="5"/>
      <c r="B2002" s="5"/>
      <c r="F2002" s="5"/>
    </row>
    <row r="2003">
      <c r="A2003" s="5"/>
      <c r="B2003" s="5"/>
      <c r="F2003" s="5"/>
    </row>
    <row r="2004">
      <c r="A2004" s="5"/>
      <c r="B2004" s="5"/>
      <c r="F2004" s="5"/>
    </row>
    <row r="2005">
      <c r="A2005" s="5"/>
      <c r="B2005" s="5"/>
      <c r="F2005" s="5"/>
    </row>
    <row r="2006">
      <c r="A2006" s="5"/>
      <c r="B2006" s="5"/>
      <c r="F2006" s="5"/>
    </row>
    <row r="2007">
      <c r="A2007" s="5"/>
      <c r="B2007" s="5"/>
      <c r="F2007" s="5"/>
    </row>
    <row r="2008">
      <c r="A2008" s="5"/>
      <c r="B2008" s="5"/>
      <c r="F2008" s="5"/>
    </row>
    <row r="2009">
      <c r="A2009" s="5"/>
      <c r="B2009" s="5"/>
      <c r="F2009" s="5"/>
    </row>
    <row r="2010">
      <c r="A2010" s="5"/>
      <c r="B2010" s="5"/>
      <c r="F2010" s="5"/>
    </row>
    <row r="2011">
      <c r="A2011" s="5"/>
      <c r="B2011" s="5"/>
      <c r="F2011" s="5"/>
    </row>
    <row r="2012">
      <c r="A2012" s="5"/>
      <c r="B2012" s="5"/>
      <c r="F2012" s="5"/>
    </row>
    <row r="2013">
      <c r="A2013" s="5"/>
      <c r="B2013" s="5"/>
      <c r="F2013" s="5"/>
    </row>
    <row r="2014">
      <c r="A2014" s="5"/>
      <c r="B2014" s="5"/>
      <c r="F2014" s="5"/>
    </row>
    <row r="2015">
      <c r="A2015" s="5"/>
      <c r="B2015" s="5"/>
      <c r="F2015" s="5"/>
    </row>
    <row r="2016">
      <c r="A2016" s="5"/>
      <c r="B2016" s="5"/>
      <c r="F2016" s="5"/>
    </row>
    <row r="2017">
      <c r="A2017" s="5"/>
      <c r="B2017" s="5"/>
      <c r="F2017" s="5"/>
    </row>
    <row r="2018">
      <c r="A2018" s="5"/>
      <c r="B2018" s="5"/>
      <c r="F2018" s="5"/>
    </row>
    <row r="2019">
      <c r="A2019" s="5"/>
      <c r="B2019" s="5"/>
      <c r="F2019" s="5"/>
    </row>
    <row r="2020">
      <c r="A2020" s="5"/>
      <c r="B2020" s="5"/>
      <c r="F2020" s="5"/>
    </row>
    <row r="2021">
      <c r="A2021" s="5"/>
      <c r="B2021" s="5"/>
      <c r="F2021" s="5"/>
    </row>
    <row r="2022">
      <c r="A2022" s="5"/>
      <c r="B2022" s="5"/>
      <c r="F2022" s="5"/>
    </row>
    <row r="2023">
      <c r="A2023" s="5"/>
      <c r="B2023" s="5"/>
      <c r="F2023" s="5"/>
    </row>
    <row r="2024">
      <c r="A2024" s="5"/>
      <c r="B2024" s="5"/>
      <c r="F2024" s="5"/>
    </row>
    <row r="2025">
      <c r="A2025" s="5"/>
      <c r="B2025" s="5"/>
      <c r="F2025" s="5"/>
    </row>
    <row r="2026">
      <c r="A2026" s="5"/>
      <c r="B2026" s="5"/>
      <c r="F2026" s="5"/>
    </row>
    <row r="2027">
      <c r="A2027" s="5"/>
      <c r="B2027" s="5"/>
      <c r="F2027" s="5"/>
    </row>
    <row r="2028">
      <c r="A2028" s="5"/>
      <c r="B2028" s="5"/>
      <c r="F2028" s="5"/>
    </row>
    <row r="2029">
      <c r="A2029" s="5"/>
      <c r="B2029" s="5"/>
      <c r="F2029" s="5"/>
    </row>
    <row r="2030">
      <c r="A2030" s="5"/>
      <c r="B2030" s="5"/>
      <c r="F2030" s="5"/>
    </row>
    <row r="2031">
      <c r="A2031" s="5"/>
      <c r="B2031" s="5"/>
      <c r="F2031" s="5"/>
    </row>
    <row r="2032">
      <c r="A2032" s="5"/>
      <c r="B2032" s="5"/>
      <c r="F2032" s="5"/>
    </row>
    <row r="2033">
      <c r="A2033" s="5"/>
      <c r="B2033" s="5"/>
      <c r="F2033" s="5"/>
    </row>
    <row r="2034">
      <c r="A2034" s="5"/>
      <c r="B2034" s="5"/>
      <c r="F2034" s="5"/>
    </row>
    <row r="2035">
      <c r="A2035" s="5"/>
      <c r="B2035" s="5"/>
      <c r="F2035" s="5"/>
    </row>
    <row r="2036">
      <c r="A2036" s="5"/>
      <c r="B2036" s="5"/>
      <c r="F2036" s="5"/>
    </row>
    <row r="2037">
      <c r="A2037" s="5"/>
      <c r="B2037" s="5"/>
      <c r="F2037" s="5"/>
    </row>
    <row r="2038">
      <c r="A2038" s="5"/>
      <c r="B2038" s="5"/>
      <c r="F2038" s="5"/>
    </row>
    <row r="2039">
      <c r="A2039" s="5"/>
      <c r="B2039" s="5"/>
      <c r="F2039" s="5"/>
    </row>
    <row r="2040">
      <c r="A2040" s="5"/>
      <c r="B2040" s="5"/>
      <c r="F2040" s="5"/>
    </row>
    <row r="2041">
      <c r="A2041" s="5"/>
      <c r="B2041" s="5"/>
      <c r="F2041" s="5"/>
    </row>
    <row r="2042">
      <c r="A2042" s="5"/>
      <c r="B2042" s="5"/>
      <c r="F2042" s="5"/>
    </row>
    <row r="2043">
      <c r="A2043" s="5"/>
      <c r="B2043" s="5"/>
      <c r="F2043" s="5"/>
    </row>
    <row r="2044">
      <c r="A2044" s="5"/>
      <c r="B2044" s="5"/>
      <c r="F2044" s="5"/>
    </row>
    <row r="2045">
      <c r="A2045" s="5"/>
      <c r="B2045" s="5"/>
      <c r="F2045" s="5"/>
    </row>
    <row r="2046">
      <c r="A2046" s="5"/>
      <c r="B2046" s="5"/>
      <c r="F2046" s="5"/>
    </row>
    <row r="2047">
      <c r="A2047" s="5"/>
      <c r="B2047" s="5"/>
      <c r="F2047" s="5"/>
    </row>
    <row r="2048">
      <c r="A2048" s="5"/>
      <c r="B2048" s="5"/>
      <c r="F2048" s="5"/>
    </row>
    <row r="2049">
      <c r="A2049" s="5"/>
      <c r="B2049" s="5"/>
      <c r="F2049" s="5"/>
    </row>
    <row r="2050">
      <c r="A2050" s="5"/>
      <c r="B2050" s="5"/>
      <c r="F2050" s="5"/>
    </row>
    <row r="2051">
      <c r="A2051" s="5"/>
      <c r="B2051" s="5"/>
      <c r="F2051" s="5"/>
    </row>
    <row r="2052">
      <c r="A2052" s="5"/>
      <c r="B2052" s="5"/>
      <c r="F2052" s="5"/>
    </row>
    <row r="2053">
      <c r="A2053" s="5"/>
      <c r="B2053" s="5"/>
      <c r="F2053" s="5"/>
    </row>
    <row r="2054">
      <c r="A2054" s="5"/>
      <c r="B2054" s="5"/>
      <c r="F2054" s="5"/>
    </row>
    <row r="2055">
      <c r="A2055" s="5"/>
      <c r="B2055" s="5"/>
      <c r="F2055" s="5"/>
    </row>
    <row r="2056">
      <c r="A2056" s="5"/>
      <c r="B2056" s="5"/>
      <c r="F2056" s="5"/>
    </row>
    <row r="2057">
      <c r="A2057" s="5"/>
      <c r="B2057" s="5"/>
      <c r="F2057" s="5"/>
    </row>
    <row r="2058">
      <c r="A2058" s="5"/>
      <c r="B2058" s="5"/>
      <c r="F2058" s="5"/>
    </row>
    <row r="2059">
      <c r="A2059" s="5"/>
      <c r="B2059" s="5"/>
      <c r="F2059" s="5"/>
    </row>
    <row r="2060">
      <c r="A2060" s="5"/>
      <c r="B2060" s="5"/>
      <c r="F2060" s="5"/>
    </row>
    <row r="2061">
      <c r="A2061" s="5"/>
      <c r="B2061" s="5"/>
      <c r="F2061" s="5"/>
    </row>
    <row r="2062">
      <c r="A2062" s="5"/>
      <c r="B2062" s="5"/>
      <c r="F2062" s="5"/>
    </row>
    <row r="2063">
      <c r="A2063" s="5"/>
      <c r="B2063" s="5"/>
      <c r="F2063" s="5"/>
    </row>
    <row r="2064">
      <c r="A2064" s="5"/>
      <c r="B2064" s="5"/>
      <c r="F2064" s="5"/>
    </row>
    <row r="2065">
      <c r="A2065" s="5"/>
      <c r="B2065" s="5"/>
      <c r="F2065" s="5"/>
    </row>
    <row r="2066">
      <c r="A2066" s="5"/>
      <c r="B2066" s="5"/>
      <c r="F2066" s="5"/>
    </row>
    <row r="2067">
      <c r="A2067" s="5"/>
      <c r="B2067" s="5"/>
      <c r="F2067" s="5"/>
    </row>
    <row r="2068">
      <c r="A2068" s="5"/>
      <c r="B2068" s="5"/>
      <c r="F2068" s="5"/>
    </row>
    <row r="2069">
      <c r="A2069" s="5"/>
      <c r="B2069" s="5"/>
      <c r="F2069" s="5"/>
    </row>
    <row r="2070">
      <c r="A2070" s="5"/>
      <c r="B2070" s="5"/>
      <c r="F2070" s="5"/>
    </row>
    <row r="2071">
      <c r="A2071" s="5"/>
      <c r="B2071" s="5"/>
      <c r="F2071" s="5"/>
    </row>
    <row r="2072">
      <c r="A2072" s="5"/>
      <c r="B2072" s="5"/>
      <c r="F2072" s="5"/>
    </row>
    <row r="2073">
      <c r="A2073" s="5"/>
      <c r="B2073" s="5"/>
      <c r="F2073" s="5"/>
    </row>
    <row r="2074">
      <c r="A2074" s="5"/>
      <c r="B2074" s="5"/>
      <c r="F2074" s="5"/>
    </row>
    <row r="2075">
      <c r="A2075" s="5"/>
      <c r="B2075" s="5"/>
      <c r="F2075" s="5"/>
    </row>
    <row r="2076">
      <c r="A2076" s="5"/>
      <c r="B2076" s="5"/>
      <c r="F2076" s="5"/>
    </row>
    <row r="2077">
      <c r="A2077" s="5"/>
      <c r="B2077" s="5"/>
      <c r="F2077" s="5"/>
    </row>
    <row r="2078">
      <c r="A2078" s="5"/>
      <c r="B2078" s="5"/>
      <c r="F2078" s="5"/>
    </row>
    <row r="2079">
      <c r="A2079" s="5"/>
      <c r="B2079" s="5"/>
      <c r="F2079" s="5"/>
    </row>
    <row r="2080">
      <c r="A2080" s="5"/>
      <c r="B2080" s="5"/>
      <c r="F2080" s="5"/>
    </row>
    <row r="2081">
      <c r="A2081" s="5"/>
      <c r="B2081" s="5"/>
      <c r="F2081" s="5"/>
    </row>
    <row r="2082">
      <c r="A2082" s="5"/>
      <c r="B2082" s="5"/>
      <c r="F2082" s="5"/>
    </row>
    <row r="2083">
      <c r="A2083" s="5"/>
      <c r="B2083" s="5"/>
      <c r="F2083" s="5"/>
    </row>
    <row r="2084">
      <c r="A2084" s="5"/>
      <c r="B2084" s="5"/>
      <c r="F2084" s="5"/>
    </row>
    <row r="2085">
      <c r="A2085" s="5"/>
      <c r="B2085" s="5"/>
      <c r="F2085" s="5"/>
    </row>
    <row r="2086">
      <c r="A2086" s="5"/>
      <c r="B2086" s="5"/>
      <c r="F2086" s="5"/>
    </row>
    <row r="2087">
      <c r="A2087" s="5"/>
      <c r="B2087" s="5"/>
      <c r="F2087" s="5"/>
    </row>
    <row r="2088">
      <c r="A2088" s="5"/>
      <c r="B2088" s="5"/>
      <c r="F2088" s="5"/>
    </row>
    <row r="2089">
      <c r="A2089" s="5"/>
      <c r="B2089" s="5"/>
      <c r="F2089" s="5"/>
    </row>
    <row r="2090">
      <c r="A2090" s="5"/>
      <c r="B2090" s="5"/>
      <c r="F2090" s="5"/>
    </row>
    <row r="2091">
      <c r="A2091" s="5"/>
      <c r="B2091" s="5"/>
      <c r="F2091" s="5"/>
    </row>
    <row r="2092">
      <c r="A2092" s="5"/>
      <c r="B2092" s="5"/>
      <c r="F2092" s="5"/>
    </row>
    <row r="2093">
      <c r="A2093" s="5"/>
      <c r="B2093" s="5"/>
      <c r="F2093" s="5"/>
    </row>
    <row r="2094">
      <c r="A2094" s="5"/>
      <c r="B2094" s="5"/>
      <c r="F2094" s="5"/>
    </row>
    <row r="2095">
      <c r="A2095" s="5"/>
      <c r="B2095" s="5"/>
      <c r="F2095" s="5"/>
    </row>
    <row r="2096">
      <c r="A2096" s="5"/>
      <c r="B2096" s="5"/>
      <c r="F2096" s="5"/>
    </row>
    <row r="2097">
      <c r="A2097" s="5"/>
      <c r="B2097" s="5"/>
      <c r="F2097" s="5"/>
    </row>
    <row r="2098">
      <c r="A2098" s="5"/>
      <c r="B2098" s="5"/>
      <c r="F2098" s="5"/>
    </row>
    <row r="2099">
      <c r="A2099" s="5"/>
      <c r="B2099" s="5"/>
      <c r="F2099" s="5"/>
    </row>
    <row r="2100">
      <c r="A2100" s="5"/>
      <c r="B2100" s="5"/>
      <c r="F2100" s="5"/>
    </row>
    <row r="2101">
      <c r="A2101" s="5"/>
      <c r="B2101" s="5"/>
      <c r="F2101" s="5"/>
    </row>
    <row r="2102">
      <c r="A2102" s="5"/>
      <c r="B2102" s="5"/>
      <c r="F2102" s="5"/>
    </row>
    <row r="2103">
      <c r="A2103" s="5"/>
      <c r="B2103" s="5"/>
      <c r="F2103" s="5"/>
    </row>
    <row r="2104">
      <c r="A2104" s="5"/>
      <c r="B2104" s="5"/>
      <c r="F2104" s="5"/>
    </row>
  </sheetData>
  <conditionalFormatting sqref="A85:F85">
    <cfRule type="notContainsBlanks" dxfId="0" priority="1">
      <formula>LEN(TRIM(A85))&gt;0</formula>
    </cfRule>
  </conditionalFormatting>
  <hyperlinks>
    <hyperlink r:id="rId1" ref="D8"/>
    <hyperlink r:id="rId2" ref="E33"/>
    <hyperlink r:id="rId3" ref="C57"/>
    <hyperlink r:id="rId4" ref="E57"/>
    <hyperlink r:id="rId5" ref="E76"/>
    <hyperlink r:id="rId6" ref="E80"/>
    <hyperlink r:id="rId7" ref="E82"/>
    <hyperlink r:id="rId8" ref="E83"/>
    <hyperlink r:id="rId9" ref="E84"/>
    <hyperlink r:id="rId10" ref="E89"/>
    <hyperlink r:id="rId11" ref="E92"/>
    <hyperlink r:id="rId12" ref="E94"/>
    <hyperlink r:id="rId13" ref="E110"/>
    <hyperlink r:id="rId14" ref="E112"/>
    <hyperlink r:id="rId15" ref="E114"/>
    <hyperlink r:id="rId16" ref="E131"/>
    <hyperlink r:id="rId17" ref="E163"/>
    <hyperlink r:id="rId18" ref="E165"/>
    <hyperlink r:id="rId19" ref="C167"/>
    <hyperlink r:id="rId20" ref="E181"/>
    <hyperlink r:id="rId21" ref="E223"/>
    <hyperlink r:id="rId22" ref="E228"/>
    <hyperlink r:id="rId23" ref="E326"/>
    <hyperlink r:id="rId24" ref="E348"/>
    <hyperlink r:id="rId25" ref="E406"/>
    <hyperlink r:id="rId26" ref="E462"/>
    <hyperlink r:id="rId27" ref="E529"/>
    <hyperlink r:id="rId28" ref="E565"/>
    <hyperlink r:id="rId29" ref="E715"/>
    <hyperlink r:id="rId30" ref="E799"/>
    <hyperlink r:id="rId31" ref="E988"/>
    <hyperlink r:id="rId32" ref="E1000"/>
    <hyperlink r:id="rId33" ref="E1062"/>
    <hyperlink r:id="rId34" ref="E1066"/>
    <hyperlink r:id="rId35" ref="E1191"/>
    <hyperlink r:id="rId36" ref="E1491"/>
    <hyperlink r:id="rId37" ref="E1492"/>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c r="B1" s="11" t="s">
        <v>1991</v>
      </c>
      <c r="C1" s="12"/>
      <c r="D1" s="11" t="s">
        <v>1994</v>
      </c>
      <c r="E1" s="12"/>
      <c r="F1" s="11" t="s">
        <v>1995</v>
      </c>
    </row>
    <row r="2">
      <c r="A2" s="5" t="s">
        <v>274</v>
      </c>
      <c r="B2" s="6">
        <v>9.306339575E9</v>
      </c>
      <c r="D2" s="5" t="s">
        <v>275</v>
      </c>
      <c r="F2" s="5" t="s">
        <v>276</v>
      </c>
    </row>
    <row r="3">
      <c r="A3" s="5" t="s">
        <v>277</v>
      </c>
      <c r="B3" s="6">
        <v>8.826787393E9</v>
      </c>
      <c r="D3" s="5" t="s">
        <v>275</v>
      </c>
      <c r="F3" s="5" t="s">
        <v>276</v>
      </c>
    </row>
    <row r="4">
      <c r="A4" s="20" t="s">
        <v>278</v>
      </c>
      <c r="B4" s="21">
        <v>9.371039211E9</v>
      </c>
      <c r="C4" s="22"/>
      <c r="D4" s="20" t="s">
        <v>279</v>
      </c>
      <c r="E4" s="22"/>
      <c r="F4" s="20" t="s">
        <v>276</v>
      </c>
    </row>
    <row r="5">
      <c r="A5" s="5" t="s">
        <v>280</v>
      </c>
      <c r="B5" s="6">
        <v>9.893376417E9</v>
      </c>
      <c r="D5" s="5" t="s">
        <v>281</v>
      </c>
      <c r="F5" s="5" t="s">
        <v>276</v>
      </c>
    </row>
    <row r="6">
      <c r="A6" s="5" t="s">
        <v>282</v>
      </c>
      <c r="B6" s="6">
        <v>9.643169967E9</v>
      </c>
      <c r="F6" s="5" t="s">
        <v>276</v>
      </c>
    </row>
    <row r="7">
      <c r="A7" s="5" t="s">
        <v>284</v>
      </c>
      <c r="B7" s="6">
        <v>9.968473124E9</v>
      </c>
      <c r="F7" s="5" t="s">
        <v>276</v>
      </c>
    </row>
    <row r="8">
      <c r="A8" s="5" t="s">
        <v>285</v>
      </c>
      <c r="B8" s="6">
        <v>9.89177124E9</v>
      </c>
      <c r="D8" s="5" t="s">
        <v>286</v>
      </c>
      <c r="F8" s="5" t="s">
        <v>276</v>
      </c>
    </row>
    <row r="9">
      <c r="A9" s="5" t="s">
        <v>287</v>
      </c>
      <c r="B9" s="6">
        <v>9.75556176E9</v>
      </c>
      <c r="D9" s="5" t="s">
        <v>288</v>
      </c>
      <c r="F9" s="5" t="s">
        <v>289</v>
      </c>
    </row>
    <row r="10">
      <c r="A10" s="5" t="s">
        <v>290</v>
      </c>
      <c r="B10" s="6">
        <v>9.810725225E9</v>
      </c>
      <c r="F10" s="5" t="s">
        <v>289</v>
      </c>
    </row>
    <row r="11">
      <c r="A11" s="5" t="s">
        <v>291</v>
      </c>
      <c r="B11" s="6">
        <v>9.811959422E9</v>
      </c>
      <c r="D11" s="5" t="s">
        <v>292</v>
      </c>
      <c r="F11" s="5" t="s">
        <v>289</v>
      </c>
    </row>
    <row r="12">
      <c r="A12" s="5" t="s">
        <v>293</v>
      </c>
      <c r="B12" s="6">
        <v>9.999008388E9</v>
      </c>
      <c r="D12" s="5" t="s">
        <v>294</v>
      </c>
      <c r="F12" s="5" t="s">
        <v>289</v>
      </c>
    </row>
    <row r="13">
      <c r="A13" s="5" t="s">
        <v>295</v>
      </c>
      <c r="B13" s="6">
        <v>8.077754287E9</v>
      </c>
      <c r="D13" s="5" t="s">
        <v>286</v>
      </c>
      <c r="F13" s="5" t="s">
        <v>289</v>
      </c>
    </row>
    <row r="14">
      <c r="A14" s="20" t="s">
        <v>296</v>
      </c>
      <c r="B14" s="21">
        <v>8.588819515E9</v>
      </c>
      <c r="C14" s="22"/>
      <c r="D14" s="20" t="s">
        <v>297</v>
      </c>
      <c r="E14" s="22"/>
      <c r="F14" s="20" t="s">
        <v>289</v>
      </c>
    </row>
    <row r="15">
      <c r="A15" s="20" t="s">
        <v>298</v>
      </c>
      <c r="B15" s="21">
        <v>8.076658304E9</v>
      </c>
      <c r="C15" s="22"/>
      <c r="D15" s="20" t="s">
        <v>299</v>
      </c>
      <c r="F15" s="5" t="s">
        <v>289</v>
      </c>
    </row>
    <row r="16">
      <c r="A16" s="20" t="s">
        <v>300</v>
      </c>
      <c r="B16" s="21">
        <v>9.810902904E9</v>
      </c>
      <c r="C16" s="22"/>
      <c r="D16" s="20" t="s">
        <v>301</v>
      </c>
      <c r="F16" s="5" t="s">
        <v>289</v>
      </c>
    </row>
    <row r="17">
      <c r="A17" s="20" t="s">
        <v>304</v>
      </c>
      <c r="B17" s="21">
        <v>9.821543409E9</v>
      </c>
      <c r="C17" s="22"/>
      <c r="D17" s="20" t="s">
        <v>305</v>
      </c>
      <c r="F17" s="5" t="s">
        <v>289</v>
      </c>
    </row>
    <row r="18">
      <c r="A18" s="20" t="s">
        <v>121</v>
      </c>
      <c r="B18" s="21">
        <v>9.646202299E9</v>
      </c>
      <c r="C18" s="22"/>
      <c r="D18" s="20" t="s">
        <v>306</v>
      </c>
      <c r="F18" s="5" t="s">
        <v>289</v>
      </c>
    </row>
    <row r="19">
      <c r="A19" s="20" t="s">
        <v>308</v>
      </c>
      <c r="B19" s="21">
        <v>9.999009647E9</v>
      </c>
      <c r="C19" s="22"/>
      <c r="D19" s="20" t="s">
        <v>286</v>
      </c>
      <c r="F19" s="5" t="s">
        <v>289</v>
      </c>
    </row>
    <row r="20">
      <c r="A20" s="43" t="s">
        <v>309</v>
      </c>
      <c r="B20" s="44">
        <v>9.868145145E9</v>
      </c>
      <c r="C20" s="45"/>
      <c r="D20" s="43" t="s">
        <v>310</v>
      </c>
      <c r="E20" s="45"/>
      <c r="F20" s="43" t="s">
        <v>289</v>
      </c>
      <c r="G20" s="45"/>
    </row>
    <row r="21">
      <c r="A21" s="5" t="s">
        <v>311</v>
      </c>
      <c r="B21" s="21">
        <v>9.958989812E9</v>
      </c>
      <c r="D21" s="5" t="s">
        <v>312</v>
      </c>
      <c r="F21" s="5" t="s">
        <v>289</v>
      </c>
    </row>
    <row r="22">
      <c r="A22" s="5" t="s">
        <v>313</v>
      </c>
      <c r="B22" s="21">
        <v>9.050618274E9</v>
      </c>
      <c r="D22" s="5" t="s">
        <v>314</v>
      </c>
      <c r="F22" s="5" t="s">
        <v>289</v>
      </c>
    </row>
    <row r="23">
      <c r="A23" s="5" t="s">
        <v>315</v>
      </c>
      <c r="B23" s="6">
        <v>9.212517669E9</v>
      </c>
      <c r="D23" s="5" t="s">
        <v>305</v>
      </c>
      <c r="F23" s="5" t="s">
        <v>289</v>
      </c>
    </row>
    <row r="24">
      <c r="A24" s="20" t="s">
        <v>318</v>
      </c>
      <c r="B24" s="21">
        <v>9.599317993E9</v>
      </c>
      <c r="C24" s="22"/>
      <c r="D24" s="20" t="s">
        <v>319</v>
      </c>
      <c r="E24" s="22"/>
      <c r="F24" s="20" t="s">
        <v>289</v>
      </c>
      <c r="G24" s="22"/>
    </row>
    <row r="25">
      <c r="A25" s="5" t="s">
        <v>323</v>
      </c>
      <c r="B25" s="6">
        <v>9.210479043E9</v>
      </c>
      <c r="D25" s="20" t="s">
        <v>324</v>
      </c>
      <c r="F25" s="5" t="s">
        <v>289</v>
      </c>
    </row>
    <row r="26">
      <c r="A26" s="5" t="s">
        <v>326</v>
      </c>
      <c r="B26" s="6">
        <v>8.527443388E9</v>
      </c>
      <c r="D26" s="5" t="s">
        <v>306</v>
      </c>
      <c r="F26" s="5" t="s">
        <v>289</v>
      </c>
    </row>
    <row r="27">
      <c r="A27" s="5" t="s">
        <v>328</v>
      </c>
      <c r="B27" s="6">
        <v>9.899887681E9</v>
      </c>
      <c r="F27" s="5" t="s">
        <v>289</v>
      </c>
    </row>
    <row r="28">
      <c r="A28" s="5" t="s">
        <v>329</v>
      </c>
      <c r="B28" s="6">
        <v>9.81126124E9</v>
      </c>
      <c r="D28" s="5" t="s">
        <v>294</v>
      </c>
      <c r="F28" s="5" t="s">
        <v>289</v>
      </c>
    </row>
    <row r="29">
      <c r="A29" s="20" t="s">
        <v>330</v>
      </c>
      <c r="B29" s="21">
        <v>8.295375731E9</v>
      </c>
      <c r="C29" s="22"/>
      <c r="D29" s="20" t="s">
        <v>310</v>
      </c>
      <c r="F29" s="5" t="s">
        <v>289</v>
      </c>
    </row>
    <row r="30">
      <c r="A30" s="5" t="s">
        <v>331</v>
      </c>
      <c r="B30" s="6">
        <v>9.810204425E9</v>
      </c>
      <c r="D30" s="5" t="s">
        <v>332</v>
      </c>
      <c r="F30" s="5" t="s">
        <v>289</v>
      </c>
    </row>
    <row r="31">
      <c r="A31" s="5" t="s">
        <v>333</v>
      </c>
      <c r="B31" s="6">
        <v>8.448704567E9</v>
      </c>
      <c r="D31" s="5" t="s">
        <v>334</v>
      </c>
      <c r="F31" s="5" t="s">
        <v>289</v>
      </c>
    </row>
    <row r="32">
      <c r="A32" s="5" t="s">
        <v>335</v>
      </c>
      <c r="B32" s="6">
        <v>9.667155569E9</v>
      </c>
      <c r="D32" s="5" t="s">
        <v>336</v>
      </c>
      <c r="F32" s="5" t="s">
        <v>289</v>
      </c>
    </row>
    <row r="33">
      <c r="A33" s="5" t="s">
        <v>337</v>
      </c>
      <c r="B33" s="6">
        <v>9.603929783E9</v>
      </c>
      <c r="F33" s="5" t="s">
        <v>289</v>
      </c>
    </row>
    <row r="34">
      <c r="A34" s="5" t="s">
        <v>338</v>
      </c>
      <c r="B34" s="6">
        <v>9.711010603E9</v>
      </c>
      <c r="D34" s="5" t="s">
        <v>310</v>
      </c>
      <c r="F34" s="5" t="s">
        <v>289</v>
      </c>
    </row>
    <row r="35">
      <c r="A35" s="5" t="s">
        <v>369</v>
      </c>
      <c r="B35" s="6">
        <v>9.711010603E9</v>
      </c>
      <c r="D35" s="5" t="s">
        <v>310</v>
      </c>
      <c r="F35" s="5" t="s">
        <v>289</v>
      </c>
    </row>
    <row r="36">
      <c r="A36" s="20" t="s">
        <v>370</v>
      </c>
      <c r="B36" s="21">
        <v>9.810483592E9</v>
      </c>
      <c r="C36" s="22"/>
      <c r="D36" s="22"/>
      <c r="E36" s="22"/>
      <c r="F36" s="20" t="s">
        <v>289</v>
      </c>
    </row>
    <row r="37">
      <c r="A37" s="5" t="s">
        <v>371</v>
      </c>
      <c r="B37" s="6">
        <v>9.811550014E9</v>
      </c>
      <c r="D37" s="5" t="s">
        <v>305</v>
      </c>
      <c r="F37" s="5" t="s">
        <v>289</v>
      </c>
    </row>
    <row r="38">
      <c r="A38" s="5" t="s">
        <v>372</v>
      </c>
      <c r="B38" s="9">
        <v>7.011650745E9</v>
      </c>
      <c r="D38" s="5" t="s">
        <v>373</v>
      </c>
      <c r="F38" s="5" t="s">
        <v>289</v>
      </c>
    </row>
    <row r="39">
      <c r="A39" s="5" t="s">
        <v>381</v>
      </c>
      <c r="B39" s="6">
        <v>8.287333626E9</v>
      </c>
      <c r="D39" s="5" t="s">
        <v>382</v>
      </c>
      <c r="F39" s="5" t="s">
        <v>289</v>
      </c>
    </row>
    <row r="40">
      <c r="A40" s="5" t="s">
        <v>383</v>
      </c>
      <c r="B40" s="6">
        <v>7.906163599E9</v>
      </c>
      <c r="F40" s="5" t="s">
        <v>289</v>
      </c>
    </row>
    <row r="41">
      <c r="A41" s="5" t="s">
        <v>384</v>
      </c>
      <c r="B41" s="6">
        <v>9.953249522E9</v>
      </c>
      <c r="F41" s="5" t="s">
        <v>289</v>
      </c>
    </row>
    <row r="42">
      <c r="A42" s="20" t="s">
        <v>385</v>
      </c>
      <c r="B42" s="21">
        <v>9.871740343E9</v>
      </c>
      <c r="C42" s="22"/>
      <c r="D42" s="20" t="s">
        <v>297</v>
      </c>
      <c r="E42" s="22"/>
      <c r="F42" s="20" t="s">
        <v>289</v>
      </c>
    </row>
    <row r="43">
      <c r="A43" s="5" t="s">
        <v>386</v>
      </c>
      <c r="B43" s="6">
        <v>9.81859917E9</v>
      </c>
      <c r="D43" s="5" t="s">
        <v>387</v>
      </c>
      <c r="F43" s="5" t="s">
        <v>289</v>
      </c>
    </row>
    <row r="44">
      <c r="A44" s="5" t="s">
        <v>388</v>
      </c>
      <c r="B44" s="6">
        <v>9.891112708E9</v>
      </c>
      <c r="F44" s="5" t="s">
        <v>289</v>
      </c>
    </row>
    <row r="45">
      <c r="A45" s="20" t="s">
        <v>403</v>
      </c>
      <c r="B45" s="21">
        <v>9.81886679E9</v>
      </c>
      <c r="C45" s="22"/>
      <c r="D45" s="22"/>
      <c r="E45" s="22"/>
      <c r="F45" s="20" t="s">
        <v>289</v>
      </c>
    </row>
    <row r="46">
      <c r="A46" s="5" t="s">
        <v>390</v>
      </c>
      <c r="B46" s="6">
        <v>9.896524444E9</v>
      </c>
      <c r="F46" s="5" t="s">
        <v>289</v>
      </c>
    </row>
    <row r="47">
      <c r="A47" s="5" t="s">
        <v>425</v>
      </c>
      <c r="B47" s="6">
        <v>9.313468566E9</v>
      </c>
      <c r="F47" s="5" t="s">
        <v>289</v>
      </c>
    </row>
    <row r="48">
      <c r="A48" s="5" t="s">
        <v>442</v>
      </c>
      <c r="B48" s="5">
        <v>9.654175618E9</v>
      </c>
      <c r="D48" s="5" t="s">
        <v>443</v>
      </c>
      <c r="F48" s="5" t="s">
        <v>289</v>
      </c>
    </row>
    <row r="49">
      <c r="A49" s="5" t="s">
        <v>484</v>
      </c>
      <c r="B49" s="5">
        <v>9.811683208E9</v>
      </c>
      <c r="F49" s="5" t="s">
        <v>289</v>
      </c>
    </row>
    <row r="50">
      <c r="A50" s="43" t="s">
        <v>495</v>
      </c>
      <c r="B50" s="43">
        <v>8.895734798E9</v>
      </c>
      <c r="C50" s="45"/>
      <c r="D50" s="45"/>
      <c r="E50" s="45"/>
      <c r="F50" s="43" t="s">
        <v>289</v>
      </c>
      <c r="G50" s="45"/>
    </row>
    <row r="51">
      <c r="A51" s="30" t="s">
        <v>510</v>
      </c>
      <c r="B51" s="30">
        <v>9.899949365E9</v>
      </c>
      <c r="C51" s="32"/>
      <c r="D51" s="30" t="s">
        <v>511</v>
      </c>
      <c r="E51" s="32"/>
      <c r="F51" s="30" t="s">
        <v>289</v>
      </c>
    </row>
    <row r="52">
      <c r="A52" s="5" t="s">
        <v>525</v>
      </c>
      <c r="B52" s="5">
        <v>9.896220127E9</v>
      </c>
      <c r="F52" s="5" t="s">
        <v>289</v>
      </c>
    </row>
    <row r="53">
      <c r="A53" s="30" t="s">
        <v>109</v>
      </c>
      <c r="B53" s="30">
        <v>9.01330727E9</v>
      </c>
      <c r="C53" s="32"/>
      <c r="D53" s="32"/>
      <c r="E53" s="32"/>
      <c r="F53" s="30" t="s">
        <v>289</v>
      </c>
    </row>
    <row r="54">
      <c r="A54" s="5" t="s">
        <v>537</v>
      </c>
      <c r="B54" s="5">
        <v>9.255135789E9</v>
      </c>
      <c r="D54" s="5" t="s">
        <v>538</v>
      </c>
      <c r="F54" s="5" t="s">
        <v>289</v>
      </c>
    </row>
    <row r="55">
      <c r="A55" s="5" t="s">
        <v>541</v>
      </c>
      <c r="B55" s="5">
        <v>8.384082024E9</v>
      </c>
      <c r="F55" s="5" t="s">
        <v>289</v>
      </c>
    </row>
    <row r="56">
      <c r="A56" s="5" t="s">
        <v>544</v>
      </c>
      <c r="B56" s="5">
        <v>9.310417035E9</v>
      </c>
      <c r="F56" s="5" t="s">
        <v>289</v>
      </c>
    </row>
    <row r="57">
      <c r="A57" s="5" t="s">
        <v>547</v>
      </c>
      <c r="B57" s="5">
        <v>8.586088906E9</v>
      </c>
      <c r="F57" s="5" t="s">
        <v>289</v>
      </c>
    </row>
    <row r="58">
      <c r="A58" s="5" t="s">
        <v>551</v>
      </c>
      <c r="B58" s="5">
        <v>9.717980689E9</v>
      </c>
      <c r="D58" s="5" t="s">
        <v>552</v>
      </c>
      <c r="F58" s="5" t="s">
        <v>289</v>
      </c>
    </row>
    <row r="59">
      <c r="A59" s="5" t="s">
        <v>553</v>
      </c>
      <c r="B59" s="5">
        <v>7.834963496E9</v>
      </c>
      <c r="F59" s="5" t="s">
        <v>289</v>
      </c>
    </row>
    <row r="60">
      <c r="A60" s="5" t="s">
        <v>556</v>
      </c>
      <c r="B60" s="5">
        <v>9.999532228E9</v>
      </c>
      <c r="F60" s="5" t="s">
        <v>289</v>
      </c>
    </row>
    <row r="61">
      <c r="A61" s="5" t="s">
        <v>557</v>
      </c>
      <c r="B61" s="5">
        <v>8.299528607E9</v>
      </c>
      <c r="F61" s="5" t="s">
        <v>289</v>
      </c>
    </row>
    <row r="62">
      <c r="A62" s="5" t="s">
        <v>318</v>
      </c>
      <c r="B62" s="5">
        <v>9.930568005E9</v>
      </c>
      <c r="F62" s="5" t="s">
        <v>289</v>
      </c>
    </row>
    <row r="63">
      <c r="A63" s="30" t="s">
        <v>558</v>
      </c>
      <c r="B63" s="30">
        <v>7.863020777E9</v>
      </c>
      <c r="C63" s="32"/>
      <c r="D63" s="32"/>
      <c r="E63" s="32"/>
      <c r="F63" s="30" t="s">
        <v>289</v>
      </c>
    </row>
    <row r="64">
      <c r="A64" s="5" t="s">
        <v>559</v>
      </c>
      <c r="B64" s="5">
        <v>8.588013307E9</v>
      </c>
      <c r="F64" s="5" t="s">
        <v>289</v>
      </c>
    </row>
    <row r="65">
      <c r="A65" s="5" t="s">
        <v>562</v>
      </c>
      <c r="B65" s="5">
        <v>8.920069012E9</v>
      </c>
      <c r="F65" s="5" t="s">
        <v>289</v>
      </c>
    </row>
    <row r="66">
      <c r="A66" s="5" t="s">
        <v>568</v>
      </c>
      <c r="B66" s="5">
        <v>9.810661504E9</v>
      </c>
      <c r="F66" s="5" t="s">
        <v>289</v>
      </c>
    </row>
    <row r="67">
      <c r="A67" s="5" t="s">
        <v>572</v>
      </c>
      <c r="B67" s="5">
        <v>8.882312076E9</v>
      </c>
      <c r="F67" s="5" t="s">
        <v>289</v>
      </c>
    </row>
    <row r="68">
      <c r="A68" s="5" t="s">
        <v>574</v>
      </c>
      <c r="B68" s="5">
        <v>9.650341401E9</v>
      </c>
      <c r="F68" s="5" t="s">
        <v>289</v>
      </c>
    </row>
    <row r="69">
      <c r="A69" s="30" t="s">
        <v>1996</v>
      </c>
      <c r="B69" s="30">
        <v>9.278722251E9</v>
      </c>
      <c r="C69" s="32"/>
      <c r="D69" s="32"/>
      <c r="E69" s="32"/>
      <c r="F69" s="30" t="s">
        <v>289</v>
      </c>
      <c r="G69" s="32"/>
    </row>
    <row r="70">
      <c r="A70" s="5" t="s">
        <v>581</v>
      </c>
      <c r="B70" s="5">
        <v>9.918101555E9</v>
      </c>
      <c r="F70" s="5" t="s">
        <v>289</v>
      </c>
    </row>
    <row r="71">
      <c r="A71" s="5" t="s">
        <v>585</v>
      </c>
      <c r="B71" s="5">
        <v>8.708750857E9</v>
      </c>
      <c r="D71" s="5" t="s">
        <v>586</v>
      </c>
      <c r="F71" s="5" t="s">
        <v>289</v>
      </c>
    </row>
    <row r="72">
      <c r="A72" s="5" t="s">
        <v>587</v>
      </c>
      <c r="B72" s="5">
        <v>8.800895723E9</v>
      </c>
      <c r="F72" s="5" t="s">
        <v>289</v>
      </c>
    </row>
    <row r="73">
      <c r="A73" s="5" t="s">
        <v>589</v>
      </c>
      <c r="B73" s="5">
        <v>8.800927065E9</v>
      </c>
      <c r="F73" s="5" t="s">
        <v>289</v>
      </c>
    </row>
    <row r="74">
      <c r="A74" s="5" t="s">
        <v>591</v>
      </c>
      <c r="B74" s="5">
        <v>9.136131719E9</v>
      </c>
      <c r="F74" s="5" t="s">
        <v>289</v>
      </c>
    </row>
    <row r="75">
      <c r="A75" s="30" t="s">
        <v>600</v>
      </c>
      <c r="B75" s="30">
        <v>9.899748572E9</v>
      </c>
      <c r="C75" s="32"/>
      <c r="D75" s="32"/>
      <c r="E75" s="32"/>
      <c r="F75" s="30" t="s">
        <v>289</v>
      </c>
      <c r="G75" s="32"/>
    </row>
    <row r="76">
      <c r="A76" s="5" t="s">
        <v>290</v>
      </c>
      <c r="B76" s="5">
        <v>7.015977544E9</v>
      </c>
      <c r="F76" s="5" t="s">
        <v>289</v>
      </c>
    </row>
    <row r="77">
      <c r="A77" s="5" t="s">
        <v>606</v>
      </c>
      <c r="B77" s="5">
        <v>9.87370116E9</v>
      </c>
      <c r="F77" s="5" t="s">
        <v>289</v>
      </c>
    </row>
    <row r="78">
      <c r="A78" s="5" t="s">
        <v>371</v>
      </c>
      <c r="B78" s="5">
        <v>9.412235113E9</v>
      </c>
      <c r="F78" s="5" t="s">
        <v>289</v>
      </c>
    </row>
    <row r="79">
      <c r="A79" s="5" t="s">
        <v>609</v>
      </c>
      <c r="B79" s="5">
        <v>9.557701702E9</v>
      </c>
      <c r="F79" s="5" t="s">
        <v>289</v>
      </c>
    </row>
    <row r="80">
      <c r="A80" s="20" t="s">
        <v>612</v>
      </c>
      <c r="B80" s="20">
        <v>9.8113783E9</v>
      </c>
      <c r="C80" s="22"/>
      <c r="D80" s="22"/>
      <c r="E80" s="22"/>
      <c r="F80" s="20" t="s">
        <v>289</v>
      </c>
      <c r="G80" s="22"/>
    </row>
    <row r="81">
      <c r="A81" s="30" t="s">
        <v>614</v>
      </c>
      <c r="B81" s="30">
        <v>9.999426629E9</v>
      </c>
      <c r="C81" s="32"/>
      <c r="D81" s="32"/>
      <c r="E81" s="32"/>
      <c r="F81" s="30" t="s">
        <v>289</v>
      </c>
      <c r="G81" s="32"/>
    </row>
    <row r="82">
      <c r="A82" s="5" t="s">
        <v>616</v>
      </c>
      <c r="B82" s="5">
        <v>9.560974127E9</v>
      </c>
      <c r="F82" s="5" t="s">
        <v>289</v>
      </c>
    </row>
    <row r="83">
      <c r="A83" s="5" t="s">
        <v>179</v>
      </c>
      <c r="B83" s="5">
        <v>9.625556855E9</v>
      </c>
      <c r="F83" s="5" t="s">
        <v>289</v>
      </c>
    </row>
    <row r="84">
      <c r="A84" s="5" t="s">
        <v>621</v>
      </c>
      <c r="B84" s="5">
        <v>9.43715219E9</v>
      </c>
      <c r="F84" s="5" t="s">
        <v>289</v>
      </c>
    </row>
    <row r="85">
      <c r="A85" s="5" t="s">
        <v>647</v>
      </c>
      <c r="B85" s="5">
        <v>9.810683324E9</v>
      </c>
      <c r="D85" s="5" t="s">
        <v>648</v>
      </c>
      <c r="F85" s="5" t="s">
        <v>289</v>
      </c>
    </row>
    <row r="86">
      <c r="A86" s="5" t="s">
        <v>652</v>
      </c>
      <c r="B86" s="5">
        <v>9.911329213E9</v>
      </c>
      <c r="F86" s="5" t="s">
        <v>289</v>
      </c>
    </row>
    <row r="87">
      <c r="A87" s="5" t="s">
        <v>653</v>
      </c>
      <c r="B87" s="5">
        <v>9.911329213E9</v>
      </c>
      <c r="F87" s="5" t="s">
        <v>289</v>
      </c>
    </row>
    <row r="88">
      <c r="A88" s="5" t="s">
        <v>654</v>
      </c>
      <c r="B88" s="5">
        <v>9.990215164E9</v>
      </c>
      <c r="F88" s="5" t="s">
        <v>289</v>
      </c>
    </row>
    <row r="89">
      <c r="A89" s="5" t="s">
        <v>179</v>
      </c>
      <c r="B89" s="5">
        <v>9.21525881E9</v>
      </c>
      <c r="F89" s="5" t="s">
        <v>289</v>
      </c>
    </row>
    <row r="90">
      <c r="A90" s="5" t="s">
        <v>525</v>
      </c>
      <c r="B90" s="5">
        <v>9.210029848E9</v>
      </c>
      <c r="D90" s="5" t="s">
        <v>672</v>
      </c>
      <c r="F90" s="5" t="s">
        <v>289</v>
      </c>
    </row>
    <row r="91">
      <c r="A91" s="5" t="s">
        <v>674</v>
      </c>
      <c r="B91" s="5">
        <v>8.368685491E9</v>
      </c>
      <c r="F91" s="5" t="s">
        <v>289</v>
      </c>
    </row>
    <row r="92">
      <c r="A92" s="5" t="s">
        <v>675</v>
      </c>
      <c r="B92" s="5">
        <v>9.136117195E9</v>
      </c>
      <c r="F92" s="5" t="s">
        <v>289</v>
      </c>
    </row>
    <row r="93">
      <c r="A93" s="5" t="s">
        <v>677</v>
      </c>
      <c r="B93" s="5">
        <v>9.582645551E9</v>
      </c>
      <c r="F93" s="5" t="s">
        <v>289</v>
      </c>
    </row>
    <row r="94">
      <c r="A94" s="5" t="s">
        <v>678</v>
      </c>
      <c r="B94" s="5">
        <v>8.076516975E9</v>
      </c>
      <c r="F94" s="5" t="s">
        <v>289</v>
      </c>
    </row>
    <row r="95">
      <c r="A95" s="5" t="s">
        <v>486</v>
      </c>
      <c r="B95" s="5">
        <v>8.448663897E9</v>
      </c>
      <c r="F95" s="5" t="s">
        <v>289</v>
      </c>
    </row>
    <row r="96">
      <c r="A96" s="5" t="s">
        <v>682</v>
      </c>
      <c r="B96" s="5">
        <v>8.3768369E9</v>
      </c>
      <c r="F96" s="5" t="s">
        <v>289</v>
      </c>
    </row>
    <row r="97">
      <c r="A97" s="5" t="s">
        <v>683</v>
      </c>
      <c r="B97" s="5">
        <v>9.540658998E9</v>
      </c>
      <c r="F97" s="5" t="s">
        <v>289</v>
      </c>
    </row>
    <row r="98">
      <c r="A98" s="5" t="s">
        <v>684</v>
      </c>
      <c r="B98" s="5">
        <v>9.717170333E9</v>
      </c>
      <c r="D98" s="5" t="s">
        <v>685</v>
      </c>
      <c r="F98" s="5" t="s">
        <v>289</v>
      </c>
    </row>
    <row r="99">
      <c r="A99" s="5" t="s">
        <v>686</v>
      </c>
      <c r="B99" s="5">
        <v>7.009614365E9</v>
      </c>
      <c r="F99" s="5" t="s">
        <v>289</v>
      </c>
    </row>
    <row r="100">
      <c r="A100" s="5" t="s">
        <v>687</v>
      </c>
      <c r="B100" s="5">
        <v>9.716161698E9</v>
      </c>
      <c r="D100" s="5" t="s">
        <v>688</v>
      </c>
      <c r="F100" s="5" t="s">
        <v>289</v>
      </c>
    </row>
    <row r="101">
      <c r="A101" s="5" t="s">
        <v>689</v>
      </c>
      <c r="B101" s="5">
        <v>9.991381E9</v>
      </c>
      <c r="F101" s="5" t="s">
        <v>289</v>
      </c>
    </row>
    <row r="102">
      <c r="A102" s="5" t="s">
        <v>690</v>
      </c>
      <c r="B102" s="5">
        <v>9.99012078E9</v>
      </c>
      <c r="F102" s="5" t="s">
        <v>289</v>
      </c>
    </row>
    <row r="103">
      <c r="A103" s="5" t="s">
        <v>691</v>
      </c>
      <c r="B103" s="5">
        <v>8.368922378E9</v>
      </c>
      <c r="F103" s="5" t="s">
        <v>289</v>
      </c>
    </row>
    <row r="104">
      <c r="A104" s="13" t="s">
        <v>692</v>
      </c>
      <c r="B104" s="13">
        <v>9.812902533E9</v>
      </c>
      <c r="C104" s="19"/>
      <c r="D104" s="19"/>
      <c r="E104" s="19"/>
      <c r="F104" s="13" t="s">
        <v>289</v>
      </c>
      <c r="G104" s="19"/>
    </row>
    <row r="105">
      <c r="A105" s="5" t="s">
        <v>693</v>
      </c>
      <c r="B105" s="5">
        <v>9.871578787E9</v>
      </c>
      <c r="F105" s="5" t="s">
        <v>289</v>
      </c>
    </row>
    <row r="106">
      <c r="A106" s="5" t="s">
        <v>694</v>
      </c>
      <c r="B106" s="5">
        <v>9.958097438E9</v>
      </c>
      <c r="D106" s="5" t="s">
        <v>695</v>
      </c>
      <c r="F106" s="5" t="s">
        <v>289</v>
      </c>
    </row>
    <row r="107">
      <c r="A107" s="5" t="s">
        <v>696</v>
      </c>
      <c r="B107" s="5">
        <v>9.953960602E9</v>
      </c>
      <c r="D107" s="5" t="s">
        <v>697</v>
      </c>
      <c r="F107" s="5" t="s">
        <v>289</v>
      </c>
    </row>
    <row r="108">
      <c r="A108" s="5" t="s">
        <v>698</v>
      </c>
      <c r="B108" s="5">
        <v>9.891815228E9</v>
      </c>
      <c r="F108" s="5" t="s">
        <v>289</v>
      </c>
    </row>
    <row r="109">
      <c r="A109" s="5" t="s">
        <v>735</v>
      </c>
      <c r="B109" s="5">
        <v>9.968162461E9</v>
      </c>
      <c r="F109" s="5" t="s">
        <v>289</v>
      </c>
    </row>
    <row r="110">
      <c r="A110" s="5" t="s">
        <v>737</v>
      </c>
      <c r="B110" s="5">
        <v>8.82696449E9</v>
      </c>
      <c r="F110" s="5" t="s">
        <v>289</v>
      </c>
    </row>
    <row r="111">
      <c r="A111" s="5" t="s">
        <v>739</v>
      </c>
      <c r="B111" s="5">
        <v>9.810609464E9</v>
      </c>
      <c r="F111" s="5" t="s">
        <v>289</v>
      </c>
    </row>
    <row r="112">
      <c r="A112" s="5" t="s">
        <v>740</v>
      </c>
      <c r="B112" s="5">
        <v>8.802343445E9</v>
      </c>
      <c r="F112" s="5" t="s">
        <v>303</v>
      </c>
    </row>
    <row r="113">
      <c r="A113" s="5" t="s">
        <v>741</v>
      </c>
      <c r="B113" s="5">
        <v>9.911838993E9</v>
      </c>
      <c r="F113" s="5" t="s">
        <v>289</v>
      </c>
    </row>
    <row r="114">
      <c r="A114" s="5" t="s">
        <v>742</v>
      </c>
      <c r="B114" s="5">
        <v>7.500651712E9</v>
      </c>
      <c r="D114" s="5" t="s">
        <v>743</v>
      </c>
      <c r="F114" s="5" t="s">
        <v>289</v>
      </c>
    </row>
    <row r="115">
      <c r="A115" s="5" t="s">
        <v>744</v>
      </c>
      <c r="B115" s="5">
        <v>9.560023362E9</v>
      </c>
      <c r="D115" s="5" t="s">
        <v>459</v>
      </c>
      <c r="F115" s="5" t="s">
        <v>289</v>
      </c>
    </row>
    <row r="116">
      <c r="A116" s="5" t="s">
        <v>1183</v>
      </c>
      <c r="B116" s="5">
        <v>9.8101473E9</v>
      </c>
      <c r="F116" s="5" t="s">
        <v>289</v>
      </c>
    </row>
    <row r="117">
      <c r="A117" s="5" t="s">
        <v>1184</v>
      </c>
      <c r="B117" s="5">
        <v>9.868429229E9</v>
      </c>
      <c r="D117" s="5" t="s">
        <v>1185</v>
      </c>
      <c r="F117" s="5" t="s">
        <v>289</v>
      </c>
    </row>
    <row r="118">
      <c r="A118" s="5" t="s">
        <v>1186</v>
      </c>
      <c r="B118" s="5">
        <v>9.540325879E9</v>
      </c>
      <c r="D118" s="5" t="s">
        <v>1187</v>
      </c>
      <c r="F118" s="5" t="s">
        <v>289</v>
      </c>
    </row>
    <row r="119">
      <c r="A119" s="5" t="s">
        <v>1188</v>
      </c>
      <c r="B119" s="5">
        <v>9.418008764E9</v>
      </c>
      <c r="D119" s="5" t="s">
        <v>1189</v>
      </c>
      <c r="F119" s="5" t="s">
        <v>289</v>
      </c>
    </row>
    <row r="120">
      <c r="A120" s="43" t="s">
        <v>1190</v>
      </c>
      <c r="B120" s="43">
        <v>9.873325101E9</v>
      </c>
      <c r="C120" s="45"/>
      <c r="D120" s="45"/>
      <c r="E120" s="45"/>
      <c r="F120" s="43" t="s">
        <v>289</v>
      </c>
    </row>
    <row r="121">
      <c r="A121" s="13" t="s">
        <v>1191</v>
      </c>
      <c r="B121" s="13">
        <v>8.750101322E9</v>
      </c>
      <c r="C121" s="19"/>
      <c r="D121" s="13" t="s">
        <v>1192</v>
      </c>
      <c r="E121" s="19"/>
      <c r="F121" s="13" t="s">
        <v>289</v>
      </c>
    </row>
    <row r="122">
      <c r="A122" s="5" t="s">
        <v>1193</v>
      </c>
      <c r="B122" s="5">
        <v>7.011884242E9</v>
      </c>
      <c r="D122" s="5" t="s">
        <v>1194</v>
      </c>
      <c r="F122" s="5" t="s">
        <v>289</v>
      </c>
    </row>
    <row r="123">
      <c r="A123" s="5" t="s">
        <v>1196</v>
      </c>
      <c r="B123" s="5">
        <v>8.920986407E9</v>
      </c>
      <c r="F123" s="5" t="s">
        <v>289</v>
      </c>
    </row>
    <row r="124">
      <c r="A124" s="5" t="s">
        <v>1197</v>
      </c>
      <c r="B124" s="5">
        <v>7.551194993E9</v>
      </c>
      <c r="D124" s="5" t="s">
        <v>1185</v>
      </c>
      <c r="F124" s="5" t="s">
        <v>289</v>
      </c>
    </row>
    <row r="125">
      <c r="A125" s="5" t="s">
        <v>1198</v>
      </c>
      <c r="B125" s="5">
        <v>9.71833954E9</v>
      </c>
      <c r="F125" s="5" t="s">
        <v>289</v>
      </c>
    </row>
    <row r="126">
      <c r="A126" s="5" t="s">
        <v>1199</v>
      </c>
      <c r="B126" s="5">
        <v>9.650509732E9</v>
      </c>
      <c r="D126" s="5" t="s">
        <v>1200</v>
      </c>
      <c r="F126" s="5" t="s">
        <v>289</v>
      </c>
    </row>
    <row r="127">
      <c r="A127" s="5" t="s">
        <v>1201</v>
      </c>
      <c r="B127" s="5">
        <v>9.999085204E9</v>
      </c>
      <c r="D127" s="5" t="s">
        <v>1202</v>
      </c>
      <c r="F127" s="5" t="s">
        <v>289</v>
      </c>
    </row>
    <row r="128">
      <c r="A128" s="5" t="s">
        <v>1203</v>
      </c>
      <c r="B128" s="5">
        <v>8.81041629E9</v>
      </c>
      <c r="D128" s="5" t="s">
        <v>1204</v>
      </c>
      <c r="F128" s="5" t="s">
        <v>289</v>
      </c>
    </row>
    <row r="129">
      <c r="A129" s="5" t="s">
        <v>1205</v>
      </c>
      <c r="B129" s="5">
        <v>8.920688834E9</v>
      </c>
      <c r="F129" s="5" t="s">
        <v>289</v>
      </c>
    </row>
    <row r="130">
      <c r="A130" s="5" t="s">
        <v>1206</v>
      </c>
      <c r="B130" s="5">
        <v>7.042168871E9</v>
      </c>
      <c r="D130" s="5" t="s">
        <v>1207</v>
      </c>
      <c r="F130" s="5" t="s">
        <v>289</v>
      </c>
    </row>
    <row r="131">
      <c r="A131" s="5" t="s">
        <v>1208</v>
      </c>
      <c r="B131" s="5">
        <v>9.971414243E9</v>
      </c>
      <c r="D131" s="5" t="s">
        <v>1209</v>
      </c>
      <c r="F131" s="5" t="s">
        <v>289</v>
      </c>
    </row>
    <row r="132">
      <c r="A132" s="5" t="s">
        <v>1166</v>
      </c>
      <c r="B132" s="5">
        <v>9.873736362E9</v>
      </c>
      <c r="D132" s="5" t="s">
        <v>1210</v>
      </c>
      <c r="F132" s="5" t="s">
        <v>289</v>
      </c>
    </row>
    <row r="133">
      <c r="A133" s="5" t="s">
        <v>1211</v>
      </c>
      <c r="B133" s="5">
        <v>9.711269061E9</v>
      </c>
      <c r="D133" s="5" t="s">
        <v>1212</v>
      </c>
      <c r="F133" s="5" t="s">
        <v>289</v>
      </c>
    </row>
    <row r="134">
      <c r="A134" s="5" t="s">
        <v>1214</v>
      </c>
      <c r="B134" s="5">
        <v>8.287455411E9</v>
      </c>
      <c r="D134" s="5" t="s">
        <v>1189</v>
      </c>
      <c r="F134" s="5" t="s">
        <v>289</v>
      </c>
    </row>
    <row r="135">
      <c r="A135" s="5" t="s">
        <v>1215</v>
      </c>
      <c r="B135" s="5">
        <v>9.667845298E9</v>
      </c>
      <c r="D135" s="5" t="s">
        <v>1185</v>
      </c>
      <c r="F135" s="5" t="s">
        <v>289</v>
      </c>
    </row>
    <row r="136">
      <c r="A136" s="5" t="s">
        <v>1216</v>
      </c>
      <c r="B136" s="5">
        <v>9.871489556E9</v>
      </c>
      <c r="D136" s="5" t="s">
        <v>1217</v>
      </c>
      <c r="F136" s="5" t="s">
        <v>289</v>
      </c>
    </row>
    <row r="137">
      <c r="A137" s="5" t="s">
        <v>1222</v>
      </c>
      <c r="B137" s="5">
        <v>9.812289365E9</v>
      </c>
      <c r="D137" s="5" t="s">
        <v>1223</v>
      </c>
      <c r="F137" s="5" t="s">
        <v>289</v>
      </c>
    </row>
    <row r="138">
      <c r="A138" s="13" t="s">
        <v>1225</v>
      </c>
      <c r="B138" s="13">
        <v>9.891766693E9</v>
      </c>
      <c r="C138" s="19"/>
      <c r="D138" s="13" t="s">
        <v>1226</v>
      </c>
      <c r="E138" s="19"/>
      <c r="F138" s="13" t="s">
        <v>289</v>
      </c>
    </row>
    <row r="139">
      <c r="A139" s="5" t="s">
        <v>1228</v>
      </c>
      <c r="B139" s="5">
        <v>9.210171008E9</v>
      </c>
      <c r="F139" s="5" t="s">
        <v>289</v>
      </c>
    </row>
    <row r="140">
      <c r="A140" s="5" t="s">
        <v>1229</v>
      </c>
      <c r="B140" s="5">
        <v>9.990368279E9</v>
      </c>
      <c r="D140" s="5" t="s">
        <v>1230</v>
      </c>
      <c r="F140" s="5" t="s">
        <v>289</v>
      </c>
    </row>
    <row r="141">
      <c r="A141" s="5" t="s">
        <v>1232</v>
      </c>
      <c r="B141" s="5">
        <v>8.595753278E9</v>
      </c>
      <c r="D141" s="5" t="s">
        <v>1233</v>
      </c>
      <c r="F141" s="5" t="s">
        <v>289</v>
      </c>
    </row>
    <row r="142">
      <c r="A142" s="5" t="s">
        <v>1234</v>
      </c>
      <c r="B142" s="5">
        <v>9.8101015E9</v>
      </c>
      <c r="D142" s="5" t="s">
        <v>1235</v>
      </c>
      <c r="F142" s="5" t="s">
        <v>289</v>
      </c>
    </row>
    <row r="143">
      <c r="A143" s="5" t="s">
        <v>1236</v>
      </c>
      <c r="B143" s="5">
        <v>9.890309889E9</v>
      </c>
      <c r="D143" s="5" t="s">
        <v>1237</v>
      </c>
      <c r="F143" s="5" t="s">
        <v>289</v>
      </c>
    </row>
    <row r="144">
      <c r="A144" s="5" t="s">
        <v>1238</v>
      </c>
      <c r="B144" s="5">
        <v>9.653878566E9</v>
      </c>
      <c r="D144" s="5" t="s">
        <v>1189</v>
      </c>
      <c r="F144" s="5" t="s">
        <v>289</v>
      </c>
    </row>
    <row r="145">
      <c r="A145" s="5" t="s">
        <v>1239</v>
      </c>
      <c r="B145" s="5">
        <v>9.654501325E9</v>
      </c>
      <c r="D145" s="5" t="s">
        <v>1240</v>
      </c>
      <c r="F145" s="5" t="s">
        <v>289</v>
      </c>
    </row>
    <row r="146">
      <c r="A146" s="5" t="s">
        <v>1241</v>
      </c>
      <c r="B146" s="5">
        <v>9.718687757E9</v>
      </c>
      <c r="D146" s="5" t="s">
        <v>1242</v>
      </c>
      <c r="F146" s="5" t="s">
        <v>289</v>
      </c>
    </row>
    <row r="147">
      <c r="A147" s="5" t="s">
        <v>1243</v>
      </c>
      <c r="B147" s="5">
        <v>9.864051679E9</v>
      </c>
      <c r="F147" s="5" t="s">
        <v>289</v>
      </c>
    </row>
    <row r="148">
      <c r="A148" s="5" t="s">
        <v>1244</v>
      </c>
      <c r="B148" s="5">
        <v>9.818747108E9</v>
      </c>
      <c r="D148" s="5" t="s">
        <v>1245</v>
      </c>
      <c r="F148" s="5" t="s">
        <v>289</v>
      </c>
    </row>
    <row r="149">
      <c r="A149" s="5" t="s">
        <v>1246</v>
      </c>
      <c r="B149" s="5">
        <v>9.650422828E9</v>
      </c>
      <c r="F149" s="5" t="s">
        <v>289</v>
      </c>
    </row>
    <row r="150">
      <c r="A150" s="5" t="s">
        <v>834</v>
      </c>
      <c r="B150" s="5">
        <v>9.891910994E9</v>
      </c>
      <c r="D150" s="5" t="s">
        <v>1189</v>
      </c>
      <c r="F150" s="5" t="s">
        <v>289</v>
      </c>
    </row>
    <row r="151">
      <c r="A151" s="5" t="s">
        <v>1248</v>
      </c>
      <c r="B151" s="5">
        <v>7.042434392E9</v>
      </c>
      <c r="D151" s="5" t="s">
        <v>1209</v>
      </c>
      <c r="F151" s="5" t="s">
        <v>289</v>
      </c>
    </row>
    <row r="152">
      <c r="A152" s="5" t="s">
        <v>1249</v>
      </c>
      <c r="B152" s="5">
        <v>9.528151409E9</v>
      </c>
      <c r="F152" s="5" t="s">
        <v>289</v>
      </c>
    </row>
    <row r="153">
      <c r="A153" s="5" t="s">
        <v>1251</v>
      </c>
      <c r="B153" s="5">
        <v>9.811671448E9</v>
      </c>
      <c r="D153" s="5" t="s">
        <v>1252</v>
      </c>
      <c r="F153" s="5" t="s">
        <v>289</v>
      </c>
    </row>
    <row r="154">
      <c r="A154" s="5" t="s">
        <v>1254</v>
      </c>
      <c r="B154" s="5">
        <v>9.061E9</v>
      </c>
      <c r="D154" s="5" t="s">
        <v>1255</v>
      </c>
      <c r="F154" s="5" t="s">
        <v>289</v>
      </c>
    </row>
    <row r="155">
      <c r="A155" s="5" t="s">
        <v>1256</v>
      </c>
      <c r="B155" s="5">
        <v>8.920428023E9</v>
      </c>
      <c r="F155" s="5" t="s">
        <v>289</v>
      </c>
    </row>
    <row r="156">
      <c r="A156" s="5" t="s">
        <v>507</v>
      </c>
      <c r="B156" s="5">
        <v>6.396554396E9</v>
      </c>
      <c r="F156" s="5" t="s">
        <v>289</v>
      </c>
    </row>
    <row r="157">
      <c r="A157" s="5" t="s">
        <v>1260</v>
      </c>
      <c r="B157" s="5">
        <v>7.50399586E9</v>
      </c>
      <c r="F157" s="5" t="s">
        <v>289</v>
      </c>
    </row>
    <row r="158">
      <c r="A158" s="5" t="s">
        <v>1261</v>
      </c>
      <c r="B158" s="5">
        <v>9.810418182E9</v>
      </c>
      <c r="F158" s="5" t="s">
        <v>289</v>
      </c>
    </row>
    <row r="159">
      <c r="A159" s="5" t="s">
        <v>1262</v>
      </c>
      <c r="B159" s="5">
        <v>7.42860708E9</v>
      </c>
      <c r="D159" s="5" t="s">
        <v>1263</v>
      </c>
      <c r="F159" s="5" t="s">
        <v>289</v>
      </c>
    </row>
    <row r="160">
      <c r="A160" s="5" t="s">
        <v>1264</v>
      </c>
      <c r="B160" s="5">
        <v>9.971145791E9</v>
      </c>
      <c r="F160" s="5" t="s">
        <v>289</v>
      </c>
    </row>
    <row r="161">
      <c r="A161" s="5" t="s">
        <v>1265</v>
      </c>
      <c r="B161" s="5">
        <v>7.500462222E9</v>
      </c>
      <c r="D161" s="5" t="s">
        <v>1266</v>
      </c>
      <c r="F161" s="5" t="s">
        <v>289</v>
      </c>
    </row>
    <row r="162">
      <c r="A162" s="5" t="s">
        <v>1267</v>
      </c>
      <c r="B162" s="5">
        <v>9.818780835E9</v>
      </c>
      <c r="D162" s="5" t="s">
        <v>1268</v>
      </c>
      <c r="F162" s="5" t="s">
        <v>289</v>
      </c>
    </row>
    <row r="163">
      <c r="A163" s="5" t="s">
        <v>1269</v>
      </c>
      <c r="B163" s="5">
        <v>9.654322234E9</v>
      </c>
      <c r="D163" s="5" t="s">
        <v>1270</v>
      </c>
      <c r="F163" s="5" t="s">
        <v>289</v>
      </c>
    </row>
    <row r="164">
      <c r="A164" s="5" t="s">
        <v>1271</v>
      </c>
      <c r="B164" s="5">
        <v>9.669120277E9</v>
      </c>
      <c r="D164" s="5" t="s">
        <v>1272</v>
      </c>
      <c r="F164" s="5" t="s">
        <v>289</v>
      </c>
    </row>
    <row r="165">
      <c r="A165" s="5" t="s">
        <v>1273</v>
      </c>
      <c r="B165" s="5">
        <v>9.899568355E9</v>
      </c>
      <c r="D165" s="5" t="s">
        <v>1274</v>
      </c>
      <c r="F165" s="5" t="s">
        <v>289</v>
      </c>
    </row>
    <row r="166">
      <c r="A166" s="5" t="s">
        <v>1275</v>
      </c>
      <c r="B166" s="5">
        <v>8.527547816E9</v>
      </c>
      <c r="D166" s="5" t="s">
        <v>1276</v>
      </c>
      <c r="F166" s="5" t="s">
        <v>289</v>
      </c>
    </row>
    <row r="167">
      <c r="A167" s="5" t="s">
        <v>1277</v>
      </c>
      <c r="B167" s="5">
        <v>9.25047211E9</v>
      </c>
      <c r="F167" s="5" t="s">
        <v>289</v>
      </c>
    </row>
    <row r="168">
      <c r="A168" s="5" t="s">
        <v>1278</v>
      </c>
      <c r="B168" s="5">
        <v>9.818780835E9</v>
      </c>
      <c r="F168" s="5" t="s">
        <v>289</v>
      </c>
    </row>
    <row r="169">
      <c r="A169" s="5" t="s">
        <v>1279</v>
      </c>
      <c r="B169" s="5">
        <v>9.411320007E9</v>
      </c>
      <c r="F169" s="5" t="s">
        <v>289</v>
      </c>
    </row>
    <row r="170">
      <c r="A170" s="5" t="s">
        <v>1280</v>
      </c>
      <c r="B170" s="5">
        <v>9.958899294E9</v>
      </c>
      <c r="F170" s="5" t="s">
        <v>289</v>
      </c>
    </row>
    <row r="171">
      <c r="A171" s="5" t="s">
        <v>604</v>
      </c>
      <c r="B171" s="5">
        <v>9.810887869E9</v>
      </c>
      <c r="F171" s="5" t="s">
        <v>289</v>
      </c>
    </row>
    <row r="172">
      <c r="A172" s="5" t="s">
        <v>1281</v>
      </c>
      <c r="B172" s="5">
        <v>9.810050996E9</v>
      </c>
      <c r="F172" s="5" t="s">
        <v>289</v>
      </c>
    </row>
    <row r="173">
      <c r="A173" s="5" t="s">
        <v>548</v>
      </c>
      <c r="B173" s="5">
        <v>9.811788615E9</v>
      </c>
      <c r="F173" s="5" t="s">
        <v>289</v>
      </c>
    </row>
    <row r="174">
      <c r="A174" s="5" t="s">
        <v>1282</v>
      </c>
      <c r="B174" s="5">
        <v>9.911269709E9</v>
      </c>
      <c r="F174" s="5" t="s">
        <v>289</v>
      </c>
    </row>
    <row r="175">
      <c r="A175" s="5" t="s">
        <v>1283</v>
      </c>
      <c r="B175" s="5">
        <v>8.595042093E9</v>
      </c>
      <c r="F175" s="5" t="s">
        <v>289</v>
      </c>
    </row>
    <row r="176">
      <c r="A176" s="5" t="s">
        <v>1284</v>
      </c>
      <c r="B176" s="5">
        <v>9.971145791E9</v>
      </c>
      <c r="F176" s="5" t="s">
        <v>289</v>
      </c>
    </row>
    <row r="177">
      <c r="A177" s="5" t="s">
        <v>1286</v>
      </c>
      <c r="B177" s="5">
        <v>9.213380962E9</v>
      </c>
      <c r="F177" s="5" t="s">
        <v>289</v>
      </c>
    </row>
    <row r="178">
      <c r="A178" s="5" t="s">
        <v>1288</v>
      </c>
      <c r="B178" s="5">
        <v>7.703881613E9</v>
      </c>
      <c r="F178" s="5" t="s">
        <v>289</v>
      </c>
    </row>
    <row r="179">
      <c r="A179" s="13" t="s">
        <v>1289</v>
      </c>
      <c r="B179" s="13">
        <v>8.452788288E9</v>
      </c>
      <c r="C179" s="19"/>
      <c r="D179" s="13" t="s">
        <v>1290</v>
      </c>
      <c r="E179" s="19"/>
      <c r="F179" s="13" t="s">
        <v>289</v>
      </c>
      <c r="G179" s="19"/>
    </row>
    <row r="180">
      <c r="A180" s="5" t="s">
        <v>1291</v>
      </c>
      <c r="B180" s="5">
        <v>9.9025E9</v>
      </c>
      <c r="D180" s="5" t="s">
        <v>1255</v>
      </c>
      <c r="F180" s="5" t="s">
        <v>289</v>
      </c>
    </row>
    <row r="181">
      <c r="A181" s="5" t="s">
        <v>1293</v>
      </c>
      <c r="B181" s="5">
        <v>9.622214428E9</v>
      </c>
      <c r="D181" s="5" t="s">
        <v>1294</v>
      </c>
      <c r="F181" s="5" t="s">
        <v>289</v>
      </c>
    </row>
    <row r="182">
      <c r="A182" s="5" t="s">
        <v>1296</v>
      </c>
      <c r="B182" s="5">
        <v>9.711947445E9</v>
      </c>
      <c r="D182" s="5" t="s">
        <v>1297</v>
      </c>
      <c r="F182" s="5" t="s">
        <v>289</v>
      </c>
    </row>
    <row r="183">
      <c r="A183" s="5" t="s">
        <v>1300</v>
      </c>
      <c r="B183" s="5">
        <v>7.683086454E9</v>
      </c>
      <c r="D183" s="5" t="s">
        <v>1255</v>
      </c>
      <c r="F183" s="5" t="s">
        <v>289</v>
      </c>
    </row>
    <row r="184">
      <c r="A184" s="15" t="s">
        <v>1302</v>
      </c>
      <c r="B184" s="15">
        <v>9.654114393E9</v>
      </c>
      <c r="C184" s="17"/>
      <c r="D184" s="15" t="s">
        <v>1303</v>
      </c>
      <c r="E184" s="17"/>
      <c r="F184" s="15" t="s">
        <v>289</v>
      </c>
      <c r="G184" s="17"/>
      <c r="H184" s="17"/>
    </row>
    <row r="185">
      <c r="A185" s="15" t="s">
        <v>1304</v>
      </c>
      <c r="B185" s="15">
        <v>9.711269061E9</v>
      </c>
      <c r="C185" s="17"/>
      <c r="D185" s="15" t="s">
        <v>1209</v>
      </c>
      <c r="E185" s="17"/>
      <c r="F185" s="15" t="s">
        <v>289</v>
      </c>
      <c r="G185" s="17"/>
      <c r="H185" s="17"/>
    </row>
    <row r="186">
      <c r="A186" s="15" t="s">
        <v>1137</v>
      </c>
      <c r="B186" s="15">
        <v>9.911565272E9</v>
      </c>
      <c r="C186" s="17"/>
      <c r="D186" s="15" t="s">
        <v>1306</v>
      </c>
      <c r="E186" s="17"/>
      <c r="F186" s="15" t="s">
        <v>289</v>
      </c>
      <c r="G186" s="17"/>
      <c r="H186" s="17"/>
    </row>
    <row r="187">
      <c r="A187" s="15" t="s">
        <v>1308</v>
      </c>
      <c r="B187" s="15">
        <v>9.868921333E9</v>
      </c>
      <c r="C187" s="17"/>
      <c r="D187" s="15" t="s">
        <v>1309</v>
      </c>
      <c r="E187" s="17"/>
      <c r="F187" s="15" t="s">
        <v>289</v>
      </c>
      <c r="G187" s="17"/>
      <c r="H187" s="17"/>
    </row>
    <row r="188">
      <c r="A188" s="15" t="s">
        <v>1182</v>
      </c>
      <c r="B188" s="15">
        <v>9.810296558E9</v>
      </c>
      <c r="C188" s="17"/>
      <c r="D188" s="15" t="s">
        <v>1311</v>
      </c>
      <c r="E188" s="17"/>
      <c r="F188" s="15" t="s">
        <v>289</v>
      </c>
      <c r="G188" s="17"/>
      <c r="H188" s="17"/>
    </row>
    <row r="189">
      <c r="A189" s="15" t="s">
        <v>1312</v>
      </c>
      <c r="B189" s="15">
        <v>7.986913568E9</v>
      </c>
      <c r="C189" s="17"/>
      <c r="D189" s="15" t="s">
        <v>1263</v>
      </c>
      <c r="E189" s="17"/>
      <c r="F189" s="15" t="s">
        <v>289</v>
      </c>
      <c r="G189" s="17"/>
      <c r="H189" s="17"/>
    </row>
    <row r="190">
      <c r="A190" s="15" t="s">
        <v>1316</v>
      </c>
      <c r="B190" s="15">
        <v>9.654209028E9</v>
      </c>
      <c r="C190" s="17"/>
      <c r="D190" s="17"/>
      <c r="E190" s="17"/>
      <c r="F190" s="15" t="s">
        <v>289</v>
      </c>
      <c r="G190" s="17"/>
      <c r="H190" s="17"/>
    </row>
    <row r="191">
      <c r="A191" s="15" t="s">
        <v>1317</v>
      </c>
      <c r="B191" s="15">
        <v>8.010604606E9</v>
      </c>
      <c r="C191" s="17"/>
      <c r="D191" s="15" t="s">
        <v>1318</v>
      </c>
      <c r="E191" s="17"/>
      <c r="F191" s="15" t="s">
        <v>289</v>
      </c>
      <c r="G191" s="17"/>
      <c r="H191" s="17"/>
    </row>
    <row r="192">
      <c r="A192" s="15" t="s">
        <v>1321</v>
      </c>
      <c r="B192" s="15">
        <v>8.375980739E9</v>
      </c>
      <c r="C192" s="17"/>
      <c r="D192" s="15" t="s">
        <v>1322</v>
      </c>
      <c r="E192" s="17"/>
      <c r="F192" s="15" t="s">
        <v>289</v>
      </c>
      <c r="G192" s="17"/>
      <c r="H192" s="17"/>
    </row>
    <row r="193">
      <c r="A193" s="15" t="s">
        <v>1324</v>
      </c>
      <c r="B193" s="15">
        <v>9.717948003E9</v>
      </c>
      <c r="C193" s="17"/>
      <c r="D193" s="15" t="s">
        <v>1325</v>
      </c>
      <c r="E193" s="17"/>
      <c r="F193" s="15" t="s">
        <v>289</v>
      </c>
      <c r="G193" s="17"/>
      <c r="H193" s="17"/>
    </row>
    <row r="194">
      <c r="A194" s="15" t="s">
        <v>1327</v>
      </c>
      <c r="B194" s="15">
        <v>7.7038744E9</v>
      </c>
      <c r="C194" s="17"/>
      <c r="D194" s="15" t="s">
        <v>1328</v>
      </c>
      <c r="E194" s="17"/>
      <c r="F194" s="15" t="s">
        <v>289</v>
      </c>
      <c r="G194" s="17"/>
      <c r="H194" s="17"/>
    </row>
    <row r="195">
      <c r="A195" s="15" t="s">
        <v>1329</v>
      </c>
      <c r="B195" s="15">
        <v>9.210151917E9</v>
      </c>
      <c r="C195" s="17"/>
      <c r="D195" s="15" t="s">
        <v>1189</v>
      </c>
      <c r="E195" s="17"/>
      <c r="F195" s="15" t="s">
        <v>289</v>
      </c>
      <c r="G195" s="17"/>
      <c r="H195" s="17"/>
    </row>
    <row r="196">
      <c r="A196" s="15" t="s">
        <v>287</v>
      </c>
      <c r="B196" s="15">
        <v>9.896137076E9</v>
      </c>
      <c r="C196" s="17"/>
      <c r="D196" s="15" t="s">
        <v>1209</v>
      </c>
      <c r="E196" s="17"/>
      <c r="F196" s="15" t="s">
        <v>289</v>
      </c>
      <c r="G196" s="17"/>
      <c r="H196" s="17"/>
    </row>
    <row r="197">
      <c r="A197" s="15" t="s">
        <v>1332</v>
      </c>
      <c r="B197" s="15">
        <v>9.3160776E9</v>
      </c>
      <c r="C197" s="17"/>
      <c r="D197" s="17"/>
      <c r="E197" s="17"/>
      <c r="F197" s="15" t="s">
        <v>289</v>
      </c>
      <c r="G197" s="17"/>
      <c r="H197" s="17"/>
    </row>
    <row r="198">
      <c r="A198" s="15" t="s">
        <v>1333</v>
      </c>
      <c r="B198" s="15">
        <v>8.810420399E9</v>
      </c>
      <c r="C198" s="17"/>
      <c r="D198" s="15" t="s">
        <v>1192</v>
      </c>
      <c r="E198" s="17"/>
      <c r="F198" s="15" t="s">
        <v>289</v>
      </c>
      <c r="G198" s="17"/>
      <c r="H198" s="17"/>
    </row>
    <row r="199">
      <c r="A199" s="15" t="s">
        <v>1421</v>
      </c>
      <c r="B199" s="15">
        <v>9.21140601E9</v>
      </c>
      <c r="C199" s="17"/>
      <c r="D199" s="17"/>
      <c r="E199" s="17"/>
      <c r="F199" s="15" t="s">
        <v>289</v>
      </c>
      <c r="G199" s="17"/>
      <c r="H199" s="17"/>
    </row>
    <row r="200">
      <c r="A200" s="15" t="s">
        <v>1871</v>
      </c>
      <c r="B200" s="15">
        <v>9.265290879E9</v>
      </c>
      <c r="C200" s="17"/>
      <c r="D200" s="15" t="s">
        <v>1113</v>
      </c>
      <c r="E200" s="17"/>
      <c r="F200" s="15" t="s">
        <v>289</v>
      </c>
      <c r="G200" s="17"/>
      <c r="H200" s="17"/>
    </row>
    <row r="201">
      <c r="A201" s="15" t="s">
        <v>534</v>
      </c>
      <c r="B201" s="15">
        <v>9.958114553E9</v>
      </c>
      <c r="C201" s="17"/>
      <c r="D201" s="15" t="s">
        <v>1892</v>
      </c>
      <c r="E201" s="17"/>
      <c r="F201" s="15" t="s">
        <v>289</v>
      </c>
      <c r="G201" s="17"/>
      <c r="H201" s="17"/>
    </row>
    <row r="202">
      <c r="A202" s="15" t="s">
        <v>1903</v>
      </c>
      <c r="B202" s="15">
        <v>7.060038887E9</v>
      </c>
      <c r="C202" s="17"/>
      <c r="D202" s="15" t="s">
        <v>1904</v>
      </c>
      <c r="E202" s="17"/>
      <c r="F202" s="15" t="s">
        <v>289</v>
      </c>
      <c r="G202" s="17"/>
      <c r="H202" s="17"/>
    </row>
    <row r="203">
      <c r="A203" s="13" t="s">
        <v>1965</v>
      </c>
      <c r="B203" s="13">
        <v>9.58224393E9</v>
      </c>
      <c r="C203" s="13" t="s">
        <v>1966</v>
      </c>
      <c r="D203" s="13" t="s">
        <v>1967</v>
      </c>
      <c r="E203" s="19"/>
      <c r="F203" s="13" t="s">
        <v>289</v>
      </c>
      <c r="G203" s="17"/>
      <c r="H203" s="17"/>
    </row>
    <row r="204">
      <c r="A204" s="17"/>
      <c r="B204" s="17"/>
      <c r="C204" s="17"/>
      <c r="D204" s="17"/>
      <c r="E204" s="17"/>
      <c r="F204" s="17"/>
      <c r="G204" s="17"/>
      <c r="H204" s="17"/>
    </row>
    <row r="205">
      <c r="A205" s="17"/>
      <c r="B205" s="17"/>
      <c r="C205" s="17"/>
      <c r="D205" s="17"/>
      <c r="E205" s="17"/>
      <c r="F205" s="17"/>
      <c r="G205" s="17"/>
      <c r="H205"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4" max="14" width="12.63"/>
  </cols>
  <sheetData>
    <row r="1">
      <c r="A1" s="46" t="str">
        <f t="array" ref="A1:J1859">'Form responses 1'!A1:J1865</f>
        <v>Timestamp</v>
      </c>
      <c r="B1" s="46" t="s">
        <v>1</v>
      </c>
      <c r="C1" s="46" t="s">
        <v>2</v>
      </c>
      <c r="D1" s="46" t="s">
        <v>3</v>
      </c>
      <c r="E1" s="46" t="s">
        <v>4</v>
      </c>
      <c r="F1" s="46" t="s">
        <v>5</v>
      </c>
      <c r="G1" s="46" t="s">
        <v>6</v>
      </c>
      <c r="H1" s="46" t="s">
        <v>7</v>
      </c>
      <c r="I1" s="46" t="s">
        <v>8</v>
      </c>
      <c r="J1" s="46" t="s">
        <v>9</v>
      </c>
      <c r="K1" s="5" t="s">
        <v>1997</v>
      </c>
      <c r="L1" s="5" t="s">
        <v>1998</v>
      </c>
      <c r="M1" s="5" t="s">
        <v>1999</v>
      </c>
    </row>
    <row r="2">
      <c r="A2" s="47">
        <v>45244.54870039352</v>
      </c>
      <c r="B2" s="46" t="s">
        <v>10</v>
      </c>
      <c r="C2" s="46">
        <v>9.136309025E9</v>
      </c>
      <c r="D2" s="46"/>
      <c r="E2" s="46" t="s">
        <v>11</v>
      </c>
      <c r="F2" s="46"/>
      <c r="G2" s="46"/>
      <c r="H2" s="46"/>
      <c r="I2" s="46"/>
      <c r="J2" s="46"/>
      <c r="K2" s="46" t="str">
        <f>IFERROR(__xludf.DUMMYFUNCTION("if(A2="""","""",IF(G2="""",""Myn"",IF(REGEXMATCH(lower(G2),""mynn""),""Myn"",if(G2&lt;&gt;"""",""GEMTRE"",""""))))"),"Myn")</f>
        <v>Myn</v>
      </c>
      <c r="L2" s="46" t="str">
        <f t="array" ref="L2:L1865">if(K2:K1865="Myn",N2,if(K2:K1865&lt;&gt;"",N3,""))</f>
        <v>Hi $(Name)! 👋*
Thank you for exploring MYNN at the International Trade Fair! 🌐 We appreciate your time and interest in our lab-grown diamonds.
Quick question: Can we keep you in the loop about our latest designs and offers? Reply with 'YES' or 'STOP' to opt-out. 😊</v>
      </c>
      <c r="M2" s="48">
        <v>45255.46055555555</v>
      </c>
      <c r="N2" s="46" t="s">
        <v>2000</v>
      </c>
    </row>
    <row r="3">
      <c r="A3" s="47">
        <v>45244.57397239583</v>
      </c>
      <c r="B3" s="46" t="s">
        <v>12</v>
      </c>
      <c r="C3" s="46">
        <v>9.810256616E9</v>
      </c>
      <c r="D3" s="46"/>
      <c r="E3" s="46" t="s">
        <v>13</v>
      </c>
      <c r="F3" s="46"/>
      <c r="G3" s="46"/>
      <c r="H3" s="46"/>
      <c r="I3" s="46"/>
      <c r="J3" s="46"/>
      <c r="K3" s="46" t="str">
        <f>IFERROR(__xludf.DUMMYFUNCTION("if(A3="""","""",IF(G3="""",""Myn"",IF(REGEXMATCH(lower(G3),""mynn""),""Myn"",if(G3&lt;&gt;"""",""GEMTRE"",""""))))"),"Myn")</f>
        <v>Myn</v>
      </c>
      <c r="L3" s="46" t="s">
        <v>2000</v>
      </c>
      <c r="M3" s="48">
        <v>45255.46055555555</v>
      </c>
      <c r="N3" s="46" t="s">
        <v>2001</v>
      </c>
    </row>
    <row r="4">
      <c r="A4" s="47">
        <v>45244.582647118055</v>
      </c>
      <c r="B4" s="46" t="s">
        <v>14</v>
      </c>
      <c r="C4" s="46">
        <v>8.744047372E9</v>
      </c>
      <c r="D4" s="46"/>
      <c r="E4" s="46" t="s">
        <v>15</v>
      </c>
      <c r="F4" s="46"/>
      <c r="G4" s="46"/>
      <c r="H4" s="46"/>
      <c r="I4" s="46"/>
      <c r="J4" s="46"/>
      <c r="K4" s="46" t="str">
        <f>IFERROR(__xludf.DUMMYFUNCTION("if(A4="""","""",IF(G4="""",""Myn"",IF(REGEXMATCH(lower(G4),""mynn""),""Myn"",if(G4&lt;&gt;"""",""GEMTRE"",""""))))"),"Myn")</f>
        <v>Myn</v>
      </c>
      <c r="L4" s="46" t="s">
        <v>2000</v>
      </c>
      <c r="M4" s="48">
        <v>45255.46055555555</v>
      </c>
    </row>
    <row r="5">
      <c r="A5" s="47">
        <v>45244.589846180555</v>
      </c>
      <c r="B5" s="46" t="s">
        <v>16</v>
      </c>
      <c r="C5" s="46">
        <v>9.891052999E9</v>
      </c>
      <c r="D5" s="46" t="s">
        <v>17</v>
      </c>
      <c r="E5" s="46" t="s">
        <v>18</v>
      </c>
      <c r="F5" s="46"/>
      <c r="G5" s="46"/>
      <c r="H5" s="46"/>
      <c r="I5" s="46"/>
      <c r="J5" s="46"/>
      <c r="K5" s="46" t="str">
        <f>IFERROR(__xludf.DUMMYFUNCTION("if(A5="""","""",IF(G5="""",""Myn"",IF(REGEXMATCH(lower(G5),""mynn""),""Myn"",if(G5&lt;&gt;"""",""GEMTRE"",""""))))"),"Myn")</f>
        <v>Myn</v>
      </c>
      <c r="L5" s="46" t="s">
        <v>2000</v>
      </c>
      <c r="M5" s="48">
        <v>45255.46055555555</v>
      </c>
    </row>
    <row r="6">
      <c r="A6" s="47">
        <v>45244.60945173611</v>
      </c>
      <c r="B6" s="46" t="s">
        <v>19</v>
      </c>
      <c r="C6" s="46">
        <v>9.953014175E9</v>
      </c>
      <c r="D6" s="46" t="s">
        <v>20</v>
      </c>
      <c r="E6" s="46" t="s">
        <v>21</v>
      </c>
      <c r="F6" s="46"/>
      <c r="G6" s="46"/>
      <c r="H6" s="46"/>
      <c r="I6" s="46"/>
      <c r="J6" s="46"/>
      <c r="K6" s="46" t="str">
        <f>IFERROR(__xludf.DUMMYFUNCTION("if(A6="""","""",IF(G6="""",""Myn"",IF(REGEXMATCH(lower(G6),""mynn""),""Myn"",if(G6&lt;&gt;"""",""GEMTRE"",""""))))"),"Myn")</f>
        <v>Myn</v>
      </c>
      <c r="L6" s="46" t="s">
        <v>2000</v>
      </c>
      <c r="M6" s="48">
        <v>45255.46055555555</v>
      </c>
    </row>
    <row r="7">
      <c r="A7" s="47">
        <v>45244.64004233797</v>
      </c>
      <c r="B7" s="46" t="s">
        <v>22</v>
      </c>
      <c r="C7" s="46">
        <v>7.983254745E9</v>
      </c>
      <c r="D7" s="46" t="s">
        <v>23</v>
      </c>
      <c r="E7" s="46" t="s">
        <v>24</v>
      </c>
      <c r="F7" s="46"/>
      <c r="G7" s="46"/>
      <c r="H7" s="46"/>
      <c r="I7" s="46"/>
      <c r="J7" s="46"/>
      <c r="K7" s="46" t="str">
        <f>IFERROR(__xludf.DUMMYFUNCTION("if(A7="""","""",IF(G7="""",""Myn"",IF(REGEXMATCH(lower(G7),""mynn""),""Myn"",if(G7&lt;&gt;"""",""GEMTRE"",""""))))"),"Myn")</f>
        <v>Myn</v>
      </c>
      <c r="L7" s="46" t="s">
        <v>2000</v>
      </c>
      <c r="M7" s="48">
        <v>45255.46055555555</v>
      </c>
    </row>
    <row r="8">
      <c r="A8" s="47">
        <v>45244.64301944444</v>
      </c>
      <c r="B8" s="46" t="s">
        <v>25</v>
      </c>
      <c r="C8" s="46">
        <v>9.810313571E9</v>
      </c>
      <c r="D8" s="46"/>
      <c r="E8" s="46" t="s">
        <v>26</v>
      </c>
      <c r="F8" s="46"/>
      <c r="G8" s="46"/>
      <c r="H8" s="46"/>
      <c r="I8" s="46"/>
      <c r="J8" s="46"/>
      <c r="K8" s="46" t="str">
        <f>IFERROR(__xludf.DUMMYFUNCTION("if(A8="""","""",IF(G8="""",""Myn"",IF(REGEXMATCH(lower(G8),""mynn""),""Myn"",if(G8&lt;&gt;"""",""GEMTRE"",""""))))"),"Myn")</f>
        <v>Myn</v>
      </c>
      <c r="L8" s="46" t="s">
        <v>2000</v>
      </c>
      <c r="M8" s="48">
        <v>45255.46055555555</v>
      </c>
    </row>
    <row r="9">
      <c r="A9" s="47">
        <v>45244.71443070602</v>
      </c>
      <c r="B9" s="46" t="s">
        <v>27</v>
      </c>
      <c r="C9" s="46">
        <v>8.368206917E9</v>
      </c>
      <c r="D9" s="46" t="s">
        <v>28</v>
      </c>
      <c r="E9" s="46" t="s">
        <v>29</v>
      </c>
      <c r="F9" s="46"/>
      <c r="G9" s="46"/>
      <c r="H9" s="46"/>
      <c r="I9" s="46"/>
      <c r="J9" s="46"/>
      <c r="K9" s="46" t="str">
        <f>IFERROR(__xludf.DUMMYFUNCTION("if(A9="""","""",IF(G9="""",""Myn"",IF(REGEXMATCH(lower(G9),""mynn""),""Myn"",if(G9&lt;&gt;"""",""GEMTRE"",""""))))"),"Myn")</f>
        <v>Myn</v>
      </c>
      <c r="L9" s="46" t="s">
        <v>2000</v>
      </c>
      <c r="M9" s="48">
        <v>45255.46055555555</v>
      </c>
    </row>
    <row r="10">
      <c r="A10" s="47">
        <v>45244.72722326389</v>
      </c>
      <c r="B10" s="46" t="s">
        <v>30</v>
      </c>
      <c r="C10" s="46">
        <v>9.899338965E9</v>
      </c>
      <c r="D10" s="46" t="s">
        <v>31</v>
      </c>
      <c r="E10" s="46"/>
      <c r="F10" s="46"/>
      <c r="G10" s="46"/>
      <c r="H10" s="46"/>
      <c r="I10" s="46"/>
      <c r="J10" s="46"/>
      <c r="K10" s="46" t="str">
        <f>IFERROR(__xludf.DUMMYFUNCTION("if(A10="""","""",IF(G10="""",""Myn"",IF(REGEXMATCH(lower(G10),""mynn""),""Myn"",if(G10&lt;&gt;"""",""GEMTRE"",""""))))"),"Myn")</f>
        <v>Myn</v>
      </c>
      <c r="L10" s="46" t="s">
        <v>2000</v>
      </c>
      <c r="M10" s="48">
        <v>45255.46055555555</v>
      </c>
    </row>
    <row r="11">
      <c r="A11" s="47">
        <v>45244.742801747685</v>
      </c>
      <c r="B11" s="46" t="s">
        <v>32</v>
      </c>
      <c r="C11" s="46">
        <v>9.325764045E9</v>
      </c>
      <c r="D11" s="46" t="s">
        <v>33</v>
      </c>
      <c r="E11" s="46"/>
      <c r="F11" s="46"/>
      <c r="G11" s="46"/>
      <c r="H11" s="46"/>
      <c r="I11" s="46"/>
      <c r="J11" s="46"/>
      <c r="K11" s="46" t="str">
        <f>IFERROR(__xludf.DUMMYFUNCTION("if(A11="""","""",IF(G11="""",""Myn"",IF(REGEXMATCH(lower(G11),""mynn""),""Myn"",if(G11&lt;&gt;"""",""GEMTRE"",""""))))"),"Myn")</f>
        <v>Myn</v>
      </c>
      <c r="L11" s="46" t="s">
        <v>2000</v>
      </c>
      <c r="M11" s="48">
        <v>45255.46055555555</v>
      </c>
    </row>
    <row r="12">
      <c r="A12" s="47">
        <v>45244.744503587965</v>
      </c>
      <c r="B12" s="46" t="s">
        <v>34</v>
      </c>
      <c r="C12" s="46">
        <v>9.810123936E9</v>
      </c>
      <c r="D12" s="46"/>
      <c r="E12" s="46" t="s">
        <v>26</v>
      </c>
      <c r="F12" s="46"/>
      <c r="G12" s="46"/>
      <c r="H12" s="46"/>
      <c r="I12" s="46"/>
      <c r="J12" s="46"/>
      <c r="K12" s="46" t="str">
        <f>IFERROR(__xludf.DUMMYFUNCTION("if(A12="""","""",IF(G12="""",""Myn"",IF(REGEXMATCH(lower(G12),""mynn""),""Myn"",if(G12&lt;&gt;"""",""GEMTRE"",""""))))"),"Myn")</f>
        <v>Myn</v>
      </c>
      <c r="L12" s="46" t="s">
        <v>2000</v>
      </c>
      <c r="M12" s="48">
        <v>45255.46055555555</v>
      </c>
    </row>
    <row r="13">
      <c r="A13" s="47">
        <v>45244.78659159722</v>
      </c>
      <c r="B13" s="46" t="s">
        <v>35</v>
      </c>
      <c r="C13" s="46">
        <v>9.810067621E9</v>
      </c>
      <c r="D13" s="46"/>
      <c r="E13" s="46" t="s">
        <v>36</v>
      </c>
      <c r="F13" s="46"/>
      <c r="G13" s="46"/>
      <c r="H13" s="46"/>
      <c r="I13" s="46"/>
      <c r="J13" s="46"/>
      <c r="K13" s="46" t="str">
        <f>IFERROR(__xludf.DUMMYFUNCTION("if(A13="""","""",IF(G13="""",""Myn"",IF(REGEXMATCH(lower(G13),""mynn""),""Myn"",if(G13&lt;&gt;"""",""GEMTRE"",""""))))"),"Myn")</f>
        <v>Myn</v>
      </c>
      <c r="L13" s="46" t="s">
        <v>2000</v>
      </c>
      <c r="M13" s="48">
        <v>45255.46055555555</v>
      </c>
    </row>
    <row r="14">
      <c r="A14" s="47">
        <v>45245.53103525463</v>
      </c>
      <c r="B14" s="46" t="s">
        <v>37</v>
      </c>
      <c r="C14" s="46">
        <v>9.958416989E9</v>
      </c>
      <c r="D14" s="46" t="s">
        <v>38</v>
      </c>
      <c r="E14" s="46" t="s">
        <v>39</v>
      </c>
      <c r="F14" s="46"/>
      <c r="G14" s="46"/>
      <c r="H14" s="46"/>
      <c r="I14" s="46"/>
      <c r="J14" s="46"/>
      <c r="K14" s="46" t="str">
        <f>IFERROR(__xludf.DUMMYFUNCTION("if(A14="""","""",IF(G14="""",""Myn"",IF(REGEXMATCH(lower(G14),""mynn""),""Myn"",if(G14&lt;&gt;"""",""GEMTRE"",""""))))"),"Myn")</f>
        <v>Myn</v>
      </c>
      <c r="L14" s="46" t="s">
        <v>2000</v>
      </c>
      <c r="M14" s="48">
        <v>45255.46055555555</v>
      </c>
    </row>
    <row r="15">
      <c r="A15" s="47">
        <v>45245.53163820602</v>
      </c>
      <c r="B15" s="46" t="s">
        <v>40</v>
      </c>
      <c r="C15" s="46">
        <v>9.643169967E9</v>
      </c>
      <c r="D15" s="46"/>
      <c r="E15" s="46" t="s">
        <v>41</v>
      </c>
      <c r="F15" s="46"/>
      <c r="G15" s="46"/>
      <c r="H15" s="46"/>
      <c r="I15" s="46"/>
      <c r="J15" s="46"/>
      <c r="K15" s="46" t="str">
        <f>IFERROR(__xludf.DUMMYFUNCTION("if(A15="""","""",IF(G15="""",""Myn"",IF(REGEXMATCH(lower(G15),""mynn""),""Myn"",if(G15&lt;&gt;"""",""GEMTRE"",""""))))"),"Myn")</f>
        <v>Myn</v>
      </c>
      <c r="L15" s="46" t="s">
        <v>2000</v>
      </c>
      <c r="M15" s="48">
        <v>45255.46055555555</v>
      </c>
    </row>
    <row r="16">
      <c r="A16" s="47">
        <v>45245.53328877315</v>
      </c>
      <c r="B16" s="46" t="s">
        <v>42</v>
      </c>
      <c r="C16" s="46">
        <v>9.75556176E9</v>
      </c>
      <c r="D16" s="46" t="s">
        <v>43</v>
      </c>
      <c r="E16" s="46" t="s">
        <v>44</v>
      </c>
      <c r="F16" s="46"/>
      <c r="G16" s="46"/>
      <c r="H16" s="46"/>
      <c r="I16" s="46"/>
      <c r="J16" s="46"/>
      <c r="K16" s="46" t="str">
        <f>IFERROR(__xludf.DUMMYFUNCTION("if(A16="""","""",IF(G16="""",""Myn"",IF(REGEXMATCH(lower(G16),""mynn""),""Myn"",if(G16&lt;&gt;"""",""GEMTRE"",""""))))"),"Myn")</f>
        <v>Myn</v>
      </c>
      <c r="L16" s="46" t="s">
        <v>2000</v>
      </c>
      <c r="M16" s="48">
        <v>45255.46055555555</v>
      </c>
    </row>
    <row r="17">
      <c r="A17" s="47">
        <v>45245.53976958334</v>
      </c>
      <c r="B17" s="46" t="s">
        <v>45</v>
      </c>
      <c r="C17" s="46">
        <v>9.868365195E9</v>
      </c>
      <c r="D17" s="46"/>
      <c r="E17" s="46" t="s">
        <v>46</v>
      </c>
      <c r="F17" s="49" t="s">
        <v>47</v>
      </c>
      <c r="G17" s="46"/>
      <c r="H17" s="46"/>
      <c r="I17" s="46"/>
      <c r="J17" s="46"/>
      <c r="K17" s="46" t="str">
        <f>IFERROR(__xludf.DUMMYFUNCTION("if(A17="""","""",IF(G17="""",""Myn"",IF(REGEXMATCH(lower(G17),""mynn""),""Myn"",if(G17&lt;&gt;"""",""GEMTRE"",""""))))"),"Myn")</f>
        <v>Myn</v>
      </c>
      <c r="L17" s="46" t="s">
        <v>2000</v>
      </c>
      <c r="M17" s="48">
        <v>45255.46055555555</v>
      </c>
    </row>
    <row r="18">
      <c r="A18" s="47">
        <v>45245.54260236111</v>
      </c>
      <c r="B18" s="46" t="s">
        <v>48</v>
      </c>
      <c r="C18" s="46">
        <v>9.89175525E9</v>
      </c>
      <c r="D18" s="46"/>
      <c r="E18" s="46" t="s">
        <v>13</v>
      </c>
      <c r="F18" s="46"/>
      <c r="G18" s="46"/>
      <c r="H18" s="46"/>
      <c r="I18" s="46"/>
      <c r="J18" s="46"/>
      <c r="K18" s="46" t="str">
        <f>IFERROR(__xludf.DUMMYFUNCTION("if(A18="""","""",IF(G18="""",""Myn"",IF(REGEXMATCH(lower(G18),""mynn""),""Myn"",if(G18&lt;&gt;"""",""GEMTRE"",""""))))"),"Myn")</f>
        <v>Myn</v>
      </c>
      <c r="L18" s="46" t="s">
        <v>2000</v>
      </c>
      <c r="M18" s="48">
        <v>45255.46055555555</v>
      </c>
    </row>
    <row r="19">
      <c r="A19" s="47">
        <v>45245.54498453704</v>
      </c>
      <c r="B19" s="46" t="s">
        <v>49</v>
      </c>
      <c r="C19" s="46">
        <v>9.540950717E9</v>
      </c>
      <c r="D19" s="46" t="s">
        <v>50</v>
      </c>
      <c r="E19" s="46" t="s">
        <v>51</v>
      </c>
      <c r="F19" s="46"/>
      <c r="G19" s="46"/>
      <c r="H19" s="46"/>
      <c r="I19" s="46"/>
      <c r="J19" s="46"/>
      <c r="K19" s="46" t="str">
        <f>IFERROR(__xludf.DUMMYFUNCTION("if(A19="""","""",IF(G19="""",""Myn"",IF(REGEXMATCH(lower(G19),""mynn""),""Myn"",if(G19&lt;&gt;"""",""GEMTRE"",""""))))"),"Myn")</f>
        <v>Myn</v>
      </c>
      <c r="L19" s="46" t="s">
        <v>2000</v>
      </c>
      <c r="M19" s="48">
        <v>45255.46055555555</v>
      </c>
    </row>
    <row r="20">
      <c r="A20" s="47">
        <v>45245.554801990744</v>
      </c>
      <c r="B20" s="46" t="s">
        <v>52</v>
      </c>
      <c r="C20" s="46">
        <v>9.501385713E9</v>
      </c>
      <c r="D20" s="46" t="s">
        <v>53</v>
      </c>
      <c r="E20" s="46"/>
      <c r="F20" s="46"/>
      <c r="G20" s="46"/>
      <c r="H20" s="46"/>
      <c r="I20" s="46"/>
      <c r="J20" s="46"/>
      <c r="K20" s="46" t="str">
        <f>IFERROR(__xludf.DUMMYFUNCTION("if(A20="""","""",IF(G20="""",""Myn"",IF(REGEXMATCH(lower(G20),""mynn""),""Myn"",if(G20&lt;&gt;"""",""GEMTRE"",""""))))"),"Myn")</f>
        <v>Myn</v>
      </c>
      <c r="L20" s="46" t="s">
        <v>2000</v>
      </c>
      <c r="M20" s="48">
        <v>45255.46055555555</v>
      </c>
    </row>
    <row r="21">
      <c r="A21" s="47">
        <v>45245.5638040162</v>
      </c>
      <c r="B21" s="46" t="s">
        <v>54</v>
      </c>
      <c r="C21" s="46">
        <v>9.810725225E9</v>
      </c>
      <c r="D21" s="46" t="s">
        <v>55</v>
      </c>
      <c r="E21" s="46" t="s">
        <v>56</v>
      </c>
      <c r="F21" s="46"/>
      <c r="G21" s="46"/>
      <c r="H21" s="46"/>
      <c r="I21" s="46"/>
      <c r="J21" s="46"/>
      <c r="K21" s="46" t="str">
        <f>IFERROR(__xludf.DUMMYFUNCTION("if(A21="""","""",IF(G21="""",""Myn"",IF(REGEXMATCH(lower(G21),""mynn""),""Myn"",if(G21&lt;&gt;"""",""GEMTRE"",""""))))"),"Myn")</f>
        <v>Myn</v>
      </c>
      <c r="L21" s="46" t="s">
        <v>2000</v>
      </c>
      <c r="M21" s="48">
        <v>45255.46055555555</v>
      </c>
    </row>
    <row r="22">
      <c r="A22" s="47">
        <v>45245.56643873843</v>
      </c>
      <c r="B22" s="46" t="s">
        <v>57</v>
      </c>
      <c r="C22" s="46">
        <v>9.811645742E9</v>
      </c>
      <c r="D22" s="46"/>
      <c r="E22" s="46"/>
      <c r="F22" s="46"/>
      <c r="G22" s="46"/>
      <c r="H22" s="46"/>
      <c r="I22" s="46"/>
      <c r="J22" s="46"/>
      <c r="K22" s="46" t="str">
        <f>IFERROR(__xludf.DUMMYFUNCTION("if(A22="""","""",IF(G22="""",""Myn"",IF(REGEXMATCH(lower(G22),""mynn""),""Myn"",if(G22&lt;&gt;"""",""GEMTRE"",""""))))"),"Myn")</f>
        <v>Myn</v>
      </c>
      <c r="L22" s="46" t="s">
        <v>2000</v>
      </c>
      <c r="M22" s="48">
        <v>45255.46055555555</v>
      </c>
    </row>
    <row r="23">
      <c r="A23" s="47">
        <v>45245.57094351852</v>
      </c>
      <c r="B23" s="46" t="s">
        <v>58</v>
      </c>
      <c r="C23" s="46">
        <v>9.811959422E9</v>
      </c>
      <c r="D23" s="46" t="s">
        <v>59</v>
      </c>
      <c r="E23" s="46" t="s">
        <v>60</v>
      </c>
      <c r="F23" s="46"/>
      <c r="G23" s="46"/>
      <c r="H23" s="46"/>
      <c r="I23" s="46"/>
      <c r="J23" s="46"/>
      <c r="K23" s="46" t="str">
        <f>IFERROR(__xludf.DUMMYFUNCTION("if(A23="""","""",IF(G23="""",""Myn"",IF(REGEXMATCH(lower(G23),""mynn""),""Myn"",if(G23&lt;&gt;"""",""GEMTRE"",""""))))"),"Myn")</f>
        <v>Myn</v>
      </c>
      <c r="L23" s="46" t="s">
        <v>2000</v>
      </c>
      <c r="M23" s="48">
        <v>45255.46055555555</v>
      </c>
    </row>
    <row r="24">
      <c r="A24" s="47">
        <v>45245.57101315972</v>
      </c>
      <c r="B24" s="46" t="s">
        <v>61</v>
      </c>
      <c r="C24" s="46">
        <v>9.958577807E9</v>
      </c>
      <c r="D24" s="46"/>
      <c r="E24" s="46" t="s">
        <v>62</v>
      </c>
      <c r="F24" s="46"/>
      <c r="G24" s="46"/>
      <c r="H24" s="46"/>
      <c r="I24" s="46"/>
      <c r="J24" s="46"/>
      <c r="K24" s="46" t="str">
        <f>IFERROR(__xludf.DUMMYFUNCTION("if(A24="""","""",IF(G24="""",""Myn"",IF(REGEXMATCH(lower(G24),""mynn""),""Myn"",if(G24&lt;&gt;"""",""GEMTRE"",""""))))"),"Myn")</f>
        <v>Myn</v>
      </c>
      <c r="L24" s="46" t="s">
        <v>2000</v>
      </c>
      <c r="M24" s="48">
        <v>45255.46055555555</v>
      </c>
    </row>
    <row r="25">
      <c r="A25" s="47">
        <v>45245.57800849537</v>
      </c>
      <c r="B25" s="46" t="s">
        <v>63</v>
      </c>
      <c r="C25" s="46">
        <v>9.811139553E9</v>
      </c>
      <c r="D25" s="46"/>
      <c r="E25" s="46"/>
      <c r="F25" s="46"/>
      <c r="G25" s="46"/>
      <c r="H25" s="46"/>
      <c r="I25" s="46"/>
      <c r="J25" s="46"/>
      <c r="K25" s="46" t="str">
        <f>IFERROR(__xludf.DUMMYFUNCTION("if(A25="""","""",IF(G25="""",""Myn"",IF(REGEXMATCH(lower(G25),""mynn""),""Myn"",if(G25&lt;&gt;"""",""GEMTRE"",""""))))"),"Myn")</f>
        <v>Myn</v>
      </c>
      <c r="L25" s="46" t="s">
        <v>2000</v>
      </c>
      <c r="M25" s="48">
        <v>45255.46055555555</v>
      </c>
    </row>
    <row r="26">
      <c r="A26" s="47">
        <v>45245.60786849537</v>
      </c>
      <c r="B26" s="46" t="s">
        <v>64</v>
      </c>
      <c r="C26" s="46">
        <v>9.897794534E9</v>
      </c>
      <c r="D26" s="46"/>
      <c r="E26" s="46"/>
      <c r="F26" s="46"/>
      <c r="G26" s="46"/>
      <c r="H26" s="46"/>
      <c r="I26" s="46"/>
      <c r="J26" s="46"/>
      <c r="K26" s="46" t="str">
        <f>IFERROR(__xludf.DUMMYFUNCTION("if(A26="""","""",IF(G26="""",""Myn"",IF(REGEXMATCH(lower(G26),""mynn""),""Myn"",if(G26&lt;&gt;"""",""GEMTRE"",""""))))"),"Myn")</f>
        <v>Myn</v>
      </c>
      <c r="L26" s="46" t="s">
        <v>2000</v>
      </c>
      <c r="M26" s="48">
        <v>45255.46055555555</v>
      </c>
    </row>
    <row r="27">
      <c r="A27" s="47">
        <v>45245.61473645833</v>
      </c>
      <c r="B27" s="46" t="s">
        <v>65</v>
      </c>
      <c r="C27" s="46">
        <v>9.8183603E9</v>
      </c>
      <c r="D27" s="46"/>
      <c r="E27" s="46" t="s">
        <v>21</v>
      </c>
      <c r="F27" s="49" t="s">
        <v>66</v>
      </c>
      <c r="G27" s="46"/>
      <c r="H27" s="46"/>
      <c r="I27" s="46"/>
      <c r="J27" s="46"/>
      <c r="K27" s="46" t="str">
        <f>IFERROR(__xludf.DUMMYFUNCTION("if(A27="""","""",IF(G27="""",""Myn"",IF(REGEXMATCH(lower(G27),""mynn""),""Myn"",if(G27&lt;&gt;"""",""GEMTRE"",""""))))"),"Myn")</f>
        <v>Myn</v>
      </c>
      <c r="L27" s="46" t="s">
        <v>2000</v>
      </c>
      <c r="M27" s="48">
        <v>45255.46055555555</v>
      </c>
    </row>
    <row r="28">
      <c r="A28" s="47">
        <v>45245.665042685185</v>
      </c>
      <c r="B28" s="46" t="s">
        <v>67</v>
      </c>
      <c r="C28" s="46">
        <v>8.668653665E9</v>
      </c>
      <c r="D28" s="46"/>
      <c r="E28" s="46" t="s">
        <v>68</v>
      </c>
      <c r="F28" s="46"/>
      <c r="G28" s="46"/>
      <c r="H28" s="46"/>
      <c r="I28" s="46"/>
      <c r="J28" s="46"/>
      <c r="K28" s="46" t="str">
        <f>IFERROR(__xludf.DUMMYFUNCTION("if(A28="""","""",IF(G28="""",""Myn"",IF(REGEXMATCH(lower(G28),""mynn""),""Myn"",if(G28&lt;&gt;"""",""GEMTRE"",""""))))"),"Myn")</f>
        <v>Myn</v>
      </c>
      <c r="L28" s="46" t="s">
        <v>2000</v>
      </c>
      <c r="M28" s="48">
        <v>45255.46055555555</v>
      </c>
    </row>
    <row r="29">
      <c r="A29" s="47">
        <v>45245.6797196875</v>
      </c>
      <c r="B29" s="46" t="s">
        <v>69</v>
      </c>
      <c r="C29" s="46">
        <v>9.859344444E9</v>
      </c>
      <c r="D29" s="46" t="s">
        <v>70</v>
      </c>
      <c r="E29" s="46" t="s">
        <v>71</v>
      </c>
      <c r="F29" s="46"/>
      <c r="G29" s="46"/>
      <c r="H29" s="46"/>
      <c r="I29" s="46"/>
      <c r="J29" s="46"/>
      <c r="K29" s="46" t="str">
        <f>IFERROR(__xludf.DUMMYFUNCTION("if(A29="""","""",IF(G29="""",""Myn"",IF(REGEXMATCH(lower(G29),""mynn""),""Myn"",if(G29&lt;&gt;"""",""GEMTRE"",""""))))"),"Myn")</f>
        <v>Myn</v>
      </c>
      <c r="L29" s="46" t="s">
        <v>2000</v>
      </c>
      <c r="M29" s="48">
        <v>45255.46055555555</v>
      </c>
    </row>
    <row r="30">
      <c r="A30" s="47">
        <v>45245.68538966435</v>
      </c>
      <c r="B30" s="46" t="s">
        <v>72</v>
      </c>
      <c r="C30" s="46">
        <v>7.838580859E9</v>
      </c>
      <c r="D30" s="46"/>
      <c r="E30" s="46"/>
      <c r="F30" s="46"/>
      <c r="G30" s="46"/>
      <c r="H30" s="46"/>
      <c r="I30" s="46"/>
      <c r="J30" s="46"/>
      <c r="K30" s="46" t="str">
        <f>IFERROR(__xludf.DUMMYFUNCTION("if(A30="""","""",IF(G30="""",""Myn"",IF(REGEXMATCH(lower(G30),""mynn""),""Myn"",if(G30&lt;&gt;"""",""GEMTRE"",""""))))"),"Myn")</f>
        <v>Myn</v>
      </c>
      <c r="L30" s="46" t="s">
        <v>2000</v>
      </c>
      <c r="M30" s="48">
        <v>45255.46055555555</v>
      </c>
    </row>
    <row r="31">
      <c r="A31" s="47">
        <v>45245.68673847222</v>
      </c>
      <c r="B31" s="46" t="s">
        <v>73</v>
      </c>
      <c r="C31" s="46">
        <v>8.860741616E9</v>
      </c>
      <c r="D31" s="46" t="s">
        <v>74</v>
      </c>
      <c r="E31" s="46" t="s">
        <v>15</v>
      </c>
      <c r="F31" s="46"/>
      <c r="G31" s="46"/>
      <c r="H31" s="46"/>
      <c r="I31" s="46"/>
      <c r="J31" s="46"/>
      <c r="K31" s="46" t="str">
        <f>IFERROR(__xludf.DUMMYFUNCTION("if(A31="""","""",IF(G31="""",""Myn"",IF(REGEXMATCH(lower(G31),""mynn""),""Myn"",if(G31&lt;&gt;"""",""GEMTRE"",""""))))"),"Myn")</f>
        <v>Myn</v>
      </c>
      <c r="L31" s="46" t="s">
        <v>2000</v>
      </c>
      <c r="M31" s="48">
        <v>45255.46055555555</v>
      </c>
    </row>
    <row r="32">
      <c r="A32" s="47">
        <v>45245.70349100695</v>
      </c>
      <c r="B32" s="46" t="s">
        <v>75</v>
      </c>
      <c r="C32" s="46">
        <v>9.773729209E9</v>
      </c>
      <c r="D32" s="46"/>
      <c r="E32" s="46"/>
      <c r="F32" s="46"/>
      <c r="G32" s="46"/>
      <c r="H32" s="46"/>
      <c r="I32" s="46"/>
      <c r="J32" s="46"/>
      <c r="K32" s="46" t="str">
        <f>IFERROR(__xludf.DUMMYFUNCTION("if(A32="""","""",IF(G32="""",""Myn"",IF(REGEXMATCH(lower(G32),""mynn""),""Myn"",if(G32&lt;&gt;"""",""GEMTRE"",""""))))"),"Myn")</f>
        <v>Myn</v>
      </c>
      <c r="L32" s="46" t="s">
        <v>2000</v>
      </c>
      <c r="M32" s="48">
        <v>45255.46055555555</v>
      </c>
    </row>
    <row r="33">
      <c r="A33" s="47">
        <v>45245.709797303236</v>
      </c>
      <c r="B33" s="46" t="s">
        <v>76</v>
      </c>
      <c r="C33" s="46">
        <v>9.868041303E9</v>
      </c>
      <c r="D33" s="46"/>
      <c r="E33" s="46" t="s">
        <v>77</v>
      </c>
      <c r="F33" s="46"/>
      <c r="G33" s="46"/>
      <c r="H33" s="46"/>
      <c r="I33" s="46"/>
      <c r="J33" s="46"/>
      <c r="K33" s="46" t="str">
        <f>IFERROR(__xludf.DUMMYFUNCTION("if(A33="""","""",IF(G33="""",""Myn"",IF(REGEXMATCH(lower(G33),""mynn""),""Myn"",if(G33&lt;&gt;"""",""GEMTRE"",""""))))"),"Myn")</f>
        <v>Myn</v>
      </c>
      <c r="L33" s="46" t="s">
        <v>2000</v>
      </c>
      <c r="M33" s="48">
        <v>45255.46055555555</v>
      </c>
    </row>
    <row r="34">
      <c r="A34" s="47">
        <v>45245.71006085648</v>
      </c>
      <c r="B34" s="46" t="s">
        <v>78</v>
      </c>
      <c r="C34" s="46">
        <v>8.860353641E9</v>
      </c>
      <c r="D34" s="46"/>
      <c r="E34" s="46" t="s">
        <v>79</v>
      </c>
      <c r="F34" s="46"/>
      <c r="G34" s="46"/>
      <c r="H34" s="46"/>
      <c r="I34" s="46"/>
      <c r="J34" s="46"/>
      <c r="K34" s="46" t="str">
        <f>IFERROR(__xludf.DUMMYFUNCTION("if(A34="""","""",IF(G34="""",""Myn"",IF(REGEXMATCH(lower(G34),""mynn""),""Myn"",if(G34&lt;&gt;"""",""GEMTRE"",""""))))"),"Myn")</f>
        <v>Myn</v>
      </c>
      <c r="L34" s="46" t="s">
        <v>2000</v>
      </c>
      <c r="M34" s="48">
        <v>45255.46055555555</v>
      </c>
    </row>
    <row r="35">
      <c r="A35" s="47">
        <v>45245.72213378472</v>
      </c>
      <c r="B35" s="46" t="s">
        <v>80</v>
      </c>
      <c r="C35" s="46">
        <v>7.678651225E9</v>
      </c>
      <c r="D35" s="46" t="s">
        <v>81</v>
      </c>
      <c r="E35" s="46" t="s">
        <v>82</v>
      </c>
      <c r="F35" s="46"/>
      <c r="G35" s="46"/>
      <c r="H35" s="46"/>
      <c r="I35" s="46"/>
      <c r="J35" s="46"/>
      <c r="K35" s="46" t="str">
        <f>IFERROR(__xludf.DUMMYFUNCTION("if(A35="""","""",IF(G35="""",""Myn"",IF(REGEXMATCH(lower(G35),""mynn""),""Myn"",if(G35&lt;&gt;"""",""GEMTRE"",""""))))"),"Myn")</f>
        <v>Myn</v>
      </c>
      <c r="L35" s="46" t="s">
        <v>2000</v>
      </c>
      <c r="M35" s="48">
        <v>45255.46055555555</v>
      </c>
    </row>
    <row r="36">
      <c r="A36" s="47">
        <v>45245.737833437495</v>
      </c>
      <c r="B36" s="46" t="s">
        <v>83</v>
      </c>
      <c r="C36" s="46">
        <v>9.871332332E9</v>
      </c>
      <c r="D36" s="46"/>
      <c r="E36" s="46" t="s">
        <v>26</v>
      </c>
      <c r="F36" s="46"/>
      <c r="G36" s="46"/>
      <c r="H36" s="46"/>
      <c r="I36" s="46"/>
      <c r="J36" s="46"/>
      <c r="K36" s="46" t="str">
        <f>IFERROR(__xludf.DUMMYFUNCTION("if(A36="""","""",IF(G36="""",""Myn"",IF(REGEXMATCH(lower(G36),""mynn""),""Myn"",if(G36&lt;&gt;"""",""GEMTRE"",""""))))"),"Myn")</f>
        <v>Myn</v>
      </c>
      <c r="L36" s="46" t="s">
        <v>2000</v>
      </c>
      <c r="M36" s="48">
        <v>45255.46055555555</v>
      </c>
    </row>
    <row r="37">
      <c r="A37" s="47">
        <v>45245.743778125005</v>
      </c>
      <c r="B37" s="46" t="s">
        <v>84</v>
      </c>
      <c r="C37" s="46">
        <v>9.818697676E9</v>
      </c>
      <c r="D37" s="46"/>
      <c r="E37" s="46" t="s">
        <v>85</v>
      </c>
      <c r="F37" s="46"/>
      <c r="G37" s="46"/>
      <c r="H37" s="46"/>
      <c r="I37" s="46"/>
      <c r="J37" s="46"/>
      <c r="K37" s="46" t="str">
        <f>IFERROR(__xludf.DUMMYFUNCTION("if(A37="""","""",IF(G37="""",""Myn"",IF(REGEXMATCH(lower(G37),""mynn""),""Myn"",if(G37&lt;&gt;"""",""GEMTRE"",""""))))"),"Myn")</f>
        <v>Myn</v>
      </c>
      <c r="L37" s="46" t="s">
        <v>2000</v>
      </c>
      <c r="M37" s="48">
        <v>45255.46055555555</v>
      </c>
    </row>
    <row r="38">
      <c r="A38" s="47">
        <v>45245.76700811343</v>
      </c>
      <c r="B38" s="46" t="s">
        <v>86</v>
      </c>
      <c r="C38" s="46">
        <v>9.799178123E9</v>
      </c>
      <c r="D38" s="46" t="s">
        <v>87</v>
      </c>
      <c r="E38" s="46" t="s">
        <v>15</v>
      </c>
      <c r="F38" s="46"/>
      <c r="G38" s="46"/>
      <c r="H38" s="46"/>
      <c r="I38" s="46"/>
      <c r="J38" s="46"/>
      <c r="K38" s="46" t="str">
        <f>IFERROR(__xludf.DUMMYFUNCTION("if(A38="""","""",IF(G38="""",""Myn"",IF(REGEXMATCH(lower(G38),""mynn""),""Myn"",if(G38&lt;&gt;"""",""GEMTRE"",""""))))"),"Myn")</f>
        <v>Myn</v>
      </c>
      <c r="L38" s="46" t="s">
        <v>2000</v>
      </c>
      <c r="M38" s="48">
        <v>45255.46055555555</v>
      </c>
    </row>
    <row r="39">
      <c r="A39" s="47">
        <v>45245.78323559028</v>
      </c>
      <c r="B39" s="46" t="s">
        <v>88</v>
      </c>
      <c r="C39" s="46">
        <v>9.971777645E9</v>
      </c>
      <c r="D39" s="46"/>
      <c r="E39" s="46" t="s">
        <v>89</v>
      </c>
      <c r="F39" s="46"/>
      <c r="G39" s="46"/>
      <c r="H39" s="46"/>
      <c r="I39" s="46"/>
      <c r="J39" s="46"/>
      <c r="K39" s="46" t="str">
        <f>IFERROR(__xludf.DUMMYFUNCTION("if(A39="""","""",IF(G39="""",""Myn"",IF(REGEXMATCH(lower(G39),""mynn""),""Myn"",if(G39&lt;&gt;"""",""GEMTRE"",""""))))"),"Myn")</f>
        <v>Myn</v>
      </c>
      <c r="L39" s="46" t="s">
        <v>2000</v>
      </c>
      <c r="M39" s="48">
        <v>45255.46055555555</v>
      </c>
    </row>
    <row r="40">
      <c r="A40" s="47">
        <v>45245.7912741551</v>
      </c>
      <c r="B40" s="46" t="s">
        <v>90</v>
      </c>
      <c r="C40" s="46">
        <v>9.654533002E9</v>
      </c>
      <c r="D40" s="46"/>
      <c r="E40" s="46" t="s">
        <v>15</v>
      </c>
      <c r="F40" s="46"/>
      <c r="G40" s="46"/>
      <c r="H40" s="46"/>
      <c r="I40" s="46"/>
      <c r="J40" s="46"/>
      <c r="K40" s="46" t="str">
        <f>IFERROR(__xludf.DUMMYFUNCTION("if(A40="""","""",IF(G40="""",""Myn"",IF(REGEXMATCH(lower(G40),""mynn""),""Myn"",if(G40&lt;&gt;"""",""GEMTRE"",""""))))"),"Myn")</f>
        <v>Myn</v>
      </c>
      <c r="L40" s="46" t="s">
        <v>2000</v>
      </c>
      <c r="M40" s="48">
        <v>45255.46055555555</v>
      </c>
    </row>
    <row r="41">
      <c r="A41" s="47">
        <v>45246.486461967594</v>
      </c>
      <c r="B41" s="46" t="s">
        <v>91</v>
      </c>
      <c r="C41" s="46">
        <v>9.403251827E9</v>
      </c>
      <c r="D41" s="46"/>
      <c r="E41" s="46" t="s">
        <v>51</v>
      </c>
      <c r="F41" s="46"/>
      <c r="G41" s="46"/>
      <c r="H41" s="46"/>
      <c r="I41" s="46"/>
      <c r="J41" s="46"/>
      <c r="K41" s="46" t="str">
        <f>IFERROR(__xludf.DUMMYFUNCTION("if(A41="""","""",IF(G41="""",""Myn"",IF(REGEXMATCH(lower(G41),""mynn""),""Myn"",if(G41&lt;&gt;"""",""GEMTRE"",""""))))"),"Myn")</f>
        <v>Myn</v>
      </c>
      <c r="L41" s="46" t="s">
        <v>2000</v>
      </c>
      <c r="M41" s="48">
        <v>45255.46055555555</v>
      </c>
    </row>
    <row r="42">
      <c r="A42" s="47">
        <v>45246.49090719907</v>
      </c>
      <c r="B42" s="46" t="s">
        <v>92</v>
      </c>
      <c r="C42" s="46">
        <v>9.95307529E9</v>
      </c>
      <c r="D42" s="46"/>
      <c r="E42" s="46"/>
      <c r="F42" s="46"/>
      <c r="G42" s="46"/>
      <c r="H42" s="46"/>
      <c r="I42" s="46"/>
      <c r="J42" s="46"/>
      <c r="K42" s="46" t="str">
        <f>IFERROR(__xludf.DUMMYFUNCTION("if(A42="""","""",IF(G42="""",""Myn"",IF(REGEXMATCH(lower(G42),""mynn""),""Myn"",if(G42&lt;&gt;"""",""GEMTRE"",""""))))"),"Myn")</f>
        <v>Myn</v>
      </c>
      <c r="L42" s="46" t="s">
        <v>2000</v>
      </c>
      <c r="M42" s="48">
        <v>45255.46055555555</v>
      </c>
    </row>
    <row r="43">
      <c r="A43" s="47">
        <v>45246.49217222222</v>
      </c>
      <c r="B43" s="46" t="s">
        <v>93</v>
      </c>
      <c r="C43" s="46">
        <v>9.899111144E9</v>
      </c>
      <c r="D43" s="46"/>
      <c r="E43" s="46" t="s">
        <v>71</v>
      </c>
      <c r="F43" s="46"/>
      <c r="G43" s="46"/>
      <c r="H43" s="46"/>
      <c r="I43" s="46"/>
      <c r="J43" s="46"/>
      <c r="K43" s="46" t="str">
        <f>IFERROR(__xludf.DUMMYFUNCTION("if(A43="""","""",IF(G43="""",""Myn"",IF(REGEXMATCH(lower(G43),""mynn""),""Myn"",if(G43&lt;&gt;"""",""GEMTRE"",""""))))"),"Myn")</f>
        <v>Myn</v>
      </c>
      <c r="L43" s="46" t="s">
        <v>2000</v>
      </c>
      <c r="M43" s="48">
        <v>45255.46055555555</v>
      </c>
    </row>
    <row r="44">
      <c r="A44" s="47">
        <v>45246.49428883102</v>
      </c>
      <c r="B44" s="46" t="s">
        <v>94</v>
      </c>
      <c r="C44" s="46">
        <v>9.868203146E9</v>
      </c>
      <c r="D44" s="46" t="s">
        <v>95</v>
      </c>
      <c r="E44" s="46" t="s">
        <v>96</v>
      </c>
      <c r="F44" s="49" t="s">
        <v>97</v>
      </c>
      <c r="G44" s="46"/>
      <c r="H44" s="46"/>
      <c r="I44" s="46"/>
      <c r="J44" s="46"/>
      <c r="K44" s="46" t="str">
        <f>IFERROR(__xludf.DUMMYFUNCTION("if(A44="""","""",IF(G44="""",""Myn"",IF(REGEXMATCH(lower(G44),""mynn""),""Myn"",if(G44&lt;&gt;"""",""GEMTRE"",""""))))"),"Myn")</f>
        <v>Myn</v>
      </c>
      <c r="L44" s="46" t="s">
        <v>2000</v>
      </c>
      <c r="M44" s="48">
        <v>45255.46056712963</v>
      </c>
    </row>
    <row r="45">
      <c r="A45" s="47">
        <v>45246.49539545139</v>
      </c>
      <c r="B45" s="46" t="s">
        <v>98</v>
      </c>
      <c r="C45" s="46">
        <v>9.318417842E9</v>
      </c>
      <c r="D45" s="46"/>
      <c r="E45" s="46" t="s">
        <v>21</v>
      </c>
      <c r="F45" s="49" t="s">
        <v>99</v>
      </c>
      <c r="G45" s="46"/>
      <c r="H45" s="46"/>
      <c r="I45" s="46"/>
      <c r="J45" s="46"/>
      <c r="K45" s="46" t="str">
        <f>IFERROR(__xludf.DUMMYFUNCTION("if(A45="""","""",IF(G45="""",""Myn"",IF(REGEXMATCH(lower(G45),""mynn""),""Myn"",if(G45&lt;&gt;"""",""GEMTRE"",""""))))"),"Myn")</f>
        <v>Myn</v>
      </c>
      <c r="L45" s="46" t="s">
        <v>2000</v>
      </c>
      <c r="M45" s="48">
        <v>45255.46056712963</v>
      </c>
    </row>
    <row r="46">
      <c r="A46" s="47">
        <v>45246.524332754634</v>
      </c>
      <c r="B46" s="46" t="s">
        <v>100</v>
      </c>
      <c r="C46" s="46">
        <v>7.742070717E9</v>
      </c>
      <c r="D46" s="46"/>
      <c r="E46" s="46" t="s">
        <v>101</v>
      </c>
      <c r="F46" s="46"/>
      <c r="G46" s="46"/>
      <c r="H46" s="46"/>
      <c r="I46" s="46"/>
      <c r="J46" s="46"/>
      <c r="K46" s="46" t="str">
        <f>IFERROR(__xludf.DUMMYFUNCTION("if(A46="""","""",IF(G46="""",""Myn"",IF(REGEXMATCH(lower(G46),""mynn""),""Myn"",if(G46&lt;&gt;"""",""GEMTRE"",""""))))"),"Myn")</f>
        <v>Myn</v>
      </c>
      <c r="L46" s="46" t="s">
        <v>2000</v>
      </c>
      <c r="M46" s="48">
        <v>45255.46056712963</v>
      </c>
    </row>
    <row r="47">
      <c r="A47" s="47">
        <v>45246.53792256945</v>
      </c>
      <c r="B47" s="46" t="s">
        <v>102</v>
      </c>
      <c r="C47" s="46">
        <v>9.711826666E9</v>
      </c>
      <c r="D47" s="46" t="s">
        <v>103</v>
      </c>
      <c r="E47" s="46"/>
      <c r="F47" s="46"/>
      <c r="G47" s="46"/>
      <c r="H47" s="46"/>
      <c r="I47" s="46"/>
      <c r="J47" s="46"/>
      <c r="K47" s="46" t="str">
        <f>IFERROR(__xludf.DUMMYFUNCTION("if(A47="""","""",IF(G47="""",""Myn"",IF(REGEXMATCH(lower(G47),""mynn""),""Myn"",if(G47&lt;&gt;"""",""GEMTRE"",""""))))"),"Myn")</f>
        <v>Myn</v>
      </c>
      <c r="L47" s="46" t="s">
        <v>2000</v>
      </c>
      <c r="M47" s="48">
        <v>45255.46056712963</v>
      </c>
    </row>
    <row r="48">
      <c r="A48" s="47">
        <v>45246.53853553241</v>
      </c>
      <c r="B48" s="46" t="s">
        <v>104</v>
      </c>
      <c r="C48" s="46">
        <v>8.860129369E9</v>
      </c>
      <c r="D48" s="46" t="s">
        <v>105</v>
      </c>
      <c r="E48" s="46" t="s">
        <v>106</v>
      </c>
      <c r="F48" s="46"/>
      <c r="G48" s="46"/>
      <c r="H48" s="46"/>
      <c r="I48" s="46"/>
      <c r="J48" s="46"/>
      <c r="K48" s="46" t="str">
        <f>IFERROR(__xludf.DUMMYFUNCTION("if(A48="""","""",IF(G48="""",""Myn"",IF(REGEXMATCH(lower(G48),""mynn""),""Myn"",if(G48&lt;&gt;"""",""GEMTRE"",""""))))"),"Myn")</f>
        <v>Myn</v>
      </c>
      <c r="L48" s="46" t="s">
        <v>2000</v>
      </c>
      <c r="M48" s="48">
        <v>45255.46056712963</v>
      </c>
    </row>
    <row r="49">
      <c r="A49" s="47">
        <v>45246.53902016203</v>
      </c>
      <c r="B49" s="46" t="s">
        <v>107</v>
      </c>
      <c r="C49" s="46">
        <v>9.311271315E9</v>
      </c>
      <c r="D49" s="46" t="s">
        <v>108</v>
      </c>
      <c r="E49" s="46"/>
      <c r="F49" s="46"/>
      <c r="G49" s="46"/>
      <c r="H49" s="46"/>
      <c r="I49" s="46"/>
      <c r="J49" s="46"/>
      <c r="K49" s="46" t="str">
        <f>IFERROR(__xludf.DUMMYFUNCTION("if(A49="""","""",IF(G49="""",""Myn"",IF(REGEXMATCH(lower(G49),""mynn""),""Myn"",if(G49&lt;&gt;"""",""GEMTRE"",""""))))"),"Myn")</f>
        <v>Myn</v>
      </c>
      <c r="L49" s="46" t="s">
        <v>2000</v>
      </c>
      <c r="M49" s="48">
        <v>45255.46056712963</v>
      </c>
    </row>
    <row r="50">
      <c r="A50" s="47">
        <v>45246.542178159725</v>
      </c>
      <c r="B50" s="46" t="s">
        <v>109</v>
      </c>
      <c r="C50" s="46">
        <v>9.899054217E9</v>
      </c>
      <c r="D50" s="46"/>
      <c r="E50" s="46"/>
      <c r="F50" s="46"/>
      <c r="G50" s="46"/>
      <c r="H50" s="46"/>
      <c r="I50" s="46"/>
      <c r="J50" s="46"/>
      <c r="K50" s="46" t="str">
        <f>IFERROR(__xludf.DUMMYFUNCTION("if(A50="""","""",IF(G50="""",""Myn"",IF(REGEXMATCH(lower(G50),""mynn""),""Myn"",if(G50&lt;&gt;"""",""GEMTRE"",""""))))"),"Myn")</f>
        <v>Myn</v>
      </c>
      <c r="L50" s="46" t="s">
        <v>2000</v>
      </c>
      <c r="M50" s="48">
        <v>45255.46056712963</v>
      </c>
    </row>
    <row r="51">
      <c r="A51" s="47">
        <v>45246.5470212963</v>
      </c>
      <c r="B51" s="46" t="s">
        <v>110</v>
      </c>
      <c r="C51" s="46">
        <v>8.860801005E9</v>
      </c>
      <c r="D51" s="46" t="s">
        <v>111</v>
      </c>
      <c r="E51" s="46" t="s">
        <v>46</v>
      </c>
      <c r="F51" s="46"/>
      <c r="G51" s="46"/>
      <c r="H51" s="46"/>
      <c r="I51" s="46"/>
      <c r="J51" s="46"/>
      <c r="K51" s="46" t="str">
        <f>IFERROR(__xludf.DUMMYFUNCTION("if(A51="""","""",IF(G51="""",""Myn"",IF(REGEXMATCH(lower(G51),""mynn""),""Myn"",if(G51&lt;&gt;"""",""GEMTRE"",""""))))"),"Myn")</f>
        <v>Myn</v>
      </c>
      <c r="L51" s="46" t="s">
        <v>2000</v>
      </c>
      <c r="M51" s="48">
        <v>45255.46056712963</v>
      </c>
    </row>
    <row r="52">
      <c r="A52" s="47">
        <v>45246.54730471065</v>
      </c>
      <c r="B52" s="46" t="s">
        <v>112</v>
      </c>
      <c r="C52" s="46">
        <v>8.178158017E9</v>
      </c>
      <c r="D52" s="46" t="s">
        <v>113</v>
      </c>
      <c r="E52" s="46" t="s">
        <v>114</v>
      </c>
      <c r="F52" s="46"/>
      <c r="G52" s="46"/>
      <c r="H52" s="46"/>
      <c r="I52" s="46"/>
      <c r="J52" s="46"/>
      <c r="K52" s="46" t="str">
        <f>IFERROR(__xludf.DUMMYFUNCTION("if(A52="""","""",IF(G52="""",""Myn"",IF(REGEXMATCH(lower(G52),""mynn""),""Myn"",if(G52&lt;&gt;"""",""GEMTRE"",""""))))"),"Myn")</f>
        <v>Myn</v>
      </c>
      <c r="L52" s="46" t="s">
        <v>2000</v>
      </c>
      <c r="M52" s="48">
        <v>45255.46056712963</v>
      </c>
    </row>
    <row r="53">
      <c r="A53" s="47">
        <v>45246.547527766204</v>
      </c>
      <c r="B53" s="46" t="s">
        <v>52</v>
      </c>
      <c r="C53" s="46">
        <v>8.860801005E9</v>
      </c>
      <c r="D53" s="46"/>
      <c r="E53" s="46"/>
      <c r="F53" s="46"/>
      <c r="G53" s="46"/>
      <c r="H53" s="46"/>
      <c r="I53" s="46"/>
      <c r="J53" s="46"/>
      <c r="K53" s="46" t="str">
        <f>IFERROR(__xludf.DUMMYFUNCTION("if(A53="""","""",IF(G53="""",""Myn"",IF(REGEXMATCH(lower(G53),""mynn""),""Myn"",if(G53&lt;&gt;"""",""GEMTRE"",""""))))"),"Myn")</f>
        <v>Myn</v>
      </c>
      <c r="L53" s="46" t="s">
        <v>2000</v>
      </c>
      <c r="M53" s="48">
        <v>45255.46056712963</v>
      </c>
    </row>
    <row r="54">
      <c r="A54" s="47">
        <v>45246.54839193287</v>
      </c>
      <c r="B54" s="46" t="s">
        <v>115</v>
      </c>
      <c r="C54" s="46">
        <v>9.871119756E9</v>
      </c>
      <c r="D54" s="46"/>
      <c r="E54" s="46" t="s">
        <v>116</v>
      </c>
      <c r="F54" s="46"/>
      <c r="G54" s="46"/>
      <c r="H54" s="46"/>
      <c r="I54" s="46"/>
      <c r="J54" s="46"/>
      <c r="K54" s="46" t="str">
        <f>IFERROR(__xludf.DUMMYFUNCTION("if(A54="""","""",IF(G54="""",""Myn"",IF(REGEXMATCH(lower(G54),""mynn""),""Myn"",if(G54&lt;&gt;"""",""GEMTRE"",""""))))"),"Myn")</f>
        <v>Myn</v>
      </c>
      <c r="L54" s="46" t="s">
        <v>2000</v>
      </c>
      <c r="M54" s="48">
        <v>45255.46056712963</v>
      </c>
    </row>
    <row r="55">
      <c r="A55" s="47">
        <v>45246.54870966435</v>
      </c>
      <c r="B55" s="46" t="s">
        <v>117</v>
      </c>
      <c r="C55" s="46">
        <v>9.910673608E9</v>
      </c>
      <c r="D55" s="46"/>
      <c r="E55" s="46" t="s">
        <v>71</v>
      </c>
      <c r="F55" s="46"/>
      <c r="G55" s="46"/>
      <c r="H55" s="46"/>
      <c r="I55" s="46"/>
      <c r="J55" s="46"/>
      <c r="K55" s="46" t="str">
        <f>IFERROR(__xludf.DUMMYFUNCTION("if(A55="""","""",IF(G55="""",""Myn"",IF(REGEXMATCH(lower(G55),""mynn""),""Myn"",if(G55&lt;&gt;"""",""GEMTRE"",""""))))"),"Myn")</f>
        <v>Myn</v>
      </c>
      <c r="L55" s="46" t="s">
        <v>2000</v>
      </c>
      <c r="M55" s="48">
        <v>45255.46056712963</v>
      </c>
    </row>
    <row r="56">
      <c r="A56" s="47">
        <v>45246.550636932865</v>
      </c>
      <c r="B56" s="46" t="s">
        <v>118</v>
      </c>
      <c r="C56" s="46">
        <v>9.971464446E9</v>
      </c>
      <c r="D56" s="46"/>
      <c r="E56" s="46" t="s">
        <v>119</v>
      </c>
      <c r="F56" s="46"/>
      <c r="G56" s="46"/>
      <c r="H56" s="46"/>
      <c r="I56" s="46"/>
      <c r="J56" s="46"/>
      <c r="K56" s="46" t="str">
        <f>IFERROR(__xludf.DUMMYFUNCTION("if(A56="""","""",IF(G56="""",""Myn"",IF(REGEXMATCH(lower(G56),""mynn""),""Myn"",if(G56&lt;&gt;"""",""GEMTRE"",""""))))"),"Myn")</f>
        <v>Myn</v>
      </c>
      <c r="L56" s="46" t="s">
        <v>2000</v>
      </c>
      <c r="M56" s="48">
        <v>45255.46056712963</v>
      </c>
    </row>
    <row r="57">
      <c r="A57" s="47">
        <v>45246.55472206019</v>
      </c>
      <c r="B57" s="46" t="s">
        <v>120</v>
      </c>
      <c r="C57" s="46">
        <v>9.65002113E9</v>
      </c>
      <c r="D57" s="46"/>
      <c r="E57" s="46"/>
      <c r="F57" s="46"/>
      <c r="G57" s="46"/>
      <c r="H57" s="46"/>
      <c r="I57" s="46"/>
      <c r="J57" s="46"/>
      <c r="K57" s="46" t="str">
        <f>IFERROR(__xludf.DUMMYFUNCTION("if(A57="""","""",IF(G57="""",""Myn"",IF(REGEXMATCH(lower(G57),""mynn""),""Myn"",if(G57&lt;&gt;"""",""GEMTRE"",""""))))"),"Myn")</f>
        <v>Myn</v>
      </c>
      <c r="L57" s="46" t="s">
        <v>2000</v>
      </c>
      <c r="M57" s="48">
        <v>45255.46056712963</v>
      </c>
    </row>
    <row r="58">
      <c r="A58" s="47">
        <v>45246.557320416665</v>
      </c>
      <c r="B58" s="46" t="s">
        <v>121</v>
      </c>
      <c r="C58" s="46">
        <v>9.646052299E9</v>
      </c>
      <c r="D58" s="46"/>
      <c r="E58" s="46"/>
      <c r="F58" s="46"/>
      <c r="G58" s="46"/>
      <c r="H58" s="46"/>
      <c r="I58" s="46"/>
      <c r="J58" s="46"/>
      <c r="K58" s="46" t="str">
        <f>IFERROR(__xludf.DUMMYFUNCTION("if(A58="""","""",IF(G58="""",""Myn"",IF(REGEXMATCH(lower(G58),""mynn""),""Myn"",if(G58&lt;&gt;"""",""GEMTRE"",""""))))"),"Myn")</f>
        <v>Myn</v>
      </c>
      <c r="L58" s="46" t="s">
        <v>2000</v>
      </c>
      <c r="M58" s="48">
        <v>45255.46056712963</v>
      </c>
    </row>
    <row r="59">
      <c r="A59" s="47">
        <v>45246.57417653935</v>
      </c>
      <c r="B59" s="46" t="s">
        <v>122</v>
      </c>
      <c r="C59" s="46">
        <v>8.577878785E9</v>
      </c>
      <c r="D59" s="46" t="s">
        <v>123</v>
      </c>
      <c r="E59" s="46"/>
      <c r="F59" s="46"/>
      <c r="G59" s="46"/>
      <c r="H59" s="46"/>
      <c r="I59" s="46"/>
      <c r="J59" s="46"/>
      <c r="K59" s="46" t="str">
        <f>IFERROR(__xludf.DUMMYFUNCTION("if(A59="""","""",IF(G59="""",""Myn"",IF(REGEXMATCH(lower(G59),""mynn""),""Myn"",if(G59&lt;&gt;"""",""GEMTRE"",""""))))"),"Myn")</f>
        <v>Myn</v>
      </c>
      <c r="L59" s="46" t="s">
        <v>2000</v>
      </c>
      <c r="M59" s="48">
        <v>45255.46056712963</v>
      </c>
    </row>
    <row r="60">
      <c r="A60" s="47">
        <v>45246.57755649305</v>
      </c>
      <c r="B60" s="46" t="s">
        <v>124</v>
      </c>
      <c r="C60" s="46">
        <v>9.971171207E9</v>
      </c>
      <c r="D60" s="46"/>
      <c r="E60" s="46"/>
      <c r="F60" s="46"/>
      <c r="G60" s="46"/>
      <c r="H60" s="46"/>
      <c r="I60" s="46"/>
      <c r="J60" s="46"/>
      <c r="K60" s="46" t="str">
        <f>IFERROR(__xludf.DUMMYFUNCTION("if(A60="""","""",IF(G60="""",""Myn"",IF(REGEXMATCH(lower(G60),""mynn""),""Myn"",if(G60&lt;&gt;"""",""GEMTRE"",""""))))"),"Myn")</f>
        <v>Myn</v>
      </c>
      <c r="L60" s="46" t="s">
        <v>2000</v>
      </c>
      <c r="M60" s="48">
        <v>45255.46056712963</v>
      </c>
    </row>
    <row r="61">
      <c r="A61" s="47">
        <v>45246.577592789356</v>
      </c>
      <c r="B61" s="46" t="s">
        <v>125</v>
      </c>
      <c r="C61" s="46">
        <v>8.882965014E9</v>
      </c>
      <c r="D61" s="46"/>
      <c r="E61" s="46"/>
      <c r="F61" s="46"/>
      <c r="G61" s="46" t="s">
        <v>126</v>
      </c>
      <c r="H61" s="46"/>
      <c r="I61" s="46"/>
      <c r="J61" s="46"/>
      <c r="K61" s="46" t="str">
        <f>IFERROR(__xludf.DUMMYFUNCTION("if(A61="""","""",IF(G61="""",""Myn"",IF(REGEXMATCH(lower(G61),""mynn""),""Myn"",if(G61&lt;&gt;"""",""GEMTRE"",""""))))"),"Myn")</f>
        <v>Myn</v>
      </c>
      <c r="L61" s="46" t="s">
        <v>2000</v>
      </c>
      <c r="M61" s="48">
        <v>45255.46056712963</v>
      </c>
    </row>
    <row r="62">
      <c r="A62" s="47">
        <v>45246.57831990741</v>
      </c>
      <c r="B62" s="46" t="s">
        <v>127</v>
      </c>
      <c r="C62" s="46">
        <v>9.873237758E9</v>
      </c>
      <c r="D62" s="46" t="s">
        <v>128</v>
      </c>
      <c r="E62" s="46" t="s">
        <v>56</v>
      </c>
      <c r="F62" s="46"/>
      <c r="G62" s="46" t="s">
        <v>126</v>
      </c>
      <c r="H62" s="46"/>
      <c r="I62" s="46"/>
      <c r="J62" s="46"/>
      <c r="K62" s="46" t="str">
        <f>IFERROR(__xludf.DUMMYFUNCTION("if(A62="""","""",IF(G62="""",""Myn"",IF(REGEXMATCH(lower(G62),""mynn""),""Myn"",if(G62&lt;&gt;"""",""GEMTRE"",""""))))"),"Myn")</f>
        <v>Myn</v>
      </c>
      <c r="L62" s="46" t="s">
        <v>2000</v>
      </c>
      <c r="M62" s="48">
        <v>45255.46056712963</v>
      </c>
    </row>
    <row r="63">
      <c r="A63" s="47">
        <v>45246.58010886574</v>
      </c>
      <c r="B63" s="46" t="s">
        <v>129</v>
      </c>
      <c r="C63" s="46">
        <v>9.999179679E9</v>
      </c>
      <c r="D63" s="46"/>
      <c r="E63" s="46"/>
      <c r="F63" s="46"/>
      <c r="G63" s="46"/>
      <c r="H63" s="46"/>
      <c r="I63" s="46"/>
      <c r="J63" s="46"/>
      <c r="K63" s="46" t="str">
        <f>IFERROR(__xludf.DUMMYFUNCTION("if(A63="""","""",IF(G63="""",""Myn"",IF(REGEXMATCH(lower(G63),""mynn""),""Myn"",if(G63&lt;&gt;"""",""GEMTRE"",""""))))"),"Myn")</f>
        <v>Myn</v>
      </c>
      <c r="L63" s="46" t="s">
        <v>2000</v>
      </c>
      <c r="M63" s="48">
        <v>45255.46056712963</v>
      </c>
    </row>
    <row r="64">
      <c r="A64" s="47">
        <v>45246.584591226856</v>
      </c>
      <c r="B64" s="46" t="s">
        <v>130</v>
      </c>
      <c r="C64" s="46">
        <v>9.818351405E9</v>
      </c>
      <c r="D64" s="46" t="s">
        <v>131</v>
      </c>
      <c r="E64" s="46" t="s">
        <v>132</v>
      </c>
      <c r="F64" s="46"/>
      <c r="G64" s="46" t="s">
        <v>126</v>
      </c>
      <c r="H64" s="46"/>
      <c r="I64" s="46"/>
      <c r="J64" s="46"/>
      <c r="K64" s="46" t="str">
        <f>IFERROR(__xludf.DUMMYFUNCTION("if(A64="""","""",IF(G64="""",""Myn"",IF(REGEXMATCH(lower(G64),""mynn""),""Myn"",if(G64&lt;&gt;"""",""GEMTRE"",""""))))"),"Myn")</f>
        <v>Myn</v>
      </c>
      <c r="L64" s="46" t="s">
        <v>2000</v>
      </c>
      <c r="M64" s="48">
        <v>45255.46056712963</v>
      </c>
    </row>
    <row r="65">
      <c r="A65" s="47">
        <v>45246.58972710648</v>
      </c>
      <c r="B65" s="46" t="s">
        <v>133</v>
      </c>
      <c r="C65" s="46">
        <v>9.899006886E9</v>
      </c>
      <c r="D65" s="46"/>
      <c r="E65" s="46" t="s">
        <v>134</v>
      </c>
      <c r="F65" s="46"/>
      <c r="G65" s="46" t="s">
        <v>126</v>
      </c>
      <c r="H65" s="46"/>
      <c r="I65" s="46"/>
      <c r="J65" s="46"/>
      <c r="K65" s="46" t="str">
        <f>IFERROR(__xludf.DUMMYFUNCTION("if(A65="""","""",IF(G65="""",""Myn"",IF(REGEXMATCH(lower(G65),""mynn""),""Myn"",if(G65&lt;&gt;"""",""GEMTRE"",""""))))"),"Myn")</f>
        <v>Myn</v>
      </c>
      <c r="L65" s="46" t="s">
        <v>2000</v>
      </c>
      <c r="M65" s="48">
        <v>45255.46056712963</v>
      </c>
    </row>
    <row r="66">
      <c r="A66" s="47">
        <v>45246.59384818287</v>
      </c>
      <c r="B66" s="46" t="s">
        <v>135</v>
      </c>
      <c r="C66" s="46">
        <v>9.810806625E9</v>
      </c>
      <c r="D66" s="46"/>
      <c r="E66" s="46"/>
      <c r="F66" s="46"/>
      <c r="G66" s="46"/>
      <c r="H66" s="46"/>
      <c r="I66" s="46"/>
      <c r="J66" s="46"/>
      <c r="K66" s="46" t="str">
        <f>IFERROR(__xludf.DUMMYFUNCTION("if(A66="""","""",IF(G66="""",""Myn"",IF(REGEXMATCH(lower(G66),""mynn""),""Myn"",if(G66&lt;&gt;"""",""GEMTRE"",""""))))"),"Myn")</f>
        <v>Myn</v>
      </c>
      <c r="L66" s="46" t="s">
        <v>2000</v>
      </c>
      <c r="M66" s="48">
        <v>45255.46056712963</v>
      </c>
    </row>
    <row r="67">
      <c r="A67" s="47">
        <v>45246.63142960648</v>
      </c>
      <c r="B67" s="46" t="s">
        <v>136</v>
      </c>
      <c r="C67" s="46">
        <v>9.416212767E9</v>
      </c>
      <c r="D67" s="46"/>
      <c r="E67" s="49" t="s">
        <v>137</v>
      </c>
      <c r="F67" s="46"/>
      <c r="G67" s="46" t="s">
        <v>126</v>
      </c>
      <c r="H67" s="46"/>
      <c r="I67" s="46"/>
      <c r="J67" s="46"/>
      <c r="K67" s="46" t="str">
        <f>IFERROR(__xludf.DUMMYFUNCTION("if(A67="""","""",IF(G67="""",""Myn"",IF(REGEXMATCH(lower(G67),""mynn""),""Myn"",if(G67&lt;&gt;"""",""GEMTRE"",""""))))"),"Myn")</f>
        <v>Myn</v>
      </c>
      <c r="L67" s="46" t="s">
        <v>2000</v>
      </c>
      <c r="M67" s="48">
        <v>45255.46056712963</v>
      </c>
    </row>
    <row r="68">
      <c r="A68" s="47">
        <v>45246.65235716435</v>
      </c>
      <c r="B68" s="46" t="s">
        <v>138</v>
      </c>
      <c r="C68" s="46">
        <v>7.838808945E9</v>
      </c>
      <c r="D68" s="46"/>
      <c r="E68" s="46" t="s">
        <v>139</v>
      </c>
      <c r="F68" s="46"/>
      <c r="G68" s="46" t="s">
        <v>126</v>
      </c>
      <c r="H68" s="46"/>
      <c r="I68" s="46"/>
      <c r="J68" s="46"/>
      <c r="K68" s="46" t="str">
        <f>IFERROR(__xludf.DUMMYFUNCTION("if(A68="""","""",IF(G68="""",""Myn"",IF(REGEXMATCH(lower(G68),""mynn""),""Myn"",if(G68&lt;&gt;"""",""GEMTRE"",""""))))"),"Myn")</f>
        <v>Myn</v>
      </c>
      <c r="L68" s="46" t="s">
        <v>2000</v>
      </c>
      <c r="M68" s="48">
        <v>45255.46056712963</v>
      </c>
    </row>
    <row r="69">
      <c r="A69" s="47">
        <v>45246.66449848379</v>
      </c>
      <c r="B69" s="46" t="s">
        <v>140</v>
      </c>
      <c r="C69" s="46">
        <v>9.508950477E9</v>
      </c>
      <c r="D69" s="46"/>
      <c r="E69" s="46"/>
      <c r="F69" s="46"/>
      <c r="G69" s="46"/>
      <c r="H69" s="46"/>
      <c r="I69" s="46"/>
      <c r="J69" s="46"/>
      <c r="K69" s="46" t="str">
        <f>IFERROR(__xludf.DUMMYFUNCTION("if(A69="""","""",IF(G69="""",""Myn"",IF(REGEXMATCH(lower(G69),""mynn""),""Myn"",if(G69&lt;&gt;"""",""GEMTRE"",""""))))"),"Myn")</f>
        <v>Myn</v>
      </c>
      <c r="L69" s="46" t="s">
        <v>2000</v>
      </c>
      <c r="M69" s="48">
        <v>45255.46056712963</v>
      </c>
    </row>
    <row r="70">
      <c r="A70" s="47">
        <v>45246.67852678241</v>
      </c>
      <c r="B70" s="46" t="s">
        <v>141</v>
      </c>
      <c r="C70" s="46">
        <v>7.982909025E9</v>
      </c>
      <c r="D70" s="46" t="s">
        <v>142</v>
      </c>
      <c r="E70" s="46" t="s">
        <v>143</v>
      </c>
      <c r="F70" s="46"/>
      <c r="G70" s="46" t="s">
        <v>126</v>
      </c>
      <c r="H70" s="46"/>
      <c r="I70" s="46"/>
      <c r="J70" s="46"/>
      <c r="K70" s="46" t="str">
        <f>IFERROR(__xludf.DUMMYFUNCTION("if(A70="""","""",IF(G70="""",""Myn"",IF(REGEXMATCH(lower(G70),""mynn""),""Myn"",if(G70&lt;&gt;"""",""GEMTRE"",""""))))"),"Myn")</f>
        <v>Myn</v>
      </c>
      <c r="L70" s="46" t="s">
        <v>2000</v>
      </c>
      <c r="M70" s="48">
        <v>45255.46056712963</v>
      </c>
    </row>
    <row r="71">
      <c r="A71" s="47">
        <v>45246.68490767361</v>
      </c>
      <c r="B71" s="46" t="s">
        <v>144</v>
      </c>
      <c r="C71" s="46">
        <v>9.971997121E9</v>
      </c>
      <c r="D71" s="46"/>
      <c r="E71" s="46"/>
      <c r="F71" s="46"/>
      <c r="G71" s="46" t="s">
        <v>126</v>
      </c>
      <c r="H71" s="46"/>
      <c r="I71" s="46"/>
      <c r="J71" s="46"/>
      <c r="K71" s="46" t="str">
        <f>IFERROR(__xludf.DUMMYFUNCTION("if(A71="""","""",IF(G71="""",""Myn"",IF(REGEXMATCH(lower(G71),""mynn""),""Myn"",if(G71&lt;&gt;"""",""GEMTRE"",""""))))"),"Myn")</f>
        <v>Myn</v>
      </c>
      <c r="L71" s="46" t="s">
        <v>2000</v>
      </c>
      <c r="M71" s="48">
        <v>45255.46056712963</v>
      </c>
    </row>
    <row r="72">
      <c r="A72" s="47">
        <v>45246.69427740741</v>
      </c>
      <c r="B72" s="46" t="s">
        <v>145</v>
      </c>
      <c r="C72" s="46">
        <v>9.310130869E9</v>
      </c>
      <c r="D72" s="46"/>
      <c r="E72" s="46"/>
      <c r="F72" s="46"/>
      <c r="G72" s="46" t="s">
        <v>126</v>
      </c>
      <c r="H72" s="46"/>
      <c r="I72" s="46"/>
      <c r="J72" s="46"/>
      <c r="K72" s="46" t="str">
        <f>IFERROR(__xludf.DUMMYFUNCTION("if(A72="""","""",IF(G72="""",""Myn"",IF(REGEXMATCH(lower(G72),""mynn""),""Myn"",if(G72&lt;&gt;"""",""GEMTRE"",""""))))"),"Myn")</f>
        <v>Myn</v>
      </c>
      <c r="L72" s="46" t="s">
        <v>2000</v>
      </c>
      <c r="M72" s="48">
        <v>45255.46056712963</v>
      </c>
    </row>
    <row r="73">
      <c r="A73" s="47">
        <v>45246.70882685186</v>
      </c>
      <c r="B73" s="46" t="s">
        <v>146</v>
      </c>
      <c r="C73" s="46">
        <v>9.971103645E9</v>
      </c>
      <c r="D73" s="46"/>
      <c r="E73" s="46" t="s">
        <v>147</v>
      </c>
      <c r="F73" s="46"/>
      <c r="G73" s="46" t="s">
        <v>126</v>
      </c>
      <c r="H73" s="46"/>
      <c r="I73" s="46"/>
      <c r="J73" s="46"/>
      <c r="K73" s="46" t="str">
        <f>IFERROR(__xludf.DUMMYFUNCTION("if(A73="""","""",IF(G73="""",""Myn"",IF(REGEXMATCH(lower(G73),""mynn""),""Myn"",if(G73&lt;&gt;"""",""GEMTRE"",""""))))"),"Myn")</f>
        <v>Myn</v>
      </c>
      <c r="L73" s="46" t="s">
        <v>2000</v>
      </c>
      <c r="M73" s="48">
        <v>45255.46056712963</v>
      </c>
    </row>
    <row r="74">
      <c r="A74" s="47">
        <v>45246.709219386576</v>
      </c>
      <c r="B74" s="46" t="s">
        <v>148</v>
      </c>
      <c r="C74" s="46">
        <v>9.811073069E9</v>
      </c>
      <c r="D74" s="46"/>
      <c r="E74" s="46"/>
      <c r="F74" s="46"/>
      <c r="G74" s="46" t="s">
        <v>126</v>
      </c>
      <c r="H74" s="46"/>
      <c r="I74" s="46"/>
      <c r="J74" s="46"/>
      <c r="K74" s="46" t="str">
        <f>IFERROR(__xludf.DUMMYFUNCTION("if(A74="""","""",IF(G74="""",""Myn"",IF(REGEXMATCH(lower(G74),""mynn""),""Myn"",if(G74&lt;&gt;"""",""GEMTRE"",""""))))"),"Myn")</f>
        <v>Myn</v>
      </c>
      <c r="L74" s="46" t="s">
        <v>2000</v>
      </c>
      <c r="M74" s="48">
        <v>45255.46056712963</v>
      </c>
    </row>
    <row r="75">
      <c r="A75" s="47">
        <v>45246.74905100695</v>
      </c>
      <c r="B75" s="46" t="s">
        <v>149</v>
      </c>
      <c r="C75" s="46">
        <v>9.910228116E9</v>
      </c>
      <c r="D75" s="46"/>
      <c r="E75" s="46" t="s">
        <v>143</v>
      </c>
      <c r="F75" s="46"/>
      <c r="G75" s="46" t="s">
        <v>126</v>
      </c>
      <c r="H75" s="46"/>
      <c r="I75" s="46"/>
      <c r="J75" s="46"/>
      <c r="K75" s="46" t="str">
        <f>IFERROR(__xludf.DUMMYFUNCTION("if(A75="""","""",IF(G75="""",""Myn"",IF(REGEXMATCH(lower(G75),""mynn""),""Myn"",if(G75&lt;&gt;"""",""GEMTRE"",""""))))"),"Myn")</f>
        <v>Myn</v>
      </c>
      <c r="L75" s="46" t="s">
        <v>2000</v>
      </c>
      <c r="M75" s="48">
        <v>45255.46056712963</v>
      </c>
    </row>
    <row r="76">
      <c r="A76" s="47">
        <v>45246.77205082176</v>
      </c>
      <c r="B76" s="46" t="s">
        <v>150</v>
      </c>
      <c r="C76" s="46">
        <v>9.045677696E9</v>
      </c>
      <c r="D76" s="46"/>
      <c r="E76" s="46"/>
      <c r="F76" s="46"/>
      <c r="G76" s="46" t="s">
        <v>126</v>
      </c>
      <c r="H76" s="46"/>
      <c r="I76" s="46"/>
      <c r="J76" s="46"/>
      <c r="K76" s="46" t="str">
        <f>IFERROR(__xludf.DUMMYFUNCTION("if(A76="""","""",IF(G76="""",""Myn"",IF(REGEXMATCH(lower(G76),""mynn""),""Myn"",if(G76&lt;&gt;"""",""GEMTRE"",""""))))"),"Myn")</f>
        <v>Myn</v>
      </c>
      <c r="L76" s="46" t="s">
        <v>2000</v>
      </c>
      <c r="M76" s="48">
        <v>45255.46056712963</v>
      </c>
    </row>
    <row r="77">
      <c r="A77" s="47">
        <v>45246.7724093287</v>
      </c>
      <c r="B77" s="46" t="s">
        <v>151</v>
      </c>
      <c r="C77" s="46">
        <v>9.997779146E9</v>
      </c>
      <c r="D77" s="46"/>
      <c r="E77" s="46"/>
      <c r="F77" s="46"/>
      <c r="G77" s="46" t="s">
        <v>126</v>
      </c>
      <c r="H77" s="46"/>
      <c r="I77" s="46"/>
      <c r="J77" s="46"/>
      <c r="K77" s="46" t="str">
        <f>IFERROR(__xludf.DUMMYFUNCTION("if(A77="""","""",IF(G77="""",""Myn"",IF(REGEXMATCH(lower(G77),""mynn""),""Myn"",if(G77&lt;&gt;"""",""GEMTRE"",""""))))"),"Myn")</f>
        <v>Myn</v>
      </c>
      <c r="L77" s="46" t="s">
        <v>2000</v>
      </c>
      <c r="M77" s="48">
        <v>45255.46056712963</v>
      </c>
    </row>
    <row r="78">
      <c r="A78" s="47">
        <v>45246.77333215278</v>
      </c>
      <c r="B78" s="46" t="s">
        <v>152</v>
      </c>
      <c r="C78" s="46">
        <v>8.218135183E9</v>
      </c>
      <c r="D78" s="46"/>
      <c r="E78" s="46"/>
      <c r="F78" s="46"/>
      <c r="G78" s="46" t="s">
        <v>126</v>
      </c>
      <c r="H78" s="46"/>
      <c r="I78" s="46"/>
      <c r="J78" s="46"/>
      <c r="K78" s="46" t="str">
        <f>IFERROR(__xludf.DUMMYFUNCTION("if(A78="""","""",IF(G78="""",""Myn"",IF(REGEXMATCH(lower(G78),""mynn""),""Myn"",if(G78&lt;&gt;"""",""GEMTRE"",""""))))"),"Myn")</f>
        <v>Myn</v>
      </c>
      <c r="L78" s="46" t="s">
        <v>2000</v>
      </c>
      <c r="M78" s="48">
        <v>45255.46056712963</v>
      </c>
    </row>
    <row r="79">
      <c r="A79" s="47">
        <v>45246.786564803246</v>
      </c>
      <c r="B79" s="46" t="s">
        <v>153</v>
      </c>
      <c r="C79" s="46">
        <v>9.65490719E9</v>
      </c>
      <c r="D79" s="46"/>
      <c r="E79" s="46" t="s">
        <v>154</v>
      </c>
      <c r="F79" s="46"/>
      <c r="G79" s="46" t="s">
        <v>126</v>
      </c>
      <c r="H79" s="46"/>
      <c r="I79" s="46"/>
      <c r="J79" s="46"/>
      <c r="K79" s="46" t="str">
        <f>IFERROR(__xludf.DUMMYFUNCTION("if(A79="""","""",IF(G79="""",""Myn"",IF(REGEXMATCH(lower(G79),""mynn""),""Myn"",if(G79&lt;&gt;"""",""GEMTRE"",""""))))"),"Myn")</f>
        <v>Myn</v>
      </c>
      <c r="L79" s="46" t="s">
        <v>2000</v>
      </c>
      <c r="M79" s="48">
        <v>45255.46056712963</v>
      </c>
    </row>
    <row r="80">
      <c r="A80" s="47">
        <v>45246.87640016204</v>
      </c>
      <c r="B80" s="46" t="s">
        <v>155</v>
      </c>
      <c r="C80" s="46">
        <v>8.810266707E9</v>
      </c>
      <c r="D80" s="46" t="s">
        <v>156</v>
      </c>
      <c r="E80" s="46"/>
      <c r="F80" s="46"/>
      <c r="G80" s="46"/>
      <c r="H80" s="46"/>
      <c r="I80" s="46"/>
      <c r="J80" s="46"/>
      <c r="K80" s="46" t="str">
        <f>IFERROR(__xludf.DUMMYFUNCTION("if(A80="""","""",IF(G80="""",""Myn"",IF(REGEXMATCH(lower(G80),""mynn""),""Myn"",if(G80&lt;&gt;"""",""GEMTRE"",""""))))"),"Myn")</f>
        <v>Myn</v>
      </c>
      <c r="L80" s="46" t="s">
        <v>2000</v>
      </c>
      <c r="M80" s="48">
        <v>45255.46056712963</v>
      </c>
    </row>
    <row r="81">
      <c r="A81" s="47">
        <v>45247.47569707176</v>
      </c>
      <c r="B81" s="46" t="s">
        <v>157</v>
      </c>
      <c r="C81" s="46">
        <v>8.130312E9</v>
      </c>
      <c r="D81" s="46" t="s">
        <v>158</v>
      </c>
      <c r="E81" s="46"/>
      <c r="F81" s="46"/>
      <c r="G81" s="46" t="s">
        <v>126</v>
      </c>
      <c r="H81" s="46"/>
      <c r="I81" s="46"/>
      <c r="J81" s="46"/>
      <c r="K81" s="46" t="str">
        <f>IFERROR(__xludf.DUMMYFUNCTION("if(A81="""","""",IF(G81="""",""Myn"",IF(REGEXMATCH(lower(G81),""mynn""),""Myn"",if(G81&lt;&gt;"""",""GEMTRE"",""""))))"),"Myn")</f>
        <v>Myn</v>
      </c>
      <c r="L81" s="46" t="s">
        <v>2000</v>
      </c>
      <c r="M81" s="48">
        <v>45255.46056712963</v>
      </c>
    </row>
    <row r="82">
      <c r="A82" s="47">
        <v>45247.4810822338</v>
      </c>
      <c r="B82" s="46" t="s">
        <v>159</v>
      </c>
      <c r="C82" s="46">
        <v>8.305061443E9</v>
      </c>
      <c r="D82" s="46"/>
      <c r="E82" s="46"/>
      <c r="F82" s="46"/>
      <c r="G82" s="46" t="s">
        <v>126</v>
      </c>
      <c r="H82" s="46"/>
      <c r="I82" s="46"/>
      <c r="J82" s="46"/>
      <c r="K82" s="46" t="str">
        <f>IFERROR(__xludf.DUMMYFUNCTION("if(A82="""","""",IF(G82="""",""Myn"",IF(REGEXMATCH(lower(G82),""mynn""),""Myn"",if(G82&lt;&gt;"""",""GEMTRE"",""""))))"),"Myn")</f>
        <v>Myn</v>
      </c>
      <c r="L82" s="46" t="s">
        <v>2000</v>
      </c>
      <c r="M82" s="48">
        <v>45255.46056712963</v>
      </c>
    </row>
    <row r="83">
      <c r="A83" s="47">
        <v>45247.484183356486</v>
      </c>
      <c r="B83" s="46" t="s">
        <v>160</v>
      </c>
      <c r="C83" s="46">
        <v>9.868187296E9</v>
      </c>
      <c r="D83" s="46"/>
      <c r="E83" s="46" t="s">
        <v>11</v>
      </c>
      <c r="F83" s="46"/>
      <c r="G83" s="46" t="s">
        <v>126</v>
      </c>
      <c r="H83" s="46"/>
      <c r="I83" s="46"/>
      <c r="J83" s="46"/>
      <c r="K83" s="46" t="str">
        <f>IFERROR(__xludf.DUMMYFUNCTION("if(A83="""","""",IF(G83="""",""Myn"",IF(REGEXMATCH(lower(G83),""mynn""),""Myn"",if(G83&lt;&gt;"""",""GEMTRE"",""""))))"),"Myn")</f>
        <v>Myn</v>
      </c>
      <c r="L83" s="46" t="s">
        <v>2000</v>
      </c>
      <c r="M83" s="48">
        <v>45255.46056712963</v>
      </c>
    </row>
    <row r="84">
      <c r="A84" s="47">
        <v>45247.488623020836</v>
      </c>
      <c r="B84" s="46" t="s">
        <v>161</v>
      </c>
      <c r="C84" s="46">
        <v>9.811202232E9</v>
      </c>
      <c r="D84" s="46"/>
      <c r="E84" s="46"/>
      <c r="F84" s="46"/>
      <c r="G84" s="46" t="s">
        <v>126</v>
      </c>
      <c r="H84" s="46"/>
      <c r="I84" s="46"/>
      <c r="J84" s="46"/>
      <c r="K84" s="46" t="str">
        <f>IFERROR(__xludf.DUMMYFUNCTION("if(A84="""","""",IF(G84="""",""Myn"",IF(REGEXMATCH(lower(G84),""mynn""),""Myn"",if(G84&lt;&gt;"""",""GEMTRE"",""""))))"),"Myn")</f>
        <v>Myn</v>
      </c>
      <c r="L84" s="46" t="s">
        <v>2000</v>
      </c>
      <c r="M84" s="48">
        <v>45255.46056712963</v>
      </c>
    </row>
    <row r="85">
      <c r="A85" s="47">
        <v>45247.489849791666</v>
      </c>
      <c r="B85" s="46" t="s">
        <v>162</v>
      </c>
      <c r="C85" s="46">
        <v>8.587875959E9</v>
      </c>
      <c r="D85" s="46" t="s">
        <v>163</v>
      </c>
      <c r="E85" s="46" t="s">
        <v>164</v>
      </c>
      <c r="F85" s="46"/>
      <c r="G85" s="46" t="s">
        <v>126</v>
      </c>
      <c r="H85" s="46"/>
      <c r="I85" s="46"/>
      <c r="J85" s="46"/>
      <c r="K85" s="46" t="str">
        <f>IFERROR(__xludf.DUMMYFUNCTION("if(A85="""","""",IF(G85="""",""Myn"",IF(REGEXMATCH(lower(G85),""mynn""),""Myn"",if(G85&lt;&gt;"""",""GEMTRE"",""""))))"),"Myn")</f>
        <v>Myn</v>
      </c>
      <c r="L85" s="46" t="s">
        <v>2000</v>
      </c>
      <c r="M85" s="48">
        <v>45255.46056712963</v>
      </c>
    </row>
    <row r="86">
      <c r="A86" s="47">
        <v>45247.497235069444</v>
      </c>
      <c r="B86" s="46" t="s">
        <v>165</v>
      </c>
      <c r="C86" s="46">
        <v>9.811698569E9</v>
      </c>
      <c r="D86" s="46" t="s">
        <v>166</v>
      </c>
      <c r="E86" s="46" t="s">
        <v>167</v>
      </c>
      <c r="F86" s="46"/>
      <c r="G86" s="46" t="s">
        <v>126</v>
      </c>
      <c r="H86" s="46"/>
      <c r="I86" s="46"/>
      <c r="J86" s="46"/>
      <c r="K86" s="46" t="str">
        <f>IFERROR(__xludf.DUMMYFUNCTION("if(A86="""","""",IF(G86="""",""Myn"",IF(REGEXMATCH(lower(G86),""mynn""),""Myn"",if(G86&lt;&gt;"""",""GEMTRE"",""""))))"),"Myn")</f>
        <v>Myn</v>
      </c>
      <c r="L86" s="46" t="s">
        <v>2000</v>
      </c>
      <c r="M86" s="48">
        <v>45255.46056712963</v>
      </c>
    </row>
    <row r="87">
      <c r="A87" s="47">
        <v>45247.498785601856</v>
      </c>
      <c r="B87" s="46" t="s">
        <v>168</v>
      </c>
      <c r="C87" s="46">
        <v>9.868272424E9</v>
      </c>
      <c r="D87" s="46"/>
      <c r="E87" s="46"/>
      <c r="F87" s="46"/>
      <c r="G87" s="46" t="s">
        <v>126</v>
      </c>
      <c r="H87" s="46"/>
      <c r="I87" s="46"/>
      <c r="J87" s="46"/>
      <c r="K87" s="46" t="str">
        <f>IFERROR(__xludf.DUMMYFUNCTION("if(A87="""","""",IF(G87="""",""Myn"",IF(REGEXMATCH(lower(G87),""mynn""),""Myn"",if(G87&lt;&gt;"""",""GEMTRE"",""""))))"),"Myn")</f>
        <v>Myn</v>
      </c>
      <c r="L87" s="46" t="s">
        <v>2000</v>
      </c>
      <c r="M87" s="48">
        <v>45255.46056712963</v>
      </c>
    </row>
    <row r="88">
      <c r="A88" s="47">
        <v>45247.499142546294</v>
      </c>
      <c r="B88" s="46" t="s">
        <v>169</v>
      </c>
      <c r="C88" s="46">
        <v>9.811471982E9</v>
      </c>
      <c r="D88" s="46"/>
      <c r="E88" s="46"/>
      <c r="F88" s="46"/>
      <c r="G88" s="46" t="s">
        <v>126</v>
      </c>
      <c r="H88" s="46"/>
      <c r="I88" s="46"/>
      <c r="J88" s="46"/>
      <c r="K88" s="46" t="str">
        <f>IFERROR(__xludf.DUMMYFUNCTION("if(A88="""","""",IF(G88="""",""Myn"",IF(REGEXMATCH(lower(G88),""mynn""),""Myn"",if(G88&lt;&gt;"""",""GEMTRE"",""""))))"),"Myn")</f>
        <v>Myn</v>
      </c>
      <c r="L88" s="46" t="s">
        <v>2000</v>
      </c>
      <c r="M88" s="48">
        <v>45255.46056712963</v>
      </c>
    </row>
    <row r="89">
      <c r="A89" s="47">
        <v>45247.50000996528</v>
      </c>
      <c r="B89" s="46" t="s">
        <v>170</v>
      </c>
      <c r="C89" s="46">
        <v>9.810499331E9</v>
      </c>
      <c r="D89" s="46"/>
      <c r="E89" s="46" t="s">
        <v>171</v>
      </c>
      <c r="F89" s="46"/>
      <c r="G89" s="46" t="s">
        <v>126</v>
      </c>
      <c r="H89" s="46"/>
      <c r="I89" s="46"/>
      <c r="J89" s="46"/>
      <c r="K89" s="46" t="str">
        <f>IFERROR(__xludf.DUMMYFUNCTION("if(A89="""","""",IF(G89="""",""Myn"",IF(REGEXMATCH(lower(G89),""mynn""),""Myn"",if(G89&lt;&gt;"""",""GEMTRE"",""""))))"),"Myn")</f>
        <v>Myn</v>
      </c>
      <c r="L89" s="46" t="s">
        <v>2000</v>
      </c>
      <c r="M89" s="48">
        <v>45255.46056712963</v>
      </c>
    </row>
    <row r="90">
      <c r="A90" s="47">
        <v>45247.51256203704</v>
      </c>
      <c r="B90" s="46" t="s">
        <v>172</v>
      </c>
      <c r="C90" s="46">
        <v>9.050618274E9</v>
      </c>
      <c r="D90" s="46"/>
      <c r="E90" s="46" t="s">
        <v>119</v>
      </c>
      <c r="F90" s="46"/>
      <c r="G90" s="46" t="s">
        <v>126</v>
      </c>
      <c r="H90" s="46"/>
      <c r="I90" s="46"/>
      <c r="J90" s="46"/>
      <c r="K90" s="46" t="str">
        <f>IFERROR(__xludf.DUMMYFUNCTION("if(A90="""","""",IF(G90="""",""Myn"",IF(REGEXMATCH(lower(G90),""mynn""),""Myn"",if(G90&lt;&gt;"""",""GEMTRE"",""""))))"),"Myn")</f>
        <v>Myn</v>
      </c>
      <c r="L90" s="46" t="s">
        <v>2000</v>
      </c>
      <c r="M90" s="48">
        <v>45255.46056712963</v>
      </c>
    </row>
    <row r="91">
      <c r="A91" s="47">
        <v>45247.51266274306</v>
      </c>
      <c r="B91" s="46" t="s">
        <v>173</v>
      </c>
      <c r="C91" s="46">
        <v>9.718310272E9</v>
      </c>
      <c r="D91" s="46" t="s">
        <v>174</v>
      </c>
      <c r="E91" s="46"/>
      <c r="F91" s="46"/>
      <c r="G91" s="46" t="s">
        <v>126</v>
      </c>
      <c r="H91" s="46"/>
      <c r="I91" s="46"/>
      <c r="J91" s="46"/>
      <c r="K91" s="46" t="str">
        <f>IFERROR(__xludf.DUMMYFUNCTION("if(A91="""","""",IF(G91="""",""Myn"",IF(REGEXMATCH(lower(G91),""mynn""),""Myn"",if(G91&lt;&gt;"""",""GEMTRE"",""""))))"),"Myn")</f>
        <v>Myn</v>
      </c>
      <c r="L91" s="46" t="s">
        <v>2000</v>
      </c>
      <c r="M91" s="48">
        <v>45255.46056712963</v>
      </c>
    </row>
    <row r="92">
      <c r="A92" s="47">
        <v>45247.51588377314</v>
      </c>
      <c r="B92" s="46" t="s">
        <v>175</v>
      </c>
      <c r="C92" s="46">
        <v>9.810072259E9</v>
      </c>
      <c r="D92" s="46" t="s">
        <v>176</v>
      </c>
      <c r="E92" s="46" t="s">
        <v>177</v>
      </c>
      <c r="F92" s="49" t="s">
        <v>178</v>
      </c>
      <c r="G92" s="46" t="s">
        <v>126</v>
      </c>
      <c r="H92" s="46"/>
      <c r="I92" s="46"/>
      <c r="J92" s="46"/>
      <c r="K92" s="46" t="str">
        <f>IFERROR(__xludf.DUMMYFUNCTION("if(A92="""","""",IF(G92="""",""Myn"",IF(REGEXMATCH(lower(G92),""mynn""),""Myn"",if(G92&lt;&gt;"""",""GEMTRE"",""""))))"),"Myn")</f>
        <v>Myn</v>
      </c>
      <c r="L92" s="46" t="s">
        <v>2000</v>
      </c>
      <c r="M92" s="48">
        <v>45255.46056712963</v>
      </c>
    </row>
    <row r="93">
      <c r="A93" s="47">
        <v>45247.51625885417</v>
      </c>
      <c r="B93" s="46" t="s">
        <v>179</v>
      </c>
      <c r="C93" s="46">
        <v>9.71102823E9</v>
      </c>
      <c r="D93" s="46"/>
      <c r="E93" s="46" t="s">
        <v>114</v>
      </c>
      <c r="F93" s="46"/>
      <c r="G93" s="46" t="s">
        <v>126</v>
      </c>
      <c r="H93" s="46"/>
      <c r="I93" s="46"/>
      <c r="J93" s="46"/>
      <c r="K93" s="46" t="str">
        <f>IFERROR(__xludf.DUMMYFUNCTION("if(A93="""","""",IF(G93="""",""Myn"",IF(REGEXMATCH(lower(G93),""mynn""),""Myn"",if(G93&lt;&gt;"""",""GEMTRE"",""""))))"),"Myn")</f>
        <v>Myn</v>
      </c>
      <c r="L93" s="46" t="s">
        <v>2000</v>
      </c>
      <c r="M93" s="48">
        <v>45255.46056712963</v>
      </c>
    </row>
    <row r="94">
      <c r="A94" s="47">
        <v>45247.52127950231</v>
      </c>
      <c r="B94" s="46" t="s">
        <v>180</v>
      </c>
      <c r="C94" s="46">
        <v>9.560515597E9</v>
      </c>
      <c r="D94" s="46" t="s">
        <v>181</v>
      </c>
      <c r="E94" s="46" t="s">
        <v>182</v>
      </c>
      <c r="F94" s="46"/>
      <c r="G94" s="46" t="s">
        <v>126</v>
      </c>
      <c r="H94" s="46"/>
      <c r="I94" s="46"/>
      <c r="J94" s="46"/>
      <c r="K94" s="46" t="str">
        <f>IFERROR(__xludf.DUMMYFUNCTION("if(A94="""","""",IF(G94="""",""Myn"",IF(REGEXMATCH(lower(G94),""mynn""),""Myn"",if(G94&lt;&gt;"""",""GEMTRE"",""""))))"),"Myn")</f>
        <v>Myn</v>
      </c>
      <c r="L94" s="46" t="s">
        <v>2000</v>
      </c>
      <c r="M94" s="48">
        <v>45255.46056712963</v>
      </c>
    </row>
    <row r="95">
      <c r="A95" s="47">
        <v>45247.52385706019</v>
      </c>
      <c r="B95" s="46" t="s">
        <v>183</v>
      </c>
      <c r="C95" s="46">
        <v>9.868150647E9</v>
      </c>
      <c r="D95" s="46"/>
      <c r="E95" s="46"/>
      <c r="F95" s="46"/>
      <c r="G95" s="46" t="s">
        <v>126</v>
      </c>
      <c r="H95" s="46"/>
      <c r="I95" s="46"/>
      <c r="J95" s="46"/>
      <c r="K95" s="46" t="str">
        <f>IFERROR(__xludf.DUMMYFUNCTION("if(A95="""","""",IF(G95="""",""Myn"",IF(REGEXMATCH(lower(G95),""mynn""),""Myn"",if(G95&lt;&gt;"""",""GEMTRE"",""""))))"),"Myn")</f>
        <v>Myn</v>
      </c>
      <c r="L95" s="46" t="s">
        <v>2000</v>
      </c>
      <c r="M95" s="48">
        <v>45255.46056712963</v>
      </c>
    </row>
    <row r="96">
      <c r="A96" s="47">
        <v>45247.52885721065</v>
      </c>
      <c r="B96" s="46" t="s">
        <v>184</v>
      </c>
      <c r="C96" s="46">
        <v>7.862895786E9</v>
      </c>
      <c r="D96" s="46"/>
      <c r="E96" s="46"/>
      <c r="F96" s="46"/>
      <c r="G96" s="46" t="s">
        <v>126</v>
      </c>
      <c r="H96" s="46"/>
      <c r="I96" s="46"/>
      <c r="J96" s="46"/>
      <c r="K96" s="46" t="str">
        <f>IFERROR(__xludf.DUMMYFUNCTION("if(A96="""","""",IF(G96="""",""Myn"",IF(REGEXMATCH(lower(G96),""mynn""),""Myn"",if(G96&lt;&gt;"""",""GEMTRE"",""""))))"),"Myn")</f>
        <v>Myn</v>
      </c>
      <c r="L96" s="46" t="s">
        <v>2000</v>
      </c>
      <c r="M96" s="48">
        <v>45255.46056712963</v>
      </c>
    </row>
    <row r="97">
      <c r="A97" s="47">
        <v>45247.53083042824</v>
      </c>
      <c r="B97" s="46" t="s">
        <v>185</v>
      </c>
      <c r="C97" s="46">
        <v>9.212517669E9</v>
      </c>
      <c r="D97" s="46" t="s">
        <v>186</v>
      </c>
      <c r="E97" s="46"/>
      <c r="F97" s="46"/>
      <c r="G97" s="46" t="s">
        <v>126</v>
      </c>
      <c r="H97" s="46"/>
      <c r="I97" s="46"/>
      <c r="J97" s="46"/>
      <c r="K97" s="46" t="str">
        <f>IFERROR(__xludf.DUMMYFUNCTION("if(A97="""","""",IF(G97="""",""Myn"",IF(REGEXMATCH(lower(G97),""mynn""),""Myn"",if(G97&lt;&gt;"""",""GEMTRE"",""""))))"),"Myn")</f>
        <v>Myn</v>
      </c>
      <c r="L97" s="46" t="s">
        <v>2000</v>
      </c>
      <c r="M97" s="48">
        <v>45255.46056712963</v>
      </c>
    </row>
    <row r="98">
      <c r="A98" s="47">
        <v>45247.5324112963</v>
      </c>
      <c r="B98" s="46" t="s">
        <v>187</v>
      </c>
      <c r="C98" s="46">
        <v>9.82151433E9</v>
      </c>
      <c r="D98" s="46"/>
      <c r="E98" s="46"/>
      <c r="F98" s="46"/>
      <c r="G98" s="46" t="s">
        <v>126</v>
      </c>
      <c r="H98" s="46"/>
      <c r="I98" s="46"/>
      <c r="J98" s="46"/>
      <c r="K98" s="46" t="str">
        <f>IFERROR(__xludf.DUMMYFUNCTION("if(A98="""","""",IF(G98="""",""Myn"",IF(REGEXMATCH(lower(G98),""mynn""),""Myn"",if(G98&lt;&gt;"""",""GEMTRE"",""""))))"),"Myn")</f>
        <v>Myn</v>
      </c>
      <c r="L98" s="46" t="s">
        <v>2000</v>
      </c>
      <c r="M98" s="48">
        <v>45255.46056712963</v>
      </c>
    </row>
    <row r="99">
      <c r="A99" s="47">
        <v>45247.53243965278</v>
      </c>
      <c r="B99" s="46" t="s">
        <v>188</v>
      </c>
      <c r="C99" s="46">
        <v>7.982891368E9</v>
      </c>
      <c r="D99" s="46"/>
      <c r="E99" s="46" t="s">
        <v>119</v>
      </c>
      <c r="F99" s="46"/>
      <c r="G99" s="46" t="s">
        <v>126</v>
      </c>
      <c r="H99" s="46"/>
      <c r="I99" s="46"/>
      <c r="J99" s="46"/>
      <c r="K99" s="46" t="str">
        <f>IFERROR(__xludf.DUMMYFUNCTION("if(A99="""","""",IF(G99="""",""Myn"",IF(REGEXMATCH(lower(G99),""mynn""),""Myn"",if(G99&lt;&gt;"""",""GEMTRE"",""""))))"),"Myn")</f>
        <v>Myn</v>
      </c>
      <c r="L99" s="46" t="s">
        <v>2000</v>
      </c>
      <c r="M99" s="48">
        <v>45255.46056712963</v>
      </c>
    </row>
    <row r="100">
      <c r="A100" s="47">
        <v>45247.53388564815</v>
      </c>
      <c r="B100" s="46" t="s">
        <v>189</v>
      </c>
      <c r="C100" s="46">
        <v>9.311089867E9</v>
      </c>
      <c r="D100" s="46"/>
      <c r="E100" s="46" t="s">
        <v>114</v>
      </c>
      <c r="F100" s="46"/>
      <c r="G100" s="46" t="s">
        <v>126</v>
      </c>
      <c r="H100" s="46"/>
      <c r="I100" s="46"/>
      <c r="J100" s="46"/>
      <c r="K100" s="46" t="str">
        <f>IFERROR(__xludf.DUMMYFUNCTION("if(A100="""","""",IF(G100="""",""Myn"",IF(REGEXMATCH(lower(G100),""mynn""),""Myn"",if(G100&lt;&gt;"""",""GEMTRE"",""""))))"),"Myn")</f>
        <v>Myn</v>
      </c>
      <c r="L100" s="46" t="s">
        <v>2000</v>
      </c>
      <c r="M100" s="48">
        <v>45255.46056712963</v>
      </c>
    </row>
    <row r="101">
      <c r="A101" s="47">
        <v>45247.53603180556</v>
      </c>
      <c r="B101" s="46" t="s">
        <v>190</v>
      </c>
      <c r="C101" s="46">
        <v>7.982220254E9</v>
      </c>
      <c r="D101" s="46"/>
      <c r="E101" s="46" t="s">
        <v>15</v>
      </c>
      <c r="F101" s="46"/>
      <c r="G101" s="46" t="s">
        <v>126</v>
      </c>
      <c r="H101" s="46"/>
      <c r="I101" s="46"/>
      <c r="J101" s="46"/>
      <c r="K101" s="46" t="str">
        <f>IFERROR(__xludf.DUMMYFUNCTION("if(A101="""","""",IF(G101="""",""Myn"",IF(REGEXMATCH(lower(G101),""mynn""),""Myn"",if(G101&lt;&gt;"""",""GEMTRE"",""""))))"),"Myn")</f>
        <v>Myn</v>
      </c>
      <c r="L101" s="46" t="s">
        <v>2000</v>
      </c>
      <c r="M101" s="48">
        <v>45255.46056712963</v>
      </c>
    </row>
    <row r="102">
      <c r="A102" s="47">
        <v>45247.54654553241</v>
      </c>
      <c r="B102" s="46" t="s">
        <v>191</v>
      </c>
      <c r="C102" s="46">
        <v>9.213599845E9</v>
      </c>
      <c r="D102" s="46"/>
      <c r="E102" s="46" t="s">
        <v>192</v>
      </c>
      <c r="F102" s="46"/>
      <c r="G102" s="46" t="s">
        <v>126</v>
      </c>
      <c r="H102" s="46"/>
      <c r="I102" s="46"/>
      <c r="J102" s="46"/>
      <c r="K102" s="46" t="str">
        <f>IFERROR(__xludf.DUMMYFUNCTION("if(A102="""","""",IF(G102="""",""Myn"",IF(REGEXMATCH(lower(G102),""mynn""),""Myn"",if(G102&lt;&gt;"""",""GEMTRE"",""""))))"),"Myn")</f>
        <v>Myn</v>
      </c>
      <c r="L102" s="46" t="s">
        <v>2000</v>
      </c>
      <c r="M102" s="48">
        <v>45255.46056712963</v>
      </c>
    </row>
    <row r="103">
      <c r="A103" s="47">
        <v>45247.558549953705</v>
      </c>
      <c r="B103" s="46" t="s">
        <v>193</v>
      </c>
      <c r="C103" s="46">
        <v>8.700977029E9</v>
      </c>
      <c r="D103" s="46" t="s">
        <v>194</v>
      </c>
      <c r="E103" s="46"/>
      <c r="F103" s="46"/>
      <c r="G103" s="46" t="s">
        <v>126</v>
      </c>
      <c r="H103" s="46"/>
      <c r="I103" s="46"/>
      <c r="J103" s="46"/>
      <c r="K103" s="46" t="str">
        <f>IFERROR(__xludf.DUMMYFUNCTION("if(A103="""","""",IF(G103="""",""Myn"",IF(REGEXMATCH(lower(G103),""mynn""),""Myn"",if(G103&lt;&gt;"""",""GEMTRE"",""""))))"),"Myn")</f>
        <v>Myn</v>
      </c>
      <c r="L103" s="46" t="s">
        <v>2000</v>
      </c>
      <c r="M103" s="48">
        <v>45255.46056712963</v>
      </c>
    </row>
    <row r="104">
      <c r="A104" s="47">
        <v>45247.56849291667</v>
      </c>
      <c r="B104" s="46" t="s">
        <v>195</v>
      </c>
      <c r="C104" s="46">
        <v>9.811661191E9</v>
      </c>
      <c r="D104" s="46"/>
      <c r="E104" s="46"/>
      <c r="F104" s="46"/>
      <c r="G104" s="46" t="s">
        <v>126</v>
      </c>
      <c r="H104" s="46"/>
      <c r="I104" s="46"/>
      <c r="J104" s="46"/>
      <c r="K104" s="46" t="str">
        <f>IFERROR(__xludf.DUMMYFUNCTION("if(A104="""","""",IF(G104="""",""Myn"",IF(REGEXMATCH(lower(G104),""mynn""),""Myn"",if(G104&lt;&gt;"""",""GEMTRE"",""""))))"),"Myn")</f>
        <v>Myn</v>
      </c>
      <c r="L104" s="46" t="s">
        <v>2000</v>
      </c>
      <c r="M104" s="48">
        <v>45255.46056712963</v>
      </c>
    </row>
    <row r="105">
      <c r="A105" s="47">
        <v>45247.569871458334</v>
      </c>
      <c r="B105" s="46" t="s">
        <v>196</v>
      </c>
      <c r="C105" s="46">
        <v>8.799722173E9</v>
      </c>
      <c r="D105" s="46"/>
      <c r="E105" s="46"/>
      <c r="F105" s="46"/>
      <c r="G105" s="46" t="s">
        <v>126</v>
      </c>
      <c r="H105" s="46"/>
      <c r="I105" s="46"/>
      <c r="J105" s="46"/>
      <c r="K105" s="46" t="str">
        <f>IFERROR(__xludf.DUMMYFUNCTION("if(A105="""","""",IF(G105="""",""Myn"",IF(REGEXMATCH(lower(G105),""mynn""),""Myn"",if(G105&lt;&gt;"""",""GEMTRE"",""""))))"),"Myn")</f>
        <v>Myn</v>
      </c>
      <c r="L105" s="46" t="s">
        <v>2000</v>
      </c>
      <c r="M105" s="48">
        <v>45255.46056712963</v>
      </c>
    </row>
    <row r="106">
      <c r="A106" s="47">
        <v>45247.57112231481</v>
      </c>
      <c r="B106" s="46" t="s">
        <v>197</v>
      </c>
      <c r="C106" s="46">
        <v>9.910368195E9</v>
      </c>
      <c r="D106" s="46"/>
      <c r="E106" s="46"/>
      <c r="F106" s="46"/>
      <c r="G106" s="46" t="s">
        <v>126</v>
      </c>
      <c r="H106" s="46"/>
      <c r="I106" s="46"/>
      <c r="J106" s="46"/>
      <c r="K106" s="46" t="str">
        <f>IFERROR(__xludf.DUMMYFUNCTION("if(A106="""","""",IF(G106="""",""Myn"",IF(REGEXMATCH(lower(G106),""mynn""),""Myn"",if(G106&lt;&gt;"""",""GEMTRE"",""""))))"),"Myn")</f>
        <v>Myn</v>
      </c>
      <c r="L106" s="46" t="s">
        <v>2000</v>
      </c>
      <c r="M106" s="48">
        <v>45255.46056712963</v>
      </c>
    </row>
    <row r="107">
      <c r="A107" s="47">
        <v>45247.571441921296</v>
      </c>
      <c r="B107" s="46" t="s">
        <v>198</v>
      </c>
      <c r="C107" s="46">
        <v>7.827743525E9</v>
      </c>
      <c r="D107" s="46"/>
      <c r="E107" s="46"/>
      <c r="F107" s="46"/>
      <c r="G107" s="46" t="s">
        <v>126</v>
      </c>
      <c r="H107" s="46"/>
      <c r="I107" s="46"/>
      <c r="J107" s="46"/>
      <c r="K107" s="46" t="str">
        <f>IFERROR(__xludf.DUMMYFUNCTION("if(A107="""","""",IF(G107="""",""Myn"",IF(REGEXMATCH(lower(G107),""mynn""),""Myn"",if(G107&lt;&gt;"""",""GEMTRE"",""""))))"),"Myn")</f>
        <v>Myn</v>
      </c>
      <c r="L107" s="46" t="s">
        <v>2000</v>
      </c>
      <c r="M107" s="48">
        <v>45255.46056712963</v>
      </c>
    </row>
    <row r="108">
      <c r="A108" s="47">
        <v>45247.571986006944</v>
      </c>
      <c r="B108" s="46" t="s">
        <v>199</v>
      </c>
      <c r="C108" s="46">
        <v>9.4030017E9</v>
      </c>
      <c r="D108" s="46"/>
      <c r="E108" s="46"/>
      <c r="F108" s="46"/>
      <c r="G108" s="46" t="s">
        <v>126</v>
      </c>
      <c r="H108" s="46"/>
      <c r="I108" s="46"/>
      <c r="J108" s="46"/>
      <c r="K108" s="46" t="str">
        <f>IFERROR(__xludf.DUMMYFUNCTION("if(A108="""","""",IF(G108="""",""Myn"",IF(REGEXMATCH(lower(G108),""mynn""),""Myn"",if(G108&lt;&gt;"""",""GEMTRE"",""""))))"),"Myn")</f>
        <v>Myn</v>
      </c>
      <c r="L108" s="46" t="s">
        <v>2000</v>
      </c>
      <c r="M108" s="48">
        <v>45255.46056712963</v>
      </c>
    </row>
    <row r="109">
      <c r="A109" s="47">
        <v>45247.57467253473</v>
      </c>
      <c r="B109" s="46" t="s">
        <v>200</v>
      </c>
      <c r="C109" s="46">
        <v>9.818713799E9</v>
      </c>
      <c r="D109" s="46" t="s">
        <v>201</v>
      </c>
      <c r="E109" s="46"/>
      <c r="F109" s="46"/>
      <c r="G109" s="46" t="s">
        <v>126</v>
      </c>
      <c r="H109" s="46"/>
      <c r="I109" s="46"/>
      <c r="J109" s="46"/>
      <c r="K109" s="46" t="str">
        <f>IFERROR(__xludf.DUMMYFUNCTION("if(A109="""","""",IF(G109="""",""Myn"",IF(REGEXMATCH(lower(G109),""mynn""),""Myn"",if(G109&lt;&gt;"""",""GEMTRE"",""""))))"),"Myn")</f>
        <v>Myn</v>
      </c>
      <c r="L109" s="46" t="s">
        <v>2000</v>
      </c>
      <c r="M109" s="48">
        <v>45255.46056712963</v>
      </c>
    </row>
    <row r="110">
      <c r="A110" s="47">
        <v>45247.57781086805</v>
      </c>
      <c r="B110" s="46" t="s">
        <v>202</v>
      </c>
      <c r="C110" s="46">
        <v>8.882083128E9</v>
      </c>
      <c r="D110" s="46"/>
      <c r="E110" s="46"/>
      <c r="F110" s="46"/>
      <c r="G110" s="46" t="s">
        <v>126</v>
      </c>
      <c r="H110" s="46"/>
      <c r="I110" s="46"/>
      <c r="J110" s="46"/>
      <c r="K110" s="46" t="str">
        <f>IFERROR(__xludf.DUMMYFUNCTION("if(A110="""","""",IF(G110="""",""Myn"",IF(REGEXMATCH(lower(G110),""mynn""),""Myn"",if(G110&lt;&gt;"""",""GEMTRE"",""""))))"),"Myn")</f>
        <v>Myn</v>
      </c>
      <c r="L110" s="46" t="s">
        <v>2000</v>
      </c>
      <c r="M110" s="48">
        <v>45255.46056712963</v>
      </c>
    </row>
    <row r="111">
      <c r="A111" s="47">
        <v>45247.57811479167</v>
      </c>
      <c r="B111" s="46" t="s">
        <v>203</v>
      </c>
      <c r="C111" s="46">
        <v>7.703867722E9</v>
      </c>
      <c r="D111" s="46"/>
      <c r="E111" s="46"/>
      <c r="F111" s="46"/>
      <c r="G111" s="46" t="s">
        <v>126</v>
      </c>
      <c r="H111" s="46"/>
      <c r="I111" s="46"/>
      <c r="J111" s="46"/>
      <c r="K111" s="46" t="str">
        <f>IFERROR(__xludf.DUMMYFUNCTION("if(A111="""","""",IF(G111="""",""Myn"",IF(REGEXMATCH(lower(G111),""mynn""),""Myn"",if(G111&lt;&gt;"""",""GEMTRE"",""""))))"),"Myn")</f>
        <v>Myn</v>
      </c>
      <c r="L111" s="46" t="s">
        <v>2000</v>
      </c>
      <c r="M111" s="48">
        <v>45255.46056712963</v>
      </c>
    </row>
    <row r="112">
      <c r="A112" s="47">
        <v>45247.57846550926</v>
      </c>
      <c r="B112" s="46" t="s">
        <v>204</v>
      </c>
      <c r="C112" s="46">
        <v>7.503214251E9</v>
      </c>
      <c r="D112" s="46"/>
      <c r="E112" s="46"/>
      <c r="F112" s="46"/>
      <c r="G112" s="46" t="s">
        <v>126</v>
      </c>
      <c r="H112" s="46"/>
      <c r="I112" s="46"/>
      <c r="J112" s="46"/>
      <c r="K112" s="46" t="str">
        <f>IFERROR(__xludf.DUMMYFUNCTION("if(A112="""","""",IF(G112="""",""Myn"",IF(REGEXMATCH(lower(G112),""mynn""),""Myn"",if(G112&lt;&gt;"""",""GEMTRE"",""""))))"),"Myn")</f>
        <v>Myn</v>
      </c>
      <c r="L112" s="46" t="s">
        <v>2000</v>
      </c>
      <c r="M112" s="48">
        <v>45255.46056712963</v>
      </c>
    </row>
    <row r="113">
      <c r="A113" s="47">
        <v>45247.58333115741</v>
      </c>
      <c r="B113" s="46" t="s">
        <v>205</v>
      </c>
      <c r="C113" s="46">
        <v>9.873410316E9</v>
      </c>
      <c r="D113" s="46"/>
      <c r="E113" s="46" t="s">
        <v>21</v>
      </c>
      <c r="F113" s="46"/>
      <c r="G113" s="46" t="s">
        <v>126</v>
      </c>
      <c r="H113" s="46"/>
      <c r="I113" s="46"/>
      <c r="J113" s="46"/>
      <c r="K113" s="46" t="str">
        <f>IFERROR(__xludf.DUMMYFUNCTION("if(A113="""","""",IF(G113="""",""Myn"",IF(REGEXMATCH(lower(G113),""mynn""),""Myn"",if(G113&lt;&gt;"""",""GEMTRE"",""""))))"),"Myn")</f>
        <v>Myn</v>
      </c>
      <c r="L113" s="46" t="s">
        <v>2000</v>
      </c>
      <c r="M113" s="48">
        <v>45255.46056712963</v>
      </c>
    </row>
    <row r="114">
      <c r="A114" s="47">
        <v>45247.58713151621</v>
      </c>
      <c r="B114" s="46" t="s">
        <v>206</v>
      </c>
      <c r="C114" s="46">
        <v>9.810432902E9</v>
      </c>
      <c r="D114" s="46"/>
      <c r="E114" s="46"/>
      <c r="F114" s="46"/>
      <c r="G114" s="46" t="s">
        <v>126</v>
      </c>
      <c r="H114" s="46"/>
      <c r="I114" s="46"/>
      <c r="J114" s="46"/>
      <c r="K114" s="46" t="str">
        <f>IFERROR(__xludf.DUMMYFUNCTION("if(A114="""","""",IF(G114="""",""Myn"",IF(REGEXMATCH(lower(G114),""mynn""),""Myn"",if(G114&lt;&gt;"""",""GEMTRE"",""""))))"),"Myn")</f>
        <v>Myn</v>
      </c>
      <c r="L114" s="46" t="s">
        <v>2000</v>
      </c>
      <c r="M114" s="48">
        <v>45255.46056712963</v>
      </c>
    </row>
    <row r="115">
      <c r="A115" s="47">
        <v>45247.59061368056</v>
      </c>
      <c r="B115" s="46" t="s">
        <v>207</v>
      </c>
      <c r="C115" s="46">
        <v>7.982334384E9</v>
      </c>
      <c r="D115" s="46"/>
      <c r="E115" s="46"/>
      <c r="F115" s="46"/>
      <c r="G115" s="46" t="s">
        <v>126</v>
      </c>
      <c r="H115" s="46"/>
      <c r="I115" s="46"/>
      <c r="J115" s="46"/>
      <c r="K115" s="46" t="str">
        <f>IFERROR(__xludf.DUMMYFUNCTION("if(A115="""","""",IF(G115="""",""Myn"",IF(REGEXMATCH(lower(G115),""mynn""),""Myn"",if(G115&lt;&gt;"""",""GEMTRE"",""""))))"),"Myn")</f>
        <v>Myn</v>
      </c>
      <c r="L115" s="46" t="s">
        <v>2000</v>
      </c>
      <c r="M115" s="48">
        <v>45255.46056712963</v>
      </c>
    </row>
    <row r="116">
      <c r="A116" s="47">
        <v>45247.59184460648</v>
      </c>
      <c r="B116" s="46" t="s">
        <v>208</v>
      </c>
      <c r="C116" s="46">
        <v>9.810156736E9</v>
      </c>
      <c r="D116" s="49" t="s">
        <v>209</v>
      </c>
      <c r="E116" s="46" t="s">
        <v>21</v>
      </c>
      <c r="F116" s="49" t="s">
        <v>210</v>
      </c>
      <c r="G116" s="46" t="s">
        <v>126</v>
      </c>
      <c r="H116" s="46"/>
      <c r="I116" s="46"/>
      <c r="J116" s="46"/>
      <c r="K116" s="46" t="str">
        <f>IFERROR(__xludf.DUMMYFUNCTION("if(A116="""","""",IF(G116="""",""Myn"",IF(REGEXMATCH(lower(G116),""mynn""),""Myn"",if(G116&lt;&gt;"""",""GEMTRE"",""""))))"),"Myn")</f>
        <v>Myn</v>
      </c>
      <c r="L116" s="46" t="s">
        <v>2000</v>
      </c>
      <c r="M116" s="48">
        <v>45255.46056712963</v>
      </c>
    </row>
    <row r="117">
      <c r="A117" s="47">
        <v>45247.59766035879</v>
      </c>
      <c r="B117" s="46" t="s">
        <v>211</v>
      </c>
      <c r="C117" s="46">
        <v>9.818468666E9</v>
      </c>
      <c r="D117" s="46"/>
      <c r="E117" s="46"/>
      <c r="F117" s="46"/>
      <c r="G117" s="46" t="s">
        <v>126</v>
      </c>
      <c r="H117" s="46"/>
      <c r="I117" s="46"/>
      <c r="J117" s="46"/>
      <c r="K117" s="46" t="str">
        <f>IFERROR(__xludf.DUMMYFUNCTION("if(A117="""","""",IF(G117="""",""Myn"",IF(REGEXMATCH(lower(G117),""mynn""),""Myn"",if(G117&lt;&gt;"""",""GEMTRE"",""""))))"),"Myn")</f>
        <v>Myn</v>
      </c>
      <c r="L117" s="46" t="s">
        <v>2000</v>
      </c>
      <c r="M117" s="48">
        <v>45255.46056712963</v>
      </c>
    </row>
    <row r="118">
      <c r="A118" s="47">
        <v>45247.59800569444</v>
      </c>
      <c r="B118" s="46" t="s">
        <v>212</v>
      </c>
      <c r="C118" s="46">
        <v>8.368568171E9</v>
      </c>
      <c r="D118" s="46"/>
      <c r="E118" s="46"/>
      <c r="F118" s="46"/>
      <c r="G118" s="46" t="s">
        <v>126</v>
      </c>
      <c r="H118" s="46"/>
      <c r="I118" s="46"/>
      <c r="J118" s="46"/>
      <c r="K118" s="46" t="str">
        <f>IFERROR(__xludf.DUMMYFUNCTION("if(A118="""","""",IF(G118="""",""Myn"",IF(REGEXMATCH(lower(G118),""mynn""),""Myn"",if(G118&lt;&gt;"""",""GEMTRE"",""""))))"),"Myn")</f>
        <v>Myn</v>
      </c>
      <c r="L118" s="46" t="s">
        <v>2000</v>
      </c>
      <c r="M118" s="48">
        <v>45255.46056712963</v>
      </c>
    </row>
    <row r="119">
      <c r="A119" s="47">
        <v>45247.600795185186</v>
      </c>
      <c r="B119" s="46" t="s">
        <v>213</v>
      </c>
      <c r="C119" s="46">
        <v>9.315928317E9</v>
      </c>
      <c r="D119" s="46"/>
      <c r="E119" s="46" t="s">
        <v>214</v>
      </c>
      <c r="F119" s="46"/>
      <c r="G119" s="46" t="s">
        <v>126</v>
      </c>
      <c r="H119" s="46"/>
      <c r="I119" s="46"/>
      <c r="J119" s="46"/>
      <c r="K119" s="46" t="str">
        <f>IFERROR(__xludf.DUMMYFUNCTION("if(A119="""","""",IF(G119="""",""Myn"",IF(REGEXMATCH(lower(G119),""mynn""),""Myn"",if(G119&lt;&gt;"""",""GEMTRE"",""""))))"),"Myn")</f>
        <v>Myn</v>
      </c>
      <c r="L119" s="46" t="s">
        <v>2000</v>
      </c>
      <c r="M119" s="48">
        <v>45255.46056712963</v>
      </c>
    </row>
    <row r="120">
      <c r="A120" s="47">
        <v>45247.60749576389</v>
      </c>
      <c r="B120" s="46" t="s">
        <v>215</v>
      </c>
      <c r="C120" s="46">
        <v>9.958082239E9</v>
      </c>
      <c r="D120" s="46"/>
      <c r="E120" s="46" t="s">
        <v>216</v>
      </c>
      <c r="F120" s="46"/>
      <c r="G120" s="46" t="s">
        <v>126</v>
      </c>
      <c r="H120" s="46"/>
      <c r="I120" s="46"/>
      <c r="J120" s="46"/>
      <c r="K120" s="46" t="str">
        <f>IFERROR(__xludf.DUMMYFUNCTION("if(A120="""","""",IF(G120="""",""Myn"",IF(REGEXMATCH(lower(G120),""mynn""),""Myn"",if(G120&lt;&gt;"""",""GEMTRE"",""""))))"),"Myn")</f>
        <v>Myn</v>
      </c>
      <c r="L120" s="46" t="s">
        <v>2000</v>
      </c>
      <c r="M120" s="48">
        <v>45255.46056712963</v>
      </c>
    </row>
    <row r="121">
      <c r="A121" s="47">
        <v>45247.6106872338</v>
      </c>
      <c r="B121" s="46"/>
      <c r="C121" s="46">
        <v>9.811011E9</v>
      </c>
      <c r="D121" s="46"/>
      <c r="E121" s="46" t="s">
        <v>217</v>
      </c>
      <c r="F121" s="46"/>
      <c r="G121" s="46"/>
      <c r="H121" s="46"/>
      <c r="I121" s="46"/>
      <c r="J121" s="46"/>
      <c r="K121" s="46" t="str">
        <f>IFERROR(__xludf.DUMMYFUNCTION("if(A121="""","""",IF(G121="""",""Myn"",IF(REGEXMATCH(lower(G121),""mynn""),""Myn"",if(G121&lt;&gt;"""",""GEMTRE"",""""))))"),"Myn")</f>
        <v>Myn</v>
      </c>
      <c r="L121" s="46" t="s">
        <v>2000</v>
      </c>
      <c r="M121" s="48">
        <v>45255.46056712963</v>
      </c>
    </row>
    <row r="122">
      <c r="A122" s="47">
        <v>45247.6136894213</v>
      </c>
      <c r="B122" s="46" t="s">
        <v>218</v>
      </c>
      <c r="C122" s="46">
        <v>9.350223438E9</v>
      </c>
      <c r="D122" s="46"/>
      <c r="E122" s="46" t="s">
        <v>11</v>
      </c>
      <c r="F122" s="46"/>
      <c r="G122" s="46" t="s">
        <v>126</v>
      </c>
      <c r="H122" s="46"/>
      <c r="I122" s="46"/>
      <c r="J122" s="46"/>
      <c r="K122" s="46" t="str">
        <f>IFERROR(__xludf.DUMMYFUNCTION("if(A122="""","""",IF(G122="""",""Myn"",IF(REGEXMATCH(lower(G122),""mynn""),""Myn"",if(G122&lt;&gt;"""",""GEMTRE"",""""))))"),"Myn")</f>
        <v>Myn</v>
      </c>
      <c r="L122" s="46" t="s">
        <v>2000</v>
      </c>
      <c r="M122" s="48">
        <v>45255.46056712963</v>
      </c>
    </row>
    <row r="123">
      <c r="A123" s="47">
        <v>45247.62310424769</v>
      </c>
      <c r="B123" s="46" t="s">
        <v>219</v>
      </c>
      <c r="C123" s="46">
        <v>9.868381528E9</v>
      </c>
      <c r="D123" s="46"/>
      <c r="E123" s="46"/>
      <c r="F123" s="46"/>
      <c r="G123" s="46" t="s">
        <v>126</v>
      </c>
      <c r="H123" s="46"/>
      <c r="I123" s="46"/>
      <c r="J123" s="46"/>
      <c r="K123" s="46" t="str">
        <f>IFERROR(__xludf.DUMMYFUNCTION("if(A123="""","""",IF(G123="""",""Myn"",IF(REGEXMATCH(lower(G123),""mynn""),""Myn"",if(G123&lt;&gt;"""",""GEMTRE"",""""))))"),"Myn")</f>
        <v>Myn</v>
      </c>
      <c r="L123" s="46" t="s">
        <v>2000</v>
      </c>
      <c r="M123" s="48">
        <v>45255.46056712963</v>
      </c>
    </row>
    <row r="124">
      <c r="A124" s="47">
        <v>45247.63645394676</v>
      </c>
      <c r="B124" s="46" t="s">
        <v>220</v>
      </c>
      <c r="C124" s="46">
        <v>7.906204355E9</v>
      </c>
      <c r="D124" s="46"/>
      <c r="E124" s="46"/>
      <c r="F124" s="46"/>
      <c r="G124" s="46" t="s">
        <v>126</v>
      </c>
      <c r="H124" s="46"/>
      <c r="I124" s="46"/>
      <c r="J124" s="46"/>
      <c r="K124" s="46" t="str">
        <f>IFERROR(__xludf.DUMMYFUNCTION("if(A124="""","""",IF(G124="""",""Myn"",IF(REGEXMATCH(lower(G124),""mynn""),""Myn"",if(G124&lt;&gt;"""",""GEMTRE"",""""))))"),"Myn")</f>
        <v>Myn</v>
      </c>
      <c r="L124" s="46" t="s">
        <v>2000</v>
      </c>
      <c r="M124" s="48">
        <v>45255.46056712963</v>
      </c>
    </row>
    <row r="125">
      <c r="A125" s="47">
        <v>45247.637113136574</v>
      </c>
      <c r="B125" s="46" t="s">
        <v>221</v>
      </c>
      <c r="C125" s="46">
        <v>9.871474947E9</v>
      </c>
      <c r="D125" s="46"/>
      <c r="E125" s="46"/>
      <c r="F125" s="46"/>
      <c r="G125" s="46" t="s">
        <v>126</v>
      </c>
      <c r="H125" s="46"/>
      <c r="I125" s="46"/>
      <c r="J125" s="46"/>
      <c r="K125" s="46" t="str">
        <f>IFERROR(__xludf.DUMMYFUNCTION("if(A125="""","""",IF(G125="""",""Myn"",IF(REGEXMATCH(lower(G125),""mynn""),""Myn"",if(G125&lt;&gt;"""",""GEMTRE"",""""))))"),"Myn")</f>
        <v>Myn</v>
      </c>
      <c r="L125" s="46" t="s">
        <v>2000</v>
      </c>
      <c r="M125" s="48">
        <v>45255.46056712963</v>
      </c>
    </row>
    <row r="126">
      <c r="A126" s="47">
        <v>45247.642227488424</v>
      </c>
      <c r="B126" s="46" t="s">
        <v>222</v>
      </c>
      <c r="C126" s="46">
        <v>9.266778087E9</v>
      </c>
      <c r="D126" s="46"/>
      <c r="E126" s="46"/>
      <c r="F126" s="46"/>
      <c r="G126" s="46" t="s">
        <v>126</v>
      </c>
      <c r="H126" s="46"/>
      <c r="I126" s="46"/>
      <c r="J126" s="46"/>
      <c r="K126" s="46" t="str">
        <f>IFERROR(__xludf.DUMMYFUNCTION("if(A126="""","""",IF(G126="""",""Myn"",IF(REGEXMATCH(lower(G126),""mynn""),""Myn"",if(G126&lt;&gt;"""",""GEMTRE"",""""))))"),"Myn")</f>
        <v>Myn</v>
      </c>
      <c r="L126" s="46" t="s">
        <v>2000</v>
      </c>
      <c r="M126" s="48">
        <v>45255.46056712963</v>
      </c>
    </row>
    <row r="127">
      <c r="A127" s="47">
        <v>45247.64799228009</v>
      </c>
      <c r="B127" s="46" t="s">
        <v>223</v>
      </c>
      <c r="C127" s="46">
        <v>9.81199222E9</v>
      </c>
      <c r="D127" s="46"/>
      <c r="E127" s="46" t="s">
        <v>15</v>
      </c>
      <c r="F127" s="46"/>
      <c r="G127" s="46" t="s">
        <v>126</v>
      </c>
      <c r="H127" s="46"/>
      <c r="I127" s="46"/>
      <c r="J127" s="46"/>
      <c r="K127" s="46" t="str">
        <f>IFERROR(__xludf.DUMMYFUNCTION("if(A127="""","""",IF(G127="""",""Myn"",IF(REGEXMATCH(lower(G127),""mynn""),""Myn"",if(G127&lt;&gt;"""",""GEMTRE"",""""))))"),"Myn")</f>
        <v>Myn</v>
      </c>
      <c r="L127" s="46" t="s">
        <v>2000</v>
      </c>
      <c r="M127" s="48">
        <v>45255.46056712963</v>
      </c>
    </row>
    <row r="128">
      <c r="A128" s="47">
        <v>45247.65451930556</v>
      </c>
      <c r="B128" s="46" t="s">
        <v>224</v>
      </c>
      <c r="C128" s="46">
        <v>9.810828927E9</v>
      </c>
      <c r="D128" s="46"/>
      <c r="E128" s="46" t="s">
        <v>13</v>
      </c>
      <c r="F128" s="46"/>
      <c r="G128" s="46" t="s">
        <v>126</v>
      </c>
      <c r="H128" s="46"/>
      <c r="I128" s="46"/>
      <c r="J128" s="46"/>
      <c r="K128" s="46" t="str">
        <f>IFERROR(__xludf.DUMMYFUNCTION("if(A128="""","""",IF(G128="""",""Myn"",IF(REGEXMATCH(lower(G128),""mynn""),""Myn"",if(G128&lt;&gt;"""",""GEMTRE"",""""))))"),"Myn")</f>
        <v>Myn</v>
      </c>
      <c r="L128" s="46" t="s">
        <v>2000</v>
      </c>
      <c r="M128" s="48">
        <v>45255.46056712963</v>
      </c>
    </row>
    <row r="129">
      <c r="A129" s="47">
        <v>45247.65677581019</v>
      </c>
      <c r="B129" s="46" t="s">
        <v>225</v>
      </c>
      <c r="C129" s="46">
        <v>9.015383758E9</v>
      </c>
      <c r="D129" s="46"/>
      <c r="E129" s="46" t="s">
        <v>226</v>
      </c>
      <c r="F129" s="46"/>
      <c r="G129" s="46" t="s">
        <v>126</v>
      </c>
      <c r="H129" s="46"/>
      <c r="I129" s="46"/>
      <c r="J129" s="46"/>
      <c r="K129" s="46" t="str">
        <f>IFERROR(__xludf.DUMMYFUNCTION("if(A129="""","""",IF(G129="""",""Myn"",IF(REGEXMATCH(lower(G129),""mynn""),""Myn"",if(G129&lt;&gt;"""",""GEMTRE"",""""))))"),"Myn")</f>
        <v>Myn</v>
      </c>
      <c r="L129" s="46" t="s">
        <v>2000</v>
      </c>
      <c r="M129" s="48">
        <v>45255.46056712963</v>
      </c>
    </row>
    <row r="130">
      <c r="A130" s="47">
        <v>45247.661219699075</v>
      </c>
      <c r="B130" s="46" t="s">
        <v>219</v>
      </c>
      <c r="C130" s="46">
        <v>9.711383909E9</v>
      </c>
      <c r="D130" s="46"/>
      <c r="E130" s="46" t="s">
        <v>227</v>
      </c>
      <c r="F130" s="46"/>
      <c r="G130" s="46" t="s">
        <v>126</v>
      </c>
      <c r="H130" s="46"/>
      <c r="I130" s="46"/>
      <c r="J130" s="46"/>
      <c r="K130" s="46" t="str">
        <f>IFERROR(__xludf.DUMMYFUNCTION("if(A130="""","""",IF(G130="""",""Myn"",IF(REGEXMATCH(lower(G130),""mynn""),""Myn"",if(G130&lt;&gt;"""",""GEMTRE"",""""))))"),"Myn")</f>
        <v>Myn</v>
      </c>
      <c r="L130" s="46" t="s">
        <v>2000</v>
      </c>
      <c r="M130" s="48">
        <v>45255.46056712963</v>
      </c>
    </row>
    <row r="131">
      <c r="A131" s="47">
        <v>45247.6633544213</v>
      </c>
      <c r="B131" s="46" t="s">
        <v>228</v>
      </c>
      <c r="C131" s="46">
        <v>9.868323227E9</v>
      </c>
      <c r="D131" s="46"/>
      <c r="E131" s="46"/>
      <c r="F131" s="46"/>
      <c r="G131" s="46" t="s">
        <v>126</v>
      </c>
      <c r="H131" s="46"/>
      <c r="I131" s="46"/>
      <c r="J131" s="46"/>
      <c r="K131" s="46" t="str">
        <f>IFERROR(__xludf.DUMMYFUNCTION("if(A131="""","""",IF(G131="""",""Myn"",IF(REGEXMATCH(lower(G131),""mynn""),""Myn"",if(G131&lt;&gt;"""",""GEMTRE"",""""))))"),"Myn")</f>
        <v>Myn</v>
      </c>
      <c r="L131" s="46" t="s">
        <v>2000</v>
      </c>
      <c r="M131" s="48">
        <v>45255.46056712963</v>
      </c>
    </row>
    <row r="132">
      <c r="A132" s="47">
        <v>45247.67040480324</v>
      </c>
      <c r="B132" s="46" t="s">
        <v>229</v>
      </c>
      <c r="C132" s="46">
        <v>9.911819068E9</v>
      </c>
      <c r="D132" s="46"/>
      <c r="E132" s="46" t="s">
        <v>116</v>
      </c>
      <c r="F132" s="46"/>
      <c r="G132" s="46" t="s">
        <v>126</v>
      </c>
      <c r="H132" s="46"/>
      <c r="I132" s="46"/>
      <c r="J132" s="46"/>
      <c r="K132" s="46" t="str">
        <f>IFERROR(__xludf.DUMMYFUNCTION("if(A132="""","""",IF(G132="""",""Myn"",IF(REGEXMATCH(lower(G132),""mynn""),""Myn"",if(G132&lt;&gt;"""",""GEMTRE"",""""))))"),"Myn")</f>
        <v>Myn</v>
      </c>
      <c r="L132" s="46" t="s">
        <v>2000</v>
      </c>
      <c r="M132" s="48">
        <v>45255.46056712963</v>
      </c>
    </row>
    <row r="133">
      <c r="A133" s="47">
        <v>45247.67188572917</v>
      </c>
      <c r="B133" s="46" t="s">
        <v>230</v>
      </c>
      <c r="C133" s="46">
        <v>9.971743E9</v>
      </c>
      <c r="D133" s="46"/>
      <c r="E133" s="46" t="s">
        <v>15</v>
      </c>
      <c r="F133" s="46"/>
      <c r="G133" s="46" t="s">
        <v>126</v>
      </c>
      <c r="H133" s="46"/>
      <c r="I133" s="46"/>
      <c r="J133" s="46"/>
      <c r="K133" s="46" t="str">
        <f>IFERROR(__xludf.DUMMYFUNCTION("if(A133="""","""",IF(G133="""",""Myn"",IF(REGEXMATCH(lower(G133),""mynn""),""Myn"",if(G133&lt;&gt;"""",""GEMTRE"",""""))))"),"Myn")</f>
        <v>Myn</v>
      </c>
      <c r="L133" s="46" t="s">
        <v>2000</v>
      </c>
      <c r="M133" s="48">
        <v>45255.46056712963</v>
      </c>
    </row>
    <row r="134">
      <c r="A134" s="47">
        <v>45247.67306346065</v>
      </c>
      <c r="B134" s="46" t="s">
        <v>231</v>
      </c>
      <c r="C134" s="46">
        <v>9.318181843E9</v>
      </c>
      <c r="D134" s="46"/>
      <c r="E134" s="46" t="s">
        <v>232</v>
      </c>
      <c r="F134" s="46"/>
      <c r="G134" s="46" t="s">
        <v>126</v>
      </c>
      <c r="H134" s="46"/>
      <c r="I134" s="46"/>
      <c r="J134" s="46"/>
      <c r="K134" s="46" t="str">
        <f>IFERROR(__xludf.DUMMYFUNCTION("if(A134="""","""",IF(G134="""",""Myn"",IF(REGEXMATCH(lower(G134),""mynn""),""Myn"",if(G134&lt;&gt;"""",""GEMTRE"",""""))))"),"Myn")</f>
        <v>Myn</v>
      </c>
      <c r="L134" s="46" t="s">
        <v>2000</v>
      </c>
      <c r="M134" s="48">
        <v>45255.46056712963</v>
      </c>
    </row>
    <row r="135">
      <c r="A135" s="47">
        <v>45247.67982790509</v>
      </c>
      <c r="B135" s="46" t="s">
        <v>233</v>
      </c>
      <c r="C135" s="46">
        <v>8.470005997E9</v>
      </c>
      <c r="D135" s="46" t="s">
        <v>234</v>
      </c>
      <c r="E135" s="46" t="s">
        <v>26</v>
      </c>
      <c r="F135" s="49" t="s">
        <v>235</v>
      </c>
      <c r="G135" s="46" t="s">
        <v>126</v>
      </c>
      <c r="H135" s="46"/>
      <c r="I135" s="46"/>
      <c r="J135" s="46"/>
      <c r="K135" s="46" t="str">
        <f>IFERROR(__xludf.DUMMYFUNCTION("if(A135="""","""",IF(G135="""",""Myn"",IF(REGEXMATCH(lower(G135),""mynn""),""Myn"",if(G135&lt;&gt;"""",""GEMTRE"",""""))))"),"Myn")</f>
        <v>Myn</v>
      </c>
      <c r="L135" s="46" t="s">
        <v>2000</v>
      </c>
      <c r="M135" s="48">
        <v>45255.46056712963</v>
      </c>
    </row>
    <row r="136">
      <c r="A136" s="47">
        <v>45247.68027067129</v>
      </c>
      <c r="B136" s="46" t="s">
        <v>236</v>
      </c>
      <c r="C136" s="46">
        <v>9.861990218E9</v>
      </c>
      <c r="D136" s="46"/>
      <c r="E136" s="46"/>
      <c r="F136" s="46"/>
      <c r="G136" s="46" t="s">
        <v>126</v>
      </c>
      <c r="H136" s="46"/>
      <c r="I136" s="46"/>
      <c r="J136" s="46"/>
      <c r="K136" s="46" t="str">
        <f>IFERROR(__xludf.DUMMYFUNCTION("if(A136="""","""",IF(G136="""",""Myn"",IF(REGEXMATCH(lower(G136),""mynn""),""Myn"",if(G136&lt;&gt;"""",""GEMTRE"",""""))))"),"Myn")</f>
        <v>Myn</v>
      </c>
      <c r="L136" s="46" t="s">
        <v>2000</v>
      </c>
      <c r="M136" s="48">
        <v>45255.46056712963</v>
      </c>
    </row>
    <row r="137">
      <c r="A137" s="47">
        <v>45247.68424207176</v>
      </c>
      <c r="B137" s="46" t="s">
        <v>237</v>
      </c>
      <c r="C137" s="46">
        <v>9.910705306E9</v>
      </c>
      <c r="D137" s="46"/>
      <c r="E137" s="46"/>
      <c r="F137" s="46"/>
      <c r="G137" s="46" t="s">
        <v>126</v>
      </c>
      <c r="H137" s="46"/>
      <c r="I137" s="46"/>
      <c r="J137" s="46"/>
      <c r="K137" s="46" t="str">
        <f>IFERROR(__xludf.DUMMYFUNCTION("if(A137="""","""",IF(G137="""",""Myn"",IF(REGEXMATCH(lower(G137),""mynn""),""Myn"",if(G137&lt;&gt;"""",""GEMTRE"",""""))))"),"Myn")</f>
        <v>Myn</v>
      </c>
      <c r="L137" s="46" t="s">
        <v>2000</v>
      </c>
      <c r="M137" s="48">
        <v>45255.46056712963</v>
      </c>
    </row>
    <row r="138">
      <c r="A138" s="47">
        <v>45247.68596037037</v>
      </c>
      <c r="B138" s="46" t="s">
        <v>238</v>
      </c>
      <c r="C138" s="46">
        <v>9.58040338E9</v>
      </c>
      <c r="D138" s="46"/>
      <c r="E138" s="46"/>
      <c r="F138" s="46"/>
      <c r="G138" s="46" t="s">
        <v>126</v>
      </c>
      <c r="H138" s="46"/>
      <c r="I138" s="46"/>
      <c r="J138" s="46"/>
      <c r="K138" s="46" t="str">
        <f>IFERROR(__xludf.DUMMYFUNCTION("if(A138="""","""",IF(G138="""",""Myn"",IF(REGEXMATCH(lower(G138),""mynn""),""Myn"",if(G138&lt;&gt;"""",""GEMTRE"",""""))))"),"Myn")</f>
        <v>Myn</v>
      </c>
      <c r="L138" s="46" t="s">
        <v>2000</v>
      </c>
      <c r="M138" s="48">
        <v>45255.46056712963</v>
      </c>
    </row>
    <row r="139">
      <c r="A139" s="47">
        <v>45247.68719123842</v>
      </c>
      <c r="B139" s="46" t="s">
        <v>239</v>
      </c>
      <c r="C139" s="46">
        <v>8.130475858E9</v>
      </c>
      <c r="D139" s="46" t="s">
        <v>240</v>
      </c>
      <c r="E139" s="46" t="s">
        <v>21</v>
      </c>
      <c r="F139" s="49" t="s">
        <v>241</v>
      </c>
      <c r="G139" s="46" t="s">
        <v>126</v>
      </c>
      <c r="H139" s="46"/>
      <c r="I139" s="46"/>
      <c r="J139" s="46"/>
      <c r="K139" s="46" t="str">
        <f>IFERROR(__xludf.DUMMYFUNCTION("if(A139="""","""",IF(G139="""",""Myn"",IF(REGEXMATCH(lower(G139),""mynn""),""Myn"",if(G139&lt;&gt;"""",""GEMTRE"",""""))))"),"Myn")</f>
        <v>Myn</v>
      </c>
      <c r="L139" s="46" t="s">
        <v>2000</v>
      </c>
      <c r="M139" s="48">
        <v>45255.46056712963</v>
      </c>
    </row>
    <row r="140">
      <c r="A140" s="47">
        <v>45247.69245232639</v>
      </c>
      <c r="B140" s="46" t="s">
        <v>242</v>
      </c>
      <c r="C140" s="46">
        <v>7.275888878E9</v>
      </c>
      <c r="D140" s="46"/>
      <c r="E140" s="46" t="s">
        <v>243</v>
      </c>
      <c r="F140" s="46"/>
      <c r="G140" s="46" t="s">
        <v>126</v>
      </c>
      <c r="H140" s="46"/>
      <c r="I140" s="46"/>
      <c r="J140" s="46"/>
      <c r="K140" s="46" t="str">
        <f>IFERROR(__xludf.DUMMYFUNCTION("if(A140="""","""",IF(G140="""",""Myn"",IF(REGEXMATCH(lower(G140),""mynn""),""Myn"",if(G140&lt;&gt;"""",""GEMTRE"",""""))))"),"Myn")</f>
        <v>Myn</v>
      </c>
      <c r="L140" s="46" t="s">
        <v>2000</v>
      </c>
      <c r="M140" s="48">
        <v>45255.46056712963</v>
      </c>
    </row>
    <row r="141">
      <c r="A141" s="47">
        <v>45247.71988849537</v>
      </c>
      <c r="B141" s="46" t="s">
        <v>244</v>
      </c>
      <c r="C141" s="46">
        <v>9.810063069E9</v>
      </c>
      <c r="D141" s="46"/>
      <c r="E141" s="46" t="s">
        <v>26</v>
      </c>
      <c r="F141" s="49" t="s">
        <v>245</v>
      </c>
      <c r="G141" s="46" t="s">
        <v>126</v>
      </c>
      <c r="H141" s="46"/>
      <c r="I141" s="46"/>
      <c r="J141" s="46"/>
      <c r="K141" s="46" t="str">
        <f>IFERROR(__xludf.DUMMYFUNCTION("if(A141="""","""",IF(G141="""",""Myn"",IF(REGEXMATCH(lower(G141),""mynn""),""Myn"",if(G141&lt;&gt;"""",""GEMTRE"",""""))))"),"Myn")</f>
        <v>Myn</v>
      </c>
      <c r="L141" s="46" t="s">
        <v>2000</v>
      </c>
      <c r="M141" s="48">
        <v>45255.46056712963</v>
      </c>
    </row>
    <row r="142">
      <c r="A142" s="47">
        <v>45247.72256637731</v>
      </c>
      <c r="B142" s="46" t="s">
        <v>246</v>
      </c>
      <c r="C142" s="46">
        <v>9.818900489E9</v>
      </c>
      <c r="D142" s="46"/>
      <c r="E142" s="46" t="s">
        <v>26</v>
      </c>
      <c r="F142" s="49" t="s">
        <v>247</v>
      </c>
      <c r="G142" s="46" t="s">
        <v>126</v>
      </c>
      <c r="H142" s="46"/>
      <c r="I142" s="46"/>
      <c r="J142" s="46"/>
      <c r="K142" s="46" t="str">
        <f>IFERROR(__xludf.DUMMYFUNCTION("if(A142="""","""",IF(G142="""",""Myn"",IF(REGEXMATCH(lower(G142),""mynn""),""Myn"",if(G142&lt;&gt;"""",""GEMTRE"",""""))))"),"Myn")</f>
        <v>Myn</v>
      </c>
      <c r="L142" s="46" t="s">
        <v>2000</v>
      </c>
      <c r="M142" s="48">
        <v>45255.46056712963</v>
      </c>
    </row>
    <row r="143">
      <c r="A143" s="47">
        <v>45247.731041122686</v>
      </c>
      <c r="B143" s="46" t="s">
        <v>248</v>
      </c>
      <c r="C143" s="46">
        <v>9.212168823E9</v>
      </c>
      <c r="D143" s="46"/>
      <c r="E143" s="46" t="s">
        <v>26</v>
      </c>
      <c r="F143" s="49" t="s">
        <v>249</v>
      </c>
      <c r="G143" s="46" t="s">
        <v>126</v>
      </c>
      <c r="H143" s="46"/>
      <c r="I143" s="46"/>
      <c r="J143" s="46"/>
      <c r="K143" s="46" t="str">
        <f>IFERROR(__xludf.DUMMYFUNCTION("if(A143="""","""",IF(G143="""",""Myn"",IF(REGEXMATCH(lower(G143),""mynn""),""Myn"",if(G143&lt;&gt;"""",""GEMTRE"",""""))))"),"Myn")</f>
        <v>Myn</v>
      </c>
      <c r="L143" s="46" t="s">
        <v>2000</v>
      </c>
      <c r="M143" s="48">
        <v>45255.46056712963</v>
      </c>
    </row>
    <row r="144">
      <c r="A144" s="47">
        <v>45247.75026188657</v>
      </c>
      <c r="B144" s="46" t="s">
        <v>250</v>
      </c>
      <c r="C144" s="46">
        <v>8.860787306E9</v>
      </c>
      <c r="D144" s="46"/>
      <c r="E144" s="46"/>
      <c r="F144" s="46"/>
      <c r="G144" s="46" t="s">
        <v>126</v>
      </c>
      <c r="H144" s="46"/>
      <c r="I144" s="46"/>
      <c r="J144" s="46"/>
      <c r="K144" s="46" t="str">
        <f>IFERROR(__xludf.DUMMYFUNCTION("if(A144="""","""",IF(G144="""",""Myn"",IF(REGEXMATCH(lower(G144),""mynn""),""Myn"",if(G144&lt;&gt;"""",""GEMTRE"",""""))))"),"Myn")</f>
        <v>Myn</v>
      </c>
      <c r="L144" s="46" t="s">
        <v>2000</v>
      </c>
      <c r="M144" s="48">
        <v>45255.46056712963</v>
      </c>
    </row>
    <row r="145">
      <c r="A145" s="47">
        <v>45247.750509317135</v>
      </c>
      <c r="B145" s="46" t="s">
        <v>251</v>
      </c>
      <c r="C145" s="46">
        <v>7.042462567E9</v>
      </c>
      <c r="D145" s="46"/>
      <c r="E145" s="46"/>
      <c r="F145" s="46"/>
      <c r="G145" s="46" t="s">
        <v>126</v>
      </c>
      <c r="H145" s="46"/>
      <c r="I145" s="46"/>
      <c r="J145" s="46"/>
      <c r="K145" s="46" t="str">
        <f>IFERROR(__xludf.DUMMYFUNCTION("if(A145="""","""",IF(G145="""",""Myn"",IF(REGEXMATCH(lower(G145),""mynn""),""Myn"",if(G145&lt;&gt;"""",""GEMTRE"",""""))))"),"Myn")</f>
        <v>Myn</v>
      </c>
      <c r="L145" s="46" t="s">
        <v>2000</v>
      </c>
      <c r="M145" s="48">
        <v>45255.46056712963</v>
      </c>
    </row>
    <row r="146">
      <c r="A146" s="47">
        <v>45247.75084204861</v>
      </c>
      <c r="B146" s="46" t="s">
        <v>252</v>
      </c>
      <c r="C146" s="46">
        <v>9.354548931E9</v>
      </c>
      <c r="D146" s="46"/>
      <c r="E146" s="46"/>
      <c r="F146" s="46"/>
      <c r="G146" s="46" t="s">
        <v>126</v>
      </c>
      <c r="H146" s="46"/>
      <c r="I146" s="46"/>
      <c r="J146" s="46"/>
      <c r="K146" s="46" t="str">
        <f>IFERROR(__xludf.DUMMYFUNCTION("if(A146="""","""",IF(G146="""",""Myn"",IF(REGEXMATCH(lower(G146),""mynn""),""Myn"",if(G146&lt;&gt;"""",""GEMTRE"",""""))))"),"Myn")</f>
        <v>Myn</v>
      </c>
      <c r="L146" s="46" t="s">
        <v>2000</v>
      </c>
      <c r="M146" s="48">
        <v>45255.46056712963</v>
      </c>
    </row>
    <row r="147">
      <c r="A147" s="47">
        <v>45247.751250138885</v>
      </c>
      <c r="B147" s="46" t="s">
        <v>253</v>
      </c>
      <c r="C147" s="46">
        <v>8.86037224E9</v>
      </c>
      <c r="D147" s="46"/>
      <c r="E147" s="46"/>
      <c r="F147" s="46"/>
      <c r="G147" s="46" t="s">
        <v>126</v>
      </c>
      <c r="H147" s="46"/>
      <c r="I147" s="46"/>
      <c r="J147" s="46"/>
      <c r="K147" s="46" t="str">
        <f>IFERROR(__xludf.DUMMYFUNCTION("if(A147="""","""",IF(G147="""",""Myn"",IF(REGEXMATCH(lower(G147),""mynn""),""Myn"",if(G147&lt;&gt;"""",""GEMTRE"",""""))))"),"Myn")</f>
        <v>Myn</v>
      </c>
      <c r="L147" s="46" t="s">
        <v>2000</v>
      </c>
      <c r="M147" s="48">
        <v>45255.46056712963</v>
      </c>
    </row>
    <row r="148">
      <c r="A148" s="47">
        <v>45247.7512621875</v>
      </c>
      <c r="B148" s="46" t="s">
        <v>254</v>
      </c>
      <c r="C148" s="46">
        <v>9.310536E9</v>
      </c>
      <c r="D148" s="46" t="s">
        <v>255</v>
      </c>
      <c r="E148" s="46" t="s">
        <v>26</v>
      </c>
      <c r="F148" s="49" t="s">
        <v>256</v>
      </c>
      <c r="G148" s="46" t="s">
        <v>126</v>
      </c>
      <c r="H148" s="46"/>
      <c r="I148" s="46"/>
      <c r="J148" s="46"/>
      <c r="K148" s="46" t="str">
        <f>IFERROR(__xludf.DUMMYFUNCTION("if(A148="""","""",IF(G148="""",""Myn"",IF(REGEXMATCH(lower(G148),""mynn""),""Myn"",if(G148&lt;&gt;"""",""GEMTRE"",""""))))"),"Myn")</f>
        <v>Myn</v>
      </c>
      <c r="L148" s="46" t="s">
        <v>2000</v>
      </c>
      <c r="M148" s="48">
        <v>45255.46056712963</v>
      </c>
    </row>
    <row r="149">
      <c r="A149" s="47">
        <v>45247.75179523148</v>
      </c>
      <c r="B149" s="46" t="s">
        <v>257</v>
      </c>
      <c r="C149" s="46">
        <v>8.800191827E9</v>
      </c>
      <c r="D149" s="46"/>
      <c r="E149" s="46"/>
      <c r="F149" s="46"/>
      <c r="G149" s="46" t="s">
        <v>126</v>
      </c>
      <c r="H149" s="46"/>
      <c r="I149" s="46"/>
      <c r="J149" s="46"/>
      <c r="K149" s="46" t="str">
        <f>IFERROR(__xludf.DUMMYFUNCTION("if(A149="""","""",IF(G149="""",""Myn"",IF(REGEXMATCH(lower(G149),""mynn""),""Myn"",if(G149&lt;&gt;"""",""GEMTRE"",""""))))"),"Myn")</f>
        <v>Myn</v>
      </c>
      <c r="L149" s="46" t="s">
        <v>2000</v>
      </c>
      <c r="M149" s="48">
        <v>45255.46056712963</v>
      </c>
    </row>
    <row r="150">
      <c r="A150" s="47">
        <v>45247.763179456015</v>
      </c>
      <c r="B150" s="46" t="s">
        <v>258</v>
      </c>
      <c r="C150" s="46">
        <v>9.65460486E9</v>
      </c>
      <c r="D150" s="46"/>
      <c r="E150" s="46" t="s">
        <v>15</v>
      </c>
      <c r="F150" s="46"/>
      <c r="G150" s="46" t="s">
        <v>126</v>
      </c>
      <c r="H150" s="46"/>
      <c r="I150" s="46"/>
      <c r="J150" s="46"/>
      <c r="K150" s="46" t="str">
        <f>IFERROR(__xludf.DUMMYFUNCTION("if(A150="""","""",IF(G150="""",""Myn"",IF(REGEXMATCH(lower(G150),""mynn""),""Myn"",if(G150&lt;&gt;"""",""GEMTRE"",""""))))"),"Myn")</f>
        <v>Myn</v>
      </c>
      <c r="L150" s="46" t="s">
        <v>2000</v>
      </c>
      <c r="M150" s="48">
        <v>45255.46056712963</v>
      </c>
    </row>
    <row r="151">
      <c r="A151" s="47">
        <v>45247.769756249996</v>
      </c>
      <c r="B151" s="46" t="s">
        <v>259</v>
      </c>
      <c r="C151" s="46">
        <v>7.303350761E9</v>
      </c>
      <c r="D151" s="46"/>
      <c r="E151" s="46" t="s">
        <v>26</v>
      </c>
      <c r="F151" s="49" t="s">
        <v>260</v>
      </c>
      <c r="G151" s="46" t="s">
        <v>126</v>
      </c>
      <c r="H151" s="46"/>
      <c r="I151" s="46"/>
      <c r="J151" s="46"/>
      <c r="K151" s="46" t="str">
        <f>IFERROR(__xludf.DUMMYFUNCTION("if(A151="""","""",IF(G151="""",""Myn"",IF(REGEXMATCH(lower(G151),""mynn""),""Myn"",if(G151&lt;&gt;"""",""GEMTRE"",""""))))"),"Myn")</f>
        <v>Myn</v>
      </c>
      <c r="L151" s="46" t="s">
        <v>2000</v>
      </c>
      <c r="M151" s="48">
        <v>45255.46056712963</v>
      </c>
    </row>
    <row r="152">
      <c r="A152" s="47">
        <v>45247.79732254629</v>
      </c>
      <c r="B152" s="46"/>
      <c r="C152" s="46">
        <v>9.560770805E9</v>
      </c>
      <c r="D152" s="46" t="s">
        <v>261</v>
      </c>
      <c r="E152" s="46" t="s">
        <v>262</v>
      </c>
      <c r="F152" s="46"/>
      <c r="G152" s="46" t="s">
        <v>126</v>
      </c>
      <c r="H152" s="46"/>
      <c r="I152" s="46"/>
      <c r="J152" s="46"/>
      <c r="K152" s="46" t="str">
        <f>IFERROR(__xludf.DUMMYFUNCTION("if(A152="""","""",IF(G152="""",""Myn"",IF(REGEXMATCH(lower(G152),""mynn""),""Myn"",if(G152&lt;&gt;"""",""GEMTRE"",""""))))"),"Myn")</f>
        <v>Myn</v>
      </c>
      <c r="L152" s="46" t="s">
        <v>2000</v>
      </c>
      <c r="M152" s="48">
        <v>45255.46056712963</v>
      </c>
    </row>
    <row r="153">
      <c r="A153" s="47">
        <v>45248.477318923615</v>
      </c>
      <c r="B153" s="46" t="s">
        <v>263</v>
      </c>
      <c r="C153" s="46">
        <v>9.55584441E9</v>
      </c>
      <c r="D153" s="46" t="s">
        <v>264</v>
      </c>
      <c r="E153" s="46" t="s">
        <v>26</v>
      </c>
      <c r="F153" s="49" t="s">
        <v>265</v>
      </c>
      <c r="G153" s="46" t="s">
        <v>126</v>
      </c>
      <c r="H153" s="46"/>
      <c r="I153" s="46"/>
      <c r="J153" s="46"/>
      <c r="K153" s="46" t="str">
        <f>IFERROR(__xludf.DUMMYFUNCTION("if(A153="""","""",IF(G153="""",""Myn"",IF(REGEXMATCH(lower(G153),""mynn""),""Myn"",if(G153&lt;&gt;"""",""GEMTRE"",""""))))"),"Myn")</f>
        <v>Myn</v>
      </c>
      <c r="L153" s="46" t="s">
        <v>2000</v>
      </c>
      <c r="M153" s="48">
        <v>45255.46056712963</v>
      </c>
    </row>
    <row r="154">
      <c r="A154" s="47">
        <v>45248.483060300925</v>
      </c>
      <c r="B154" s="46" t="s">
        <v>266</v>
      </c>
      <c r="C154" s="46">
        <v>7.060008973E9</v>
      </c>
      <c r="D154" s="46"/>
      <c r="E154" s="46" t="s">
        <v>15</v>
      </c>
      <c r="F154" s="46"/>
      <c r="G154" s="46" t="s">
        <v>126</v>
      </c>
      <c r="H154" s="46"/>
      <c r="I154" s="46"/>
      <c r="J154" s="46"/>
      <c r="K154" s="46" t="str">
        <f>IFERROR(__xludf.DUMMYFUNCTION("if(A154="""","""",IF(G154="""",""Myn"",IF(REGEXMATCH(lower(G154),""mynn""),""Myn"",if(G154&lt;&gt;"""",""GEMTRE"",""""))))"),"Myn")</f>
        <v>Myn</v>
      </c>
      <c r="L154" s="46" t="s">
        <v>2000</v>
      </c>
      <c r="M154" s="48">
        <v>45255.46056712963</v>
      </c>
    </row>
    <row r="155">
      <c r="A155" s="47">
        <v>45248.48353491898</v>
      </c>
      <c r="B155" s="46" t="s">
        <v>267</v>
      </c>
      <c r="C155" s="46">
        <v>9.871991971E9</v>
      </c>
      <c r="D155" s="46" t="s">
        <v>268</v>
      </c>
      <c r="E155" s="46"/>
      <c r="F155" s="46"/>
      <c r="G155" s="46" t="s">
        <v>126</v>
      </c>
      <c r="H155" s="46"/>
      <c r="I155" s="46"/>
      <c r="J155" s="46"/>
      <c r="K155" s="46" t="str">
        <f>IFERROR(__xludf.DUMMYFUNCTION("if(A155="""","""",IF(G155="""",""Myn"",IF(REGEXMATCH(lower(G155),""mynn""),""Myn"",if(G155&lt;&gt;"""",""GEMTRE"",""""))))"),"Myn")</f>
        <v>Myn</v>
      </c>
      <c r="L155" s="46" t="s">
        <v>2000</v>
      </c>
      <c r="M155" s="48">
        <v>45255.46056712963</v>
      </c>
    </row>
    <row r="156">
      <c r="A156" s="47">
        <v>45248.48898686343</v>
      </c>
      <c r="B156" s="46" t="s">
        <v>269</v>
      </c>
      <c r="C156" s="46">
        <v>9.899916146E9</v>
      </c>
      <c r="D156" s="46"/>
      <c r="E156" s="46" t="s">
        <v>15</v>
      </c>
      <c r="F156" s="46"/>
      <c r="G156" s="46" t="s">
        <v>126</v>
      </c>
      <c r="H156" s="46"/>
      <c r="I156" s="46"/>
      <c r="J156" s="46"/>
      <c r="K156" s="46" t="str">
        <f>IFERROR(__xludf.DUMMYFUNCTION("if(A156="""","""",IF(G156="""",""Myn"",IF(REGEXMATCH(lower(G156),""mynn""),""Myn"",if(G156&lt;&gt;"""",""GEMTRE"",""""))))"),"Myn")</f>
        <v>Myn</v>
      </c>
      <c r="L156" s="46" t="s">
        <v>2000</v>
      </c>
      <c r="M156" s="48">
        <v>45255.46056712963</v>
      </c>
    </row>
    <row r="157">
      <c r="A157" s="47">
        <v>45248.48947530093</v>
      </c>
      <c r="B157" s="46" t="s">
        <v>270</v>
      </c>
      <c r="C157" s="46">
        <v>9.971848148E9</v>
      </c>
      <c r="D157" s="46"/>
      <c r="E157" s="46" t="s">
        <v>79</v>
      </c>
      <c r="F157" s="46"/>
      <c r="G157" s="46" t="s">
        <v>126</v>
      </c>
      <c r="H157" s="46"/>
      <c r="I157" s="46"/>
      <c r="J157" s="46"/>
      <c r="K157" s="46" t="str">
        <f>IFERROR(__xludf.DUMMYFUNCTION("if(A157="""","""",IF(G157="""",""Myn"",IF(REGEXMATCH(lower(G157),""mynn""),""Myn"",if(G157&lt;&gt;"""",""GEMTRE"",""""))))"),"Myn")</f>
        <v>Myn</v>
      </c>
      <c r="L157" s="46" t="s">
        <v>2000</v>
      </c>
      <c r="M157" s="48">
        <v>45255.46056712963</v>
      </c>
    </row>
    <row r="158">
      <c r="A158" s="47">
        <v>45248.4924344676</v>
      </c>
      <c r="B158" s="46" t="s">
        <v>271</v>
      </c>
      <c r="C158" s="46">
        <v>9.873705367E9</v>
      </c>
      <c r="D158" s="46"/>
      <c r="E158" s="46"/>
      <c r="F158" s="46"/>
      <c r="G158" s="46" t="s">
        <v>126</v>
      </c>
      <c r="H158" s="46"/>
      <c r="I158" s="46"/>
      <c r="J158" s="46"/>
      <c r="K158" s="46" t="str">
        <f>IFERROR(__xludf.DUMMYFUNCTION("if(A158="""","""",IF(G158="""",""Myn"",IF(REGEXMATCH(lower(G158),""mynn""),""Myn"",if(G158&lt;&gt;"""",""GEMTRE"",""""))))"),"Myn")</f>
        <v>Myn</v>
      </c>
      <c r="L158" s="46" t="s">
        <v>2000</v>
      </c>
      <c r="M158" s="48">
        <v>45255.46056712963</v>
      </c>
    </row>
    <row r="159">
      <c r="A159" s="47">
        <v>45248.493579375005</v>
      </c>
      <c r="B159" s="46" t="s">
        <v>272</v>
      </c>
      <c r="C159" s="46">
        <v>9.899883466E9</v>
      </c>
      <c r="D159" s="46"/>
      <c r="E159" s="46" t="s">
        <v>273</v>
      </c>
      <c r="F159" s="46"/>
      <c r="G159" s="46" t="s">
        <v>126</v>
      </c>
      <c r="H159" s="46"/>
      <c r="I159" s="46"/>
      <c r="J159" s="46"/>
      <c r="K159" s="46" t="str">
        <f>IFERROR(__xludf.DUMMYFUNCTION("if(A159="""","""",IF(G159="""",""Myn"",IF(REGEXMATCH(lower(G159),""mynn""),""Myn"",if(G159&lt;&gt;"""",""GEMTRE"",""""))))"),"Myn")</f>
        <v>Myn</v>
      </c>
      <c r="L159" s="46" t="s">
        <v>2000</v>
      </c>
      <c r="M159" s="48">
        <v>45255.46056712963</v>
      </c>
    </row>
    <row r="160">
      <c r="A160" s="47">
        <v>45248.49877747685</v>
      </c>
      <c r="B160" s="46" t="s">
        <v>274</v>
      </c>
      <c r="C160" s="46">
        <v>9.306339575E9</v>
      </c>
      <c r="D160" s="46"/>
      <c r="E160" s="46" t="s">
        <v>275</v>
      </c>
      <c r="F160" s="46"/>
      <c r="G160" s="46" t="s">
        <v>276</v>
      </c>
      <c r="H160" s="46"/>
      <c r="I160" s="46"/>
      <c r="J160" s="46"/>
      <c r="K160" s="46" t="str">
        <f>IFERROR(__xludf.DUMMYFUNCTION("if(A160="""","""",IF(G160="""",""Myn"",IF(REGEXMATCH(lower(G160),""mynn""),""Myn"",if(G160&lt;&gt;"""",""GEMTRE"",""""))))"),"GEMTRE")</f>
        <v>GEMTRE</v>
      </c>
      <c r="L160" s="46" t="s">
        <v>2001</v>
      </c>
      <c r="M160" s="48">
        <v>45255.46056712963</v>
      </c>
    </row>
    <row r="161">
      <c r="A161" s="47">
        <v>45248.499338912035</v>
      </c>
      <c r="B161" s="46" t="s">
        <v>277</v>
      </c>
      <c r="C161" s="46">
        <v>8.826787393E9</v>
      </c>
      <c r="D161" s="46"/>
      <c r="E161" s="46" t="s">
        <v>275</v>
      </c>
      <c r="F161" s="46"/>
      <c r="G161" s="46" t="s">
        <v>276</v>
      </c>
      <c r="H161" s="46"/>
      <c r="I161" s="46"/>
      <c r="J161" s="46"/>
      <c r="K161" s="46" t="str">
        <f>IFERROR(__xludf.DUMMYFUNCTION("if(A161="""","""",IF(G161="""",""Myn"",IF(REGEXMATCH(lower(G161),""mynn""),""Myn"",if(G161&lt;&gt;"""",""GEMTRE"",""""))))"),"GEMTRE")</f>
        <v>GEMTRE</v>
      </c>
      <c r="L161" s="46" t="s">
        <v>2001</v>
      </c>
      <c r="M161" s="48">
        <v>45255.46056712963</v>
      </c>
    </row>
    <row r="162">
      <c r="A162" s="47">
        <v>45248.49972535879</v>
      </c>
      <c r="B162" s="46" t="s">
        <v>278</v>
      </c>
      <c r="C162" s="46">
        <v>9.371039211E9</v>
      </c>
      <c r="D162" s="46"/>
      <c r="E162" s="46" t="s">
        <v>279</v>
      </c>
      <c r="F162" s="46"/>
      <c r="G162" s="46" t="s">
        <v>276</v>
      </c>
      <c r="H162" s="46"/>
      <c r="I162" s="46"/>
      <c r="J162" s="46"/>
      <c r="K162" s="46" t="str">
        <f>IFERROR(__xludf.DUMMYFUNCTION("if(A162="""","""",IF(G162="""",""Myn"",IF(REGEXMATCH(lower(G162),""mynn""),""Myn"",if(G162&lt;&gt;"""",""GEMTRE"",""""))))"),"GEMTRE")</f>
        <v>GEMTRE</v>
      </c>
      <c r="L162" s="46" t="s">
        <v>2001</v>
      </c>
      <c r="M162" s="48">
        <v>45255.46056712963</v>
      </c>
    </row>
    <row r="163">
      <c r="A163" s="47">
        <v>45248.50090934028</v>
      </c>
      <c r="B163" s="46" t="s">
        <v>280</v>
      </c>
      <c r="C163" s="46">
        <v>9.893376417E9</v>
      </c>
      <c r="D163" s="46"/>
      <c r="E163" s="46" t="s">
        <v>281</v>
      </c>
      <c r="F163" s="46"/>
      <c r="G163" s="46" t="s">
        <v>276</v>
      </c>
      <c r="H163" s="46"/>
      <c r="I163" s="46"/>
      <c r="J163" s="46"/>
      <c r="K163" s="46" t="str">
        <f>IFERROR(__xludf.DUMMYFUNCTION("if(A163="""","""",IF(G163="""",""Myn"",IF(REGEXMATCH(lower(G163),""mynn""),""Myn"",if(G163&lt;&gt;"""",""GEMTRE"",""""))))"),"GEMTRE")</f>
        <v>GEMTRE</v>
      </c>
      <c r="L163" s="46" t="s">
        <v>2001</v>
      </c>
      <c r="M163" s="48">
        <v>45255.46056712963</v>
      </c>
    </row>
    <row r="164">
      <c r="A164" s="47">
        <v>45248.50172479167</v>
      </c>
      <c r="B164" s="46" t="s">
        <v>282</v>
      </c>
      <c r="C164" s="46">
        <v>9.643169967E9</v>
      </c>
      <c r="D164" s="46"/>
      <c r="E164" s="46"/>
      <c r="F164" s="46"/>
      <c r="G164" s="46" t="s">
        <v>276</v>
      </c>
      <c r="H164" s="46"/>
      <c r="I164" s="46"/>
      <c r="J164" s="46"/>
      <c r="K164" s="46" t="str">
        <f>IFERROR(__xludf.DUMMYFUNCTION("if(A164="""","""",IF(G164="""",""Myn"",IF(REGEXMATCH(lower(G164),""mynn""),""Myn"",if(G164&lt;&gt;"""",""GEMTRE"",""""))))"),"GEMTRE")</f>
        <v>GEMTRE</v>
      </c>
      <c r="L164" s="46" t="s">
        <v>2001</v>
      </c>
      <c r="M164" s="48">
        <v>45255.46056712963</v>
      </c>
    </row>
    <row r="165">
      <c r="A165" s="47">
        <v>45248.50182336806</v>
      </c>
      <c r="B165" s="46" t="s">
        <v>283</v>
      </c>
      <c r="C165" s="46">
        <v>8.816922333E9</v>
      </c>
      <c r="D165" s="46"/>
      <c r="E165" s="46" t="s">
        <v>13</v>
      </c>
      <c r="F165" s="46"/>
      <c r="G165" s="46" t="s">
        <v>126</v>
      </c>
      <c r="H165" s="46"/>
      <c r="I165" s="46"/>
      <c r="J165" s="46"/>
      <c r="K165" s="46" t="str">
        <f>IFERROR(__xludf.DUMMYFUNCTION("if(A165="""","""",IF(G165="""",""Myn"",IF(REGEXMATCH(lower(G165),""mynn""),""Myn"",if(G165&lt;&gt;"""",""GEMTRE"",""""))))"),"Myn")</f>
        <v>Myn</v>
      </c>
      <c r="L165" s="46" t="s">
        <v>2000</v>
      </c>
      <c r="M165" s="48">
        <v>45255.46056712963</v>
      </c>
    </row>
    <row r="166">
      <c r="A166" s="47">
        <v>45248.50222081019</v>
      </c>
      <c r="B166" s="46" t="s">
        <v>284</v>
      </c>
      <c r="C166" s="46">
        <v>9.968473124E9</v>
      </c>
      <c r="D166" s="46"/>
      <c r="E166" s="46"/>
      <c r="F166" s="46"/>
      <c r="G166" s="46" t="s">
        <v>276</v>
      </c>
      <c r="H166" s="46"/>
      <c r="I166" s="46"/>
      <c r="J166" s="46"/>
      <c r="K166" s="46" t="str">
        <f>IFERROR(__xludf.DUMMYFUNCTION("if(A166="""","""",IF(G166="""",""Myn"",IF(REGEXMATCH(lower(G166),""mynn""),""Myn"",if(G166&lt;&gt;"""",""GEMTRE"",""""))))"),"GEMTRE")</f>
        <v>GEMTRE</v>
      </c>
      <c r="L166" s="46" t="s">
        <v>2001</v>
      </c>
      <c r="M166" s="48">
        <v>45255.46057870371</v>
      </c>
    </row>
    <row r="167">
      <c r="A167" s="47">
        <v>45248.50277684028</v>
      </c>
      <c r="B167" s="46" t="s">
        <v>285</v>
      </c>
      <c r="C167" s="46">
        <v>9.89177124E9</v>
      </c>
      <c r="D167" s="46"/>
      <c r="E167" s="46" t="s">
        <v>286</v>
      </c>
      <c r="F167" s="46"/>
      <c r="G167" s="46" t="s">
        <v>276</v>
      </c>
      <c r="H167" s="46"/>
      <c r="I167" s="46"/>
      <c r="J167" s="46"/>
      <c r="K167" s="46" t="str">
        <f>IFERROR(__xludf.DUMMYFUNCTION("if(A167="""","""",IF(G167="""",""Myn"",IF(REGEXMATCH(lower(G167),""mynn""),""Myn"",if(G167&lt;&gt;"""",""GEMTRE"",""""))))"),"GEMTRE")</f>
        <v>GEMTRE</v>
      </c>
      <c r="L167" s="46" t="s">
        <v>2001</v>
      </c>
      <c r="M167" s="48">
        <v>45255.46057870371</v>
      </c>
    </row>
    <row r="168">
      <c r="A168" s="47">
        <v>45248.50844315972</v>
      </c>
      <c r="B168" s="46" t="s">
        <v>287</v>
      </c>
      <c r="C168" s="46">
        <v>9.75556176E9</v>
      </c>
      <c r="D168" s="46"/>
      <c r="E168" s="46" t="s">
        <v>288</v>
      </c>
      <c r="F168" s="46"/>
      <c r="G168" s="46" t="s">
        <v>289</v>
      </c>
      <c r="H168" s="46"/>
      <c r="I168" s="46"/>
      <c r="J168" s="46"/>
      <c r="K168" s="46" t="str">
        <f>IFERROR(__xludf.DUMMYFUNCTION("if(A168="""","""",IF(G168="""",""Myn"",IF(REGEXMATCH(lower(G168),""mynn""),""Myn"",if(G168&lt;&gt;"""",""GEMTRE"",""""))))"),"GEMTRE")</f>
        <v>GEMTRE</v>
      </c>
      <c r="L168" s="46" t="s">
        <v>2001</v>
      </c>
      <c r="M168" s="48">
        <v>45255.46057870371</v>
      </c>
    </row>
    <row r="169">
      <c r="A169" s="47">
        <v>45248.508801805554</v>
      </c>
      <c r="B169" s="46" t="s">
        <v>290</v>
      </c>
      <c r="C169" s="46">
        <v>9.810725225E9</v>
      </c>
      <c r="D169" s="46"/>
      <c r="E169" s="46"/>
      <c r="F169" s="46"/>
      <c r="G169" s="46" t="s">
        <v>289</v>
      </c>
      <c r="H169" s="46"/>
      <c r="I169" s="46"/>
      <c r="J169" s="46"/>
      <c r="K169" s="46" t="str">
        <f>IFERROR(__xludf.DUMMYFUNCTION("if(A169="""","""",IF(G169="""",""Myn"",IF(REGEXMATCH(lower(G169),""mynn""),""Myn"",if(G169&lt;&gt;"""",""GEMTRE"",""""))))"),"GEMTRE")</f>
        <v>GEMTRE</v>
      </c>
      <c r="L169" s="46" t="s">
        <v>2001</v>
      </c>
      <c r="M169" s="48">
        <v>45255.46057870371</v>
      </c>
    </row>
    <row r="170">
      <c r="A170" s="47">
        <v>45248.5091709375</v>
      </c>
      <c r="B170" s="46" t="s">
        <v>291</v>
      </c>
      <c r="C170" s="46">
        <v>9.811959422E9</v>
      </c>
      <c r="D170" s="46"/>
      <c r="E170" s="46" t="s">
        <v>292</v>
      </c>
      <c r="F170" s="46"/>
      <c r="G170" s="46" t="s">
        <v>289</v>
      </c>
      <c r="H170" s="46"/>
      <c r="I170" s="46"/>
      <c r="J170" s="46"/>
      <c r="K170" s="46" t="str">
        <f>IFERROR(__xludf.DUMMYFUNCTION("if(A170="""","""",IF(G170="""",""Myn"",IF(REGEXMATCH(lower(G170),""mynn""),""Myn"",if(G170&lt;&gt;"""",""GEMTRE"",""""))))"),"GEMTRE")</f>
        <v>GEMTRE</v>
      </c>
      <c r="L170" s="46" t="s">
        <v>2001</v>
      </c>
      <c r="M170" s="48">
        <v>45255.46057870371</v>
      </c>
    </row>
    <row r="171">
      <c r="A171" s="47">
        <v>45248.509456678235</v>
      </c>
      <c r="B171" s="46" t="s">
        <v>293</v>
      </c>
      <c r="C171" s="46">
        <v>9.999008388E9</v>
      </c>
      <c r="D171" s="46"/>
      <c r="E171" s="46" t="s">
        <v>294</v>
      </c>
      <c r="F171" s="46"/>
      <c r="G171" s="46" t="s">
        <v>289</v>
      </c>
      <c r="H171" s="46"/>
      <c r="I171" s="46"/>
      <c r="J171" s="46"/>
      <c r="K171" s="46" t="str">
        <f>IFERROR(__xludf.DUMMYFUNCTION("if(A171="""","""",IF(G171="""",""Myn"",IF(REGEXMATCH(lower(G171),""mynn""),""Myn"",if(G171&lt;&gt;"""",""GEMTRE"",""""))))"),"GEMTRE")</f>
        <v>GEMTRE</v>
      </c>
      <c r="L171" s="46" t="s">
        <v>2001</v>
      </c>
      <c r="M171" s="48">
        <v>45255.46057870371</v>
      </c>
    </row>
    <row r="172">
      <c r="A172" s="47">
        <v>45248.50982921296</v>
      </c>
      <c r="B172" s="46" t="s">
        <v>295</v>
      </c>
      <c r="C172" s="46">
        <v>8.077754287E9</v>
      </c>
      <c r="D172" s="46"/>
      <c r="E172" s="46" t="s">
        <v>286</v>
      </c>
      <c r="F172" s="46"/>
      <c r="G172" s="46" t="s">
        <v>289</v>
      </c>
      <c r="H172" s="46"/>
      <c r="I172" s="46"/>
      <c r="J172" s="46"/>
      <c r="K172" s="46" t="str">
        <f>IFERROR(__xludf.DUMMYFUNCTION("if(A172="""","""",IF(G172="""",""Myn"",IF(REGEXMATCH(lower(G172),""mynn""),""Myn"",if(G172&lt;&gt;"""",""GEMTRE"",""""))))"),"GEMTRE")</f>
        <v>GEMTRE</v>
      </c>
      <c r="L172" s="46" t="s">
        <v>2001</v>
      </c>
      <c r="M172" s="48">
        <v>45255.46057870371</v>
      </c>
    </row>
    <row r="173">
      <c r="A173" s="47">
        <v>45248.510367256946</v>
      </c>
      <c r="B173" s="46" t="s">
        <v>296</v>
      </c>
      <c r="C173" s="46">
        <v>8.588819515E9</v>
      </c>
      <c r="D173" s="46"/>
      <c r="E173" s="46" t="s">
        <v>297</v>
      </c>
      <c r="F173" s="46"/>
      <c r="G173" s="46" t="s">
        <v>289</v>
      </c>
      <c r="H173" s="46"/>
      <c r="I173" s="46"/>
      <c r="J173" s="46"/>
      <c r="K173" s="46" t="str">
        <f>IFERROR(__xludf.DUMMYFUNCTION("if(A173="""","""",IF(G173="""",""Myn"",IF(REGEXMATCH(lower(G173),""mynn""),""Myn"",if(G173&lt;&gt;"""",""GEMTRE"",""""))))"),"GEMTRE")</f>
        <v>GEMTRE</v>
      </c>
      <c r="L173" s="46" t="s">
        <v>2001</v>
      </c>
      <c r="M173" s="48">
        <v>45255.46057870371</v>
      </c>
    </row>
    <row r="174">
      <c r="A174" s="47">
        <v>45248.51086465278</v>
      </c>
      <c r="B174" s="46" t="s">
        <v>298</v>
      </c>
      <c r="C174" s="46">
        <v>8.076658304E9</v>
      </c>
      <c r="D174" s="46"/>
      <c r="E174" s="46" t="s">
        <v>299</v>
      </c>
      <c r="F174" s="46"/>
      <c r="G174" s="46" t="s">
        <v>289</v>
      </c>
      <c r="H174" s="46"/>
      <c r="I174" s="46"/>
      <c r="J174" s="46"/>
      <c r="K174" s="46" t="str">
        <f>IFERROR(__xludf.DUMMYFUNCTION("if(A174="""","""",IF(G174="""",""Myn"",IF(REGEXMATCH(lower(G174),""mynn""),""Myn"",if(G174&lt;&gt;"""",""GEMTRE"",""""))))"),"GEMTRE")</f>
        <v>GEMTRE</v>
      </c>
      <c r="L174" s="46" t="s">
        <v>2001</v>
      </c>
      <c r="M174" s="48">
        <v>45255.46057870371</v>
      </c>
    </row>
    <row r="175">
      <c r="A175" s="47">
        <v>45248.51124309028</v>
      </c>
      <c r="B175" s="46" t="s">
        <v>300</v>
      </c>
      <c r="C175" s="46">
        <v>9.810902904E9</v>
      </c>
      <c r="D175" s="46"/>
      <c r="E175" s="46" t="s">
        <v>301</v>
      </c>
      <c r="F175" s="46"/>
      <c r="G175" s="46" t="s">
        <v>289</v>
      </c>
      <c r="H175" s="46"/>
      <c r="I175" s="46"/>
      <c r="J175" s="46"/>
      <c r="K175" s="46" t="str">
        <f>IFERROR(__xludf.DUMMYFUNCTION("if(A175="""","""",IF(G175="""",""Myn"",IF(REGEXMATCH(lower(G175),""mynn""),""Myn"",if(G175&lt;&gt;"""",""GEMTRE"",""""))))"),"GEMTRE")</f>
        <v>GEMTRE</v>
      </c>
      <c r="L175" s="46" t="s">
        <v>2001</v>
      </c>
      <c r="M175" s="48">
        <v>45255.46057870371</v>
      </c>
    </row>
    <row r="176">
      <c r="A176" s="47">
        <v>45248.511477141205</v>
      </c>
      <c r="B176" s="46" t="s">
        <v>302</v>
      </c>
      <c r="C176" s="46">
        <v>8.233131716E9</v>
      </c>
      <c r="D176" s="46"/>
      <c r="E176" s="46"/>
      <c r="F176" s="46"/>
      <c r="G176" s="46" t="s">
        <v>303</v>
      </c>
      <c r="H176" s="46"/>
      <c r="I176" s="46"/>
      <c r="J176" s="46"/>
      <c r="K176" s="46" t="str">
        <f>IFERROR(__xludf.DUMMYFUNCTION("if(A176="""","""",IF(G176="""",""Myn"",IF(REGEXMATCH(lower(G176),""mynn""),""Myn"",if(G176&lt;&gt;"""",""GEMTRE"",""""))))"),"Myn")</f>
        <v>Myn</v>
      </c>
      <c r="L176" s="46" t="s">
        <v>2000</v>
      </c>
      <c r="M176" s="48">
        <v>45255.46057870371</v>
      </c>
    </row>
    <row r="177">
      <c r="A177" s="47">
        <v>45248.511882245366</v>
      </c>
      <c r="B177" s="46" t="s">
        <v>304</v>
      </c>
      <c r="C177" s="46">
        <v>9.821543409E9</v>
      </c>
      <c r="D177" s="46"/>
      <c r="E177" s="46" t="s">
        <v>305</v>
      </c>
      <c r="F177" s="46"/>
      <c r="G177" s="46" t="s">
        <v>289</v>
      </c>
      <c r="H177" s="46"/>
      <c r="I177" s="46"/>
      <c r="J177" s="46"/>
      <c r="K177" s="46" t="str">
        <f>IFERROR(__xludf.DUMMYFUNCTION("if(A177="""","""",IF(G177="""",""Myn"",IF(REGEXMATCH(lower(G177),""mynn""),""Myn"",if(G177&lt;&gt;"""",""GEMTRE"",""""))))"),"GEMTRE")</f>
        <v>GEMTRE</v>
      </c>
      <c r="L177" s="46" t="s">
        <v>2001</v>
      </c>
      <c r="M177" s="48">
        <v>45255.46057870371</v>
      </c>
    </row>
    <row r="178">
      <c r="A178" s="47">
        <v>45248.51222266204</v>
      </c>
      <c r="B178" s="46" t="s">
        <v>121</v>
      </c>
      <c r="C178" s="46">
        <v>9.646202299E9</v>
      </c>
      <c r="D178" s="46"/>
      <c r="E178" s="46" t="s">
        <v>306</v>
      </c>
      <c r="F178" s="46"/>
      <c r="G178" s="46" t="s">
        <v>289</v>
      </c>
      <c r="H178" s="46"/>
      <c r="I178" s="46"/>
      <c r="J178" s="46"/>
      <c r="K178" s="46" t="str">
        <f>IFERROR(__xludf.DUMMYFUNCTION("if(A178="""","""",IF(G178="""",""Myn"",IF(REGEXMATCH(lower(G178),""mynn""),""Myn"",if(G178&lt;&gt;"""",""GEMTRE"",""""))))"),"GEMTRE")</f>
        <v>GEMTRE</v>
      </c>
      <c r="L178" s="46" t="s">
        <v>2001</v>
      </c>
      <c r="M178" s="48">
        <v>45255.46057870371</v>
      </c>
    </row>
    <row r="179">
      <c r="A179" s="47">
        <v>45248.51237589121</v>
      </c>
      <c r="B179" s="46" t="s">
        <v>307</v>
      </c>
      <c r="C179" s="46">
        <v>9.603929783E9</v>
      </c>
      <c r="D179" s="46"/>
      <c r="E179" s="46" t="s">
        <v>15</v>
      </c>
      <c r="F179" s="46"/>
      <c r="G179" s="46" t="s">
        <v>303</v>
      </c>
      <c r="H179" s="46"/>
      <c r="I179" s="46"/>
      <c r="J179" s="46"/>
      <c r="K179" s="46" t="str">
        <f>IFERROR(__xludf.DUMMYFUNCTION("if(A179="""","""",IF(G179="""",""Myn"",IF(REGEXMATCH(lower(G179),""mynn""),""Myn"",if(G179&lt;&gt;"""",""GEMTRE"",""""))))"),"Myn")</f>
        <v>Myn</v>
      </c>
      <c r="L179" s="46" t="s">
        <v>2000</v>
      </c>
      <c r="M179" s="48">
        <v>45255.46057870371</v>
      </c>
    </row>
    <row r="180">
      <c r="A180" s="47">
        <v>45248.512604131945</v>
      </c>
      <c r="B180" s="46" t="s">
        <v>308</v>
      </c>
      <c r="C180" s="46">
        <v>9.999009647E9</v>
      </c>
      <c r="D180" s="46"/>
      <c r="E180" s="46" t="s">
        <v>286</v>
      </c>
      <c r="F180" s="46"/>
      <c r="G180" s="46" t="s">
        <v>289</v>
      </c>
      <c r="H180" s="46"/>
      <c r="I180" s="46"/>
      <c r="J180" s="46"/>
      <c r="K180" s="46" t="str">
        <f>IFERROR(__xludf.DUMMYFUNCTION("if(A180="""","""",IF(G180="""",""Myn"",IF(REGEXMATCH(lower(G180),""mynn""),""Myn"",if(G180&lt;&gt;"""",""GEMTRE"",""""))))"),"GEMTRE")</f>
        <v>GEMTRE</v>
      </c>
      <c r="L180" s="46" t="s">
        <v>2001</v>
      </c>
      <c r="M180" s="48">
        <v>45255.46057870371</v>
      </c>
    </row>
    <row r="181">
      <c r="A181" s="47">
        <v>45248.51308224537</v>
      </c>
      <c r="B181" s="46" t="s">
        <v>309</v>
      </c>
      <c r="C181" s="46">
        <v>9.868145145E9</v>
      </c>
      <c r="D181" s="46"/>
      <c r="E181" s="46" t="s">
        <v>310</v>
      </c>
      <c r="F181" s="46"/>
      <c r="G181" s="46" t="s">
        <v>289</v>
      </c>
      <c r="H181" s="46"/>
      <c r="I181" s="46"/>
      <c r="J181" s="46"/>
      <c r="K181" s="46" t="str">
        <f>IFERROR(__xludf.DUMMYFUNCTION("if(A181="""","""",IF(G181="""",""Myn"",IF(REGEXMATCH(lower(G181),""mynn""),""Myn"",if(G181&lt;&gt;"""",""GEMTRE"",""""))))"),"GEMTRE")</f>
        <v>GEMTRE</v>
      </c>
      <c r="L181" s="46" t="s">
        <v>2001</v>
      </c>
      <c r="M181" s="48">
        <v>45255.46057870371</v>
      </c>
    </row>
    <row r="182">
      <c r="A182" s="47">
        <v>45248.51371277778</v>
      </c>
      <c r="B182" s="46" t="s">
        <v>311</v>
      </c>
      <c r="C182" s="46">
        <v>9.958989812E9</v>
      </c>
      <c r="D182" s="46"/>
      <c r="E182" s="46" t="s">
        <v>312</v>
      </c>
      <c r="F182" s="46"/>
      <c r="G182" s="46" t="s">
        <v>289</v>
      </c>
      <c r="H182" s="46"/>
      <c r="I182" s="46"/>
      <c r="J182" s="46"/>
      <c r="K182" s="46" t="str">
        <f>IFERROR(__xludf.DUMMYFUNCTION("if(A182="""","""",IF(G182="""",""Myn"",IF(REGEXMATCH(lower(G182),""mynn""),""Myn"",if(G182&lt;&gt;"""",""GEMTRE"",""""))))"),"GEMTRE")</f>
        <v>GEMTRE</v>
      </c>
      <c r="L182" s="46" t="s">
        <v>2001</v>
      </c>
      <c r="M182" s="48">
        <v>45255.46057870371</v>
      </c>
    </row>
    <row r="183">
      <c r="A183" s="47">
        <v>45248.51424696759</v>
      </c>
      <c r="B183" s="46" t="s">
        <v>313</v>
      </c>
      <c r="C183" s="46">
        <v>9.050618274E9</v>
      </c>
      <c r="D183" s="46"/>
      <c r="E183" s="46" t="s">
        <v>314</v>
      </c>
      <c r="F183" s="46"/>
      <c r="G183" s="46" t="s">
        <v>289</v>
      </c>
      <c r="H183" s="46"/>
      <c r="I183" s="46"/>
      <c r="J183" s="46"/>
      <c r="K183" s="46" t="str">
        <f>IFERROR(__xludf.DUMMYFUNCTION("if(A183="""","""",IF(G183="""",""Myn"",IF(REGEXMATCH(lower(G183),""mynn""),""Myn"",if(G183&lt;&gt;"""",""GEMTRE"",""""))))"),"GEMTRE")</f>
        <v>GEMTRE</v>
      </c>
      <c r="L183" s="46" t="s">
        <v>2001</v>
      </c>
      <c r="M183" s="48">
        <v>45255.46057870371</v>
      </c>
    </row>
    <row r="184">
      <c r="A184" s="47">
        <v>45248.51471855324</v>
      </c>
      <c r="B184" s="46" t="s">
        <v>315</v>
      </c>
      <c r="C184" s="46">
        <v>9.212517669E9</v>
      </c>
      <c r="D184" s="46"/>
      <c r="E184" s="46" t="s">
        <v>305</v>
      </c>
      <c r="F184" s="46"/>
      <c r="G184" s="46" t="s">
        <v>289</v>
      </c>
      <c r="H184" s="46"/>
      <c r="I184" s="46"/>
      <c r="J184" s="46"/>
      <c r="K184" s="46" t="str">
        <f>IFERROR(__xludf.DUMMYFUNCTION("if(A184="""","""",IF(G184="""",""Myn"",IF(REGEXMATCH(lower(G184),""mynn""),""Myn"",if(G184&lt;&gt;"""",""GEMTRE"",""""))))"),"GEMTRE")</f>
        <v>GEMTRE</v>
      </c>
      <c r="L184" s="46" t="s">
        <v>2001</v>
      </c>
      <c r="M184" s="48">
        <v>45255.46057870371</v>
      </c>
    </row>
    <row r="185">
      <c r="A185" s="47">
        <v>45248.515662129634</v>
      </c>
      <c r="B185" s="46" t="s">
        <v>316</v>
      </c>
      <c r="C185" s="46">
        <v>9.891477748E9</v>
      </c>
      <c r="D185" s="46" t="s">
        <v>317</v>
      </c>
      <c r="E185" s="46"/>
      <c r="F185" s="46"/>
      <c r="G185" s="46" t="s">
        <v>303</v>
      </c>
      <c r="H185" s="46"/>
      <c r="I185" s="46"/>
      <c r="J185" s="46"/>
      <c r="K185" s="46" t="str">
        <f>IFERROR(__xludf.DUMMYFUNCTION("if(A185="""","""",IF(G185="""",""Myn"",IF(REGEXMATCH(lower(G185),""mynn""),""Myn"",if(G185&lt;&gt;"""",""GEMTRE"",""""))))"),"Myn")</f>
        <v>Myn</v>
      </c>
      <c r="L185" s="46" t="s">
        <v>2000</v>
      </c>
      <c r="M185" s="48">
        <v>45255.46057870371</v>
      </c>
    </row>
    <row r="186">
      <c r="A186" s="47">
        <v>45248.515768032405</v>
      </c>
      <c r="B186" s="46" t="s">
        <v>318</v>
      </c>
      <c r="C186" s="46">
        <v>9.599317993E9</v>
      </c>
      <c r="D186" s="46"/>
      <c r="E186" s="46" t="s">
        <v>319</v>
      </c>
      <c r="F186" s="46"/>
      <c r="G186" s="46" t="s">
        <v>289</v>
      </c>
      <c r="H186" s="46"/>
      <c r="I186" s="46"/>
      <c r="J186" s="46"/>
      <c r="K186" s="46" t="str">
        <f>IFERROR(__xludf.DUMMYFUNCTION("if(A186="""","""",IF(G186="""",""Myn"",IF(REGEXMATCH(lower(G186),""mynn""),""Myn"",if(G186&lt;&gt;"""",""GEMTRE"",""""))))"),"GEMTRE")</f>
        <v>GEMTRE</v>
      </c>
      <c r="L186" s="46" t="s">
        <v>2001</v>
      </c>
      <c r="M186" s="48">
        <v>45255.46057870371</v>
      </c>
    </row>
    <row r="187">
      <c r="A187" s="47">
        <v>45248.51580821759</v>
      </c>
      <c r="B187" s="46" t="s">
        <v>320</v>
      </c>
      <c r="C187" s="46">
        <v>9.891477748E9</v>
      </c>
      <c r="D187" s="46" t="s">
        <v>321</v>
      </c>
      <c r="E187" s="46"/>
      <c r="F187" s="46"/>
      <c r="G187" s="46" t="s">
        <v>303</v>
      </c>
      <c r="H187" s="46"/>
      <c r="I187" s="46"/>
      <c r="J187" s="46"/>
      <c r="K187" s="46" t="str">
        <f>IFERROR(__xludf.DUMMYFUNCTION("if(A187="""","""",IF(G187="""",""Myn"",IF(REGEXMATCH(lower(G187),""mynn""),""Myn"",if(G187&lt;&gt;"""",""GEMTRE"",""""))))"),"Myn")</f>
        <v>Myn</v>
      </c>
      <c r="L187" s="46" t="s">
        <v>2000</v>
      </c>
      <c r="M187" s="48">
        <v>45255.46057870371</v>
      </c>
    </row>
    <row r="188">
      <c r="A188" s="47">
        <v>45248.515955104165</v>
      </c>
      <c r="B188" s="46" t="s">
        <v>322</v>
      </c>
      <c r="C188" s="46">
        <v>9.958379191E9</v>
      </c>
      <c r="D188" s="46"/>
      <c r="E188" s="46" t="s">
        <v>15</v>
      </c>
      <c r="F188" s="46"/>
      <c r="G188" s="46" t="s">
        <v>303</v>
      </c>
      <c r="H188" s="46"/>
      <c r="I188" s="46"/>
      <c r="J188" s="46"/>
      <c r="K188" s="46" t="str">
        <f>IFERROR(__xludf.DUMMYFUNCTION("if(A188="""","""",IF(G188="""",""Myn"",IF(REGEXMATCH(lower(G188),""mynn""),""Myn"",if(G188&lt;&gt;"""",""GEMTRE"",""""))))"),"Myn")</f>
        <v>Myn</v>
      </c>
      <c r="L188" s="46" t="s">
        <v>2000</v>
      </c>
      <c r="M188" s="48">
        <v>45255.46057870371</v>
      </c>
    </row>
    <row r="189">
      <c r="A189" s="47">
        <v>45248.51616346065</v>
      </c>
      <c r="B189" s="46" t="s">
        <v>323</v>
      </c>
      <c r="C189" s="46">
        <v>9.210479043E9</v>
      </c>
      <c r="D189" s="46"/>
      <c r="E189" s="46" t="s">
        <v>324</v>
      </c>
      <c r="F189" s="46"/>
      <c r="G189" s="46" t="s">
        <v>289</v>
      </c>
      <c r="H189" s="46"/>
      <c r="I189" s="46"/>
      <c r="J189" s="46"/>
      <c r="K189" s="46" t="str">
        <f>IFERROR(__xludf.DUMMYFUNCTION("if(A189="""","""",IF(G189="""",""Myn"",IF(REGEXMATCH(lower(G189),""mynn""),""Myn"",if(G189&lt;&gt;"""",""GEMTRE"",""""))))"),"GEMTRE")</f>
        <v>GEMTRE</v>
      </c>
      <c r="L189" s="46" t="s">
        <v>2001</v>
      </c>
      <c r="M189" s="48">
        <v>45255.46057870371</v>
      </c>
    </row>
    <row r="190">
      <c r="A190" s="47">
        <v>45248.51661978009</v>
      </c>
      <c r="B190" s="46" t="s">
        <v>325</v>
      </c>
      <c r="C190" s="46">
        <v>9.811131753E9</v>
      </c>
      <c r="D190" s="46"/>
      <c r="E190" s="46"/>
      <c r="F190" s="46"/>
      <c r="G190" s="46" t="s">
        <v>303</v>
      </c>
      <c r="H190" s="46"/>
      <c r="I190" s="46"/>
      <c r="J190" s="46"/>
      <c r="K190" s="46" t="str">
        <f>IFERROR(__xludf.DUMMYFUNCTION("if(A190="""","""",IF(G190="""",""Myn"",IF(REGEXMATCH(lower(G190),""mynn""),""Myn"",if(G190&lt;&gt;"""",""GEMTRE"",""""))))"),"Myn")</f>
        <v>Myn</v>
      </c>
      <c r="L190" s="46" t="s">
        <v>2000</v>
      </c>
      <c r="M190" s="48">
        <v>45255.46057870371</v>
      </c>
    </row>
    <row r="191">
      <c r="A191" s="47">
        <v>45248.51729056713</v>
      </c>
      <c r="B191" s="46" t="s">
        <v>326</v>
      </c>
      <c r="C191" s="46">
        <v>8.527443388E9</v>
      </c>
      <c r="D191" s="46"/>
      <c r="E191" s="46" t="s">
        <v>306</v>
      </c>
      <c r="F191" s="46"/>
      <c r="G191" s="46" t="s">
        <v>289</v>
      </c>
      <c r="H191" s="46"/>
      <c r="I191" s="46"/>
      <c r="J191" s="46"/>
      <c r="K191" s="46" t="str">
        <f>IFERROR(__xludf.DUMMYFUNCTION("if(A191="""","""",IF(G191="""",""Myn"",IF(REGEXMATCH(lower(G191),""mynn""),""Myn"",if(G191&lt;&gt;"""",""GEMTRE"",""""))))"),"GEMTRE")</f>
        <v>GEMTRE</v>
      </c>
      <c r="L191" s="46" t="s">
        <v>2001</v>
      </c>
      <c r="M191" s="48">
        <v>45255.46057870371</v>
      </c>
    </row>
    <row r="192">
      <c r="A192" s="47">
        <v>45248.519400474535</v>
      </c>
      <c r="B192" s="46" t="s">
        <v>327</v>
      </c>
      <c r="C192" s="46">
        <v>9.311417626E9</v>
      </c>
      <c r="D192" s="46"/>
      <c r="E192" s="46" t="s">
        <v>11</v>
      </c>
      <c r="F192" s="46"/>
      <c r="G192" s="46" t="s">
        <v>303</v>
      </c>
      <c r="H192" s="46"/>
      <c r="I192" s="46"/>
      <c r="J192" s="46"/>
      <c r="K192" s="46" t="str">
        <f>IFERROR(__xludf.DUMMYFUNCTION("if(A192="""","""",IF(G192="""",""Myn"",IF(REGEXMATCH(lower(G192),""mynn""),""Myn"",if(G192&lt;&gt;"""",""GEMTRE"",""""))))"),"Myn")</f>
        <v>Myn</v>
      </c>
      <c r="L192" s="46" t="s">
        <v>2000</v>
      </c>
      <c r="M192" s="48">
        <v>45255.46057870371</v>
      </c>
    </row>
    <row r="193">
      <c r="A193" s="47">
        <v>45248.51974847222</v>
      </c>
      <c r="B193" s="46" t="s">
        <v>328</v>
      </c>
      <c r="C193" s="46">
        <v>9.899887681E9</v>
      </c>
      <c r="D193" s="46"/>
      <c r="E193" s="46"/>
      <c r="F193" s="46"/>
      <c r="G193" s="46" t="s">
        <v>289</v>
      </c>
      <c r="H193" s="46"/>
      <c r="I193" s="46"/>
      <c r="J193" s="46"/>
      <c r="K193" s="46" t="str">
        <f>IFERROR(__xludf.DUMMYFUNCTION("if(A193="""","""",IF(G193="""",""Myn"",IF(REGEXMATCH(lower(G193),""mynn""),""Myn"",if(G193&lt;&gt;"""",""GEMTRE"",""""))))"),"GEMTRE")</f>
        <v>GEMTRE</v>
      </c>
      <c r="L193" s="46" t="s">
        <v>2001</v>
      </c>
      <c r="M193" s="48">
        <v>45255.46057870371</v>
      </c>
    </row>
    <row r="194">
      <c r="A194" s="47">
        <v>45248.520094907406</v>
      </c>
      <c r="B194" s="46" t="s">
        <v>329</v>
      </c>
      <c r="C194" s="46">
        <v>9.81126124E9</v>
      </c>
      <c r="D194" s="46"/>
      <c r="E194" s="46" t="s">
        <v>294</v>
      </c>
      <c r="F194" s="46"/>
      <c r="G194" s="46" t="s">
        <v>289</v>
      </c>
      <c r="H194" s="46"/>
      <c r="I194" s="46"/>
      <c r="J194" s="46"/>
      <c r="K194" s="46" t="str">
        <f>IFERROR(__xludf.DUMMYFUNCTION("if(A194="""","""",IF(G194="""",""Myn"",IF(REGEXMATCH(lower(G194),""mynn""),""Myn"",if(G194&lt;&gt;"""",""GEMTRE"",""""))))"),"GEMTRE")</f>
        <v>GEMTRE</v>
      </c>
      <c r="L194" s="46" t="s">
        <v>2001</v>
      </c>
      <c r="M194" s="48">
        <v>45255.46057870371</v>
      </c>
    </row>
    <row r="195">
      <c r="A195" s="47">
        <v>45248.52058243056</v>
      </c>
      <c r="B195" s="46" t="s">
        <v>330</v>
      </c>
      <c r="C195" s="46">
        <v>8.295375731E9</v>
      </c>
      <c r="D195" s="46"/>
      <c r="E195" s="46" t="s">
        <v>310</v>
      </c>
      <c r="F195" s="46"/>
      <c r="G195" s="46" t="s">
        <v>289</v>
      </c>
      <c r="H195" s="46"/>
      <c r="I195" s="46"/>
      <c r="J195" s="46"/>
      <c r="K195" s="46" t="str">
        <f>IFERROR(__xludf.DUMMYFUNCTION("if(A195="""","""",IF(G195="""",""Myn"",IF(REGEXMATCH(lower(G195),""mynn""),""Myn"",if(G195&lt;&gt;"""",""GEMTRE"",""""))))"),"GEMTRE")</f>
        <v>GEMTRE</v>
      </c>
      <c r="L195" s="46" t="s">
        <v>2001</v>
      </c>
      <c r="M195" s="48">
        <v>45255.46057870371</v>
      </c>
    </row>
    <row r="196">
      <c r="A196" s="47">
        <v>45248.52102173612</v>
      </c>
      <c r="B196" s="46" t="s">
        <v>331</v>
      </c>
      <c r="C196" s="46">
        <v>9.810204425E9</v>
      </c>
      <c r="D196" s="46"/>
      <c r="E196" s="46" t="s">
        <v>332</v>
      </c>
      <c r="F196" s="46"/>
      <c r="G196" s="46" t="s">
        <v>289</v>
      </c>
      <c r="H196" s="46"/>
      <c r="I196" s="46"/>
      <c r="J196" s="46"/>
      <c r="K196" s="46" t="str">
        <f>IFERROR(__xludf.DUMMYFUNCTION("if(A196="""","""",IF(G196="""",""Myn"",IF(REGEXMATCH(lower(G196),""mynn""),""Myn"",if(G196&lt;&gt;"""",""GEMTRE"",""""))))"),"GEMTRE")</f>
        <v>GEMTRE</v>
      </c>
      <c r="L196" s="46" t="s">
        <v>2001</v>
      </c>
      <c r="M196" s="48">
        <v>45255.46057870371</v>
      </c>
    </row>
    <row r="197">
      <c r="A197" s="47">
        <v>45248.521432546295</v>
      </c>
      <c r="B197" s="46" t="s">
        <v>333</v>
      </c>
      <c r="C197" s="46">
        <v>8.448704567E9</v>
      </c>
      <c r="D197" s="46"/>
      <c r="E197" s="46" t="s">
        <v>334</v>
      </c>
      <c r="F197" s="46"/>
      <c r="G197" s="46" t="s">
        <v>289</v>
      </c>
      <c r="H197" s="46"/>
      <c r="I197" s="46"/>
      <c r="J197" s="46"/>
      <c r="K197" s="46" t="str">
        <f>IFERROR(__xludf.DUMMYFUNCTION("if(A197="""","""",IF(G197="""",""Myn"",IF(REGEXMATCH(lower(G197),""mynn""),""Myn"",if(G197&lt;&gt;"""",""GEMTRE"",""""))))"),"GEMTRE")</f>
        <v>GEMTRE</v>
      </c>
      <c r="L197" s="46" t="s">
        <v>2001</v>
      </c>
      <c r="M197" s="48">
        <v>45255.46057870371</v>
      </c>
    </row>
    <row r="198">
      <c r="A198" s="47">
        <v>45248.52204354167</v>
      </c>
      <c r="B198" s="46" t="s">
        <v>335</v>
      </c>
      <c r="C198" s="46">
        <v>9.667155569E9</v>
      </c>
      <c r="D198" s="46"/>
      <c r="E198" s="46" t="s">
        <v>336</v>
      </c>
      <c r="F198" s="46"/>
      <c r="G198" s="46" t="s">
        <v>289</v>
      </c>
      <c r="H198" s="46"/>
      <c r="I198" s="46"/>
      <c r="J198" s="46"/>
      <c r="K198" s="46" t="str">
        <f>IFERROR(__xludf.DUMMYFUNCTION("if(A198="""","""",IF(G198="""",""Myn"",IF(REGEXMATCH(lower(G198),""mynn""),""Myn"",if(G198&lt;&gt;"""",""GEMTRE"",""""))))"),"GEMTRE")</f>
        <v>GEMTRE</v>
      </c>
      <c r="L198" s="46" t="s">
        <v>2001</v>
      </c>
      <c r="M198" s="48">
        <v>45255.46057870371</v>
      </c>
    </row>
    <row r="199">
      <c r="A199" s="47">
        <v>45248.52294582176</v>
      </c>
      <c r="B199" s="46" t="s">
        <v>337</v>
      </c>
      <c r="C199" s="46">
        <v>9.603929783E9</v>
      </c>
      <c r="D199" s="46"/>
      <c r="E199" s="46"/>
      <c r="F199" s="46"/>
      <c r="G199" s="46" t="s">
        <v>289</v>
      </c>
      <c r="H199" s="46"/>
      <c r="I199" s="46"/>
      <c r="J199" s="46"/>
      <c r="K199" s="46" t="str">
        <f>IFERROR(__xludf.DUMMYFUNCTION("if(A199="""","""",IF(G199="""",""Myn"",IF(REGEXMATCH(lower(G199),""mynn""),""Myn"",if(G199&lt;&gt;"""",""GEMTRE"",""""))))"),"GEMTRE")</f>
        <v>GEMTRE</v>
      </c>
      <c r="L199" s="46" t="s">
        <v>2001</v>
      </c>
      <c r="M199" s="48">
        <v>45255.46057870371</v>
      </c>
    </row>
    <row r="200">
      <c r="A200" s="47">
        <v>45248.523251122686</v>
      </c>
      <c r="B200" s="46" t="s">
        <v>338</v>
      </c>
      <c r="C200" s="46">
        <v>9.711010603E9</v>
      </c>
      <c r="D200" s="46"/>
      <c r="E200" s="46" t="s">
        <v>310</v>
      </c>
      <c r="F200" s="46"/>
      <c r="G200" s="46" t="s">
        <v>289</v>
      </c>
      <c r="H200" s="46"/>
      <c r="I200" s="46"/>
      <c r="J200" s="46"/>
      <c r="K200" s="46" t="str">
        <f>IFERROR(__xludf.DUMMYFUNCTION("if(A200="""","""",IF(G200="""",""Myn"",IF(REGEXMATCH(lower(G200),""mynn""),""Myn"",if(G200&lt;&gt;"""",""GEMTRE"",""""))))"),"GEMTRE")</f>
        <v>GEMTRE</v>
      </c>
      <c r="L200" s="46" t="s">
        <v>2001</v>
      </c>
      <c r="M200" s="48">
        <v>45255.46057870371</v>
      </c>
    </row>
    <row r="201">
      <c r="A201" s="47">
        <v>45248.52796619213</v>
      </c>
      <c r="B201" s="46" t="s">
        <v>339</v>
      </c>
      <c r="C201" s="46">
        <v>9.31015627E9</v>
      </c>
      <c r="D201" s="46"/>
      <c r="E201" s="46" t="s">
        <v>340</v>
      </c>
      <c r="F201" s="46"/>
      <c r="G201" s="46" t="s">
        <v>303</v>
      </c>
      <c r="H201" s="46"/>
      <c r="I201" s="46"/>
      <c r="J201" s="46"/>
      <c r="K201" s="46" t="str">
        <f>IFERROR(__xludf.DUMMYFUNCTION("if(A201="""","""",IF(G201="""",""Myn"",IF(REGEXMATCH(lower(G201),""mynn""),""Myn"",if(G201&lt;&gt;"""",""GEMTRE"",""""))))"),"Myn")</f>
        <v>Myn</v>
      </c>
      <c r="L201" s="46" t="s">
        <v>2000</v>
      </c>
      <c r="M201" s="48">
        <v>45255.46057870371</v>
      </c>
    </row>
    <row r="202">
      <c r="A202" s="47">
        <v>45248.52884136574</v>
      </c>
      <c r="B202" s="46" t="s">
        <v>341</v>
      </c>
      <c r="C202" s="46">
        <v>8.851002687E9</v>
      </c>
      <c r="D202" s="46"/>
      <c r="E202" s="46" t="s">
        <v>243</v>
      </c>
      <c r="F202" s="46"/>
      <c r="G202" s="46" t="s">
        <v>303</v>
      </c>
      <c r="H202" s="46"/>
      <c r="I202" s="46"/>
      <c r="J202" s="46"/>
      <c r="K202" s="46" t="str">
        <f>IFERROR(__xludf.DUMMYFUNCTION("if(A202="""","""",IF(G202="""",""Myn"",IF(REGEXMATCH(lower(G202),""mynn""),""Myn"",if(G202&lt;&gt;"""",""GEMTRE"",""""))))"),"Myn")</f>
        <v>Myn</v>
      </c>
      <c r="L202" s="46" t="s">
        <v>2000</v>
      </c>
      <c r="M202" s="48">
        <v>45255.46057870371</v>
      </c>
    </row>
    <row r="203">
      <c r="A203" s="47">
        <v>45248.52990486111</v>
      </c>
      <c r="B203" s="46" t="s">
        <v>342</v>
      </c>
      <c r="C203" s="46">
        <v>9.540294686E9</v>
      </c>
      <c r="D203" s="46" t="s">
        <v>343</v>
      </c>
      <c r="E203" s="46" t="s">
        <v>344</v>
      </c>
      <c r="F203" s="49" t="s">
        <v>345</v>
      </c>
      <c r="G203" s="46" t="s">
        <v>303</v>
      </c>
      <c r="H203" s="46"/>
      <c r="I203" s="46"/>
      <c r="J203" s="46"/>
      <c r="K203" s="46" t="str">
        <f>IFERROR(__xludf.DUMMYFUNCTION("if(A203="""","""",IF(G203="""",""Myn"",IF(REGEXMATCH(lower(G203),""mynn""),""Myn"",if(G203&lt;&gt;"""",""GEMTRE"",""""))))"),"Myn")</f>
        <v>Myn</v>
      </c>
      <c r="L203" s="46" t="s">
        <v>2000</v>
      </c>
      <c r="M203" s="48">
        <v>45255.46057870371</v>
      </c>
    </row>
    <row r="204">
      <c r="A204" s="47">
        <v>45248.53472938658</v>
      </c>
      <c r="B204" s="46" t="s">
        <v>346</v>
      </c>
      <c r="C204" s="46">
        <v>9.918690211E9</v>
      </c>
      <c r="D204" s="46" t="s">
        <v>347</v>
      </c>
      <c r="E204" s="46" t="s">
        <v>348</v>
      </c>
      <c r="F204" s="46"/>
      <c r="G204" s="46" t="s">
        <v>303</v>
      </c>
      <c r="H204" s="46"/>
      <c r="I204" s="46"/>
      <c r="J204" s="46"/>
      <c r="K204" s="46" t="str">
        <f>IFERROR(__xludf.DUMMYFUNCTION("if(A204="""","""",IF(G204="""",""Myn"",IF(REGEXMATCH(lower(G204),""mynn""),""Myn"",if(G204&lt;&gt;"""",""GEMTRE"",""""))))"),"Myn")</f>
        <v>Myn</v>
      </c>
      <c r="L204" s="46" t="s">
        <v>2000</v>
      </c>
      <c r="M204" s="48">
        <v>45255.46057870371</v>
      </c>
    </row>
    <row r="205">
      <c r="A205" s="47">
        <v>45248.540331446755</v>
      </c>
      <c r="B205" s="46" t="s">
        <v>349</v>
      </c>
      <c r="C205" s="46">
        <v>9.971916298E9</v>
      </c>
      <c r="D205" s="46" t="s">
        <v>350</v>
      </c>
      <c r="E205" s="46" t="s">
        <v>21</v>
      </c>
      <c r="F205" s="49" t="s">
        <v>351</v>
      </c>
      <c r="G205" s="46" t="s">
        <v>303</v>
      </c>
      <c r="H205" s="46"/>
      <c r="I205" s="46"/>
      <c r="J205" s="46"/>
      <c r="K205" s="46" t="str">
        <f>IFERROR(__xludf.DUMMYFUNCTION("if(A205="""","""",IF(G205="""",""Myn"",IF(REGEXMATCH(lower(G205),""mynn""),""Myn"",if(G205&lt;&gt;"""",""GEMTRE"",""""))))"),"Myn")</f>
        <v>Myn</v>
      </c>
      <c r="L205" s="46" t="s">
        <v>2000</v>
      </c>
      <c r="M205" s="48">
        <v>45255.46057870371</v>
      </c>
    </row>
    <row r="206">
      <c r="A206" s="47">
        <v>45248.543044039354</v>
      </c>
      <c r="B206" s="46" t="s">
        <v>352</v>
      </c>
      <c r="C206" s="46">
        <v>9.814197351E9</v>
      </c>
      <c r="D206" s="46"/>
      <c r="E206" s="46" t="s">
        <v>39</v>
      </c>
      <c r="F206" s="46"/>
      <c r="G206" s="46" t="s">
        <v>303</v>
      </c>
      <c r="H206" s="46"/>
      <c r="I206" s="46"/>
      <c r="J206" s="46"/>
      <c r="K206" s="46" t="str">
        <f>IFERROR(__xludf.DUMMYFUNCTION("if(A206="""","""",IF(G206="""",""Myn"",IF(REGEXMATCH(lower(G206),""mynn""),""Myn"",if(G206&lt;&gt;"""",""GEMTRE"",""""))))"),"Myn")</f>
        <v>Myn</v>
      </c>
      <c r="L206" s="46" t="s">
        <v>2000</v>
      </c>
      <c r="M206" s="48">
        <v>45255.46057870371</v>
      </c>
    </row>
    <row r="207">
      <c r="A207" s="47">
        <v>45248.543398229165</v>
      </c>
      <c r="B207" s="46" t="s">
        <v>353</v>
      </c>
      <c r="C207" s="46">
        <v>9.31111125E9</v>
      </c>
      <c r="D207" s="46"/>
      <c r="E207" s="46" t="s">
        <v>344</v>
      </c>
      <c r="F207" s="49" t="s">
        <v>354</v>
      </c>
      <c r="G207" s="46" t="s">
        <v>303</v>
      </c>
      <c r="H207" s="46"/>
      <c r="I207" s="46"/>
      <c r="J207" s="46"/>
      <c r="K207" s="46" t="str">
        <f>IFERROR(__xludf.DUMMYFUNCTION("if(A207="""","""",IF(G207="""",""Myn"",IF(REGEXMATCH(lower(G207),""mynn""),""Myn"",if(G207&lt;&gt;"""",""GEMTRE"",""""))))"),"Myn")</f>
        <v>Myn</v>
      </c>
      <c r="L207" s="46" t="s">
        <v>2000</v>
      </c>
      <c r="M207" s="48">
        <v>45255.46057870371</v>
      </c>
    </row>
    <row r="208">
      <c r="A208" s="47">
        <v>45248.54398498843</v>
      </c>
      <c r="B208" s="46" t="s">
        <v>355</v>
      </c>
      <c r="C208" s="46">
        <v>7.678695876E9</v>
      </c>
      <c r="D208" s="46" t="s">
        <v>356</v>
      </c>
      <c r="E208" s="46"/>
      <c r="F208" s="46"/>
      <c r="G208" s="46" t="s">
        <v>303</v>
      </c>
      <c r="H208" s="46"/>
      <c r="I208" s="46"/>
      <c r="J208" s="46"/>
      <c r="K208" s="46" t="str">
        <f>IFERROR(__xludf.DUMMYFUNCTION("if(A208="""","""",IF(G208="""",""Myn"",IF(REGEXMATCH(lower(G208),""mynn""),""Myn"",if(G208&lt;&gt;"""",""GEMTRE"",""""))))"),"Myn")</f>
        <v>Myn</v>
      </c>
      <c r="L208" s="46" t="s">
        <v>2000</v>
      </c>
      <c r="M208" s="48">
        <v>45255.46057870371</v>
      </c>
    </row>
    <row r="209">
      <c r="A209" s="47">
        <v>45248.54693783565</v>
      </c>
      <c r="B209" s="46" t="s">
        <v>357</v>
      </c>
      <c r="C209" s="46">
        <v>9.718176206E9</v>
      </c>
      <c r="D209" s="46"/>
      <c r="E209" s="46"/>
      <c r="F209" s="46"/>
      <c r="G209" s="46" t="s">
        <v>303</v>
      </c>
      <c r="H209" s="46"/>
      <c r="I209" s="46"/>
      <c r="J209" s="46"/>
      <c r="K209" s="46" t="str">
        <f>IFERROR(__xludf.DUMMYFUNCTION("if(A209="""","""",IF(G209="""",""Myn"",IF(REGEXMATCH(lower(G209),""mynn""),""Myn"",if(G209&lt;&gt;"""",""GEMTRE"",""""))))"),"Myn")</f>
        <v>Myn</v>
      </c>
      <c r="L209" s="46" t="s">
        <v>2000</v>
      </c>
      <c r="M209" s="48">
        <v>45255.46057870371</v>
      </c>
    </row>
    <row r="210">
      <c r="A210" s="47">
        <v>45248.55273460648</v>
      </c>
      <c r="B210" s="46" t="s">
        <v>358</v>
      </c>
      <c r="C210" s="46">
        <v>9.213887979E9</v>
      </c>
      <c r="D210" s="46"/>
      <c r="E210" s="46" t="s">
        <v>359</v>
      </c>
      <c r="F210" s="46"/>
      <c r="G210" s="46" t="s">
        <v>303</v>
      </c>
      <c r="H210" s="46"/>
      <c r="I210" s="46"/>
      <c r="J210" s="46"/>
      <c r="K210" s="46" t="str">
        <f>IFERROR(__xludf.DUMMYFUNCTION("if(A210="""","""",IF(G210="""",""Myn"",IF(REGEXMATCH(lower(G210),""mynn""),""Myn"",if(G210&lt;&gt;"""",""GEMTRE"",""""))))"),"Myn")</f>
        <v>Myn</v>
      </c>
      <c r="L210" s="46" t="s">
        <v>2000</v>
      </c>
      <c r="M210" s="48">
        <v>45255.46057870371</v>
      </c>
    </row>
    <row r="211">
      <c r="A211" s="47">
        <v>45248.55281521991</v>
      </c>
      <c r="B211" s="46" t="s">
        <v>360</v>
      </c>
      <c r="C211" s="46">
        <v>9.911338801E9</v>
      </c>
      <c r="D211" s="46"/>
      <c r="E211" s="46"/>
      <c r="F211" s="46"/>
      <c r="G211" s="46" t="s">
        <v>303</v>
      </c>
      <c r="H211" s="46"/>
      <c r="I211" s="46"/>
      <c r="J211" s="46"/>
      <c r="K211" s="46" t="str">
        <f>IFERROR(__xludf.DUMMYFUNCTION("if(A211="""","""",IF(G211="""",""Myn"",IF(REGEXMATCH(lower(G211),""mynn""),""Myn"",if(G211&lt;&gt;"""",""GEMTRE"",""""))))"),"Myn")</f>
        <v>Myn</v>
      </c>
      <c r="L211" s="46" t="s">
        <v>2000</v>
      </c>
      <c r="M211" s="48">
        <v>45255.46057870371</v>
      </c>
    </row>
    <row r="212">
      <c r="A212" s="47">
        <v>45248.55306042824</v>
      </c>
      <c r="B212" s="46" t="s">
        <v>361</v>
      </c>
      <c r="C212" s="46">
        <v>9.953710995E9</v>
      </c>
      <c r="D212" s="46"/>
      <c r="E212" s="46" t="s">
        <v>362</v>
      </c>
      <c r="F212" s="46"/>
      <c r="G212" s="46" t="s">
        <v>303</v>
      </c>
      <c r="H212" s="46"/>
      <c r="I212" s="46"/>
      <c r="J212" s="46"/>
      <c r="K212" s="46" t="str">
        <f>IFERROR(__xludf.DUMMYFUNCTION("if(A212="""","""",IF(G212="""",""Myn"",IF(REGEXMATCH(lower(G212),""mynn""),""Myn"",if(G212&lt;&gt;"""",""GEMTRE"",""""))))"),"Myn")</f>
        <v>Myn</v>
      </c>
      <c r="L212" s="46" t="s">
        <v>2000</v>
      </c>
      <c r="M212" s="48">
        <v>45255.46057870371</v>
      </c>
    </row>
    <row r="213">
      <c r="A213" s="47">
        <v>45248.55354354167</v>
      </c>
      <c r="B213" s="46" t="s">
        <v>363</v>
      </c>
      <c r="C213" s="46">
        <v>9.871434511E9</v>
      </c>
      <c r="D213" s="46"/>
      <c r="E213" s="46"/>
      <c r="F213" s="46"/>
      <c r="G213" s="46" t="s">
        <v>303</v>
      </c>
      <c r="H213" s="46"/>
      <c r="I213" s="46"/>
      <c r="J213" s="46"/>
      <c r="K213" s="46" t="str">
        <f>IFERROR(__xludf.DUMMYFUNCTION("if(A213="""","""",IF(G213="""",""Myn"",IF(REGEXMATCH(lower(G213),""mynn""),""Myn"",if(G213&lt;&gt;"""",""GEMTRE"",""""))))"),"Myn")</f>
        <v>Myn</v>
      </c>
      <c r="L213" s="46" t="s">
        <v>2000</v>
      </c>
      <c r="M213" s="48">
        <v>45255.46057870371</v>
      </c>
    </row>
    <row r="214">
      <c r="A214" s="47">
        <v>45248.55412342593</v>
      </c>
      <c r="B214" s="46" t="s">
        <v>364</v>
      </c>
      <c r="C214" s="46">
        <v>9.315053207E9</v>
      </c>
      <c r="D214" s="46"/>
      <c r="E214" s="46"/>
      <c r="F214" s="46"/>
      <c r="G214" s="46" t="s">
        <v>303</v>
      </c>
      <c r="H214" s="46"/>
      <c r="I214" s="46"/>
      <c r="J214" s="46"/>
      <c r="K214" s="46" t="str">
        <f>IFERROR(__xludf.DUMMYFUNCTION("if(A214="""","""",IF(G214="""",""Myn"",IF(REGEXMATCH(lower(G214),""mynn""),""Myn"",if(G214&lt;&gt;"""",""GEMTRE"",""""))))"),"Myn")</f>
        <v>Myn</v>
      </c>
      <c r="L214" s="46" t="s">
        <v>2000</v>
      </c>
      <c r="M214" s="48">
        <v>45255.46057870371</v>
      </c>
    </row>
    <row r="215">
      <c r="A215" s="47">
        <v>45248.56108585648</v>
      </c>
      <c r="B215" s="46" t="s">
        <v>365</v>
      </c>
      <c r="C215" s="46">
        <v>9.871193489E9</v>
      </c>
      <c r="D215" s="46" t="s">
        <v>366</v>
      </c>
      <c r="E215" s="46" t="s">
        <v>79</v>
      </c>
      <c r="F215" s="46"/>
      <c r="G215" s="46" t="s">
        <v>303</v>
      </c>
      <c r="H215" s="46"/>
      <c r="I215" s="46"/>
      <c r="J215" s="46"/>
      <c r="K215" s="46" t="str">
        <f>IFERROR(__xludf.DUMMYFUNCTION("if(A215="""","""",IF(G215="""",""Myn"",IF(REGEXMATCH(lower(G215),""mynn""),""Myn"",if(G215&lt;&gt;"""",""GEMTRE"",""""))))"),"Myn")</f>
        <v>Myn</v>
      </c>
      <c r="L215" s="46" t="s">
        <v>2000</v>
      </c>
      <c r="M215" s="48">
        <v>45255.46057870371</v>
      </c>
    </row>
    <row r="216">
      <c r="A216" s="47">
        <v>45248.56604265046</v>
      </c>
      <c r="B216" s="46" t="s">
        <v>367</v>
      </c>
      <c r="C216" s="46">
        <v>9.71193235E9</v>
      </c>
      <c r="D216" s="46" t="s">
        <v>368</v>
      </c>
      <c r="E216" s="46" t="s">
        <v>227</v>
      </c>
      <c r="F216" s="46"/>
      <c r="G216" s="46" t="s">
        <v>303</v>
      </c>
      <c r="H216" s="46"/>
      <c r="I216" s="46"/>
      <c r="J216" s="46"/>
      <c r="K216" s="46" t="str">
        <f>IFERROR(__xludf.DUMMYFUNCTION("if(A216="""","""",IF(G216="""",""Myn"",IF(REGEXMATCH(lower(G216),""mynn""),""Myn"",if(G216&lt;&gt;"""",""GEMTRE"",""""))))"),"Myn")</f>
        <v>Myn</v>
      </c>
      <c r="L216" s="46" t="s">
        <v>2000</v>
      </c>
      <c r="M216" s="48">
        <v>45255.46057870371</v>
      </c>
    </row>
    <row r="217">
      <c r="A217" s="47">
        <v>45248.56649875</v>
      </c>
      <c r="B217" s="46" t="s">
        <v>369</v>
      </c>
      <c r="C217" s="46">
        <v>9.711010603E9</v>
      </c>
      <c r="D217" s="46"/>
      <c r="E217" s="46" t="s">
        <v>310</v>
      </c>
      <c r="F217" s="46"/>
      <c r="G217" s="46" t="s">
        <v>289</v>
      </c>
      <c r="H217" s="46"/>
      <c r="I217" s="46"/>
      <c r="J217" s="46"/>
      <c r="K217" s="46" t="str">
        <f>IFERROR(__xludf.DUMMYFUNCTION("if(A217="""","""",IF(G217="""",""Myn"",IF(REGEXMATCH(lower(G217),""mynn""),""Myn"",if(G217&lt;&gt;"""",""GEMTRE"",""""))))"),"GEMTRE")</f>
        <v>GEMTRE</v>
      </c>
      <c r="L217" s="46" t="s">
        <v>2001</v>
      </c>
      <c r="M217" s="48">
        <v>45255.46057870371</v>
      </c>
    </row>
    <row r="218">
      <c r="A218" s="47">
        <v>45248.566862893524</v>
      </c>
      <c r="B218" s="46" t="s">
        <v>370</v>
      </c>
      <c r="C218" s="46">
        <v>9.810483592E9</v>
      </c>
      <c r="D218" s="46"/>
      <c r="E218" s="46"/>
      <c r="F218" s="46"/>
      <c r="G218" s="46" t="s">
        <v>289</v>
      </c>
      <c r="H218" s="46"/>
      <c r="I218" s="46"/>
      <c r="J218" s="46"/>
      <c r="K218" s="46" t="str">
        <f>IFERROR(__xludf.DUMMYFUNCTION("if(A218="""","""",IF(G218="""",""Myn"",IF(REGEXMATCH(lower(G218),""mynn""),""Myn"",if(G218&lt;&gt;"""",""GEMTRE"",""""))))"),"GEMTRE")</f>
        <v>GEMTRE</v>
      </c>
      <c r="L218" s="46" t="s">
        <v>2001</v>
      </c>
      <c r="M218" s="48">
        <v>45255.46057870371</v>
      </c>
    </row>
    <row r="219">
      <c r="A219" s="47">
        <v>45248.56717231481</v>
      </c>
      <c r="B219" s="46" t="s">
        <v>371</v>
      </c>
      <c r="C219" s="46">
        <v>9.811550014E9</v>
      </c>
      <c r="D219" s="46"/>
      <c r="E219" s="46" t="s">
        <v>305</v>
      </c>
      <c r="F219" s="46"/>
      <c r="G219" s="46" t="s">
        <v>289</v>
      </c>
      <c r="H219" s="46"/>
      <c r="I219" s="46"/>
      <c r="J219" s="46"/>
      <c r="K219" s="46" t="str">
        <f>IFERROR(__xludf.DUMMYFUNCTION("if(A219="""","""",IF(G219="""",""Myn"",IF(REGEXMATCH(lower(G219),""mynn""),""Myn"",if(G219&lt;&gt;"""",""GEMTRE"",""""))))"),"GEMTRE")</f>
        <v>GEMTRE</v>
      </c>
      <c r="L219" s="46" t="s">
        <v>2001</v>
      </c>
      <c r="M219" s="48">
        <v>45255.46057870371</v>
      </c>
    </row>
    <row r="220">
      <c r="A220" s="47">
        <v>45248.56751162037</v>
      </c>
      <c r="B220" s="46" t="s">
        <v>372</v>
      </c>
      <c r="C220" s="46">
        <v>7.011650745E9</v>
      </c>
      <c r="D220" s="46"/>
      <c r="E220" s="46" t="s">
        <v>373</v>
      </c>
      <c r="F220" s="46"/>
      <c r="G220" s="46" t="s">
        <v>289</v>
      </c>
      <c r="H220" s="46"/>
      <c r="I220" s="46"/>
      <c r="J220" s="46"/>
      <c r="K220" s="46" t="str">
        <f>IFERROR(__xludf.DUMMYFUNCTION("if(A220="""","""",IF(G220="""",""Myn"",IF(REGEXMATCH(lower(G220),""mynn""),""Myn"",if(G220&lt;&gt;"""",""GEMTRE"",""""))))"),"GEMTRE")</f>
        <v>GEMTRE</v>
      </c>
      <c r="L220" s="46" t="s">
        <v>2001</v>
      </c>
      <c r="M220" s="48">
        <v>45255.46057870371</v>
      </c>
    </row>
    <row r="221">
      <c r="A221" s="47">
        <v>45248.56811025463</v>
      </c>
      <c r="B221" s="46" t="s">
        <v>374</v>
      </c>
      <c r="C221" s="46">
        <v>9.899894096E9</v>
      </c>
      <c r="D221" s="46" t="s">
        <v>375</v>
      </c>
      <c r="E221" s="46" t="s">
        <v>376</v>
      </c>
      <c r="F221" s="46"/>
      <c r="G221" s="46" t="s">
        <v>303</v>
      </c>
      <c r="H221" s="46"/>
      <c r="I221" s="46"/>
      <c r="J221" s="46"/>
      <c r="K221" s="46" t="str">
        <f>IFERROR(__xludf.DUMMYFUNCTION("if(A221="""","""",IF(G221="""",""Myn"",IF(REGEXMATCH(lower(G221),""mynn""),""Myn"",if(G221&lt;&gt;"""",""GEMTRE"",""""))))"),"Myn")</f>
        <v>Myn</v>
      </c>
      <c r="L221" s="46" t="s">
        <v>2000</v>
      </c>
      <c r="M221" s="48">
        <v>45255.46057870371</v>
      </c>
    </row>
    <row r="222">
      <c r="A222" s="47">
        <v>45248.568366817126</v>
      </c>
      <c r="B222" s="46" t="s">
        <v>377</v>
      </c>
      <c r="C222" s="46">
        <v>9.910536646E9</v>
      </c>
      <c r="D222" s="46"/>
      <c r="E222" s="46" t="s">
        <v>378</v>
      </c>
      <c r="F222" s="46"/>
      <c r="G222" s="46" t="s">
        <v>303</v>
      </c>
      <c r="H222" s="46"/>
      <c r="I222" s="46"/>
      <c r="J222" s="46"/>
      <c r="K222" s="46" t="str">
        <f>IFERROR(__xludf.DUMMYFUNCTION("if(A222="""","""",IF(G222="""",""Myn"",IF(REGEXMATCH(lower(G222),""mynn""),""Myn"",if(G222&lt;&gt;"""",""GEMTRE"",""""))))"),"Myn")</f>
        <v>Myn</v>
      </c>
      <c r="L222" s="46" t="s">
        <v>2000</v>
      </c>
      <c r="M222" s="48">
        <v>45255.46057870371</v>
      </c>
    </row>
    <row r="223">
      <c r="A223" s="47">
        <v>45248.56954084491</v>
      </c>
      <c r="B223" s="46" t="s">
        <v>379</v>
      </c>
      <c r="C223" s="46">
        <v>9.871952223E9</v>
      </c>
      <c r="D223" s="46"/>
      <c r="E223" s="46"/>
      <c r="F223" s="46"/>
      <c r="G223" s="46" t="s">
        <v>303</v>
      </c>
      <c r="H223" s="46"/>
      <c r="I223" s="46"/>
      <c r="J223" s="46"/>
      <c r="K223" s="46" t="str">
        <f>IFERROR(__xludf.DUMMYFUNCTION("if(A223="""","""",IF(G223="""",""Myn"",IF(REGEXMATCH(lower(G223),""mynn""),""Myn"",if(G223&lt;&gt;"""",""GEMTRE"",""""))))"),"Myn")</f>
        <v>Myn</v>
      </c>
      <c r="L223" s="46" t="s">
        <v>2000</v>
      </c>
      <c r="M223" s="48">
        <v>45255.46057870371</v>
      </c>
    </row>
    <row r="224">
      <c r="A224" s="47">
        <v>45248.56977545139</v>
      </c>
      <c r="B224" s="46" t="s">
        <v>380</v>
      </c>
      <c r="C224" s="46">
        <v>9.999830464E9</v>
      </c>
      <c r="D224" s="46"/>
      <c r="E224" s="46" t="s">
        <v>15</v>
      </c>
      <c r="F224" s="46"/>
      <c r="G224" s="46" t="s">
        <v>303</v>
      </c>
      <c r="H224" s="46"/>
      <c r="I224" s="46"/>
      <c r="J224" s="46"/>
      <c r="K224" s="46" t="str">
        <f>IFERROR(__xludf.DUMMYFUNCTION("if(A224="""","""",IF(G224="""",""Myn"",IF(REGEXMATCH(lower(G224),""mynn""),""Myn"",if(G224&lt;&gt;"""",""GEMTRE"",""""))))"),"Myn")</f>
        <v>Myn</v>
      </c>
      <c r="L224" s="46" t="s">
        <v>2000</v>
      </c>
      <c r="M224" s="48">
        <v>45255.46057870371</v>
      </c>
    </row>
    <row r="225">
      <c r="A225" s="47">
        <v>45248.57065818287</v>
      </c>
      <c r="B225" s="46" t="s">
        <v>381</v>
      </c>
      <c r="C225" s="46">
        <v>8.287333626E9</v>
      </c>
      <c r="D225" s="46"/>
      <c r="E225" s="46" t="s">
        <v>382</v>
      </c>
      <c r="F225" s="46"/>
      <c r="G225" s="46" t="s">
        <v>289</v>
      </c>
      <c r="H225" s="46"/>
      <c r="I225" s="46"/>
      <c r="J225" s="46"/>
      <c r="K225" s="46" t="str">
        <f>IFERROR(__xludf.DUMMYFUNCTION("if(A225="""","""",IF(G225="""",""Myn"",IF(REGEXMATCH(lower(G225),""mynn""),""Myn"",if(G225&lt;&gt;"""",""GEMTRE"",""""))))"),"GEMTRE")</f>
        <v>GEMTRE</v>
      </c>
      <c r="L225" s="46" t="s">
        <v>2001</v>
      </c>
      <c r="M225" s="48">
        <v>45255.46057870371</v>
      </c>
    </row>
    <row r="226">
      <c r="A226" s="47">
        <v>45248.57246053241</v>
      </c>
      <c r="B226" s="46" t="s">
        <v>383</v>
      </c>
      <c r="C226" s="46">
        <v>7.906163599E9</v>
      </c>
      <c r="D226" s="46"/>
      <c r="E226" s="46"/>
      <c r="F226" s="46"/>
      <c r="G226" s="46" t="s">
        <v>289</v>
      </c>
      <c r="H226" s="46"/>
      <c r="I226" s="46"/>
      <c r="J226" s="46"/>
      <c r="K226" s="46" t="str">
        <f>IFERROR(__xludf.DUMMYFUNCTION("if(A226="""","""",IF(G226="""",""Myn"",IF(REGEXMATCH(lower(G226),""mynn""),""Myn"",if(G226&lt;&gt;"""",""GEMTRE"",""""))))"),"GEMTRE")</f>
        <v>GEMTRE</v>
      </c>
      <c r="L226" s="46" t="s">
        <v>2001</v>
      </c>
      <c r="M226" s="48">
        <v>45255.46057870371</v>
      </c>
    </row>
    <row r="227">
      <c r="A227" s="47">
        <v>45248.57278487268</v>
      </c>
      <c r="B227" s="46" t="s">
        <v>384</v>
      </c>
      <c r="C227" s="46">
        <v>9.953249522E9</v>
      </c>
      <c r="D227" s="46"/>
      <c r="E227" s="46"/>
      <c r="F227" s="46"/>
      <c r="G227" s="46" t="s">
        <v>289</v>
      </c>
      <c r="H227" s="46"/>
      <c r="I227" s="46"/>
      <c r="J227" s="46"/>
      <c r="K227" s="46" t="str">
        <f>IFERROR(__xludf.DUMMYFUNCTION("if(A227="""","""",IF(G227="""",""Myn"",IF(REGEXMATCH(lower(G227),""mynn""),""Myn"",if(G227&lt;&gt;"""",""GEMTRE"",""""))))"),"GEMTRE")</f>
        <v>GEMTRE</v>
      </c>
      <c r="L227" s="46" t="s">
        <v>2001</v>
      </c>
      <c r="M227" s="48">
        <v>45255.46057870371</v>
      </c>
    </row>
    <row r="228">
      <c r="A228" s="47">
        <v>45248.573090034726</v>
      </c>
      <c r="B228" s="46" t="s">
        <v>385</v>
      </c>
      <c r="C228" s="46">
        <v>9.871740343E9</v>
      </c>
      <c r="D228" s="46"/>
      <c r="E228" s="46" t="s">
        <v>297</v>
      </c>
      <c r="F228" s="46"/>
      <c r="G228" s="46" t="s">
        <v>289</v>
      </c>
      <c r="H228" s="46"/>
      <c r="I228" s="46"/>
      <c r="J228" s="46"/>
      <c r="K228" s="46" t="str">
        <f>IFERROR(__xludf.DUMMYFUNCTION("if(A228="""","""",IF(G228="""",""Myn"",IF(REGEXMATCH(lower(G228),""mynn""),""Myn"",if(G228&lt;&gt;"""",""GEMTRE"",""""))))"),"GEMTRE")</f>
        <v>GEMTRE</v>
      </c>
      <c r="L228" s="46" t="s">
        <v>2001</v>
      </c>
      <c r="M228" s="48">
        <v>45255.46057870371</v>
      </c>
    </row>
    <row r="229">
      <c r="A229" s="47">
        <v>45248.573709432865</v>
      </c>
      <c r="B229" s="46" t="s">
        <v>386</v>
      </c>
      <c r="C229" s="46">
        <v>9.81859917E9</v>
      </c>
      <c r="D229" s="46"/>
      <c r="E229" s="46" t="s">
        <v>387</v>
      </c>
      <c r="F229" s="46"/>
      <c r="G229" s="46" t="s">
        <v>289</v>
      </c>
      <c r="H229" s="46"/>
      <c r="I229" s="46"/>
      <c r="J229" s="46"/>
      <c r="K229" s="46" t="str">
        <f>IFERROR(__xludf.DUMMYFUNCTION("if(A229="""","""",IF(G229="""",""Myn"",IF(REGEXMATCH(lower(G229),""mynn""),""Myn"",if(G229&lt;&gt;"""",""GEMTRE"",""""))))"),"GEMTRE")</f>
        <v>GEMTRE</v>
      </c>
      <c r="L229" s="46" t="s">
        <v>2001</v>
      </c>
      <c r="M229" s="48">
        <v>45255.46057870371</v>
      </c>
    </row>
    <row r="230">
      <c r="A230" s="47">
        <v>45248.57886572917</v>
      </c>
      <c r="B230" s="46" t="s">
        <v>388</v>
      </c>
      <c r="C230" s="46">
        <v>9.891112708E9</v>
      </c>
      <c r="D230" s="46"/>
      <c r="E230" s="46"/>
      <c r="F230" s="46"/>
      <c r="G230" s="46" t="s">
        <v>289</v>
      </c>
      <c r="H230" s="46"/>
      <c r="I230" s="46"/>
      <c r="J230" s="46"/>
      <c r="K230" s="46" t="str">
        <f>IFERROR(__xludf.DUMMYFUNCTION("if(A230="""","""",IF(G230="""",""Myn"",IF(REGEXMATCH(lower(G230),""mynn""),""Myn"",if(G230&lt;&gt;"""",""GEMTRE"",""""))))"),"GEMTRE")</f>
        <v>GEMTRE</v>
      </c>
      <c r="L230" s="46" t="s">
        <v>2001</v>
      </c>
      <c r="M230" s="48">
        <v>45255.46057870371</v>
      </c>
    </row>
    <row r="231">
      <c r="A231" s="47">
        <v>45248.58335449074</v>
      </c>
      <c r="B231" s="46" t="s">
        <v>389</v>
      </c>
      <c r="C231" s="46">
        <v>9.315837731E9</v>
      </c>
      <c r="D231" s="46"/>
      <c r="E231" s="46" t="s">
        <v>362</v>
      </c>
      <c r="F231" s="46"/>
      <c r="G231" s="46" t="s">
        <v>303</v>
      </c>
      <c r="H231" s="46"/>
      <c r="I231" s="46"/>
      <c r="J231" s="46"/>
      <c r="K231" s="46" t="str">
        <f>IFERROR(__xludf.DUMMYFUNCTION("if(A231="""","""",IF(G231="""",""Myn"",IF(REGEXMATCH(lower(G231),""mynn""),""Myn"",if(G231&lt;&gt;"""",""GEMTRE"",""""))))"),"Myn")</f>
        <v>Myn</v>
      </c>
      <c r="L231" s="46" t="s">
        <v>2000</v>
      </c>
      <c r="M231" s="48">
        <v>45255.46057870371</v>
      </c>
    </row>
    <row r="232">
      <c r="A232" s="47">
        <v>45248.58630780093</v>
      </c>
      <c r="B232" s="46" t="s">
        <v>390</v>
      </c>
      <c r="C232" s="46">
        <v>9.896524444E9</v>
      </c>
      <c r="D232" s="46"/>
      <c r="E232" s="46"/>
      <c r="F232" s="46"/>
      <c r="G232" s="46" t="s">
        <v>289</v>
      </c>
      <c r="H232" s="46"/>
      <c r="I232" s="46"/>
      <c r="J232" s="46"/>
      <c r="K232" s="46" t="str">
        <f>IFERROR(__xludf.DUMMYFUNCTION("if(A232="""","""",IF(G232="""",""Myn"",IF(REGEXMATCH(lower(G232),""mynn""),""Myn"",if(G232&lt;&gt;"""",""GEMTRE"",""""))))"),"GEMTRE")</f>
        <v>GEMTRE</v>
      </c>
      <c r="L232" s="46" t="s">
        <v>2001</v>
      </c>
      <c r="M232" s="48">
        <v>45255.46057870371</v>
      </c>
    </row>
    <row r="233">
      <c r="A233" s="47">
        <v>45248.60136601852</v>
      </c>
      <c r="B233" s="46" t="s">
        <v>391</v>
      </c>
      <c r="C233" s="46">
        <v>9.891209008E9</v>
      </c>
      <c r="D233" s="46"/>
      <c r="E233" s="46"/>
      <c r="F233" s="46"/>
      <c r="G233" s="46" t="s">
        <v>303</v>
      </c>
      <c r="H233" s="46"/>
      <c r="I233" s="46"/>
      <c r="J233" s="46"/>
      <c r="K233" s="46" t="str">
        <f>IFERROR(__xludf.DUMMYFUNCTION("if(A233="""","""",IF(G233="""",""Myn"",IF(REGEXMATCH(lower(G233),""mynn""),""Myn"",if(G233&lt;&gt;"""",""GEMTRE"",""""))))"),"Myn")</f>
        <v>Myn</v>
      </c>
      <c r="L233" s="46" t="s">
        <v>2000</v>
      </c>
      <c r="M233" s="48">
        <v>45255.46057870371</v>
      </c>
    </row>
    <row r="234">
      <c r="A234" s="47">
        <v>45248.60667072917</v>
      </c>
      <c r="B234" s="46" t="s">
        <v>392</v>
      </c>
      <c r="C234" s="46">
        <v>8.882377506E9</v>
      </c>
      <c r="D234" s="46" t="s">
        <v>393</v>
      </c>
      <c r="E234" s="46" t="s">
        <v>15</v>
      </c>
      <c r="F234" s="46"/>
      <c r="G234" s="46" t="s">
        <v>303</v>
      </c>
      <c r="H234" s="46"/>
      <c r="I234" s="46"/>
      <c r="J234" s="46"/>
      <c r="K234" s="46" t="str">
        <f>IFERROR(__xludf.DUMMYFUNCTION("if(A234="""","""",IF(G234="""",""Myn"",IF(REGEXMATCH(lower(G234),""mynn""),""Myn"",if(G234&lt;&gt;"""",""GEMTRE"",""""))))"),"Myn")</f>
        <v>Myn</v>
      </c>
      <c r="L234" s="46" t="s">
        <v>2000</v>
      </c>
      <c r="M234" s="48">
        <v>45255.46057870371</v>
      </c>
    </row>
    <row r="235">
      <c r="A235" s="47">
        <v>45248.6192212037</v>
      </c>
      <c r="B235" s="46" t="s">
        <v>394</v>
      </c>
      <c r="C235" s="46">
        <v>9.81886679E9</v>
      </c>
      <c r="D235" s="46"/>
      <c r="E235" s="46" t="s">
        <v>21</v>
      </c>
      <c r="F235" s="49" t="s">
        <v>395</v>
      </c>
      <c r="G235" s="46" t="s">
        <v>303</v>
      </c>
      <c r="H235" s="46"/>
      <c r="I235" s="46"/>
      <c r="J235" s="46"/>
      <c r="K235" s="46" t="str">
        <f>IFERROR(__xludf.DUMMYFUNCTION("if(A235="""","""",IF(G235="""",""Myn"",IF(REGEXMATCH(lower(G235),""mynn""),""Myn"",if(G235&lt;&gt;"""",""GEMTRE"",""""))))"),"Myn")</f>
        <v>Myn</v>
      </c>
      <c r="L235" s="46" t="s">
        <v>2000</v>
      </c>
      <c r="M235" s="48">
        <v>45255.46057870371</v>
      </c>
    </row>
    <row r="236">
      <c r="A236" s="47">
        <v>45248.61962719908</v>
      </c>
      <c r="B236" s="46" t="s">
        <v>396</v>
      </c>
      <c r="C236" s="46">
        <v>9.958370703E9</v>
      </c>
      <c r="D236" s="46" t="s">
        <v>397</v>
      </c>
      <c r="E236" s="46" t="s">
        <v>398</v>
      </c>
      <c r="F236" s="46"/>
      <c r="G236" s="46" t="s">
        <v>303</v>
      </c>
      <c r="H236" s="46"/>
      <c r="I236" s="46"/>
      <c r="J236" s="46"/>
      <c r="K236" s="46" t="str">
        <f>IFERROR(__xludf.DUMMYFUNCTION("if(A236="""","""",IF(G236="""",""Myn"",IF(REGEXMATCH(lower(G236),""mynn""),""Myn"",if(G236&lt;&gt;"""",""GEMTRE"",""""))))"),"Myn")</f>
        <v>Myn</v>
      </c>
      <c r="L236" s="46" t="s">
        <v>2000</v>
      </c>
      <c r="M236" s="48">
        <v>45255.46057870371</v>
      </c>
    </row>
    <row r="237">
      <c r="A237" s="47">
        <v>45248.619843506945</v>
      </c>
      <c r="B237" s="46" t="s">
        <v>399</v>
      </c>
      <c r="C237" s="46">
        <v>9.266123588E9</v>
      </c>
      <c r="D237" s="46"/>
      <c r="E237" s="46"/>
      <c r="F237" s="46"/>
      <c r="G237" s="46" t="s">
        <v>303</v>
      </c>
      <c r="H237" s="46"/>
      <c r="I237" s="46"/>
      <c r="J237" s="46"/>
      <c r="K237" s="46" t="str">
        <f>IFERROR(__xludf.DUMMYFUNCTION("if(A237="""","""",IF(G237="""",""Myn"",IF(REGEXMATCH(lower(G237),""mynn""),""Myn"",if(G237&lt;&gt;"""",""GEMTRE"",""""))))"),"Myn")</f>
        <v>Myn</v>
      </c>
      <c r="L237" s="46" t="s">
        <v>2000</v>
      </c>
      <c r="M237" s="48">
        <v>45255.46057870371</v>
      </c>
    </row>
    <row r="238">
      <c r="A238" s="47">
        <v>45248.620101203705</v>
      </c>
      <c r="B238" s="46" t="s">
        <v>400</v>
      </c>
      <c r="C238" s="46">
        <v>9.213938727E9</v>
      </c>
      <c r="D238" s="46"/>
      <c r="E238" s="46"/>
      <c r="F238" s="46"/>
      <c r="G238" s="46" t="s">
        <v>303</v>
      </c>
      <c r="H238" s="46"/>
      <c r="I238" s="46"/>
      <c r="J238" s="46"/>
      <c r="K238" s="46" t="str">
        <f>IFERROR(__xludf.DUMMYFUNCTION("if(A238="""","""",IF(G238="""",""Myn"",IF(REGEXMATCH(lower(G238),""mynn""),""Myn"",if(G238&lt;&gt;"""",""GEMTRE"",""""))))"),"Myn")</f>
        <v>Myn</v>
      </c>
      <c r="L238" s="46" t="s">
        <v>2000</v>
      </c>
      <c r="M238" s="48">
        <v>45255.46057870371</v>
      </c>
    </row>
    <row r="239">
      <c r="A239" s="47">
        <v>45248.62012670139</v>
      </c>
      <c r="B239" s="46" t="s">
        <v>401</v>
      </c>
      <c r="C239" s="46">
        <v>9.999926937E9</v>
      </c>
      <c r="D239" s="46" t="s">
        <v>402</v>
      </c>
      <c r="E239" s="46"/>
      <c r="F239" s="46"/>
      <c r="G239" s="46" t="s">
        <v>303</v>
      </c>
      <c r="H239" s="46"/>
      <c r="I239" s="46"/>
      <c r="J239" s="46"/>
      <c r="K239" s="46" t="str">
        <f>IFERROR(__xludf.DUMMYFUNCTION("if(A239="""","""",IF(G239="""",""Myn"",IF(REGEXMATCH(lower(G239),""mynn""),""Myn"",if(G239&lt;&gt;"""",""GEMTRE"",""""))))"),"Myn")</f>
        <v>Myn</v>
      </c>
      <c r="L239" s="46" t="s">
        <v>2000</v>
      </c>
      <c r="M239" s="48">
        <v>45255.46057870371</v>
      </c>
    </row>
    <row r="240">
      <c r="A240" s="47">
        <v>45248.622541875</v>
      </c>
      <c r="B240" s="46" t="s">
        <v>403</v>
      </c>
      <c r="C240" s="46">
        <v>9.81886679E9</v>
      </c>
      <c r="D240" s="46"/>
      <c r="E240" s="46"/>
      <c r="F240" s="46"/>
      <c r="G240" s="46" t="s">
        <v>289</v>
      </c>
      <c r="H240" s="46"/>
      <c r="I240" s="46"/>
      <c r="J240" s="46"/>
      <c r="K240" s="46" t="str">
        <f>IFERROR(__xludf.DUMMYFUNCTION("if(A240="""","""",IF(G240="""",""Myn"",IF(REGEXMATCH(lower(G240),""mynn""),""Myn"",if(G240&lt;&gt;"""",""GEMTRE"",""""))))"),"GEMTRE")</f>
        <v>GEMTRE</v>
      </c>
      <c r="L240" s="46" t="s">
        <v>2001</v>
      </c>
      <c r="M240" s="48">
        <v>45255.46057870371</v>
      </c>
    </row>
    <row r="241">
      <c r="A241" s="47">
        <v>45248.62257554398</v>
      </c>
      <c r="B241" s="46" t="s">
        <v>404</v>
      </c>
      <c r="C241" s="46">
        <v>9.871071756E9</v>
      </c>
      <c r="D241" s="46"/>
      <c r="E241" s="46"/>
      <c r="F241" s="46"/>
      <c r="G241" s="46" t="s">
        <v>303</v>
      </c>
      <c r="H241" s="46"/>
      <c r="I241" s="46"/>
      <c r="J241" s="46"/>
      <c r="K241" s="46" t="str">
        <f>IFERROR(__xludf.DUMMYFUNCTION("if(A241="""","""",IF(G241="""",""Myn"",IF(REGEXMATCH(lower(G241),""mynn""),""Myn"",if(G241&lt;&gt;"""",""GEMTRE"",""""))))"),"Myn")</f>
        <v>Myn</v>
      </c>
      <c r="L241" s="46" t="s">
        <v>2000</v>
      </c>
      <c r="M241" s="48">
        <v>45255.46057870371</v>
      </c>
    </row>
    <row r="242">
      <c r="A242" s="47">
        <v>45248.62681194444</v>
      </c>
      <c r="B242" s="46" t="s">
        <v>405</v>
      </c>
      <c r="C242" s="46">
        <v>9.213872247E9</v>
      </c>
      <c r="D242" s="46"/>
      <c r="E242" s="46" t="s">
        <v>406</v>
      </c>
      <c r="F242" s="46"/>
      <c r="G242" s="46" t="s">
        <v>303</v>
      </c>
      <c r="H242" s="46"/>
      <c r="I242" s="46"/>
      <c r="J242" s="46"/>
      <c r="K242" s="46" t="str">
        <f>IFERROR(__xludf.DUMMYFUNCTION("if(A242="""","""",IF(G242="""",""Myn"",IF(REGEXMATCH(lower(G242),""mynn""),""Myn"",if(G242&lt;&gt;"""",""GEMTRE"",""""))))"),"Myn")</f>
        <v>Myn</v>
      </c>
      <c r="L242" s="46" t="s">
        <v>2000</v>
      </c>
      <c r="M242" s="48">
        <v>45255.46057870371</v>
      </c>
    </row>
    <row r="243">
      <c r="A243" s="47">
        <v>45248.62902680556</v>
      </c>
      <c r="B243" s="46" t="s">
        <v>52</v>
      </c>
      <c r="C243" s="46">
        <v>7.018285791E9</v>
      </c>
      <c r="D243" s="46" t="s">
        <v>407</v>
      </c>
      <c r="E243" s="46"/>
      <c r="F243" s="46"/>
      <c r="G243" s="46" t="s">
        <v>303</v>
      </c>
      <c r="H243" s="46"/>
      <c r="I243" s="46"/>
      <c r="J243" s="46"/>
      <c r="K243" s="46" t="str">
        <f>IFERROR(__xludf.DUMMYFUNCTION("if(A243="""","""",IF(G243="""",""Myn"",IF(REGEXMATCH(lower(G243),""mynn""),""Myn"",if(G243&lt;&gt;"""",""GEMTRE"",""""))))"),"Myn")</f>
        <v>Myn</v>
      </c>
      <c r="L243" s="46" t="s">
        <v>2000</v>
      </c>
      <c r="M243" s="48">
        <v>45255.46057870371</v>
      </c>
    </row>
    <row r="244">
      <c r="A244" s="47">
        <v>45248.63096515046</v>
      </c>
      <c r="B244" s="46" t="s">
        <v>408</v>
      </c>
      <c r="C244" s="46">
        <v>8.802307409E9</v>
      </c>
      <c r="D244" s="46"/>
      <c r="E244" s="46"/>
      <c r="F244" s="46"/>
      <c r="G244" s="46" t="s">
        <v>303</v>
      </c>
      <c r="H244" s="46"/>
      <c r="I244" s="46"/>
      <c r="J244" s="46"/>
      <c r="K244" s="46" t="str">
        <f>IFERROR(__xludf.DUMMYFUNCTION("if(A244="""","""",IF(G244="""",""Myn"",IF(REGEXMATCH(lower(G244),""mynn""),""Myn"",if(G244&lt;&gt;"""",""GEMTRE"",""""))))"),"Myn")</f>
        <v>Myn</v>
      </c>
      <c r="L244" s="46" t="s">
        <v>2000</v>
      </c>
      <c r="M244" s="48">
        <v>45255.46057870371</v>
      </c>
    </row>
    <row r="245">
      <c r="A245" s="47">
        <v>45248.63482721065</v>
      </c>
      <c r="B245" s="46" t="s">
        <v>409</v>
      </c>
      <c r="C245" s="46">
        <v>9.811137056E9</v>
      </c>
      <c r="D245" s="46"/>
      <c r="E245" s="46" t="s">
        <v>15</v>
      </c>
      <c r="F245" s="46"/>
      <c r="G245" s="46" t="s">
        <v>303</v>
      </c>
      <c r="H245" s="46"/>
      <c r="I245" s="46"/>
      <c r="J245" s="46"/>
      <c r="K245" s="46" t="str">
        <f>IFERROR(__xludf.DUMMYFUNCTION("if(A245="""","""",IF(G245="""",""Myn"",IF(REGEXMATCH(lower(G245),""mynn""),""Myn"",if(G245&lt;&gt;"""",""GEMTRE"",""""))))"),"Myn")</f>
        <v>Myn</v>
      </c>
      <c r="L245" s="46" t="s">
        <v>2000</v>
      </c>
      <c r="M245" s="48">
        <v>45255.46057870371</v>
      </c>
    </row>
    <row r="246">
      <c r="A246" s="47">
        <v>45248.64026306713</v>
      </c>
      <c r="B246" s="46" t="s">
        <v>410</v>
      </c>
      <c r="C246" s="46">
        <v>9.315070998E9</v>
      </c>
      <c r="D246" s="46"/>
      <c r="E246" s="46" t="s">
        <v>411</v>
      </c>
      <c r="F246" s="46"/>
      <c r="G246" s="46" t="s">
        <v>303</v>
      </c>
      <c r="H246" s="46"/>
      <c r="I246" s="46"/>
      <c r="J246" s="46"/>
      <c r="K246" s="46" t="str">
        <f>IFERROR(__xludf.DUMMYFUNCTION("if(A246="""","""",IF(G246="""",""Myn"",IF(REGEXMATCH(lower(G246),""mynn""),""Myn"",if(G246&lt;&gt;"""",""GEMTRE"",""""))))"),"Myn")</f>
        <v>Myn</v>
      </c>
      <c r="L246" s="46" t="s">
        <v>2000</v>
      </c>
      <c r="M246" s="48">
        <v>45255.46057870371</v>
      </c>
    </row>
    <row r="247">
      <c r="A247" s="47">
        <v>45248.64814666667</v>
      </c>
      <c r="B247" s="46" t="s">
        <v>412</v>
      </c>
      <c r="C247" s="46">
        <v>9.868922637E9</v>
      </c>
      <c r="D247" s="46" t="s">
        <v>413</v>
      </c>
      <c r="E247" s="46"/>
      <c r="F247" s="46"/>
      <c r="G247" s="46" t="s">
        <v>303</v>
      </c>
      <c r="H247" s="46"/>
      <c r="I247" s="46"/>
      <c r="J247" s="46"/>
      <c r="K247" s="46" t="str">
        <f>IFERROR(__xludf.DUMMYFUNCTION("if(A247="""","""",IF(G247="""",""Myn"",IF(REGEXMATCH(lower(G247),""mynn""),""Myn"",if(G247&lt;&gt;"""",""GEMTRE"",""""))))"),"Myn")</f>
        <v>Myn</v>
      </c>
      <c r="L247" s="46" t="s">
        <v>2000</v>
      </c>
      <c r="M247" s="48">
        <v>45255.46057870371</v>
      </c>
    </row>
    <row r="248">
      <c r="A248" s="47">
        <v>45248.654626944444</v>
      </c>
      <c r="B248" s="46" t="s">
        <v>414</v>
      </c>
      <c r="C248" s="46">
        <v>9.871137526E9</v>
      </c>
      <c r="D248" s="46"/>
      <c r="E248" s="46" t="s">
        <v>227</v>
      </c>
      <c r="F248" s="46"/>
      <c r="G248" s="46" t="s">
        <v>303</v>
      </c>
      <c r="H248" s="46"/>
      <c r="I248" s="46"/>
      <c r="J248" s="46"/>
      <c r="K248" s="46" t="str">
        <f>IFERROR(__xludf.DUMMYFUNCTION("if(A248="""","""",IF(G248="""",""Myn"",IF(REGEXMATCH(lower(G248),""mynn""),""Myn"",if(G248&lt;&gt;"""",""GEMTRE"",""""))))"),"Myn")</f>
        <v>Myn</v>
      </c>
      <c r="L248" s="46" t="s">
        <v>2000</v>
      </c>
      <c r="M248" s="48">
        <v>45255.46057870371</v>
      </c>
    </row>
    <row r="249">
      <c r="A249" s="47">
        <v>45248.660507974535</v>
      </c>
      <c r="B249" s="46" t="s">
        <v>415</v>
      </c>
      <c r="C249" s="46">
        <v>9.971960101E9</v>
      </c>
      <c r="D249" s="46"/>
      <c r="E249" s="46" t="s">
        <v>15</v>
      </c>
      <c r="F249" s="46"/>
      <c r="G249" s="46" t="s">
        <v>303</v>
      </c>
      <c r="H249" s="46"/>
      <c r="I249" s="46"/>
      <c r="J249" s="46"/>
      <c r="K249" s="46" t="str">
        <f>IFERROR(__xludf.DUMMYFUNCTION("if(A249="""","""",IF(G249="""",""Myn"",IF(REGEXMATCH(lower(G249),""mynn""),""Myn"",if(G249&lt;&gt;"""",""GEMTRE"",""""))))"),"Myn")</f>
        <v>Myn</v>
      </c>
      <c r="L249" s="46" t="s">
        <v>2000</v>
      </c>
      <c r="M249" s="48">
        <v>45255.46057870371</v>
      </c>
    </row>
    <row r="250">
      <c r="A250" s="47">
        <v>45248.6621077662</v>
      </c>
      <c r="B250" s="46" t="s">
        <v>416</v>
      </c>
      <c r="C250" s="46">
        <v>9.911115452E9</v>
      </c>
      <c r="D250" s="46"/>
      <c r="E250" s="46"/>
      <c r="F250" s="46"/>
      <c r="G250" s="46" t="s">
        <v>303</v>
      </c>
      <c r="H250" s="46"/>
      <c r="I250" s="46"/>
      <c r="J250" s="46"/>
      <c r="K250" s="46" t="str">
        <f>IFERROR(__xludf.DUMMYFUNCTION("if(A250="""","""",IF(G250="""",""Myn"",IF(REGEXMATCH(lower(G250),""mynn""),""Myn"",if(G250&lt;&gt;"""",""GEMTRE"",""""))))"),"Myn")</f>
        <v>Myn</v>
      </c>
      <c r="L250" s="46" t="s">
        <v>2000</v>
      </c>
      <c r="M250" s="48">
        <v>45255.46057870371</v>
      </c>
    </row>
    <row r="251">
      <c r="A251" s="47">
        <v>45248.6621967824</v>
      </c>
      <c r="B251" s="46" t="s">
        <v>417</v>
      </c>
      <c r="C251" s="46">
        <v>9.111659999E9</v>
      </c>
      <c r="D251" s="46" t="s">
        <v>418</v>
      </c>
      <c r="E251" s="46" t="s">
        <v>419</v>
      </c>
      <c r="F251" s="46"/>
      <c r="G251" s="46" t="s">
        <v>303</v>
      </c>
      <c r="H251" s="46"/>
      <c r="I251" s="46"/>
      <c r="J251" s="46"/>
      <c r="K251" s="46" t="str">
        <f>IFERROR(__xludf.DUMMYFUNCTION("if(A251="""","""",IF(G251="""",""Myn"",IF(REGEXMATCH(lower(G251),""mynn""),""Myn"",if(G251&lt;&gt;"""",""GEMTRE"",""""))))"),"Myn")</f>
        <v>Myn</v>
      </c>
      <c r="L251" s="46" t="s">
        <v>2000</v>
      </c>
      <c r="M251" s="48">
        <v>45255.46057870371</v>
      </c>
    </row>
    <row r="252">
      <c r="A252" s="47">
        <v>45248.662634872686</v>
      </c>
      <c r="B252" s="46" t="s">
        <v>420</v>
      </c>
      <c r="C252" s="46">
        <v>8.851507298E9</v>
      </c>
      <c r="D252" s="46"/>
      <c r="E252" s="46"/>
      <c r="F252" s="46"/>
      <c r="G252" s="46" t="s">
        <v>303</v>
      </c>
      <c r="H252" s="46"/>
      <c r="I252" s="46"/>
      <c r="J252" s="46"/>
      <c r="K252" s="46" t="str">
        <f>IFERROR(__xludf.DUMMYFUNCTION("if(A252="""","""",IF(G252="""",""Myn"",IF(REGEXMATCH(lower(G252),""mynn""),""Myn"",if(G252&lt;&gt;"""",""GEMTRE"",""""))))"),"Myn")</f>
        <v>Myn</v>
      </c>
      <c r="L252" s="46" t="s">
        <v>2000</v>
      </c>
      <c r="M252" s="48">
        <v>45255.46057870371</v>
      </c>
    </row>
    <row r="253">
      <c r="A253" s="47">
        <v>45248.6631494676</v>
      </c>
      <c r="B253" s="46" t="s">
        <v>421</v>
      </c>
      <c r="C253" s="46">
        <v>9.999697707E9</v>
      </c>
      <c r="D253" s="46"/>
      <c r="E253" s="46" t="s">
        <v>13</v>
      </c>
      <c r="F253" s="46"/>
      <c r="G253" s="46" t="s">
        <v>303</v>
      </c>
      <c r="H253" s="46"/>
      <c r="I253" s="46"/>
      <c r="J253" s="46"/>
      <c r="K253" s="46" t="str">
        <f>IFERROR(__xludf.DUMMYFUNCTION("if(A253="""","""",IF(G253="""",""Myn"",IF(REGEXMATCH(lower(G253),""mynn""),""Myn"",if(G253&lt;&gt;"""",""GEMTRE"",""""))))"),"Myn")</f>
        <v>Myn</v>
      </c>
      <c r="L253" s="46" t="s">
        <v>2000</v>
      </c>
      <c r="M253" s="48">
        <v>45255.46057870371</v>
      </c>
    </row>
    <row r="254">
      <c r="A254" s="47">
        <v>45248.66401465278</v>
      </c>
      <c r="B254" s="46" t="s">
        <v>422</v>
      </c>
      <c r="C254" s="46">
        <v>9.911614449E9</v>
      </c>
      <c r="D254" s="46"/>
      <c r="E254" s="46"/>
      <c r="F254" s="46"/>
      <c r="G254" s="46" t="s">
        <v>303</v>
      </c>
      <c r="H254" s="46"/>
      <c r="I254" s="46"/>
      <c r="J254" s="46"/>
      <c r="K254" s="46" t="str">
        <f>IFERROR(__xludf.DUMMYFUNCTION("if(A254="""","""",IF(G254="""",""Myn"",IF(REGEXMATCH(lower(G254),""mynn""),""Myn"",if(G254&lt;&gt;"""",""GEMTRE"",""""))))"),"Myn")</f>
        <v>Myn</v>
      </c>
      <c r="L254" s="46" t="s">
        <v>2000</v>
      </c>
      <c r="M254" s="48">
        <v>45255.46057870371</v>
      </c>
    </row>
    <row r="255">
      <c r="A255" s="47">
        <v>45248.669272430554</v>
      </c>
      <c r="B255" s="46" t="s">
        <v>179</v>
      </c>
      <c r="C255" s="46">
        <v>9.87320992E9</v>
      </c>
      <c r="D255" s="46"/>
      <c r="E255" s="46"/>
      <c r="F255" s="46"/>
      <c r="G255" s="46" t="s">
        <v>303</v>
      </c>
      <c r="H255" s="46"/>
      <c r="I255" s="46"/>
      <c r="J255" s="46"/>
      <c r="K255" s="46" t="str">
        <f>IFERROR(__xludf.DUMMYFUNCTION("if(A255="""","""",IF(G255="""",""Myn"",IF(REGEXMATCH(lower(G255),""mynn""),""Myn"",if(G255&lt;&gt;"""",""GEMTRE"",""""))))"),"Myn")</f>
        <v>Myn</v>
      </c>
      <c r="L255" s="46" t="s">
        <v>2000</v>
      </c>
      <c r="M255" s="48">
        <v>45255.46057870371</v>
      </c>
    </row>
    <row r="256">
      <c r="A256" s="47">
        <v>45248.67980280092</v>
      </c>
      <c r="B256" s="46" t="s">
        <v>423</v>
      </c>
      <c r="C256" s="46">
        <v>9.868141042E9</v>
      </c>
      <c r="D256" s="46"/>
      <c r="E256" s="46" t="s">
        <v>424</v>
      </c>
      <c r="F256" s="46"/>
      <c r="G256" s="46" t="s">
        <v>303</v>
      </c>
      <c r="H256" s="46"/>
      <c r="I256" s="46"/>
      <c r="J256" s="46"/>
      <c r="K256" s="46" t="str">
        <f>IFERROR(__xludf.DUMMYFUNCTION("if(A256="""","""",IF(G256="""",""Myn"",IF(REGEXMATCH(lower(G256),""mynn""),""Myn"",if(G256&lt;&gt;"""",""GEMTRE"",""""))))"),"Myn")</f>
        <v>Myn</v>
      </c>
      <c r="L256" s="46" t="s">
        <v>2000</v>
      </c>
      <c r="M256" s="48">
        <v>45255.46057870371</v>
      </c>
    </row>
    <row r="257">
      <c r="A257" s="47">
        <v>45248.68385664352</v>
      </c>
      <c r="B257" s="46" t="s">
        <v>425</v>
      </c>
      <c r="C257" s="46">
        <v>9.313468566E9</v>
      </c>
      <c r="D257" s="46"/>
      <c r="E257" s="46"/>
      <c r="F257" s="46"/>
      <c r="G257" s="46" t="s">
        <v>289</v>
      </c>
      <c r="H257" s="46"/>
      <c r="I257" s="46"/>
      <c r="J257" s="46"/>
      <c r="K257" s="46" t="str">
        <f>IFERROR(__xludf.DUMMYFUNCTION("if(A257="""","""",IF(G257="""",""Myn"",IF(REGEXMATCH(lower(G257),""mynn""),""Myn"",if(G257&lt;&gt;"""",""GEMTRE"",""""))))"),"GEMTRE")</f>
        <v>GEMTRE</v>
      </c>
      <c r="L257" s="46" t="s">
        <v>2001</v>
      </c>
      <c r="M257" s="48">
        <v>45255.46057870371</v>
      </c>
    </row>
    <row r="258">
      <c r="A258" s="47">
        <v>45248.69614862269</v>
      </c>
      <c r="B258" s="46" t="s">
        <v>426</v>
      </c>
      <c r="C258" s="46">
        <v>9.91162781E9</v>
      </c>
      <c r="D258" s="46"/>
      <c r="E258" s="46"/>
      <c r="F258" s="46"/>
      <c r="G258" s="46" t="s">
        <v>303</v>
      </c>
      <c r="H258" s="46"/>
      <c r="I258" s="46"/>
      <c r="J258" s="46"/>
      <c r="K258" s="46" t="str">
        <f>IFERROR(__xludf.DUMMYFUNCTION("if(A258="""","""",IF(G258="""",""Myn"",IF(REGEXMATCH(lower(G258),""mynn""),""Myn"",if(G258&lt;&gt;"""",""GEMTRE"",""""))))"),"Myn")</f>
        <v>Myn</v>
      </c>
      <c r="L258" s="46" t="s">
        <v>2000</v>
      </c>
      <c r="M258" s="48">
        <v>45255.46057870371</v>
      </c>
    </row>
    <row r="259">
      <c r="A259" s="47">
        <v>45248.70333798611</v>
      </c>
      <c r="B259" s="46" t="s">
        <v>427</v>
      </c>
      <c r="C259" s="46">
        <v>9.999873448E9</v>
      </c>
      <c r="D259" s="46"/>
      <c r="E259" s="46" t="s">
        <v>227</v>
      </c>
      <c r="F259" s="46"/>
      <c r="G259" s="46" t="s">
        <v>303</v>
      </c>
      <c r="H259" s="46"/>
      <c r="I259" s="46"/>
      <c r="J259" s="46"/>
      <c r="K259" s="46" t="str">
        <f>IFERROR(__xludf.DUMMYFUNCTION("if(A259="""","""",IF(G259="""",""Myn"",IF(REGEXMATCH(lower(G259),""mynn""),""Myn"",if(G259&lt;&gt;"""",""GEMTRE"",""""))))"),"Myn")</f>
        <v>Myn</v>
      </c>
      <c r="L259" s="46" t="s">
        <v>2000</v>
      </c>
      <c r="M259" s="48">
        <v>45255.46057870371</v>
      </c>
    </row>
    <row r="260">
      <c r="A260" s="47">
        <v>45248.718247048615</v>
      </c>
      <c r="B260" s="46" t="s">
        <v>428</v>
      </c>
      <c r="C260" s="46">
        <v>9.310382244E9</v>
      </c>
      <c r="D260" s="46"/>
      <c r="E260" s="46" t="s">
        <v>227</v>
      </c>
      <c r="F260" s="46"/>
      <c r="G260" s="46" t="s">
        <v>303</v>
      </c>
      <c r="H260" s="46"/>
      <c r="I260" s="46"/>
      <c r="J260" s="46"/>
      <c r="K260" s="46" t="str">
        <f>IFERROR(__xludf.DUMMYFUNCTION("if(A260="""","""",IF(G260="""",""Myn"",IF(REGEXMATCH(lower(G260),""mynn""),""Myn"",if(G260&lt;&gt;"""",""GEMTRE"",""""))))"),"Myn")</f>
        <v>Myn</v>
      </c>
      <c r="L260" s="46" t="s">
        <v>2000</v>
      </c>
      <c r="M260" s="48">
        <v>45255.46057870371</v>
      </c>
    </row>
    <row r="261">
      <c r="A261" s="47">
        <v>45248.722506122685</v>
      </c>
      <c r="B261" s="46" t="s">
        <v>429</v>
      </c>
      <c r="C261" s="46">
        <v>9.891907806E9</v>
      </c>
      <c r="D261" s="46"/>
      <c r="E261" s="46" t="s">
        <v>79</v>
      </c>
      <c r="F261" s="46"/>
      <c r="G261" s="46" t="s">
        <v>303</v>
      </c>
      <c r="H261" s="46"/>
      <c r="I261" s="46"/>
      <c r="J261" s="46"/>
      <c r="K261" s="46" t="str">
        <f>IFERROR(__xludf.DUMMYFUNCTION("if(A261="""","""",IF(G261="""",""Myn"",IF(REGEXMATCH(lower(G261),""mynn""),""Myn"",if(G261&lt;&gt;"""",""GEMTRE"",""""))))"),"Myn")</f>
        <v>Myn</v>
      </c>
      <c r="L261" s="46" t="s">
        <v>2000</v>
      </c>
      <c r="M261" s="48">
        <v>45255.46057870371</v>
      </c>
    </row>
    <row r="262">
      <c r="A262" s="47">
        <v>45248.72592679398</v>
      </c>
      <c r="B262" s="46" t="s">
        <v>430</v>
      </c>
      <c r="C262" s="46">
        <v>9.538924001E9</v>
      </c>
      <c r="D262" s="46" t="s">
        <v>431</v>
      </c>
      <c r="E262" s="46"/>
      <c r="F262" s="46"/>
      <c r="G262" s="46" t="s">
        <v>303</v>
      </c>
      <c r="H262" s="46"/>
      <c r="I262" s="46"/>
      <c r="J262" s="46"/>
      <c r="K262" s="46" t="str">
        <f>IFERROR(__xludf.DUMMYFUNCTION("if(A262="""","""",IF(G262="""",""Myn"",IF(REGEXMATCH(lower(G262),""mynn""),""Myn"",if(G262&lt;&gt;"""",""GEMTRE"",""""))))"),"Myn")</f>
        <v>Myn</v>
      </c>
      <c r="L262" s="46" t="s">
        <v>2000</v>
      </c>
      <c r="M262" s="48">
        <v>45255.46057870371</v>
      </c>
    </row>
    <row r="263">
      <c r="A263" s="47">
        <v>45248.72781790509</v>
      </c>
      <c r="B263" s="46" t="s">
        <v>432</v>
      </c>
      <c r="C263" s="46">
        <v>9.654237028E9</v>
      </c>
      <c r="D263" s="46" t="s">
        <v>433</v>
      </c>
      <c r="E263" s="46"/>
      <c r="F263" s="46"/>
      <c r="G263" s="46" t="s">
        <v>303</v>
      </c>
      <c r="H263" s="46"/>
      <c r="I263" s="46"/>
      <c r="J263" s="46"/>
      <c r="K263" s="46" t="str">
        <f>IFERROR(__xludf.DUMMYFUNCTION("if(A263="""","""",IF(G263="""",""Myn"",IF(REGEXMATCH(lower(G263),""mynn""),""Myn"",if(G263&lt;&gt;"""",""GEMTRE"",""""))))"),"Myn")</f>
        <v>Myn</v>
      </c>
      <c r="L263" s="46" t="s">
        <v>2000</v>
      </c>
      <c r="M263" s="48">
        <v>45255.46057870371</v>
      </c>
    </row>
    <row r="264">
      <c r="A264" s="47">
        <v>45248.728564791665</v>
      </c>
      <c r="B264" s="46" t="s">
        <v>434</v>
      </c>
      <c r="C264" s="46">
        <v>9.319157833E9</v>
      </c>
      <c r="D264" s="46" t="s">
        <v>435</v>
      </c>
      <c r="E264" s="46"/>
      <c r="F264" s="46"/>
      <c r="G264" s="46" t="s">
        <v>303</v>
      </c>
      <c r="H264" s="46"/>
      <c r="I264" s="46"/>
      <c r="J264" s="46"/>
      <c r="K264" s="46" t="str">
        <f>IFERROR(__xludf.DUMMYFUNCTION("if(A264="""","""",IF(G264="""",""Myn"",IF(REGEXMATCH(lower(G264),""mynn""),""Myn"",if(G264&lt;&gt;"""",""GEMTRE"",""""))))"),"Myn")</f>
        <v>Myn</v>
      </c>
      <c r="L264" s="46" t="s">
        <v>2000</v>
      </c>
      <c r="M264" s="48">
        <v>45255.46057870371</v>
      </c>
    </row>
    <row r="265">
      <c r="A265" s="47">
        <v>45248.734692881946</v>
      </c>
      <c r="B265" s="46" t="s">
        <v>436</v>
      </c>
      <c r="C265" s="46">
        <v>9.810003635E9</v>
      </c>
      <c r="D265" s="46"/>
      <c r="E265" s="46" t="s">
        <v>437</v>
      </c>
      <c r="F265" s="46"/>
      <c r="G265" s="46" t="s">
        <v>303</v>
      </c>
      <c r="H265" s="46"/>
      <c r="I265" s="46"/>
      <c r="J265" s="46"/>
      <c r="K265" s="46" t="str">
        <f>IFERROR(__xludf.DUMMYFUNCTION("if(A265="""","""",IF(G265="""",""Myn"",IF(REGEXMATCH(lower(G265),""mynn""),""Myn"",if(G265&lt;&gt;"""",""GEMTRE"",""""))))"),"Myn")</f>
        <v>Myn</v>
      </c>
      <c r="L265" s="46" t="s">
        <v>2000</v>
      </c>
      <c r="M265" s="48">
        <v>45255.46057870371</v>
      </c>
    </row>
    <row r="266">
      <c r="A266" s="47">
        <v>45248.737211678235</v>
      </c>
      <c r="B266" s="46" t="s">
        <v>438</v>
      </c>
      <c r="C266" s="46">
        <v>9.315260228E9</v>
      </c>
      <c r="D266" s="46" t="s">
        <v>439</v>
      </c>
      <c r="E266" s="46"/>
      <c r="F266" s="46"/>
      <c r="G266" s="46" t="s">
        <v>303</v>
      </c>
      <c r="H266" s="46"/>
      <c r="I266" s="46"/>
      <c r="J266" s="46"/>
      <c r="K266" s="46" t="str">
        <f>IFERROR(__xludf.DUMMYFUNCTION("if(A266="""","""",IF(G266="""",""Myn"",IF(REGEXMATCH(lower(G266),""mynn""),""Myn"",if(G266&lt;&gt;"""",""GEMTRE"",""""))))"),"Myn")</f>
        <v>Myn</v>
      </c>
      <c r="L266" s="46" t="s">
        <v>2000</v>
      </c>
      <c r="M266" s="48">
        <v>45255.46057870371</v>
      </c>
    </row>
    <row r="267">
      <c r="A267" s="47">
        <v>45248.738784953704</v>
      </c>
      <c r="B267" s="46" t="s">
        <v>440</v>
      </c>
      <c r="C267" s="46">
        <v>8.882071166E9</v>
      </c>
      <c r="D267" s="46"/>
      <c r="E267" s="46" t="s">
        <v>273</v>
      </c>
      <c r="F267" s="46"/>
      <c r="G267" s="46" t="s">
        <v>303</v>
      </c>
      <c r="H267" s="46"/>
      <c r="I267" s="46"/>
      <c r="J267" s="46"/>
      <c r="K267" s="46" t="str">
        <f>IFERROR(__xludf.DUMMYFUNCTION("if(A267="""","""",IF(G267="""",""Myn"",IF(REGEXMATCH(lower(G267),""mynn""),""Myn"",if(G267&lt;&gt;"""",""GEMTRE"",""""))))"),"Myn")</f>
        <v>Myn</v>
      </c>
      <c r="L267" s="46" t="s">
        <v>2000</v>
      </c>
      <c r="M267" s="48">
        <v>45255.46057870371</v>
      </c>
    </row>
    <row r="268">
      <c r="A268" s="47">
        <v>45248.74273559028</v>
      </c>
      <c r="B268" s="46" t="s">
        <v>441</v>
      </c>
      <c r="C268" s="46">
        <v>9.654175618E9</v>
      </c>
      <c r="D268" s="46"/>
      <c r="E268" s="46" t="s">
        <v>13</v>
      </c>
      <c r="F268" s="46"/>
      <c r="G268" s="46" t="s">
        <v>303</v>
      </c>
      <c r="H268" s="46"/>
      <c r="I268" s="46"/>
      <c r="J268" s="46"/>
      <c r="K268" s="46" t="str">
        <f>IFERROR(__xludf.DUMMYFUNCTION("if(A268="""","""",IF(G268="""",""Myn"",IF(REGEXMATCH(lower(G268),""mynn""),""Myn"",if(G268&lt;&gt;"""",""GEMTRE"",""""))))"),"Myn")</f>
        <v>Myn</v>
      </c>
      <c r="L268" s="46" t="s">
        <v>2000</v>
      </c>
      <c r="M268" s="48">
        <v>45255.46057870371</v>
      </c>
    </row>
    <row r="269">
      <c r="A269" s="47">
        <v>45248.7448671875</v>
      </c>
      <c r="B269" s="46" t="s">
        <v>442</v>
      </c>
      <c r="C269" s="46">
        <v>9.654175618E9</v>
      </c>
      <c r="D269" s="46"/>
      <c r="E269" s="46" t="s">
        <v>443</v>
      </c>
      <c r="F269" s="46"/>
      <c r="G269" s="46" t="s">
        <v>289</v>
      </c>
      <c r="H269" s="46"/>
      <c r="I269" s="46"/>
      <c r="J269" s="46"/>
      <c r="K269" s="46" t="str">
        <f>IFERROR(__xludf.DUMMYFUNCTION("if(A269="""","""",IF(G269="""",""Myn"",IF(REGEXMATCH(lower(G269),""mynn""),""Myn"",if(G269&lt;&gt;"""",""GEMTRE"",""""))))"),"GEMTRE")</f>
        <v>GEMTRE</v>
      </c>
      <c r="L269" s="46" t="s">
        <v>2001</v>
      </c>
      <c r="M269" s="48">
        <v>45255.46057870371</v>
      </c>
    </row>
    <row r="270">
      <c r="A270" s="47">
        <v>45248.74587263889</v>
      </c>
      <c r="B270" s="46" t="s">
        <v>444</v>
      </c>
      <c r="C270" s="46">
        <v>9.727484347E9</v>
      </c>
      <c r="D270" s="46" t="s">
        <v>445</v>
      </c>
      <c r="E270" s="46" t="s">
        <v>26</v>
      </c>
      <c r="F270" s="49" t="s">
        <v>446</v>
      </c>
      <c r="G270" s="46" t="s">
        <v>303</v>
      </c>
      <c r="H270" s="46"/>
      <c r="I270" s="46"/>
      <c r="J270" s="46"/>
      <c r="K270" s="46" t="str">
        <f>IFERROR(__xludf.DUMMYFUNCTION("if(A270="""","""",IF(G270="""",""Myn"",IF(REGEXMATCH(lower(G270),""mynn""),""Myn"",if(G270&lt;&gt;"""",""GEMTRE"",""""))))"),"Myn")</f>
        <v>Myn</v>
      </c>
      <c r="L270" s="46" t="s">
        <v>2000</v>
      </c>
      <c r="M270" s="48">
        <v>45255.46057870371</v>
      </c>
    </row>
    <row r="271">
      <c r="A271" s="47">
        <v>45248.7496912037</v>
      </c>
      <c r="B271" s="46" t="s">
        <v>447</v>
      </c>
      <c r="C271" s="46">
        <v>9.811198839E9</v>
      </c>
      <c r="D271" s="46" t="s">
        <v>448</v>
      </c>
      <c r="E271" s="46" t="s">
        <v>227</v>
      </c>
      <c r="F271" s="46"/>
      <c r="G271" s="46" t="s">
        <v>303</v>
      </c>
      <c r="H271" s="46"/>
      <c r="I271" s="46"/>
      <c r="J271" s="46"/>
      <c r="K271" s="46" t="str">
        <f>IFERROR(__xludf.DUMMYFUNCTION("if(A271="""","""",IF(G271="""",""Myn"",IF(REGEXMATCH(lower(G271),""mynn""),""Myn"",if(G271&lt;&gt;"""",""GEMTRE"",""""))))"),"Myn")</f>
        <v>Myn</v>
      </c>
      <c r="L271" s="46" t="s">
        <v>2000</v>
      </c>
      <c r="M271" s="48">
        <v>45255.46057870371</v>
      </c>
    </row>
    <row r="272">
      <c r="A272" s="47">
        <v>45248.74981462963</v>
      </c>
      <c r="B272" s="46" t="s">
        <v>449</v>
      </c>
      <c r="C272" s="46">
        <v>7.835981515E9</v>
      </c>
      <c r="D272" s="46" t="s">
        <v>450</v>
      </c>
      <c r="E272" s="46" t="s">
        <v>451</v>
      </c>
      <c r="F272" s="49" t="s">
        <v>452</v>
      </c>
      <c r="G272" s="46" t="s">
        <v>303</v>
      </c>
      <c r="H272" s="46"/>
      <c r="I272" s="46"/>
      <c r="J272" s="46"/>
      <c r="K272" s="46" t="str">
        <f>IFERROR(__xludf.DUMMYFUNCTION("if(A272="""","""",IF(G272="""",""Myn"",IF(REGEXMATCH(lower(G272),""mynn""),""Myn"",if(G272&lt;&gt;"""",""GEMTRE"",""""))))"),"Myn")</f>
        <v>Myn</v>
      </c>
      <c r="L272" s="46" t="s">
        <v>2000</v>
      </c>
      <c r="M272" s="48">
        <v>45255.46057870371</v>
      </c>
    </row>
    <row r="273">
      <c r="A273" s="47">
        <v>45248.751236400465</v>
      </c>
      <c r="B273" s="46" t="s">
        <v>453</v>
      </c>
      <c r="C273" s="46">
        <v>7.280930368E9</v>
      </c>
      <c r="D273" s="46"/>
      <c r="E273" s="46" t="s">
        <v>79</v>
      </c>
      <c r="F273" s="46"/>
      <c r="G273" s="46" t="s">
        <v>303</v>
      </c>
      <c r="H273" s="46"/>
      <c r="I273" s="46"/>
      <c r="J273" s="46"/>
      <c r="K273" s="46" t="str">
        <f>IFERROR(__xludf.DUMMYFUNCTION("if(A273="""","""",IF(G273="""",""Myn"",IF(REGEXMATCH(lower(G273),""mynn""),""Myn"",if(G273&lt;&gt;"""",""GEMTRE"",""""))))"),"Myn")</f>
        <v>Myn</v>
      </c>
      <c r="L273" s="46" t="s">
        <v>2000</v>
      </c>
      <c r="M273" s="48">
        <v>45255.46057870371</v>
      </c>
    </row>
    <row r="274">
      <c r="A274" s="47">
        <v>45248.75348465278</v>
      </c>
      <c r="B274" s="46" t="s">
        <v>454</v>
      </c>
      <c r="C274" s="46">
        <v>8.920818897E9</v>
      </c>
      <c r="D274" s="49" t="s">
        <v>455</v>
      </c>
      <c r="E274" s="46" t="s">
        <v>26</v>
      </c>
      <c r="F274" s="46"/>
      <c r="G274" s="46" t="s">
        <v>303</v>
      </c>
      <c r="H274" s="46"/>
      <c r="I274" s="46"/>
      <c r="J274" s="46"/>
      <c r="K274" s="46" t="str">
        <f>IFERROR(__xludf.DUMMYFUNCTION("if(A274="""","""",IF(G274="""",""Myn"",IF(REGEXMATCH(lower(G274),""mynn""),""Myn"",if(G274&lt;&gt;"""",""GEMTRE"",""""))))"),"Myn")</f>
        <v>Myn</v>
      </c>
      <c r="L274" s="46" t="s">
        <v>2000</v>
      </c>
      <c r="M274" s="48">
        <v>45255.46057870371</v>
      </c>
    </row>
    <row r="275">
      <c r="A275" s="47">
        <v>45248.76178298611</v>
      </c>
      <c r="B275" s="46" t="s">
        <v>456</v>
      </c>
      <c r="C275" s="46">
        <v>9.811471267E9</v>
      </c>
      <c r="D275" s="46" t="s">
        <v>457</v>
      </c>
      <c r="E275" s="46" t="s">
        <v>458</v>
      </c>
      <c r="F275" s="46"/>
      <c r="G275" s="46" t="s">
        <v>303</v>
      </c>
      <c r="H275" s="46"/>
      <c r="I275" s="46"/>
      <c r="J275" s="46"/>
      <c r="K275" s="46" t="str">
        <f>IFERROR(__xludf.DUMMYFUNCTION("if(A275="""","""",IF(G275="""",""Myn"",IF(REGEXMATCH(lower(G275),""mynn""),""Myn"",if(G275&lt;&gt;"""",""GEMTRE"",""""))))"),"Myn")</f>
        <v>Myn</v>
      </c>
      <c r="L275" s="46" t="s">
        <v>2000</v>
      </c>
      <c r="M275" s="48">
        <v>45255.46057870371</v>
      </c>
    </row>
    <row r="276">
      <c r="A276" s="47">
        <v>45248.7764775463</v>
      </c>
      <c r="B276" s="46" t="s">
        <v>120</v>
      </c>
      <c r="C276" s="46">
        <v>9.871349567E9</v>
      </c>
      <c r="D276" s="46"/>
      <c r="E276" s="46" t="s">
        <v>459</v>
      </c>
      <c r="F276" s="46"/>
      <c r="G276" s="46" t="s">
        <v>303</v>
      </c>
      <c r="H276" s="46"/>
      <c r="I276" s="46"/>
      <c r="J276" s="46"/>
      <c r="K276" s="46" t="str">
        <f>IFERROR(__xludf.DUMMYFUNCTION("if(A276="""","""",IF(G276="""",""Myn"",IF(REGEXMATCH(lower(G276),""mynn""),""Myn"",if(G276&lt;&gt;"""",""GEMTRE"",""""))))"),"Myn")</f>
        <v>Myn</v>
      </c>
      <c r="L276" s="46" t="s">
        <v>2000</v>
      </c>
      <c r="M276" s="48">
        <v>45255.46057870371</v>
      </c>
    </row>
    <row r="277">
      <c r="A277" s="47">
        <v>45248.79100701389</v>
      </c>
      <c r="B277" s="46" t="s">
        <v>460</v>
      </c>
      <c r="C277" s="46">
        <v>8.384022854E9</v>
      </c>
      <c r="D277" s="46" t="s">
        <v>461</v>
      </c>
      <c r="E277" s="46" t="s">
        <v>79</v>
      </c>
      <c r="F277" s="46"/>
      <c r="G277" s="46" t="s">
        <v>303</v>
      </c>
      <c r="H277" s="46"/>
      <c r="I277" s="46"/>
      <c r="J277" s="46"/>
      <c r="K277" s="46" t="str">
        <f>IFERROR(__xludf.DUMMYFUNCTION("if(A277="""","""",IF(G277="""",""Myn"",IF(REGEXMATCH(lower(G277),""mynn""),""Myn"",if(G277&lt;&gt;"""",""GEMTRE"",""""))))"),"Myn")</f>
        <v>Myn</v>
      </c>
      <c r="L277" s="46" t="s">
        <v>2000</v>
      </c>
      <c r="M277" s="48">
        <v>45255.46057870371</v>
      </c>
    </row>
    <row r="278">
      <c r="A278" s="47">
        <v>45248.80332841435</v>
      </c>
      <c r="B278" s="46" t="s">
        <v>462</v>
      </c>
      <c r="C278" s="46">
        <v>7.289937648E9</v>
      </c>
      <c r="D278" s="46" t="s">
        <v>463</v>
      </c>
      <c r="E278" s="46" t="s">
        <v>464</v>
      </c>
      <c r="F278" s="46"/>
      <c r="G278" s="46" t="s">
        <v>303</v>
      </c>
      <c r="H278" s="46"/>
      <c r="I278" s="46"/>
      <c r="J278" s="46"/>
      <c r="K278" s="46" t="str">
        <f>IFERROR(__xludf.DUMMYFUNCTION("if(A278="""","""",IF(G278="""",""Myn"",IF(REGEXMATCH(lower(G278),""mynn""),""Myn"",if(G278&lt;&gt;"""",""GEMTRE"",""""))))"),"Myn")</f>
        <v>Myn</v>
      </c>
      <c r="L278" s="46" t="s">
        <v>2000</v>
      </c>
      <c r="M278" s="48">
        <v>45255.46057870371</v>
      </c>
    </row>
    <row r="279">
      <c r="A279" s="47">
        <v>45248.80720364583</v>
      </c>
      <c r="B279" s="46" t="s">
        <v>465</v>
      </c>
      <c r="C279" s="46">
        <v>9.971695993E9</v>
      </c>
      <c r="D279" s="46" t="s">
        <v>466</v>
      </c>
      <c r="E279" s="46" t="s">
        <v>467</v>
      </c>
      <c r="F279" s="46"/>
      <c r="G279" s="46" t="s">
        <v>303</v>
      </c>
      <c r="H279" s="46"/>
      <c r="I279" s="46"/>
      <c r="J279" s="46"/>
      <c r="K279" s="46" t="str">
        <f>IFERROR(__xludf.DUMMYFUNCTION("if(A279="""","""",IF(G279="""",""Myn"",IF(REGEXMATCH(lower(G279),""mynn""),""Myn"",if(G279&lt;&gt;"""",""GEMTRE"",""""))))"),"Myn")</f>
        <v>Myn</v>
      </c>
      <c r="L279" s="46" t="s">
        <v>2000</v>
      </c>
      <c r="M279" s="48">
        <v>45255.46057870371</v>
      </c>
    </row>
    <row r="280">
      <c r="A280" s="47">
        <v>45248.814020555554</v>
      </c>
      <c r="B280" s="46" t="s">
        <v>468</v>
      </c>
      <c r="C280" s="46">
        <v>8.851229264E9</v>
      </c>
      <c r="D280" s="46"/>
      <c r="E280" s="46" t="s">
        <v>469</v>
      </c>
      <c r="F280" s="46"/>
      <c r="G280" s="46" t="s">
        <v>303</v>
      </c>
      <c r="H280" s="46"/>
      <c r="I280" s="46"/>
      <c r="J280" s="46"/>
      <c r="K280" s="46" t="str">
        <f>IFERROR(__xludf.DUMMYFUNCTION("if(A280="""","""",IF(G280="""",""Myn"",IF(REGEXMATCH(lower(G280),""mynn""),""Myn"",if(G280&lt;&gt;"""",""GEMTRE"",""""))))"),"Myn")</f>
        <v>Myn</v>
      </c>
      <c r="L280" s="46" t="s">
        <v>2000</v>
      </c>
      <c r="M280" s="48">
        <v>45255.46057870371</v>
      </c>
    </row>
    <row r="281">
      <c r="A281" s="47">
        <v>45248.82265354166</v>
      </c>
      <c r="B281" s="46" t="s">
        <v>390</v>
      </c>
      <c r="C281" s="46">
        <v>9.810595267E9</v>
      </c>
      <c r="D281" s="46"/>
      <c r="E281" s="46" t="s">
        <v>79</v>
      </c>
      <c r="F281" s="46"/>
      <c r="G281" s="46" t="s">
        <v>303</v>
      </c>
      <c r="H281" s="46"/>
      <c r="I281" s="46"/>
      <c r="J281" s="46"/>
      <c r="K281" s="46" t="str">
        <f>IFERROR(__xludf.DUMMYFUNCTION("if(A281="""","""",IF(G281="""",""Myn"",IF(REGEXMATCH(lower(G281),""mynn""),""Myn"",if(G281&lt;&gt;"""",""GEMTRE"",""""))))"),"Myn")</f>
        <v>Myn</v>
      </c>
      <c r="L281" s="46" t="s">
        <v>2000</v>
      </c>
      <c r="M281" s="48">
        <v>45255.46057870371</v>
      </c>
    </row>
    <row r="282">
      <c r="A282" s="47">
        <v>45249.467315393515</v>
      </c>
      <c r="B282" s="46" t="s">
        <v>470</v>
      </c>
      <c r="C282" s="46">
        <v>9.990361779E9</v>
      </c>
      <c r="D282" s="46" t="s">
        <v>471</v>
      </c>
      <c r="E282" s="46" t="s">
        <v>472</v>
      </c>
      <c r="F282" s="46"/>
      <c r="G282" s="46" t="s">
        <v>303</v>
      </c>
      <c r="H282" s="46"/>
      <c r="I282" s="46"/>
      <c r="J282" s="46"/>
      <c r="K282" s="46" t="str">
        <f>IFERROR(__xludf.DUMMYFUNCTION("if(A282="""","""",IF(G282="""",""Myn"",IF(REGEXMATCH(lower(G282),""mynn""),""Myn"",if(G282&lt;&gt;"""",""GEMTRE"",""""))))"),"Myn")</f>
        <v>Myn</v>
      </c>
      <c r="L282" s="46" t="s">
        <v>2000</v>
      </c>
      <c r="M282" s="48">
        <v>45255.46057870371</v>
      </c>
    </row>
    <row r="283">
      <c r="A283" s="47">
        <v>45249.474995972225</v>
      </c>
      <c r="B283" s="46" t="s">
        <v>473</v>
      </c>
      <c r="C283" s="46">
        <v>8.810214823E9</v>
      </c>
      <c r="D283" s="46" t="s">
        <v>474</v>
      </c>
      <c r="E283" s="46" t="s">
        <v>79</v>
      </c>
      <c r="F283" s="46"/>
      <c r="G283" s="46" t="s">
        <v>303</v>
      </c>
      <c r="H283" s="46"/>
      <c r="I283" s="46"/>
      <c r="J283" s="46"/>
      <c r="K283" s="46" t="str">
        <f>IFERROR(__xludf.DUMMYFUNCTION("if(A283="""","""",IF(G283="""",""Myn"",IF(REGEXMATCH(lower(G283),""mynn""),""Myn"",if(G283&lt;&gt;"""",""GEMTRE"",""""))))"),"Myn")</f>
        <v>Myn</v>
      </c>
      <c r="L283" s="46" t="s">
        <v>2000</v>
      </c>
      <c r="M283" s="48">
        <v>45255.46057870371</v>
      </c>
    </row>
    <row r="284">
      <c r="A284" s="47">
        <v>45249.47627846064</v>
      </c>
      <c r="B284" s="46" t="s">
        <v>475</v>
      </c>
      <c r="C284" s="46">
        <v>8.076143164E9</v>
      </c>
      <c r="D284" s="46" t="s">
        <v>476</v>
      </c>
      <c r="E284" s="46" t="s">
        <v>116</v>
      </c>
      <c r="F284" s="46"/>
      <c r="G284" s="46" t="s">
        <v>303</v>
      </c>
      <c r="H284" s="46"/>
      <c r="I284" s="46"/>
      <c r="J284" s="46"/>
      <c r="K284" s="46" t="str">
        <f>IFERROR(__xludf.DUMMYFUNCTION("if(A284="""","""",IF(G284="""",""Myn"",IF(REGEXMATCH(lower(G284),""mynn""),""Myn"",if(G284&lt;&gt;"""",""GEMTRE"",""""))))"),"Myn")</f>
        <v>Myn</v>
      </c>
      <c r="L284" s="46" t="s">
        <v>2000</v>
      </c>
      <c r="M284" s="48">
        <v>45255.46057870371</v>
      </c>
    </row>
    <row r="285">
      <c r="A285" s="47">
        <v>45249.48491951389</v>
      </c>
      <c r="B285" s="46" t="s">
        <v>477</v>
      </c>
      <c r="C285" s="46">
        <v>9.837445E9</v>
      </c>
      <c r="D285" s="46"/>
      <c r="E285" s="46" t="s">
        <v>13</v>
      </c>
      <c r="F285" s="46"/>
      <c r="G285" s="46" t="s">
        <v>303</v>
      </c>
      <c r="H285" s="46"/>
      <c r="I285" s="46"/>
      <c r="J285" s="46"/>
      <c r="K285" s="46" t="str">
        <f>IFERROR(__xludf.DUMMYFUNCTION("if(A285="""","""",IF(G285="""",""Myn"",IF(REGEXMATCH(lower(G285),""mynn""),""Myn"",if(G285&lt;&gt;"""",""GEMTRE"",""""))))"),"Myn")</f>
        <v>Myn</v>
      </c>
      <c r="L285" s="46" t="s">
        <v>2000</v>
      </c>
      <c r="M285" s="48">
        <v>45255.46057870371</v>
      </c>
    </row>
    <row r="286">
      <c r="A286" s="47">
        <v>45249.4851546412</v>
      </c>
      <c r="B286" s="46" t="s">
        <v>478</v>
      </c>
      <c r="C286" s="46">
        <v>9.837010736E9</v>
      </c>
      <c r="D286" s="46"/>
      <c r="E286" s="46"/>
      <c r="F286" s="46"/>
      <c r="G286" s="46" t="s">
        <v>303</v>
      </c>
      <c r="H286" s="46"/>
      <c r="I286" s="46"/>
      <c r="J286" s="46"/>
      <c r="K286" s="46" t="str">
        <f>IFERROR(__xludf.DUMMYFUNCTION("if(A286="""","""",IF(G286="""",""Myn"",IF(REGEXMATCH(lower(G286),""mynn""),""Myn"",if(G286&lt;&gt;"""",""GEMTRE"",""""))))"),"Myn")</f>
        <v>Myn</v>
      </c>
      <c r="L286" s="46" t="s">
        <v>2000</v>
      </c>
      <c r="M286" s="48">
        <v>45255.46057870371</v>
      </c>
    </row>
    <row r="287">
      <c r="A287" s="47">
        <v>45249.48648133102</v>
      </c>
      <c r="B287" s="46" t="s">
        <v>479</v>
      </c>
      <c r="C287" s="46">
        <v>8.882856762E9</v>
      </c>
      <c r="D287" s="46" t="s">
        <v>480</v>
      </c>
      <c r="E287" s="46" t="s">
        <v>481</v>
      </c>
      <c r="F287" s="46"/>
      <c r="G287" s="46" t="s">
        <v>303</v>
      </c>
      <c r="H287" s="46"/>
      <c r="I287" s="46"/>
      <c r="J287" s="46"/>
      <c r="K287" s="46" t="str">
        <f>IFERROR(__xludf.DUMMYFUNCTION("if(A287="""","""",IF(G287="""",""Myn"",IF(REGEXMATCH(lower(G287),""mynn""),""Myn"",if(G287&lt;&gt;"""",""GEMTRE"",""""))))"),"Myn")</f>
        <v>Myn</v>
      </c>
      <c r="L287" s="46" t="s">
        <v>2000</v>
      </c>
      <c r="M287" s="48">
        <v>45255.46057870371</v>
      </c>
    </row>
    <row r="288">
      <c r="A288" s="47">
        <v>45249.488143912036</v>
      </c>
      <c r="B288" s="46" t="s">
        <v>482</v>
      </c>
      <c r="C288" s="46">
        <v>8.800613336E9</v>
      </c>
      <c r="D288" s="46"/>
      <c r="E288" s="46" t="s">
        <v>26</v>
      </c>
      <c r="F288" s="49" t="s">
        <v>483</v>
      </c>
      <c r="G288" s="46" t="s">
        <v>303</v>
      </c>
      <c r="H288" s="46"/>
      <c r="I288" s="46"/>
      <c r="J288" s="46"/>
      <c r="K288" s="46" t="str">
        <f>IFERROR(__xludf.DUMMYFUNCTION("if(A288="""","""",IF(G288="""",""Myn"",IF(REGEXMATCH(lower(G288),""mynn""),""Myn"",if(G288&lt;&gt;"""",""GEMTRE"",""""))))"),"Myn")</f>
        <v>Myn</v>
      </c>
      <c r="L288" s="46" t="s">
        <v>2000</v>
      </c>
      <c r="M288" s="48">
        <v>45255.46057870371</v>
      </c>
    </row>
    <row r="289">
      <c r="A289" s="47">
        <v>45249.48913958333</v>
      </c>
      <c r="B289" s="46" t="s">
        <v>484</v>
      </c>
      <c r="C289" s="46">
        <v>9.811683208E9</v>
      </c>
      <c r="D289" s="46"/>
      <c r="E289" s="46"/>
      <c r="F289" s="46"/>
      <c r="G289" s="46" t="s">
        <v>289</v>
      </c>
      <c r="H289" s="46"/>
      <c r="I289" s="46"/>
      <c r="J289" s="46"/>
      <c r="K289" s="46" t="str">
        <f>IFERROR(__xludf.DUMMYFUNCTION("if(A289="""","""",IF(G289="""",""Myn"",IF(REGEXMATCH(lower(G289),""mynn""),""Myn"",if(G289&lt;&gt;"""",""GEMTRE"",""""))))"),"GEMTRE")</f>
        <v>GEMTRE</v>
      </c>
      <c r="L289" s="46" t="s">
        <v>2001</v>
      </c>
      <c r="M289" s="48">
        <v>45255.46057870371</v>
      </c>
    </row>
    <row r="290">
      <c r="A290" s="47">
        <v>45249.49329939815</v>
      </c>
      <c r="B290" s="46" t="s">
        <v>485</v>
      </c>
      <c r="C290" s="46">
        <v>9.818009247E9</v>
      </c>
      <c r="D290" s="46"/>
      <c r="E290" s="46" t="s">
        <v>11</v>
      </c>
      <c r="F290" s="46"/>
      <c r="G290" s="46" t="s">
        <v>303</v>
      </c>
      <c r="H290" s="46"/>
      <c r="I290" s="46"/>
      <c r="J290" s="46"/>
      <c r="K290" s="46" t="str">
        <f>IFERROR(__xludf.DUMMYFUNCTION("if(A290="""","""",IF(G290="""",""Myn"",IF(REGEXMATCH(lower(G290),""mynn""),""Myn"",if(G290&lt;&gt;"""",""GEMTRE"",""""))))"),"Myn")</f>
        <v>Myn</v>
      </c>
      <c r="L290" s="46" t="s">
        <v>2000</v>
      </c>
      <c r="M290" s="48">
        <v>45255.46059027778</v>
      </c>
    </row>
    <row r="291">
      <c r="A291" s="47">
        <v>45249.49519465277</v>
      </c>
      <c r="B291" s="46" t="s">
        <v>486</v>
      </c>
      <c r="C291" s="46">
        <v>9.95891963E9</v>
      </c>
      <c r="D291" s="46"/>
      <c r="E291" s="46" t="s">
        <v>487</v>
      </c>
      <c r="F291" s="46"/>
      <c r="G291" s="46" t="s">
        <v>289</v>
      </c>
      <c r="H291" s="46"/>
      <c r="I291" s="46"/>
      <c r="J291" s="46"/>
      <c r="K291" s="46" t="str">
        <f>IFERROR(__xludf.DUMMYFUNCTION("if(A291="""","""",IF(G291="""",""Myn"",IF(REGEXMATCH(lower(G291),""mynn""),""Myn"",if(G291&lt;&gt;"""",""GEMTRE"",""""))))"),"GEMTRE")</f>
        <v>GEMTRE</v>
      </c>
      <c r="L291" s="46" t="s">
        <v>2001</v>
      </c>
      <c r="M291" s="48">
        <v>45255.46059027778</v>
      </c>
    </row>
    <row r="292">
      <c r="A292" s="47">
        <v>45249.49858064815</v>
      </c>
      <c r="B292" s="46" t="s">
        <v>488</v>
      </c>
      <c r="C292" s="46">
        <v>9.711170176E9</v>
      </c>
      <c r="D292" s="46" t="s">
        <v>489</v>
      </c>
      <c r="E292" s="46" t="s">
        <v>79</v>
      </c>
      <c r="F292" s="46"/>
      <c r="G292" s="46" t="s">
        <v>303</v>
      </c>
      <c r="H292" s="46"/>
      <c r="I292" s="46"/>
      <c r="J292" s="46"/>
      <c r="K292" s="46" t="str">
        <f>IFERROR(__xludf.DUMMYFUNCTION("if(A292="""","""",IF(G292="""",""Myn"",IF(REGEXMATCH(lower(G292),""mynn""),""Myn"",if(G292&lt;&gt;"""",""GEMTRE"",""""))))"),"Myn")</f>
        <v>Myn</v>
      </c>
      <c r="L292" s="46" t="s">
        <v>2000</v>
      </c>
      <c r="M292" s="48">
        <v>45255.46059027778</v>
      </c>
    </row>
    <row r="293">
      <c r="A293" s="47">
        <v>45249.502159537034</v>
      </c>
      <c r="B293" s="46" t="s">
        <v>490</v>
      </c>
      <c r="C293" s="46">
        <v>7.68306741E9</v>
      </c>
      <c r="D293" s="46"/>
      <c r="E293" s="46"/>
      <c r="F293" s="46"/>
      <c r="G293" s="46" t="s">
        <v>303</v>
      </c>
      <c r="H293" s="46"/>
      <c r="I293" s="46"/>
      <c r="J293" s="46"/>
      <c r="K293" s="46" t="str">
        <f>IFERROR(__xludf.DUMMYFUNCTION("if(A293="""","""",IF(G293="""",""Myn"",IF(REGEXMATCH(lower(G293),""mynn""),""Myn"",if(G293&lt;&gt;"""",""GEMTRE"",""""))))"),"Myn")</f>
        <v>Myn</v>
      </c>
      <c r="L293" s="46" t="s">
        <v>2000</v>
      </c>
      <c r="M293" s="48">
        <v>45255.46059027778</v>
      </c>
    </row>
    <row r="294">
      <c r="A294" s="47">
        <v>45249.50243879629</v>
      </c>
      <c r="B294" s="46" t="s">
        <v>491</v>
      </c>
      <c r="C294" s="46">
        <v>9.671853414E9</v>
      </c>
      <c r="D294" s="46" t="s">
        <v>492</v>
      </c>
      <c r="E294" s="46" t="s">
        <v>39</v>
      </c>
      <c r="F294" s="46"/>
      <c r="G294" s="46" t="s">
        <v>303</v>
      </c>
      <c r="H294" s="46"/>
      <c r="I294" s="46"/>
      <c r="J294" s="46"/>
      <c r="K294" s="46" t="str">
        <f>IFERROR(__xludf.DUMMYFUNCTION("if(A294="""","""",IF(G294="""",""Myn"",IF(REGEXMATCH(lower(G294),""mynn""),""Myn"",if(G294&lt;&gt;"""",""GEMTRE"",""""))))"),"Myn")</f>
        <v>Myn</v>
      </c>
      <c r="L294" s="46" t="s">
        <v>2000</v>
      </c>
      <c r="M294" s="48">
        <v>45255.46059027778</v>
      </c>
    </row>
    <row r="295">
      <c r="A295" s="47">
        <v>45249.50519831019</v>
      </c>
      <c r="B295" s="46" t="s">
        <v>493</v>
      </c>
      <c r="C295" s="46">
        <v>8.29540703E9</v>
      </c>
      <c r="D295" s="46" t="s">
        <v>494</v>
      </c>
      <c r="E295" s="46"/>
      <c r="F295" s="46"/>
      <c r="G295" s="46" t="s">
        <v>303</v>
      </c>
      <c r="H295" s="46"/>
      <c r="I295" s="46"/>
      <c r="J295" s="46"/>
      <c r="K295" s="46" t="str">
        <f>IFERROR(__xludf.DUMMYFUNCTION("if(A295="""","""",IF(G295="""",""Myn"",IF(REGEXMATCH(lower(G295),""mynn""),""Myn"",if(G295&lt;&gt;"""",""GEMTRE"",""""))))"),"Myn")</f>
        <v>Myn</v>
      </c>
      <c r="L295" s="46" t="s">
        <v>2000</v>
      </c>
      <c r="M295" s="48">
        <v>45255.46059027778</v>
      </c>
    </row>
    <row r="296">
      <c r="A296" s="47">
        <v>45249.50821996528</v>
      </c>
      <c r="B296" s="46" t="s">
        <v>495</v>
      </c>
      <c r="C296" s="46">
        <v>8.895734798E9</v>
      </c>
      <c r="D296" s="46"/>
      <c r="E296" s="46"/>
      <c r="F296" s="46"/>
      <c r="G296" s="46" t="s">
        <v>289</v>
      </c>
      <c r="H296" s="46"/>
      <c r="I296" s="46"/>
      <c r="J296" s="46"/>
      <c r="K296" s="46" t="str">
        <f>IFERROR(__xludf.DUMMYFUNCTION("if(A296="""","""",IF(G296="""",""Myn"",IF(REGEXMATCH(lower(G296),""mynn""),""Myn"",if(G296&lt;&gt;"""",""GEMTRE"",""""))))"),"GEMTRE")</f>
        <v>GEMTRE</v>
      </c>
      <c r="L296" s="46" t="s">
        <v>2001</v>
      </c>
      <c r="M296" s="48">
        <v>45255.46059027778</v>
      </c>
    </row>
    <row r="297">
      <c r="A297" s="47">
        <v>45249.5118846875</v>
      </c>
      <c r="B297" s="46" t="s">
        <v>496</v>
      </c>
      <c r="C297" s="46">
        <v>8.826893089E9</v>
      </c>
      <c r="D297" s="46" t="s">
        <v>497</v>
      </c>
      <c r="E297" s="46" t="s">
        <v>15</v>
      </c>
      <c r="F297" s="46"/>
      <c r="G297" s="46" t="s">
        <v>303</v>
      </c>
      <c r="H297" s="46"/>
      <c r="I297" s="46"/>
      <c r="J297" s="46"/>
      <c r="K297" s="46" t="str">
        <f>IFERROR(__xludf.DUMMYFUNCTION("if(A297="""","""",IF(G297="""",""Myn"",IF(REGEXMATCH(lower(G297),""mynn""),""Myn"",if(G297&lt;&gt;"""",""GEMTRE"",""""))))"),"Myn")</f>
        <v>Myn</v>
      </c>
      <c r="L297" s="46" t="s">
        <v>2000</v>
      </c>
      <c r="M297" s="48">
        <v>45255.46059027778</v>
      </c>
    </row>
    <row r="298">
      <c r="A298" s="47">
        <v>45249.51282164352</v>
      </c>
      <c r="B298" s="46" t="s">
        <v>498</v>
      </c>
      <c r="C298" s="46">
        <v>7.503459351E9</v>
      </c>
      <c r="D298" s="46" t="s">
        <v>499</v>
      </c>
      <c r="E298" s="46" t="s">
        <v>13</v>
      </c>
      <c r="F298" s="46"/>
      <c r="G298" s="46" t="s">
        <v>303</v>
      </c>
      <c r="H298" s="46"/>
      <c r="I298" s="46"/>
      <c r="J298" s="46"/>
      <c r="K298" s="46" t="str">
        <f>IFERROR(__xludf.DUMMYFUNCTION("if(A298="""","""",IF(G298="""",""Myn"",IF(REGEXMATCH(lower(G298),""mynn""),""Myn"",if(G298&lt;&gt;"""",""GEMTRE"",""""))))"),"Myn")</f>
        <v>Myn</v>
      </c>
      <c r="L298" s="46" t="s">
        <v>2000</v>
      </c>
      <c r="M298" s="48">
        <v>45255.46059027778</v>
      </c>
    </row>
    <row r="299">
      <c r="A299" s="47">
        <v>45249.51284633102</v>
      </c>
      <c r="B299" s="46" t="s">
        <v>500</v>
      </c>
      <c r="C299" s="46">
        <v>9.72940152E9</v>
      </c>
      <c r="D299" s="46" t="s">
        <v>501</v>
      </c>
      <c r="E299" s="46"/>
      <c r="F299" s="46"/>
      <c r="G299" s="46" t="s">
        <v>303</v>
      </c>
      <c r="H299" s="46"/>
      <c r="I299" s="46"/>
      <c r="J299" s="46"/>
      <c r="K299" s="46" t="str">
        <f>IFERROR(__xludf.DUMMYFUNCTION("if(A299="""","""",IF(G299="""",""Myn"",IF(REGEXMATCH(lower(G299),""mynn""),""Myn"",if(G299&lt;&gt;"""",""GEMTRE"",""""))))"),"Myn")</f>
        <v>Myn</v>
      </c>
      <c r="L299" s="46" t="s">
        <v>2000</v>
      </c>
      <c r="M299" s="48">
        <v>45255.46059027778</v>
      </c>
    </row>
    <row r="300">
      <c r="A300" s="47">
        <v>45249.51391995371</v>
      </c>
      <c r="B300" s="46" t="s">
        <v>502</v>
      </c>
      <c r="C300" s="46">
        <v>7.056037777E9</v>
      </c>
      <c r="D300" s="46" t="s">
        <v>503</v>
      </c>
      <c r="E300" s="46"/>
      <c r="F300" s="46"/>
      <c r="G300" s="46" t="s">
        <v>303</v>
      </c>
      <c r="H300" s="46"/>
      <c r="I300" s="46"/>
      <c r="J300" s="46"/>
      <c r="K300" s="46" t="str">
        <f>IFERROR(__xludf.DUMMYFUNCTION("if(A300="""","""",IF(G300="""",""Myn"",IF(REGEXMATCH(lower(G300),""mynn""),""Myn"",if(G300&lt;&gt;"""",""GEMTRE"",""""))))"),"Myn")</f>
        <v>Myn</v>
      </c>
      <c r="L300" s="46" t="s">
        <v>2000</v>
      </c>
      <c r="M300" s="48">
        <v>45255.46059027778</v>
      </c>
    </row>
    <row r="301">
      <c r="A301" s="47">
        <v>45249.51422070602</v>
      </c>
      <c r="B301" s="46" t="s">
        <v>504</v>
      </c>
      <c r="C301" s="46">
        <v>7.827617333E9</v>
      </c>
      <c r="D301" s="46" t="s">
        <v>505</v>
      </c>
      <c r="E301" s="46"/>
      <c r="F301" s="46"/>
      <c r="G301" s="46" t="s">
        <v>303</v>
      </c>
      <c r="H301" s="46"/>
      <c r="I301" s="46"/>
      <c r="J301" s="46"/>
      <c r="K301" s="46" t="str">
        <f>IFERROR(__xludf.DUMMYFUNCTION("if(A301="""","""",IF(G301="""",""Myn"",IF(REGEXMATCH(lower(G301),""mynn""),""Myn"",if(G301&lt;&gt;"""",""GEMTRE"",""""))))"),"Myn")</f>
        <v>Myn</v>
      </c>
      <c r="L301" s="46" t="s">
        <v>2000</v>
      </c>
      <c r="M301" s="48">
        <v>45255.46059027778</v>
      </c>
    </row>
    <row r="302">
      <c r="A302" s="47">
        <v>45249.515298541664</v>
      </c>
      <c r="B302" s="46" t="s">
        <v>506</v>
      </c>
      <c r="C302" s="46">
        <v>7.706904591E9</v>
      </c>
      <c r="D302" s="46"/>
      <c r="E302" s="46"/>
      <c r="F302" s="46"/>
      <c r="G302" s="46" t="s">
        <v>303</v>
      </c>
      <c r="H302" s="46"/>
      <c r="I302" s="46"/>
      <c r="J302" s="46"/>
      <c r="K302" s="46" t="str">
        <f>IFERROR(__xludf.DUMMYFUNCTION("if(A302="""","""",IF(G302="""",""Myn"",IF(REGEXMATCH(lower(G302),""mynn""),""Myn"",if(G302&lt;&gt;"""",""GEMTRE"",""""))))"),"Myn")</f>
        <v>Myn</v>
      </c>
      <c r="L302" s="46" t="s">
        <v>2000</v>
      </c>
      <c r="M302" s="48">
        <v>45255.46059027778</v>
      </c>
    </row>
    <row r="303">
      <c r="A303" s="47">
        <v>45249.51613229167</v>
      </c>
      <c r="B303" s="46" t="s">
        <v>507</v>
      </c>
      <c r="C303" s="46">
        <v>7.053086007E9</v>
      </c>
      <c r="D303" s="46" t="s">
        <v>508</v>
      </c>
      <c r="E303" s="46"/>
      <c r="F303" s="46"/>
      <c r="G303" s="46" t="s">
        <v>303</v>
      </c>
      <c r="H303" s="46"/>
      <c r="I303" s="46"/>
      <c r="J303" s="46"/>
      <c r="K303" s="46" t="str">
        <f>IFERROR(__xludf.DUMMYFUNCTION("if(A303="""","""",IF(G303="""",""Myn"",IF(REGEXMATCH(lower(G303),""mynn""),""Myn"",if(G303&lt;&gt;"""",""GEMTRE"",""""))))"),"Myn")</f>
        <v>Myn</v>
      </c>
      <c r="L303" s="46" t="s">
        <v>2000</v>
      </c>
      <c r="M303" s="48">
        <v>45255.46059027778</v>
      </c>
    </row>
    <row r="304">
      <c r="A304" s="47">
        <v>45249.51732111111</v>
      </c>
      <c r="B304" s="46" t="s">
        <v>509</v>
      </c>
      <c r="C304" s="46">
        <v>9.217663281E9</v>
      </c>
      <c r="D304" s="46"/>
      <c r="E304" s="46" t="s">
        <v>114</v>
      </c>
      <c r="F304" s="46"/>
      <c r="G304" s="46" t="s">
        <v>303</v>
      </c>
      <c r="H304" s="46"/>
      <c r="I304" s="46"/>
      <c r="J304" s="46"/>
      <c r="K304" s="46" t="str">
        <f>IFERROR(__xludf.DUMMYFUNCTION("if(A304="""","""",IF(G304="""",""Myn"",IF(REGEXMATCH(lower(G304),""mynn""),""Myn"",if(G304&lt;&gt;"""",""GEMTRE"",""""))))"),"Myn")</f>
        <v>Myn</v>
      </c>
      <c r="L304" s="46" t="s">
        <v>2000</v>
      </c>
      <c r="M304" s="48">
        <v>45255.46059027778</v>
      </c>
    </row>
    <row r="305">
      <c r="A305" s="47">
        <v>45249.52138575232</v>
      </c>
      <c r="B305" s="46" t="s">
        <v>35</v>
      </c>
      <c r="C305" s="46">
        <v>8.398992983E9</v>
      </c>
      <c r="D305" s="46"/>
      <c r="E305" s="46"/>
      <c r="F305" s="46"/>
      <c r="G305" s="46" t="s">
        <v>303</v>
      </c>
      <c r="H305" s="46"/>
      <c r="I305" s="46"/>
      <c r="J305" s="46"/>
      <c r="K305" s="46" t="str">
        <f>IFERROR(__xludf.DUMMYFUNCTION("if(A305="""","""",IF(G305="""",""Myn"",IF(REGEXMATCH(lower(G305),""mynn""),""Myn"",if(G305&lt;&gt;"""",""GEMTRE"",""""))))"),"Myn")</f>
        <v>Myn</v>
      </c>
      <c r="L305" s="46" t="s">
        <v>2000</v>
      </c>
      <c r="M305" s="48">
        <v>45255.46059027778</v>
      </c>
    </row>
    <row r="306">
      <c r="A306" s="47">
        <v>45249.52222241898</v>
      </c>
      <c r="B306" s="46" t="s">
        <v>510</v>
      </c>
      <c r="C306" s="46">
        <v>9.899949365E9</v>
      </c>
      <c r="D306" s="46"/>
      <c r="E306" s="46" t="s">
        <v>511</v>
      </c>
      <c r="F306" s="46"/>
      <c r="G306" s="46" t="s">
        <v>289</v>
      </c>
      <c r="H306" s="46"/>
      <c r="I306" s="46"/>
      <c r="J306" s="46"/>
      <c r="K306" s="46" t="str">
        <f>IFERROR(__xludf.DUMMYFUNCTION("if(A306="""","""",IF(G306="""",""Myn"",IF(REGEXMATCH(lower(G306),""mynn""),""Myn"",if(G306&lt;&gt;"""",""GEMTRE"",""""))))"),"GEMTRE")</f>
        <v>GEMTRE</v>
      </c>
      <c r="L306" s="46" t="s">
        <v>2001</v>
      </c>
      <c r="M306" s="48">
        <v>45255.46059027778</v>
      </c>
    </row>
    <row r="307">
      <c r="A307" s="47">
        <v>45249.522546099535</v>
      </c>
      <c r="B307" s="46" t="s">
        <v>161</v>
      </c>
      <c r="C307" s="46">
        <v>7.217655299E9</v>
      </c>
      <c r="D307" s="46"/>
      <c r="E307" s="46"/>
      <c r="F307" s="46"/>
      <c r="G307" s="46" t="s">
        <v>303</v>
      </c>
      <c r="H307" s="46"/>
      <c r="I307" s="46"/>
      <c r="J307" s="46"/>
      <c r="K307" s="46" t="str">
        <f>IFERROR(__xludf.DUMMYFUNCTION("if(A307="""","""",IF(G307="""",""Myn"",IF(REGEXMATCH(lower(G307),""mynn""),""Myn"",if(G307&lt;&gt;"""",""GEMTRE"",""""))))"),"Myn")</f>
        <v>Myn</v>
      </c>
      <c r="L307" s="46" t="s">
        <v>2000</v>
      </c>
      <c r="M307" s="48">
        <v>45255.46059027778</v>
      </c>
    </row>
    <row r="308">
      <c r="A308" s="47">
        <v>45249.524952141204</v>
      </c>
      <c r="B308" s="46" t="s">
        <v>512</v>
      </c>
      <c r="C308" s="46">
        <v>9.416080018E9</v>
      </c>
      <c r="D308" s="46" t="s">
        <v>513</v>
      </c>
      <c r="E308" s="46" t="s">
        <v>11</v>
      </c>
      <c r="F308" s="46"/>
      <c r="G308" s="46" t="s">
        <v>303</v>
      </c>
      <c r="H308" s="46"/>
      <c r="I308" s="46"/>
      <c r="J308" s="46"/>
      <c r="K308" s="46" t="str">
        <f>IFERROR(__xludf.DUMMYFUNCTION("if(A308="""","""",IF(G308="""",""Myn"",IF(REGEXMATCH(lower(G308),""mynn""),""Myn"",if(G308&lt;&gt;"""",""GEMTRE"",""""))))"),"Myn")</f>
        <v>Myn</v>
      </c>
      <c r="L308" s="46" t="s">
        <v>2000</v>
      </c>
      <c r="M308" s="48">
        <v>45255.46059027778</v>
      </c>
    </row>
    <row r="309">
      <c r="A309" s="47">
        <v>45249.52781586806</v>
      </c>
      <c r="B309" s="46" t="s">
        <v>514</v>
      </c>
      <c r="C309" s="46">
        <v>9.560593114E9</v>
      </c>
      <c r="D309" s="46"/>
      <c r="E309" s="46" t="s">
        <v>15</v>
      </c>
      <c r="F309" s="46"/>
      <c r="G309" s="46" t="s">
        <v>303</v>
      </c>
      <c r="H309" s="46"/>
      <c r="I309" s="46"/>
      <c r="J309" s="46"/>
      <c r="K309" s="46" t="str">
        <f>IFERROR(__xludf.DUMMYFUNCTION("if(A309="""","""",IF(G309="""",""Myn"",IF(REGEXMATCH(lower(G309),""mynn""),""Myn"",if(G309&lt;&gt;"""",""GEMTRE"",""""))))"),"Myn")</f>
        <v>Myn</v>
      </c>
      <c r="L309" s="46" t="s">
        <v>2000</v>
      </c>
      <c r="M309" s="48">
        <v>45255.46059027778</v>
      </c>
    </row>
    <row r="310">
      <c r="A310" s="47">
        <v>45249.53098802084</v>
      </c>
      <c r="B310" s="46" t="s">
        <v>515</v>
      </c>
      <c r="C310" s="46">
        <v>7.982341882E9</v>
      </c>
      <c r="D310" s="46"/>
      <c r="E310" s="46"/>
      <c r="F310" s="46"/>
      <c r="G310" s="46" t="s">
        <v>303</v>
      </c>
      <c r="H310" s="46"/>
      <c r="I310" s="46"/>
      <c r="J310" s="46"/>
      <c r="K310" s="46" t="str">
        <f>IFERROR(__xludf.DUMMYFUNCTION("if(A310="""","""",IF(G310="""",""Myn"",IF(REGEXMATCH(lower(G310),""mynn""),""Myn"",if(G310&lt;&gt;"""",""GEMTRE"",""""))))"),"Myn")</f>
        <v>Myn</v>
      </c>
      <c r="L310" s="46" t="s">
        <v>2000</v>
      </c>
      <c r="M310" s="48">
        <v>45255.46059027778</v>
      </c>
    </row>
    <row r="311">
      <c r="A311" s="47">
        <v>45249.531199895835</v>
      </c>
      <c r="B311" s="46" t="s">
        <v>516</v>
      </c>
      <c r="C311" s="46">
        <v>8.81039181E9</v>
      </c>
      <c r="D311" s="46"/>
      <c r="E311" s="46"/>
      <c r="F311" s="46"/>
      <c r="G311" s="46" t="s">
        <v>303</v>
      </c>
      <c r="H311" s="46"/>
      <c r="I311" s="46"/>
      <c r="J311" s="46"/>
      <c r="K311" s="46" t="str">
        <f>IFERROR(__xludf.DUMMYFUNCTION("if(A311="""","""",IF(G311="""",""Myn"",IF(REGEXMATCH(lower(G311),""mynn""),""Myn"",if(G311&lt;&gt;"""",""GEMTRE"",""""))))"),"Myn")</f>
        <v>Myn</v>
      </c>
      <c r="L311" s="46" t="s">
        <v>2000</v>
      </c>
      <c r="M311" s="48">
        <v>45255.46059027778</v>
      </c>
    </row>
    <row r="312">
      <c r="A312" s="47">
        <v>45249.531297511574</v>
      </c>
      <c r="B312" s="46" t="s">
        <v>517</v>
      </c>
      <c r="C312" s="46">
        <v>9.958052326E9</v>
      </c>
      <c r="D312" s="46"/>
      <c r="E312" s="46"/>
      <c r="F312" s="46"/>
      <c r="G312" s="46" t="s">
        <v>303</v>
      </c>
      <c r="H312" s="46"/>
      <c r="I312" s="46"/>
      <c r="J312" s="46"/>
      <c r="K312" s="46" t="str">
        <f>IFERROR(__xludf.DUMMYFUNCTION("if(A312="""","""",IF(G312="""",""Myn"",IF(REGEXMATCH(lower(G312),""mynn""),""Myn"",if(G312&lt;&gt;"""",""GEMTRE"",""""))))"),"Myn")</f>
        <v>Myn</v>
      </c>
      <c r="L312" s="46" t="s">
        <v>2000</v>
      </c>
      <c r="M312" s="48">
        <v>45255.46059027778</v>
      </c>
    </row>
    <row r="313">
      <c r="A313" s="47">
        <v>45249.531401099535</v>
      </c>
      <c r="B313" s="46" t="s">
        <v>518</v>
      </c>
      <c r="C313" s="46">
        <v>7.037855976E9</v>
      </c>
      <c r="D313" s="46"/>
      <c r="E313" s="46" t="s">
        <v>15</v>
      </c>
      <c r="F313" s="46"/>
      <c r="G313" s="46" t="s">
        <v>303</v>
      </c>
      <c r="H313" s="46"/>
      <c r="I313" s="46"/>
      <c r="J313" s="46"/>
      <c r="K313" s="46" t="str">
        <f>IFERROR(__xludf.DUMMYFUNCTION("if(A313="""","""",IF(G313="""",""Myn"",IF(REGEXMATCH(lower(G313),""mynn""),""Myn"",if(G313&lt;&gt;"""",""GEMTRE"",""""))))"),"Myn")</f>
        <v>Myn</v>
      </c>
      <c r="L313" s="46" t="s">
        <v>2000</v>
      </c>
      <c r="M313" s="48">
        <v>45255.46059027778</v>
      </c>
    </row>
    <row r="314">
      <c r="A314" s="47">
        <v>45249.53275435185</v>
      </c>
      <c r="B314" s="46" t="s">
        <v>519</v>
      </c>
      <c r="C314" s="46">
        <v>9.818358636E9</v>
      </c>
      <c r="D314" s="46"/>
      <c r="E314" s="46"/>
      <c r="F314" s="46"/>
      <c r="G314" s="46" t="s">
        <v>303</v>
      </c>
      <c r="H314" s="46"/>
      <c r="I314" s="46"/>
      <c r="J314" s="46"/>
      <c r="K314" s="46" t="str">
        <f>IFERROR(__xludf.DUMMYFUNCTION("if(A314="""","""",IF(G314="""",""Myn"",IF(REGEXMATCH(lower(G314),""mynn""),""Myn"",if(G314&lt;&gt;"""",""GEMTRE"",""""))))"),"Myn")</f>
        <v>Myn</v>
      </c>
      <c r="L314" s="46" t="s">
        <v>2000</v>
      </c>
      <c r="M314" s="48">
        <v>45255.46059027778</v>
      </c>
    </row>
    <row r="315">
      <c r="A315" s="47">
        <v>45249.53776355324</v>
      </c>
      <c r="B315" s="46" t="s">
        <v>520</v>
      </c>
      <c r="C315" s="46">
        <v>9.95365389E9</v>
      </c>
      <c r="D315" s="46" t="s">
        <v>521</v>
      </c>
      <c r="E315" s="46" t="s">
        <v>522</v>
      </c>
      <c r="F315" s="46"/>
      <c r="G315" s="46" t="s">
        <v>303</v>
      </c>
      <c r="H315" s="46"/>
      <c r="I315" s="46"/>
      <c r="J315" s="46"/>
      <c r="K315" s="46" t="str">
        <f>IFERROR(__xludf.DUMMYFUNCTION("if(A315="""","""",IF(G315="""",""Myn"",IF(REGEXMATCH(lower(G315),""mynn""),""Myn"",if(G315&lt;&gt;"""",""GEMTRE"",""""))))"),"Myn")</f>
        <v>Myn</v>
      </c>
      <c r="L315" s="46" t="s">
        <v>2000</v>
      </c>
      <c r="M315" s="48">
        <v>45255.46059027778</v>
      </c>
    </row>
    <row r="316">
      <c r="A316" s="47">
        <v>45249.53942934028</v>
      </c>
      <c r="B316" s="46" t="s">
        <v>523</v>
      </c>
      <c r="C316" s="46">
        <v>6.398522478E9</v>
      </c>
      <c r="D316" s="46" t="s">
        <v>524</v>
      </c>
      <c r="E316" s="46"/>
      <c r="F316" s="46"/>
      <c r="G316" s="46" t="s">
        <v>303</v>
      </c>
      <c r="H316" s="46"/>
      <c r="I316" s="46"/>
      <c r="J316" s="46"/>
      <c r="K316" s="46" t="str">
        <f>IFERROR(__xludf.DUMMYFUNCTION("if(A316="""","""",IF(G316="""",""Myn"",IF(REGEXMATCH(lower(G316),""mynn""),""Myn"",if(G316&lt;&gt;"""",""GEMTRE"",""""))))"),"Myn")</f>
        <v>Myn</v>
      </c>
      <c r="L316" s="46" t="s">
        <v>2000</v>
      </c>
      <c r="M316" s="48">
        <v>45255.46059027778</v>
      </c>
    </row>
    <row r="317">
      <c r="A317" s="47">
        <v>45249.54002133102</v>
      </c>
      <c r="B317" s="46" t="s">
        <v>525</v>
      </c>
      <c r="C317" s="46">
        <v>9.896220127E9</v>
      </c>
      <c r="D317" s="46"/>
      <c r="E317" s="46"/>
      <c r="F317" s="46"/>
      <c r="G317" s="46" t="s">
        <v>289</v>
      </c>
      <c r="H317" s="46"/>
      <c r="I317" s="46"/>
      <c r="J317" s="46"/>
      <c r="K317" s="46" t="str">
        <f>IFERROR(__xludf.DUMMYFUNCTION("if(A317="""","""",IF(G317="""",""Myn"",IF(REGEXMATCH(lower(G317),""mynn""),""Myn"",if(G317&lt;&gt;"""",""GEMTRE"",""""))))"),"GEMTRE")</f>
        <v>GEMTRE</v>
      </c>
      <c r="L317" s="46" t="s">
        <v>2001</v>
      </c>
      <c r="M317" s="48">
        <v>45255.46059027778</v>
      </c>
    </row>
    <row r="318">
      <c r="A318" s="47">
        <v>45249.54026245371</v>
      </c>
      <c r="B318" s="46" t="s">
        <v>526</v>
      </c>
      <c r="C318" s="46">
        <v>9.034748409E9</v>
      </c>
      <c r="D318" s="46" t="s">
        <v>527</v>
      </c>
      <c r="E318" s="46" t="s">
        <v>79</v>
      </c>
      <c r="F318" s="46"/>
      <c r="G318" s="46" t="s">
        <v>303</v>
      </c>
      <c r="H318" s="46"/>
      <c r="I318" s="46"/>
      <c r="J318" s="46"/>
      <c r="K318" s="46" t="str">
        <f>IFERROR(__xludf.DUMMYFUNCTION("if(A318="""","""",IF(G318="""",""Myn"",IF(REGEXMATCH(lower(G318),""mynn""),""Myn"",if(G318&lt;&gt;"""",""GEMTRE"",""""))))"),"Myn")</f>
        <v>Myn</v>
      </c>
      <c r="L318" s="46" t="s">
        <v>2000</v>
      </c>
      <c r="M318" s="48">
        <v>45255.46059027778</v>
      </c>
    </row>
    <row r="319">
      <c r="A319" s="47">
        <v>45249.540995324074</v>
      </c>
      <c r="B319" s="46" t="s">
        <v>528</v>
      </c>
      <c r="C319" s="46">
        <v>9.654323271E9</v>
      </c>
      <c r="D319" s="46"/>
      <c r="E319" s="46"/>
      <c r="F319" s="46"/>
      <c r="G319" s="46" t="s">
        <v>303</v>
      </c>
      <c r="H319" s="46"/>
      <c r="I319" s="46"/>
      <c r="J319" s="46"/>
      <c r="K319" s="46" t="str">
        <f>IFERROR(__xludf.DUMMYFUNCTION("if(A319="""","""",IF(G319="""",""Myn"",IF(REGEXMATCH(lower(G319),""mynn""),""Myn"",if(G319&lt;&gt;"""",""GEMTRE"",""""))))"),"Myn")</f>
        <v>Myn</v>
      </c>
      <c r="L319" s="46" t="s">
        <v>2000</v>
      </c>
      <c r="M319" s="48">
        <v>45255.46059027778</v>
      </c>
    </row>
    <row r="320">
      <c r="A320" s="47">
        <v>45249.548770925925</v>
      </c>
      <c r="B320" s="46" t="s">
        <v>529</v>
      </c>
      <c r="C320" s="46">
        <v>9.752644854E9</v>
      </c>
      <c r="D320" s="46"/>
      <c r="E320" s="46"/>
      <c r="F320" s="46"/>
      <c r="G320" s="46" t="s">
        <v>303</v>
      </c>
      <c r="H320" s="46"/>
      <c r="I320" s="46"/>
      <c r="J320" s="46"/>
      <c r="K320" s="46" t="str">
        <f>IFERROR(__xludf.DUMMYFUNCTION("if(A320="""","""",IF(G320="""",""Myn"",IF(REGEXMATCH(lower(G320),""mynn""),""Myn"",if(G320&lt;&gt;"""",""GEMTRE"",""""))))"),"Myn")</f>
        <v>Myn</v>
      </c>
      <c r="L320" s="46" t="s">
        <v>2000</v>
      </c>
      <c r="M320" s="48">
        <v>45255.46059027778</v>
      </c>
    </row>
    <row r="321">
      <c r="A321" s="47">
        <v>45249.54893899306</v>
      </c>
      <c r="B321" s="46" t="s">
        <v>530</v>
      </c>
      <c r="C321" s="46">
        <v>8.5272626E9</v>
      </c>
      <c r="D321" s="46"/>
      <c r="E321" s="46"/>
      <c r="F321" s="46"/>
      <c r="G321" s="46" t="s">
        <v>303</v>
      </c>
      <c r="H321" s="46"/>
      <c r="I321" s="46"/>
      <c r="J321" s="46"/>
      <c r="K321" s="46" t="str">
        <f>IFERROR(__xludf.DUMMYFUNCTION("if(A321="""","""",IF(G321="""",""Myn"",IF(REGEXMATCH(lower(G321),""mynn""),""Myn"",if(G321&lt;&gt;"""",""GEMTRE"",""""))))"),"Myn")</f>
        <v>Myn</v>
      </c>
      <c r="L321" s="46" t="s">
        <v>2000</v>
      </c>
      <c r="M321" s="48">
        <v>45255.46059027778</v>
      </c>
    </row>
    <row r="322">
      <c r="A322" s="47">
        <v>45249.54955358796</v>
      </c>
      <c r="B322" s="46" t="s">
        <v>531</v>
      </c>
      <c r="C322" s="46">
        <v>8.36825676E9</v>
      </c>
      <c r="D322" s="46"/>
      <c r="E322" s="46"/>
      <c r="F322" s="46"/>
      <c r="G322" s="46" t="s">
        <v>303</v>
      </c>
      <c r="H322" s="46"/>
      <c r="I322" s="46"/>
      <c r="J322" s="46"/>
      <c r="K322" s="46" t="str">
        <f>IFERROR(__xludf.DUMMYFUNCTION("if(A322="""","""",IF(G322="""",""Myn"",IF(REGEXMATCH(lower(G322),""mynn""),""Myn"",if(G322&lt;&gt;"""",""GEMTRE"",""""))))"),"Myn")</f>
        <v>Myn</v>
      </c>
      <c r="L322" s="46" t="s">
        <v>2000</v>
      </c>
      <c r="M322" s="48">
        <v>45255.46059027778</v>
      </c>
    </row>
    <row r="323">
      <c r="A323" s="47">
        <v>45249.54970585648</v>
      </c>
      <c r="B323" s="46" t="s">
        <v>532</v>
      </c>
      <c r="C323" s="46">
        <v>7.004491675E9</v>
      </c>
      <c r="D323" s="46"/>
      <c r="E323" s="46"/>
      <c r="F323" s="46"/>
      <c r="G323" s="46" t="s">
        <v>303</v>
      </c>
      <c r="H323" s="46"/>
      <c r="I323" s="46"/>
      <c r="J323" s="46"/>
      <c r="K323" s="46" t="str">
        <f>IFERROR(__xludf.DUMMYFUNCTION("if(A323="""","""",IF(G323="""",""Myn"",IF(REGEXMATCH(lower(G323),""mynn""),""Myn"",if(G323&lt;&gt;"""",""GEMTRE"",""""))))"),"Myn")</f>
        <v>Myn</v>
      </c>
      <c r="L323" s="46" t="s">
        <v>2000</v>
      </c>
      <c r="M323" s="48">
        <v>45255.46059027778</v>
      </c>
    </row>
    <row r="324">
      <c r="A324" s="47">
        <v>45249.55003436343</v>
      </c>
      <c r="B324" s="46" t="s">
        <v>533</v>
      </c>
      <c r="C324" s="46">
        <v>8.882190498E9</v>
      </c>
      <c r="D324" s="46"/>
      <c r="E324" s="46"/>
      <c r="F324" s="46"/>
      <c r="G324" s="46" t="s">
        <v>303</v>
      </c>
      <c r="H324" s="46"/>
      <c r="I324" s="46"/>
      <c r="J324" s="46"/>
      <c r="K324" s="46" t="str">
        <f>IFERROR(__xludf.DUMMYFUNCTION("if(A324="""","""",IF(G324="""",""Myn"",IF(REGEXMATCH(lower(G324),""mynn""),""Myn"",if(G324&lt;&gt;"""",""GEMTRE"",""""))))"),"Myn")</f>
        <v>Myn</v>
      </c>
      <c r="L324" s="46" t="s">
        <v>2000</v>
      </c>
      <c r="M324" s="48">
        <v>45255.46059027778</v>
      </c>
    </row>
    <row r="325">
      <c r="A325" s="47">
        <v>45249.550593125</v>
      </c>
      <c r="B325" s="46" t="s">
        <v>534</v>
      </c>
      <c r="C325" s="46">
        <v>7.838305155E9</v>
      </c>
      <c r="D325" s="46"/>
      <c r="E325" s="46"/>
      <c r="F325" s="46"/>
      <c r="G325" s="46" t="s">
        <v>303</v>
      </c>
      <c r="H325" s="46"/>
      <c r="I325" s="46"/>
      <c r="J325" s="46"/>
      <c r="K325" s="46" t="str">
        <f>IFERROR(__xludf.DUMMYFUNCTION("if(A325="""","""",IF(G325="""",""Myn"",IF(REGEXMATCH(lower(G325),""mynn""),""Myn"",if(G325&lt;&gt;"""",""GEMTRE"",""""))))"),"Myn")</f>
        <v>Myn</v>
      </c>
      <c r="L325" s="46" t="s">
        <v>2000</v>
      </c>
      <c r="M325" s="48">
        <v>45255.46059027778</v>
      </c>
    </row>
    <row r="326">
      <c r="A326" s="47">
        <v>45249.55096822917</v>
      </c>
      <c r="B326" s="46" t="s">
        <v>109</v>
      </c>
      <c r="C326" s="46">
        <v>9.01330727E9</v>
      </c>
      <c r="D326" s="46"/>
      <c r="E326" s="46"/>
      <c r="F326" s="46"/>
      <c r="G326" s="46" t="s">
        <v>289</v>
      </c>
      <c r="H326" s="46"/>
      <c r="I326" s="46"/>
      <c r="J326" s="46"/>
      <c r="K326" s="46" t="str">
        <f>IFERROR(__xludf.DUMMYFUNCTION("if(A326="""","""",IF(G326="""",""Myn"",IF(REGEXMATCH(lower(G326),""mynn""),""Myn"",if(G326&lt;&gt;"""",""GEMTRE"",""""))))"),"GEMTRE")</f>
        <v>GEMTRE</v>
      </c>
      <c r="L326" s="46" t="s">
        <v>2001</v>
      </c>
      <c r="M326" s="48">
        <v>45255.46059027778</v>
      </c>
    </row>
    <row r="327">
      <c r="A327" s="47">
        <v>45249.55099326389</v>
      </c>
      <c r="B327" s="46" t="s">
        <v>535</v>
      </c>
      <c r="C327" s="46">
        <v>9.650063938E9</v>
      </c>
      <c r="D327" s="46"/>
      <c r="E327" s="46"/>
      <c r="F327" s="46"/>
      <c r="G327" s="46" t="s">
        <v>303</v>
      </c>
      <c r="H327" s="46"/>
      <c r="I327" s="46"/>
      <c r="J327" s="46"/>
      <c r="K327" s="46" t="str">
        <f>IFERROR(__xludf.DUMMYFUNCTION("if(A327="""","""",IF(G327="""",""Myn"",IF(REGEXMATCH(lower(G327),""mynn""),""Myn"",if(G327&lt;&gt;"""",""GEMTRE"",""""))))"),"Myn")</f>
        <v>Myn</v>
      </c>
      <c r="L327" s="46" t="s">
        <v>2000</v>
      </c>
      <c r="M327" s="48">
        <v>45255.46059027778</v>
      </c>
    </row>
    <row r="328">
      <c r="A328" s="47">
        <v>45249.551047754634</v>
      </c>
      <c r="B328" s="46" t="s">
        <v>536</v>
      </c>
      <c r="C328" s="46">
        <v>9.013444353E9</v>
      </c>
      <c r="D328" s="46"/>
      <c r="E328" s="46"/>
      <c r="F328" s="46"/>
      <c r="G328" s="46" t="s">
        <v>303</v>
      </c>
      <c r="H328" s="46"/>
      <c r="I328" s="46"/>
      <c r="J328" s="46"/>
      <c r="K328" s="46" t="str">
        <f>IFERROR(__xludf.DUMMYFUNCTION("if(A328="""","""",IF(G328="""",""Myn"",IF(REGEXMATCH(lower(G328),""mynn""),""Myn"",if(G328&lt;&gt;"""",""GEMTRE"",""""))))"),"Myn")</f>
        <v>Myn</v>
      </c>
      <c r="L328" s="46" t="s">
        <v>2000</v>
      </c>
      <c r="M328" s="48">
        <v>45255.46059027778</v>
      </c>
    </row>
    <row r="329">
      <c r="A329" s="47">
        <v>45249.55292164352</v>
      </c>
      <c r="B329" s="46" t="s">
        <v>537</v>
      </c>
      <c r="C329" s="46">
        <v>9.255135789E9</v>
      </c>
      <c r="D329" s="46"/>
      <c r="E329" s="46" t="s">
        <v>538</v>
      </c>
      <c r="F329" s="46"/>
      <c r="G329" s="46" t="s">
        <v>289</v>
      </c>
      <c r="H329" s="46"/>
      <c r="I329" s="46"/>
      <c r="J329" s="46"/>
      <c r="K329" s="46" t="str">
        <f>IFERROR(__xludf.DUMMYFUNCTION("if(A329="""","""",IF(G329="""",""Myn"",IF(REGEXMATCH(lower(G329),""mynn""),""Myn"",if(G329&lt;&gt;"""",""GEMTRE"",""""))))"),"GEMTRE")</f>
        <v>GEMTRE</v>
      </c>
      <c r="L329" s="46" t="s">
        <v>2001</v>
      </c>
      <c r="M329" s="48">
        <v>45255.46059027778</v>
      </c>
    </row>
    <row r="330">
      <c r="A330" s="47">
        <v>45249.55515396991</v>
      </c>
      <c r="B330" s="46" t="s">
        <v>539</v>
      </c>
      <c r="C330" s="46">
        <v>8.948618421E9</v>
      </c>
      <c r="D330" s="46" t="s">
        <v>540</v>
      </c>
      <c r="E330" s="46"/>
      <c r="F330" s="46"/>
      <c r="G330" s="46" t="s">
        <v>303</v>
      </c>
      <c r="H330" s="46"/>
      <c r="I330" s="46"/>
      <c r="J330" s="46"/>
      <c r="K330" s="46" t="str">
        <f>IFERROR(__xludf.DUMMYFUNCTION("if(A330="""","""",IF(G330="""",""Myn"",IF(REGEXMATCH(lower(G330),""mynn""),""Myn"",if(G330&lt;&gt;"""",""GEMTRE"",""""))))"),"Myn")</f>
        <v>Myn</v>
      </c>
      <c r="L330" s="46" t="s">
        <v>2000</v>
      </c>
      <c r="M330" s="48">
        <v>45255.46059027778</v>
      </c>
    </row>
    <row r="331">
      <c r="A331" s="47">
        <v>45249.55576747685</v>
      </c>
      <c r="B331" s="46" t="s">
        <v>541</v>
      </c>
      <c r="C331" s="46">
        <v>8.384082024E9</v>
      </c>
      <c r="D331" s="46"/>
      <c r="E331" s="46"/>
      <c r="F331" s="46"/>
      <c r="G331" s="46" t="s">
        <v>289</v>
      </c>
      <c r="H331" s="46"/>
      <c r="I331" s="46"/>
      <c r="J331" s="46"/>
      <c r="K331" s="46" t="str">
        <f>IFERROR(__xludf.DUMMYFUNCTION("if(A331="""","""",IF(G331="""",""Myn"",IF(REGEXMATCH(lower(G331),""mynn""),""Myn"",if(G331&lt;&gt;"""",""GEMTRE"",""""))))"),"GEMTRE")</f>
        <v>GEMTRE</v>
      </c>
      <c r="L331" s="46" t="s">
        <v>2001</v>
      </c>
      <c r="M331" s="48">
        <v>45255.46059027778</v>
      </c>
    </row>
    <row r="332">
      <c r="A332" s="47">
        <v>45249.55748952546</v>
      </c>
      <c r="B332" s="46" t="s">
        <v>207</v>
      </c>
      <c r="C332" s="46">
        <v>8.076918882E9</v>
      </c>
      <c r="D332" s="46" t="s">
        <v>542</v>
      </c>
      <c r="E332" s="46"/>
      <c r="F332" s="46"/>
      <c r="G332" s="46" t="s">
        <v>303</v>
      </c>
      <c r="H332" s="46"/>
      <c r="I332" s="46"/>
      <c r="J332" s="46"/>
      <c r="K332" s="46" t="str">
        <f>IFERROR(__xludf.DUMMYFUNCTION("if(A332="""","""",IF(G332="""",""Myn"",IF(REGEXMATCH(lower(G332),""mynn""),""Myn"",if(G332&lt;&gt;"""",""GEMTRE"",""""))))"),"Myn")</f>
        <v>Myn</v>
      </c>
      <c r="L332" s="46" t="s">
        <v>2000</v>
      </c>
      <c r="M332" s="48">
        <v>45255.46059027778</v>
      </c>
    </row>
    <row r="333">
      <c r="A333" s="47">
        <v>45249.561527858794</v>
      </c>
      <c r="B333" s="46" t="s">
        <v>543</v>
      </c>
      <c r="C333" s="46">
        <v>9.810107784E9</v>
      </c>
      <c r="D333" s="46"/>
      <c r="E333" s="46"/>
      <c r="F333" s="46"/>
      <c r="G333" s="46" t="s">
        <v>303</v>
      </c>
      <c r="H333" s="46"/>
      <c r="I333" s="46"/>
      <c r="J333" s="46"/>
      <c r="K333" s="46" t="str">
        <f>IFERROR(__xludf.DUMMYFUNCTION("if(A333="""","""",IF(G333="""",""Myn"",IF(REGEXMATCH(lower(G333),""mynn""),""Myn"",if(G333&lt;&gt;"""",""GEMTRE"",""""))))"),"Myn")</f>
        <v>Myn</v>
      </c>
      <c r="L333" s="46" t="s">
        <v>2000</v>
      </c>
      <c r="M333" s="48">
        <v>45255.46059027778</v>
      </c>
    </row>
    <row r="334">
      <c r="A334" s="47">
        <v>45249.56351946759</v>
      </c>
      <c r="B334" s="46" t="s">
        <v>544</v>
      </c>
      <c r="C334" s="46">
        <v>9.310417035E9</v>
      </c>
      <c r="D334" s="46"/>
      <c r="E334" s="46"/>
      <c r="F334" s="46"/>
      <c r="G334" s="46" t="s">
        <v>289</v>
      </c>
      <c r="H334" s="46"/>
      <c r="I334" s="46"/>
      <c r="J334" s="46"/>
      <c r="K334" s="46" t="str">
        <f>IFERROR(__xludf.DUMMYFUNCTION("if(A334="""","""",IF(G334="""",""Myn"",IF(REGEXMATCH(lower(G334),""mynn""),""Myn"",if(G334&lt;&gt;"""",""GEMTRE"",""""))))"),"GEMTRE")</f>
        <v>GEMTRE</v>
      </c>
      <c r="L334" s="46" t="s">
        <v>2001</v>
      </c>
      <c r="M334" s="48">
        <v>45255.46059027778</v>
      </c>
    </row>
    <row r="335">
      <c r="A335" s="47">
        <v>45249.56358725694</v>
      </c>
      <c r="B335" s="46" t="s">
        <v>545</v>
      </c>
      <c r="C335" s="46">
        <v>8.168563385E9</v>
      </c>
      <c r="D335" s="46" t="s">
        <v>546</v>
      </c>
      <c r="E335" s="46"/>
      <c r="F335" s="46"/>
      <c r="G335" s="46" t="s">
        <v>303</v>
      </c>
      <c r="H335" s="46"/>
      <c r="I335" s="46"/>
      <c r="J335" s="46"/>
      <c r="K335" s="46" t="str">
        <f>IFERROR(__xludf.DUMMYFUNCTION("if(A335="""","""",IF(G335="""",""Myn"",IF(REGEXMATCH(lower(G335),""mynn""),""Myn"",if(G335&lt;&gt;"""",""GEMTRE"",""""))))"),"Myn")</f>
        <v>Myn</v>
      </c>
      <c r="L335" s="46" t="s">
        <v>2000</v>
      </c>
      <c r="M335" s="48">
        <v>45255.46059027778</v>
      </c>
    </row>
    <row r="336">
      <c r="A336" s="47">
        <v>45249.56387344908</v>
      </c>
      <c r="B336" s="46" t="s">
        <v>547</v>
      </c>
      <c r="C336" s="46">
        <v>8.586088906E9</v>
      </c>
      <c r="D336" s="46"/>
      <c r="E336" s="46"/>
      <c r="F336" s="46"/>
      <c r="G336" s="46" t="s">
        <v>289</v>
      </c>
      <c r="H336" s="46"/>
      <c r="I336" s="46"/>
      <c r="J336" s="46"/>
      <c r="K336" s="46" t="str">
        <f>IFERROR(__xludf.DUMMYFUNCTION("if(A336="""","""",IF(G336="""",""Myn"",IF(REGEXMATCH(lower(G336),""mynn""),""Myn"",if(G336&lt;&gt;"""",""GEMTRE"",""""))))"),"GEMTRE")</f>
        <v>GEMTRE</v>
      </c>
      <c r="L336" s="46" t="s">
        <v>2001</v>
      </c>
      <c r="M336" s="48">
        <v>45255.46059027778</v>
      </c>
    </row>
    <row r="337">
      <c r="A337" s="47">
        <v>45249.563896747684</v>
      </c>
      <c r="B337" s="46" t="s">
        <v>548</v>
      </c>
      <c r="C337" s="46">
        <v>9.518490658E9</v>
      </c>
      <c r="D337" s="46" t="s">
        <v>549</v>
      </c>
      <c r="E337" s="46" t="s">
        <v>79</v>
      </c>
      <c r="F337" s="46"/>
      <c r="G337" s="46" t="s">
        <v>303</v>
      </c>
      <c r="H337" s="46"/>
      <c r="I337" s="46"/>
      <c r="J337" s="46"/>
      <c r="K337" s="46" t="str">
        <f>IFERROR(__xludf.DUMMYFUNCTION("if(A337="""","""",IF(G337="""",""Myn"",IF(REGEXMATCH(lower(G337),""mynn""),""Myn"",if(G337&lt;&gt;"""",""GEMTRE"",""""))))"),"Myn")</f>
        <v>Myn</v>
      </c>
      <c r="L337" s="46" t="s">
        <v>2000</v>
      </c>
      <c r="M337" s="48">
        <v>45255.46059027778</v>
      </c>
    </row>
    <row r="338">
      <c r="A338" s="47">
        <v>45249.56433403935</v>
      </c>
      <c r="B338" s="46" t="s">
        <v>550</v>
      </c>
      <c r="C338" s="46">
        <v>9.971784005E9</v>
      </c>
      <c r="D338" s="46"/>
      <c r="E338" s="46"/>
      <c r="F338" s="46"/>
      <c r="G338" s="46" t="s">
        <v>303</v>
      </c>
      <c r="H338" s="46"/>
      <c r="I338" s="46"/>
      <c r="J338" s="46"/>
      <c r="K338" s="46" t="str">
        <f>IFERROR(__xludf.DUMMYFUNCTION("if(A338="""","""",IF(G338="""",""Myn"",IF(REGEXMATCH(lower(G338),""mynn""),""Myn"",if(G338&lt;&gt;"""",""GEMTRE"",""""))))"),"Myn")</f>
        <v>Myn</v>
      </c>
      <c r="L338" s="46" t="s">
        <v>2000</v>
      </c>
      <c r="M338" s="48">
        <v>45255.46059027778</v>
      </c>
    </row>
    <row r="339">
      <c r="A339" s="47">
        <v>45249.56650267361</v>
      </c>
      <c r="B339" s="46" t="s">
        <v>551</v>
      </c>
      <c r="C339" s="46">
        <v>9.717980689E9</v>
      </c>
      <c r="D339" s="46"/>
      <c r="E339" s="46" t="s">
        <v>552</v>
      </c>
      <c r="F339" s="46"/>
      <c r="G339" s="46" t="s">
        <v>289</v>
      </c>
      <c r="H339" s="46"/>
      <c r="I339" s="46"/>
      <c r="J339" s="46"/>
      <c r="K339" s="46" t="str">
        <f>IFERROR(__xludf.DUMMYFUNCTION("if(A339="""","""",IF(G339="""",""Myn"",IF(REGEXMATCH(lower(G339),""mynn""),""Myn"",if(G339&lt;&gt;"""",""GEMTRE"",""""))))"),"GEMTRE")</f>
        <v>GEMTRE</v>
      </c>
      <c r="L339" s="46" t="s">
        <v>2001</v>
      </c>
      <c r="M339" s="48">
        <v>45255.46059027778</v>
      </c>
    </row>
    <row r="340">
      <c r="A340" s="47">
        <v>45249.56700996528</v>
      </c>
      <c r="B340" s="46" t="s">
        <v>553</v>
      </c>
      <c r="C340" s="46">
        <v>7.834963496E9</v>
      </c>
      <c r="D340" s="46"/>
      <c r="E340" s="46"/>
      <c r="F340" s="46"/>
      <c r="G340" s="46" t="s">
        <v>289</v>
      </c>
      <c r="H340" s="46"/>
      <c r="I340" s="46"/>
      <c r="J340" s="46"/>
      <c r="K340" s="46" t="str">
        <f>IFERROR(__xludf.DUMMYFUNCTION("if(A340="""","""",IF(G340="""",""Myn"",IF(REGEXMATCH(lower(G340),""mynn""),""Myn"",if(G340&lt;&gt;"""",""GEMTRE"",""""))))"),"GEMTRE")</f>
        <v>GEMTRE</v>
      </c>
      <c r="L340" s="46" t="s">
        <v>2001</v>
      </c>
      <c r="M340" s="48">
        <v>45255.46059027778</v>
      </c>
    </row>
    <row r="341">
      <c r="A341" s="47">
        <v>45249.56776628472</v>
      </c>
      <c r="B341" s="46" t="s">
        <v>554</v>
      </c>
      <c r="C341" s="46">
        <v>9.818193519E9</v>
      </c>
      <c r="D341" s="46"/>
      <c r="E341" s="46" t="s">
        <v>555</v>
      </c>
      <c r="F341" s="46"/>
      <c r="G341" s="46" t="s">
        <v>303</v>
      </c>
      <c r="H341" s="46"/>
      <c r="I341" s="46"/>
      <c r="J341" s="46"/>
      <c r="K341" s="46" t="str">
        <f>IFERROR(__xludf.DUMMYFUNCTION("if(A341="""","""",IF(G341="""",""Myn"",IF(REGEXMATCH(lower(G341),""mynn""),""Myn"",if(G341&lt;&gt;"""",""GEMTRE"",""""))))"),"Myn")</f>
        <v>Myn</v>
      </c>
      <c r="L341" s="46" t="s">
        <v>2000</v>
      </c>
      <c r="M341" s="48">
        <v>45255.46059027778</v>
      </c>
    </row>
    <row r="342">
      <c r="A342" s="47">
        <v>45249.570335474535</v>
      </c>
      <c r="B342" s="46" t="s">
        <v>556</v>
      </c>
      <c r="C342" s="46">
        <v>9.999532228E9</v>
      </c>
      <c r="D342" s="46"/>
      <c r="E342" s="46"/>
      <c r="F342" s="46"/>
      <c r="G342" s="46" t="s">
        <v>289</v>
      </c>
      <c r="H342" s="46"/>
      <c r="I342" s="46"/>
      <c r="J342" s="46"/>
      <c r="K342" s="46" t="str">
        <f>IFERROR(__xludf.DUMMYFUNCTION("if(A342="""","""",IF(G342="""",""Myn"",IF(REGEXMATCH(lower(G342),""mynn""),""Myn"",if(G342&lt;&gt;"""",""GEMTRE"",""""))))"),"GEMTRE")</f>
        <v>GEMTRE</v>
      </c>
      <c r="L342" s="46" t="s">
        <v>2001</v>
      </c>
      <c r="M342" s="48">
        <v>45255.46059027778</v>
      </c>
    </row>
    <row r="343">
      <c r="A343" s="47">
        <v>45249.57075063657</v>
      </c>
      <c r="B343" s="46" t="s">
        <v>557</v>
      </c>
      <c r="C343" s="46">
        <v>8.299528607E9</v>
      </c>
      <c r="D343" s="46"/>
      <c r="E343" s="46"/>
      <c r="F343" s="46"/>
      <c r="G343" s="46" t="s">
        <v>289</v>
      </c>
      <c r="H343" s="46"/>
      <c r="I343" s="46"/>
      <c r="J343" s="46"/>
      <c r="K343" s="46" t="str">
        <f>IFERROR(__xludf.DUMMYFUNCTION("if(A343="""","""",IF(G343="""",""Myn"",IF(REGEXMATCH(lower(G343),""mynn""),""Myn"",if(G343&lt;&gt;"""",""GEMTRE"",""""))))"),"GEMTRE")</f>
        <v>GEMTRE</v>
      </c>
      <c r="L343" s="46" t="s">
        <v>2001</v>
      </c>
      <c r="M343" s="48">
        <v>45255.46059027778</v>
      </c>
    </row>
    <row r="344">
      <c r="A344" s="47">
        <v>45249.57110527778</v>
      </c>
      <c r="B344" s="46" t="s">
        <v>318</v>
      </c>
      <c r="C344" s="46">
        <v>9.930568005E9</v>
      </c>
      <c r="D344" s="46"/>
      <c r="E344" s="46"/>
      <c r="F344" s="46"/>
      <c r="G344" s="46" t="s">
        <v>289</v>
      </c>
      <c r="H344" s="46"/>
      <c r="I344" s="46"/>
      <c r="J344" s="46"/>
      <c r="K344" s="46" t="str">
        <f>IFERROR(__xludf.DUMMYFUNCTION("if(A344="""","""",IF(G344="""",""Myn"",IF(REGEXMATCH(lower(G344),""mynn""),""Myn"",if(G344&lt;&gt;"""",""GEMTRE"",""""))))"),"GEMTRE")</f>
        <v>GEMTRE</v>
      </c>
      <c r="L344" s="46" t="s">
        <v>2001</v>
      </c>
      <c r="M344" s="48">
        <v>45255.46059027778</v>
      </c>
    </row>
    <row r="345">
      <c r="A345" s="47">
        <v>45249.57187478009</v>
      </c>
      <c r="B345" s="46" t="s">
        <v>558</v>
      </c>
      <c r="C345" s="46">
        <v>7.863020777E9</v>
      </c>
      <c r="D345" s="46"/>
      <c r="E345" s="46"/>
      <c r="F345" s="46"/>
      <c r="G345" s="46" t="s">
        <v>289</v>
      </c>
      <c r="H345" s="46"/>
      <c r="I345" s="46"/>
      <c r="J345" s="46"/>
      <c r="K345" s="46" t="str">
        <f>IFERROR(__xludf.DUMMYFUNCTION("if(A345="""","""",IF(G345="""",""Myn"",IF(REGEXMATCH(lower(G345),""mynn""),""Myn"",if(G345&lt;&gt;"""",""GEMTRE"",""""))))"),"GEMTRE")</f>
        <v>GEMTRE</v>
      </c>
      <c r="L345" s="46" t="s">
        <v>2001</v>
      </c>
      <c r="M345" s="48">
        <v>45255.46059027778</v>
      </c>
    </row>
    <row r="346">
      <c r="A346" s="47">
        <v>45249.57218175926</v>
      </c>
      <c r="B346" s="46" t="s">
        <v>559</v>
      </c>
      <c r="C346" s="46">
        <v>8.588013307E9</v>
      </c>
      <c r="D346" s="46"/>
      <c r="E346" s="46"/>
      <c r="F346" s="46"/>
      <c r="G346" s="46" t="s">
        <v>289</v>
      </c>
      <c r="H346" s="46"/>
      <c r="I346" s="46"/>
      <c r="J346" s="46"/>
      <c r="K346" s="46" t="str">
        <f>IFERROR(__xludf.DUMMYFUNCTION("if(A346="""","""",IF(G346="""",""Myn"",IF(REGEXMATCH(lower(G346),""mynn""),""Myn"",if(G346&lt;&gt;"""",""GEMTRE"",""""))))"),"GEMTRE")</f>
        <v>GEMTRE</v>
      </c>
      <c r="L346" s="46" t="s">
        <v>2001</v>
      </c>
      <c r="M346" s="48">
        <v>45255.46059027778</v>
      </c>
    </row>
    <row r="347">
      <c r="A347" s="47">
        <v>45249.57501019676</v>
      </c>
      <c r="B347" s="46" t="s">
        <v>560</v>
      </c>
      <c r="C347" s="46">
        <v>8.920035535E9</v>
      </c>
      <c r="D347" s="46"/>
      <c r="E347" s="46"/>
      <c r="F347" s="49" t="s">
        <v>561</v>
      </c>
      <c r="G347" s="46" t="s">
        <v>303</v>
      </c>
      <c r="H347" s="46"/>
      <c r="I347" s="46"/>
      <c r="J347" s="46"/>
      <c r="K347" s="46" t="str">
        <f>IFERROR(__xludf.DUMMYFUNCTION("if(A347="""","""",IF(G347="""",""Myn"",IF(REGEXMATCH(lower(G347),""mynn""),""Myn"",if(G347&lt;&gt;"""",""GEMTRE"",""""))))"),"Myn")</f>
        <v>Myn</v>
      </c>
      <c r="L347" s="46" t="s">
        <v>2000</v>
      </c>
      <c r="M347" s="48">
        <v>45255.46059027778</v>
      </c>
    </row>
    <row r="348">
      <c r="A348" s="47">
        <v>45249.575425324074</v>
      </c>
      <c r="B348" s="46" t="s">
        <v>562</v>
      </c>
      <c r="C348" s="46">
        <v>8.920069012E9</v>
      </c>
      <c r="D348" s="46"/>
      <c r="E348" s="46"/>
      <c r="F348" s="46"/>
      <c r="G348" s="46" t="s">
        <v>289</v>
      </c>
      <c r="H348" s="46"/>
      <c r="I348" s="46"/>
      <c r="J348" s="46"/>
      <c r="K348" s="46" t="str">
        <f>IFERROR(__xludf.DUMMYFUNCTION("if(A348="""","""",IF(G348="""",""Myn"",IF(REGEXMATCH(lower(G348),""mynn""),""Myn"",if(G348&lt;&gt;"""",""GEMTRE"",""""))))"),"GEMTRE")</f>
        <v>GEMTRE</v>
      </c>
      <c r="L348" s="46" t="s">
        <v>2001</v>
      </c>
      <c r="M348" s="48">
        <v>45255.46059027778</v>
      </c>
    </row>
    <row r="349">
      <c r="A349" s="47">
        <v>45249.57551759259</v>
      </c>
      <c r="B349" s="46" t="s">
        <v>563</v>
      </c>
      <c r="C349" s="46">
        <v>8.448443885E9</v>
      </c>
      <c r="D349" s="46" t="s">
        <v>564</v>
      </c>
      <c r="E349" s="46" t="s">
        <v>565</v>
      </c>
      <c r="F349" s="46"/>
      <c r="G349" s="46" t="s">
        <v>303</v>
      </c>
      <c r="H349" s="46"/>
      <c r="I349" s="46"/>
      <c r="J349" s="46"/>
      <c r="K349" s="46" t="str">
        <f>IFERROR(__xludf.DUMMYFUNCTION("if(A349="""","""",IF(G349="""",""Myn"",IF(REGEXMATCH(lower(G349),""mynn""),""Myn"",if(G349&lt;&gt;"""",""GEMTRE"",""""))))"),"Myn")</f>
        <v>Myn</v>
      </c>
      <c r="L349" s="46" t="s">
        <v>2000</v>
      </c>
      <c r="M349" s="48">
        <v>45255.46059027778</v>
      </c>
    </row>
    <row r="350">
      <c r="A350" s="47">
        <v>45249.575682361115</v>
      </c>
      <c r="B350" s="46" t="s">
        <v>566</v>
      </c>
      <c r="C350" s="46">
        <v>9.958350501E9</v>
      </c>
      <c r="D350" s="46"/>
      <c r="E350" s="46" t="s">
        <v>567</v>
      </c>
      <c r="F350" s="46"/>
      <c r="G350" s="46" t="s">
        <v>303</v>
      </c>
      <c r="H350" s="46"/>
      <c r="I350" s="46"/>
      <c r="J350" s="46"/>
      <c r="K350" s="46" t="str">
        <f>IFERROR(__xludf.DUMMYFUNCTION("if(A350="""","""",IF(G350="""",""Myn"",IF(REGEXMATCH(lower(G350),""mynn""),""Myn"",if(G350&lt;&gt;"""",""GEMTRE"",""""))))"),"Myn")</f>
        <v>Myn</v>
      </c>
      <c r="L350" s="46" t="s">
        <v>2000</v>
      </c>
      <c r="M350" s="48">
        <v>45255.46059027778</v>
      </c>
    </row>
    <row r="351">
      <c r="A351" s="47">
        <v>45249.57832597222</v>
      </c>
      <c r="B351" s="46" t="s">
        <v>568</v>
      </c>
      <c r="C351" s="46">
        <v>9.810661504E9</v>
      </c>
      <c r="D351" s="46"/>
      <c r="E351" s="46"/>
      <c r="F351" s="46"/>
      <c r="G351" s="46" t="s">
        <v>289</v>
      </c>
      <c r="H351" s="46"/>
      <c r="I351" s="46"/>
      <c r="J351" s="46"/>
      <c r="K351" s="46" t="str">
        <f>IFERROR(__xludf.DUMMYFUNCTION("if(A351="""","""",IF(G351="""",""Myn"",IF(REGEXMATCH(lower(G351),""mynn""),""Myn"",if(G351&lt;&gt;"""",""GEMTRE"",""""))))"),"GEMTRE")</f>
        <v>GEMTRE</v>
      </c>
      <c r="L351" s="46" t="s">
        <v>2001</v>
      </c>
      <c r="M351" s="48">
        <v>45255.46059027778</v>
      </c>
    </row>
    <row r="352">
      <c r="A352" s="47">
        <v>45249.581347025465</v>
      </c>
      <c r="B352" s="46" t="s">
        <v>569</v>
      </c>
      <c r="C352" s="46">
        <v>9.899300593E9</v>
      </c>
      <c r="D352" s="46"/>
      <c r="E352" s="46" t="s">
        <v>15</v>
      </c>
      <c r="F352" s="46"/>
      <c r="G352" s="46" t="s">
        <v>303</v>
      </c>
      <c r="H352" s="46"/>
      <c r="I352" s="46"/>
      <c r="J352" s="46"/>
      <c r="K352" s="46" t="str">
        <f>IFERROR(__xludf.DUMMYFUNCTION("if(A352="""","""",IF(G352="""",""Myn"",IF(REGEXMATCH(lower(G352),""mynn""),""Myn"",if(G352&lt;&gt;"""",""GEMTRE"",""""))))"),"Myn")</f>
        <v>Myn</v>
      </c>
      <c r="L352" s="46" t="s">
        <v>2000</v>
      </c>
      <c r="M352" s="48">
        <v>45255.46059027778</v>
      </c>
    </row>
    <row r="353">
      <c r="A353" s="47">
        <v>45249.58397357639</v>
      </c>
      <c r="B353" s="46" t="s">
        <v>570</v>
      </c>
      <c r="C353" s="46">
        <v>9.350242772E9</v>
      </c>
      <c r="D353" s="46"/>
      <c r="E353" s="46"/>
      <c r="F353" s="49" t="s">
        <v>571</v>
      </c>
      <c r="G353" s="46" t="s">
        <v>303</v>
      </c>
      <c r="H353" s="46"/>
      <c r="I353" s="46"/>
      <c r="J353" s="46"/>
      <c r="K353" s="46" t="str">
        <f>IFERROR(__xludf.DUMMYFUNCTION("if(A353="""","""",IF(G353="""",""Myn"",IF(REGEXMATCH(lower(G353),""mynn""),""Myn"",if(G353&lt;&gt;"""",""GEMTRE"",""""))))"),"Myn")</f>
        <v>Myn</v>
      </c>
      <c r="L353" s="46" t="s">
        <v>2000</v>
      </c>
      <c r="M353" s="48">
        <v>45255.46059027778</v>
      </c>
    </row>
    <row r="354">
      <c r="A354" s="47">
        <v>45249.58725751158</v>
      </c>
      <c r="B354" s="46" t="s">
        <v>572</v>
      </c>
      <c r="C354" s="46">
        <v>8.882312076E9</v>
      </c>
      <c r="D354" s="46"/>
      <c r="E354" s="46"/>
      <c r="F354" s="46"/>
      <c r="G354" s="46" t="s">
        <v>289</v>
      </c>
      <c r="H354" s="46"/>
      <c r="I354" s="46"/>
      <c r="J354" s="46"/>
      <c r="K354" s="46" t="str">
        <f>IFERROR(__xludf.DUMMYFUNCTION("if(A354="""","""",IF(G354="""",""Myn"",IF(REGEXMATCH(lower(G354),""mynn""),""Myn"",if(G354&lt;&gt;"""",""GEMTRE"",""""))))"),"GEMTRE")</f>
        <v>GEMTRE</v>
      </c>
      <c r="L354" s="46" t="s">
        <v>2001</v>
      </c>
      <c r="M354" s="48">
        <v>45255.46059027778</v>
      </c>
    </row>
    <row r="355">
      <c r="A355" s="47">
        <v>45249.58975356481</v>
      </c>
      <c r="B355" s="46" t="s">
        <v>573</v>
      </c>
      <c r="C355" s="46">
        <v>9.813387044E9</v>
      </c>
      <c r="D355" s="46"/>
      <c r="E355" s="46"/>
      <c r="F355" s="46"/>
      <c r="G355" s="46" t="s">
        <v>303</v>
      </c>
      <c r="H355" s="46"/>
      <c r="I355" s="46"/>
      <c r="J355" s="46"/>
      <c r="K355" s="46" t="str">
        <f>IFERROR(__xludf.DUMMYFUNCTION("if(A355="""","""",IF(G355="""",""Myn"",IF(REGEXMATCH(lower(G355),""mynn""),""Myn"",if(G355&lt;&gt;"""",""GEMTRE"",""""))))"),"Myn")</f>
        <v>Myn</v>
      </c>
      <c r="L355" s="46" t="s">
        <v>2000</v>
      </c>
      <c r="M355" s="48">
        <v>45255.46059027778</v>
      </c>
    </row>
    <row r="356">
      <c r="A356" s="47">
        <v>45249.590367094905</v>
      </c>
      <c r="B356" s="46" t="s">
        <v>574</v>
      </c>
      <c r="C356" s="46">
        <v>9.650341401E9</v>
      </c>
      <c r="D356" s="46"/>
      <c r="E356" s="46"/>
      <c r="F356" s="46"/>
      <c r="G356" s="46" t="s">
        <v>289</v>
      </c>
      <c r="H356" s="46"/>
      <c r="I356" s="46"/>
      <c r="J356" s="46"/>
      <c r="K356" s="46" t="str">
        <f>IFERROR(__xludf.DUMMYFUNCTION("if(A356="""","""",IF(G356="""",""Myn"",IF(REGEXMATCH(lower(G356),""mynn""),""Myn"",if(G356&lt;&gt;"""",""GEMTRE"",""""))))"),"GEMTRE")</f>
        <v>GEMTRE</v>
      </c>
      <c r="L356" s="46" t="s">
        <v>2001</v>
      </c>
      <c r="M356" s="48">
        <v>45255.46059027778</v>
      </c>
    </row>
    <row r="357">
      <c r="A357" s="47">
        <v>45249.59105420139</v>
      </c>
      <c r="B357" s="46" t="s">
        <v>575</v>
      </c>
      <c r="C357" s="46">
        <v>8.950343046E9</v>
      </c>
      <c r="D357" s="46"/>
      <c r="E357" s="46"/>
      <c r="F357" s="46"/>
      <c r="G357" s="46" t="s">
        <v>303</v>
      </c>
      <c r="H357" s="46"/>
      <c r="I357" s="46"/>
      <c r="J357" s="46"/>
      <c r="K357" s="46" t="str">
        <f>IFERROR(__xludf.DUMMYFUNCTION("if(A357="""","""",IF(G357="""",""Myn"",IF(REGEXMATCH(lower(G357),""mynn""),""Myn"",if(G357&lt;&gt;"""",""GEMTRE"",""""))))"),"Myn")</f>
        <v>Myn</v>
      </c>
      <c r="L357" s="46" t="s">
        <v>2000</v>
      </c>
      <c r="M357" s="48">
        <v>45255.46059027778</v>
      </c>
    </row>
    <row r="358">
      <c r="A358" s="47">
        <v>45249.59135853009</v>
      </c>
      <c r="B358" s="46" t="s">
        <v>576</v>
      </c>
      <c r="C358" s="46">
        <v>9.278722251E9</v>
      </c>
      <c r="D358" s="46"/>
      <c r="E358" s="46"/>
      <c r="F358" s="46"/>
      <c r="G358" s="46" t="s">
        <v>289</v>
      </c>
      <c r="H358" s="46"/>
      <c r="I358" s="46"/>
      <c r="J358" s="46"/>
      <c r="K358" s="46" t="str">
        <f>IFERROR(__xludf.DUMMYFUNCTION("if(A358="""","""",IF(G358="""",""Myn"",IF(REGEXMATCH(lower(G358),""mynn""),""Myn"",if(G358&lt;&gt;"""",""GEMTRE"",""""))))"),"GEMTRE")</f>
        <v>GEMTRE</v>
      </c>
      <c r="L358" s="46" t="s">
        <v>2001</v>
      </c>
      <c r="M358" s="48">
        <v>45255.46059027778</v>
      </c>
    </row>
    <row r="359">
      <c r="A359" s="47">
        <v>45249.59156681713</v>
      </c>
      <c r="B359" s="46" t="s">
        <v>254</v>
      </c>
      <c r="C359" s="46">
        <v>9.31307011E9</v>
      </c>
      <c r="D359" s="46"/>
      <c r="E359" s="46"/>
      <c r="F359" s="46"/>
      <c r="G359" s="46" t="s">
        <v>303</v>
      </c>
      <c r="H359" s="46"/>
      <c r="I359" s="46"/>
      <c r="J359" s="46"/>
      <c r="K359" s="46" t="str">
        <f>IFERROR(__xludf.DUMMYFUNCTION("if(A359="""","""",IF(G359="""",""Myn"",IF(REGEXMATCH(lower(G359),""mynn""),""Myn"",if(G359&lt;&gt;"""",""GEMTRE"",""""))))"),"Myn")</f>
        <v>Myn</v>
      </c>
      <c r="L359" s="46" t="s">
        <v>2000</v>
      </c>
      <c r="M359" s="48">
        <v>45255.46059027778</v>
      </c>
    </row>
    <row r="360">
      <c r="A360" s="47">
        <v>45249.59158262731</v>
      </c>
      <c r="B360" s="46" t="s">
        <v>577</v>
      </c>
      <c r="C360" s="46"/>
      <c r="D360" s="46"/>
      <c r="E360" s="46"/>
      <c r="F360" s="46"/>
      <c r="G360" s="46" t="s">
        <v>289</v>
      </c>
      <c r="H360" s="46"/>
      <c r="I360" s="46"/>
      <c r="J360" s="46"/>
      <c r="K360" s="46" t="str">
        <f>IFERROR(__xludf.DUMMYFUNCTION("if(A360="""","""",IF(G360="""",""Myn"",IF(REGEXMATCH(lower(G360),""mynn""),""Myn"",if(G360&lt;&gt;"""",""GEMTRE"",""""))))"),"GEMTRE")</f>
        <v>GEMTRE</v>
      </c>
      <c r="L360" s="46" t="s">
        <v>2001</v>
      </c>
      <c r="M360" s="48">
        <v>45255.46059027778</v>
      </c>
    </row>
    <row r="361">
      <c r="A361" s="47">
        <v>45249.59589423611</v>
      </c>
      <c r="B361" s="46" t="s">
        <v>578</v>
      </c>
      <c r="C361" s="46">
        <v>9.810638093E9</v>
      </c>
      <c r="D361" s="46" t="s">
        <v>579</v>
      </c>
      <c r="E361" s="46" t="s">
        <v>26</v>
      </c>
      <c r="F361" s="46"/>
      <c r="G361" s="46" t="s">
        <v>303</v>
      </c>
      <c r="H361" s="46"/>
      <c r="I361" s="46"/>
      <c r="J361" s="46"/>
      <c r="K361" s="46" t="str">
        <f>IFERROR(__xludf.DUMMYFUNCTION("if(A361="""","""",IF(G361="""",""Myn"",IF(REGEXMATCH(lower(G361),""mynn""),""Myn"",if(G361&lt;&gt;"""",""GEMTRE"",""""))))"),"Myn")</f>
        <v>Myn</v>
      </c>
      <c r="L361" s="46" t="s">
        <v>2000</v>
      </c>
      <c r="M361" s="48">
        <v>45255.46059027778</v>
      </c>
    </row>
    <row r="362">
      <c r="A362" s="47">
        <v>45249.59602354167</v>
      </c>
      <c r="B362" s="46" t="s">
        <v>580</v>
      </c>
      <c r="C362" s="46">
        <v>9.871477706E9</v>
      </c>
      <c r="D362" s="46"/>
      <c r="E362" s="46" t="s">
        <v>39</v>
      </c>
      <c r="F362" s="46"/>
      <c r="G362" s="46" t="s">
        <v>303</v>
      </c>
      <c r="H362" s="46"/>
      <c r="I362" s="46"/>
      <c r="J362" s="46"/>
      <c r="K362" s="46" t="str">
        <f>IFERROR(__xludf.DUMMYFUNCTION("if(A362="""","""",IF(G362="""",""Myn"",IF(REGEXMATCH(lower(G362),""mynn""),""Myn"",if(G362&lt;&gt;"""",""GEMTRE"",""""))))"),"Myn")</f>
        <v>Myn</v>
      </c>
      <c r="L362" s="46" t="s">
        <v>2000</v>
      </c>
      <c r="M362" s="48">
        <v>45255.46059027778</v>
      </c>
    </row>
    <row r="363">
      <c r="A363" s="47">
        <v>45249.5989274537</v>
      </c>
      <c r="B363" s="46" t="s">
        <v>581</v>
      </c>
      <c r="C363" s="46">
        <v>9.918101555E9</v>
      </c>
      <c r="D363" s="46"/>
      <c r="E363" s="46"/>
      <c r="F363" s="46"/>
      <c r="G363" s="46" t="s">
        <v>289</v>
      </c>
      <c r="H363" s="46"/>
      <c r="I363" s="46"/>
      <c r="J363" s="46"/>
      <c r="K363" s="46" t="str">
        <f>IFERROR(__xludf.DUMMYFUNCTION("if(A363="""","""",IF(G363="""",""Myn"",IF(REGEXMATCH(lower(G363),""mynn""),""Myn"",if(G363&lt;&gt;"""",""GEMTRE"",""""))))"),"GEMTRE")</f>
        <v>GEMTRE</v>
      </c>
      <c r="L363" s="46" t="s">
        <v>2001</v>
      </c>
      <c r="M363" s="48">
        <v>45255.46059027778</v>
      </c>
    </row>
    <row r="364">
      <c r="A364" s="47">
        <v>45249.601957997686</v>
      </c>
      <c r="B364" s="46" t="s">
        <v>270</v>
      </c>
      <c r="C364" s="46">
        <v>9.953317903E9</v>
      </c>
      <c r="D364" s="46"/>
      <c r="E364" s="46" t="s">
        <v>15</v>
      </c>
      <c r="F364" s="46"/>
      <c r="G364" s="46" t="s">
        <v>303</v>
      </c>
      <c r="H364" s="46"/>
      <c r="I364" s="46"/>
      <c r="J364" s="46"/>
      <c r="K364" s="46" t="str">
        <f>IFERROR(__xludf.DUMMYFUNCTION("if(A364="""","""",IF(G364="""",""Myn"",IF(REGEXMATCH(lower(G364),""mynn""),""Myn"",if(G364&lt;&gt;"""",""GEMTRE"",""""))))"),"Myn")</f>
        <v>Myn</v>
      </c>
      <c r="L364" s="46" t="s">
        <v>2000</v>
      </c>
      <c r="M364" s="48">
        <v>45255.46059027778</v>
      </c>
    </row>
    <row r="365">
      <c r="A365" s="47">
        <v>45249.60603700232</v>
      </c>
      <c r="B365" s="46" t="s">
        <v>582</v>
      </c>
      <c r="C365" s="46">
        <v>9.999888671E9</v>
      </c>
      <c r="D365" s="46" t="s">
        <v>583</v>
      </c>
      <c r="E365" s="46" t="s">
        <v>584</v>
      </c>
      <c r="F365" s="46"/>
      <c r="G365" s="46" t="s">
        <v>303</v>
      </c>
      <c r="H365" s="46"/>
      <c r="I365" s="46"/>
      <c r="J365" s="46"/>
      <c r="K365" s="46" t="str">
        <f>IFERROR(__xludf.DUMMYFUNCTION("if(A365="""","""",IF(G365="""",""Myn"",IF(REGEXMATCH(lower(G365),""mynn""),""Myn"",if(G365&lt;&gt;"""",""GEMTRE"",""""))))"),"Myn")</f>
        <v>Myn</v>
      </c>
      <c r="L365" s="46" t="s">
        <v>2000</v>
      </c>
      <c r="M365" s="48">
        <v>45255.46059027778</v>
      </c>
    </row>
    <row r="366">
      <c r="A366" s="47">
        <v>45249.608808391204</v>
      </c>
      <c r="B366" s="46" t="s">
        <v>585</v>
      </c>
      <c r="C366" s="46">
        <v>8.708750857E9</v>
      </c>
      <c r="D366" s="46"/>
      <c r="E366" s="46" t="s">
        <v>586</v>
      </c>
      <c r="F366" s="46"/>
      <c r="G366" s="46" t="s">
        <v>289</v>
      </c>
      <c r="H366" s="46"/>
      <c r="I366" s="46"/>
      <c r="J366" s="46"/>
      <c r="K366" s="46" t="str">
        <f>IFERROR(__xludf.DUMMYFUNCTION("if(A366="""","""",IF(G366="""",""Myn"",IF(REGEXMATCH(lower(G366),""mynn""),""Myn"",if(G366&lt;&gt;"""",""GEMTRE"",""""))))"),"GEMTRE")</f>
        <v>GEMTRE</v>
      </c>
      <c r="L366" s="46" t="s">
        <v>2001</v>
      </c>
      <c r="M366" s="48">
        <v>45255.46059027778</v>
      </c>
    </row>
    <row r="367">
      <c r="A367" s="47">
        <v>45249.61114951389</v>
      </c>
      <c r="B367" s="46" t="s">
        <v>587</v>
      </c>
      <c r="C367" s="46">
        <v>8.800895723E9</v>
      </c>
      <c r="D367" s="46"/>
      <c r="E367" s="46"/>
      <c r="F367" s="46"/>
      <c r="G367" s="46" t="s">
        <v>289</v>
      </c>
      <c r="H367" s="46"/>
      <c r="I367" s="46"/>
      <c r="J367" s="46"/>
      <c r="K367" s="46" t="str">
        <f>IFERROR(__xludf.DUMMYFUNCTION("if(A367="""","""",IF(G367="""",""Myn"",IF(REGEXMATCH(lower(G367),""mynn""),""Myn"",if(G367&lt;&gt;"""",""GEMTRE"",""""))))"),"GEMTRE")</f>
        <v>GEMTRE</v>
      </c>
      <c r="L367" s="46" t="s">
        <v>2001</v>
      </c>
      <c r="M367" s="48">
        <v>45255.46059027778</v>
      </c>
    </row>
    <row r="368">
      <c r="A368" s="47">
        <v>45249.6114289699</v>
      </c>
      <c r="B368" s="46" t="s">
        <v>588</v>
      </c>
      <c r="C368" s="46">
        <v>9.811228697E9</v>
      </c>
      <c r="D368" s="46"/>
      <c r="E368" s="46" t="s">
        <v>21</v>
      </c>
      <c r="F368" s="46"/>
      <c r="G368" s="46" t="s">
        <v>303</v>
      </c>
      <c r="H368" s="46"/>
      <c r="I368" s="46"/>
      <c r="J368" s="46"/>
      <c r="K368" s="46" t="str">
        <f>IFERROR(__xludf.DUMMYFUNCTION("if(A368="""","""",IF(G368="""",""Myn"",IF(REGEXMATCH(lower(G368),""mynn""),""Myn"",if(G368&lt;&gt;"""",""GEMTRE"",""""))))"),"Myn")</f>
        <v>Myn</v>
      </c>
      <c r="L368" s="46" t="s">
        <v>2000</v>
      </c>
      <c r="M368" s="48">
        <v>45255.46059027778</v>
      </c>
    </row>
    <row r="369">
      <c r="A369" s="47">
        <v>45249.612133981485</v>
      </c>
      <c r="B369" s="46" t="s">
        <v>589</v>
      </c>
      <c r="C369" s="46">
        <v>8.800927065E9</v>
      </c>
      <c r="D369" s="46"/>
      <c r="E369" s="46"/>
      <c r="F369" s="46"/>
      <c r="G369" s="46" t="s">
        <v>289</v>
      </c>
      <c r="H369" s="46"/>
      <c r="I369" s="46"/>
      <c r="J369" s="46"/>
      <c r="K369" s="46" t="str">
        <f>IFERROR(__xludf.DUMMYFUNCTION("if(A369="""","""",IF(G369="""",""Myn"",IF(REGEXMATCH(lower(G369),""mynn""),""Myn"",if(G369&lt;&gt;"""",""GEMTRE"",""""))))"),"GEMTRE")</f>
        <v>GEMTRE</v>
      </c>
      <c r="L369" s="46" t="s">
        <v>2001</v>
      </c>
      <c r="M369" s="48">
        <v>45255.46059027778</v>
      </c>
    </row>
    <row r="370">
      <c r="A370" s="47">
        <v>45249.613206967595</v>
      </c>
      <c r="B370" s="46" t="s">
        <v>590</v>
      </c>
      <c r="C370" s="46">
        <v>9.891815228E9</v>
      </c>
      <c r="D370" s="46"/>
      <c r="E370" s="46" t="s">
        <v>15</v>
      </c>
      <c r="F370" s="46"/>
      <c r="G370" s="46" t="s">
        <v>303</v>
      </c>
      <c r="H370" s="46"/>
      <c r="I370" s="46"/>
      <c r="J370" s="46"/>
      <c r="K370" s="46" t="str">
        <f>IFERROR(__xludf.DUMMYFUNCTION("if(A370="""","""",IF(G370="""",""Myn"",IF(REGEXMATCH(lower(G370),""mynn""),""Myn"",if(G370&lt;&gt;"""",""GEMTRE"",""""))))"),"Myn")</f>
        <v>Myn</v>
      </c>
      <c r="L370" s="46" t="s">
        <v>2000</v>
      </c>
      <c r="M370" s="48">
        <v>45255.46059027778</v>
      </c>
    </row>
    <row r="371">
      <c r="A371" s="47">
        <v>45249.61360251157</v>
      </c>
      <c r="B371" s="46" t="s">
        <v>591</v>
      </c>
      <c r="C371" s="46">
        <v>9.136131719E9</v>
      </c>
      <c r="D371" s="46"/>
      <c r="E371" s="46"/>
      <c r="F371" s="46"/>
      <c r="G371" s="46" t="s">
        <v>289</v>
      </c>
      <c r="H371" s="46"/>
      <c r="I371" s="46"/>
      <c r="J371" s="46"/>
      <c r="K371" s="46" t="str">
        <f>IFERROR(__xludf.DUMMYFUNCTION("if(A371="""","""",IF(G371="""",""Myn"",IF(REGEXMATCH(lower(G371),""mynn""),""Myn"",if(G371&lt;&gt;"""",""GEMTRE"",""""))))"),"GEMTRE")</f>
        <v>GEMTRE</v>
      </c>
      <c r="L371" s="46" t="s">
        <v>2001</v>
      </c>
      <c r="M371" s="48">
        <v>45255.46059027778</v>
      </c>
    </row>
    <row r="372">
      <c r="A372" s="47">
        <v>45249.62106157407</v>
      </c>
      <c r="B372" s="46" t="s">
        <v>592</v>
      </c>
      <c r="C372" s="46">
        <v>9.999205324E9</v>
      </c>
      <c r="D372" s="46" t="s">
        <v>593</v>
      </c>
      <c r="E372" s="46" t="s">
        <v>594</v>
      </c>
      <c r="F372" s="46"/>
      <c r="G372" s="46" t="s">
        <v>303</v>
      </c>
      <c r="H372" s="46"/>
      <c r="I372" s="46"/>
      <c r="J372" s="46"/>
      <c r="K372" s="46" t="str">
        <f>IFERROR(__xludf.DUMMYFUNCTION("if(A372="""","""",IF(G372="""",""Myn"",IF(REGEXMATCH(lower(G372),""mynn""),""Myn"",if(G372&lt;&gt;"""",""GEMTRE"",""""))))"),"Myn")</f>
        <v>Myn</v>
      </c>
      <c r="L372" s="46" t="s">
        <v>2000</v>
      </c>
      <c r="M372" s="48">
        <v>45255.46059027778</v>
      </c>
    </row>
    <row r="373">
      <c r="A373" s="47">
        <v>45249.62159758102</v>
      </c>
      <c r="B373" s="46" t="s">
        <v>595</v>
      </c>
      <c r="C373" s="46">
        <v>9.868593561E9</v>
      </c>
      <c r="D373" s="46"/>
      <c r="E373" s="46" t="s">
        <v>273</v>
      </c>
      <c r="F373" s="46"/>
      <c r="G373" s="46" t="s">
        <v>303</v>
      </c>
      <c r="H373" s="46"/>
      <c r="I373" s="46"/>
      <c r="J373" s="46"/>
      <c r="K373" s="46" t="str">
        <f>IFERROR(__xludf.DUMMYFUNCTION("if(A373="""","""",IF(G373="""",""Myn"",IF(REGEXMATCH(lower(G373),""mynn""),""Myn"",if(G373&lt;&gt;"""",""GEMTRE"",""""))))"),"Myn")</f>
        <v>Myn</v>
      </c>
      <c r="L373" s="46" t="s">
        <v>2000</v>
      </c>
      <c r="M373" s="48">
        <v>45255.46059027778</v>
      </c>
    </row>
    <row r="374">
      <c r="A374" s="47">
        <v>45249.62586017361</v>
      </c>
      <c r="B374" s="46" t="s">
        <v>596</v>
      </c>
      <c r="C374" s="46">
        <v>9.310507886E9</v>
      </c>
      <c r="D374" s="46" t="s">
        <v>597</v>
      </c>
      <c r="E374" s="46"/>
      <c r="F374" s="46"/>
      <c r="G374" s="46" t="s">
        <v>303</v>
      </c>
      <c r="H374" s="46"/>
      <c r="I374" s="46"/>
      <c r="J374" s="46"/>
      <c r="K374" s="46" t="str">
        <f>IFERROR(__xludf.DUMMYFUNCTION("if(A374="""","""",IF(G374="""",""Myn"",IF(REGEXMATCH(lower(G374),""mynn""),""Myn"",if(G374&lt;&gt;"""",""GEMTRE"",""""))))"),"Myn")</f>
        <v>Myn</v>
      </c>
      <c r="L374" s="46" t="s">
        <v>2000</v>
      </c>
      <c r="M374" s="48">
        <v>45255.46059027778</v>
      </c>
    </row>
    <row r="375">
      <c r="A375" s="47">
        <v>45249.62827385416</v>
      </c>
      <c r="B375" s="46" t="s">
        <v>598</v>
      </c>
      <c r="C375" s="46">
        <v>9.354521341E9</v>
      </c>
      <c r="D375" s="46"/>
      <c r="E375" s="46" t="s">
        <v>599</v>
      </c>
      <c r="F375" s="46"/>
      <c r="G375" s="46" t="s">
        <v>303</v>
      </c>
      <c r="H375" s="46"/>
      <c r="I375" s="46"/>
      <c r="J375" s="46"/>
      <c r="K375" s="46" t="str">
        <f>IFERROR(__xludf.DUMMYFUNCTION("if(A375="""","""",IF(G375="""",""Myn"",IF(REGEXMATCH(lower(G375),""mynn""),""Myn"",if(G375&lt;&gt;"""",""GEMTRE"",""""))))"),"Myn")</f>
        <v>Myn</v>
      </c>
      <c r="L375" s="46" t="s">
        <v>2000</v>
      </c>
      <c r="M375" s="48">
        <v>45255.46059027778</v>
      </c>
    </row>
    <row r="376">
      <c r="A376" s="47">
        <v>45249.62950701389</v>
      </c>
      <c r="B376" s="46" t="s">
        <v>600</v>
      </c>
      <c r="C376" s="46">
        <v>9.899748572E9</v>
      </c>
      <c r="D376" s="46"/>
      <c r="E376" s="46"/>
      <c r="F376" s="46"/>
      <c r="G376" s="46" t="s">
        <v>289</v>
      </c>
      <c r="H376" s="46"/>
      <c r="I376" s="46"/>
      <c r="J376" s="46"/>
      <c r="K376" s="46" t="str">
        <f>IFERROR(__xludf.DUMMYFUNCTION("if(A376="""","""",IF(G376="""",""Myn"",IF(REGEXMATCH(lower(G376),""mynn""),""Myn"",if(G376&lt;&gt;"""",""GEMTRE"",""""))))"),"GEMTRE")</f>
        <v>GEMTRE</v>
      </c>
      <c r="L376" s="46" t="s">
        <v>2001</v>
      </c>
      <c r="M376" s="48">
        <v>45255.46059027778</v>
      </c>
    </row>
    <row r="377">
      <c r="A377" s="47">
        <v>45249.6298592824</v>
      </c>
      <c r="B377" s="46" t="s">
        <v>601</v>
      </c>
      <c r="C377" s="46">
        <v>8.447750845E9</v>
      </c>
      <c r="D377" s="46"/>
      <c r="E377" s="46" t="s">
        <v>602</v>
      </c>
      <c r="F377" s="46"/>
      <c r="G377" s="46" t="s">
        <v>303</v>
      </c>
      <c r="H377" s="46"/>
      <c r="I377" s="46"/>
      <c r="J377" s="46"/>
      <c r="K377" s="46" t="str">
        <f>IFERROR(__xludf.DUMMYFUNCTION("if(A377="""","""",IF(G377="""",""Myn"",IF(REGEXMATCH(lower(G377),""mynn""),""Myn"",if(G377&lt;&gt;"""",""GEMTRE"",""""))))"),"Myn")</f>
        <v>Myn</v>
      </c>
      <c r="L377" s="46" t="s">
        <v>2000</v>
      </c>
      <c r="M377" s="48">
        <v>45255.46059027778</v>
      </c>
    </row>
    <row r="378">
      <c r="A378" s="47">
        <v>45249.63014886574</v>
      </c>
      <c r="B378" s="46" t="s">
        <v>603</v>
      </c>
      <c r="C378" s="46">
        <v>8.447750849E9</v>
      </c>
      <c r="D378" s="46"/>
      <c r="E378" s="46"/>
      <c r="F378" s="46"/>
      <c r="G378" s="46" t="s">
        <v>303</v>
      </c>
      <c r="H378" s="46"/>
      <c r="I378" s="46"/>
      <c r="J378" s="46"/>
      <c r="K378" s="46" t="str">
        <f>IFERROR(__xludf.DUMMYFUNCTION("if(A378="""","""",IF(G378="""",""Myn"",IF(REGEXMATCH(lower(G378),""mynn""),""Myn"",if(G378&lt;&gt;"""",""GEMTRE"",""""))))"),"Myn")</f>
        <v>Myn</v>
      </c>
      <c r="L378" s="46" t="s">
        <v>2000</v>
      </c>
      <c r="M378" s="48">
        <v>45255.46059027778</v>
      </c>
    </row>
    <row r="379">
      <c r="A379" s="47">
        <v>45249.630456886574</v>
      </c>
      <c r="B379" s="46" t="s">
        <v>390</v>
      </c>
      <c r="C379" s="46">
        <v>9.540658998E9</v>
      </c>
      <c r="D379" s="46"/>
      <c r="E379" s="46"/>
      <c r="F379" s="46"/>
      <c r="G379" s="46" t="s">
        <v>303</v>
      </c>
      <c r="H379" s="46"/>
      <c r="I379" s="46"/>
      <c r="J379" s="46"/>
      <c r="K379" s="46" t="str">
        <f>IFERROR(__xludf.DUMMYFUNCTION("if(A379="""","""",IF(G379="""",""Myn"",IF(REGEXMATCH(lower(G379),""mynn""),""Myn"",if(G379&lt;&gt;"""",""GEMTRE"",""""))))"),"Myn")</f>
        <v>Myn</v>
      </c>
      <c r="L379" s="46" t="s">
        <v>2000</v>
      </c>
      <c r="M379" s="48">
        <v>45255.46059027778</v>
      </c>
    </row>
    <row r="380">
      <c r="A380" s="47">
        <v>45249.63185979167</v>
      </c>
      <c r="B380" s="46" t="s">
        <v>290</v>
      </c>
      <c r="C380" s="46">
        <v>7.015977544E9</v>
      </c>
      <c r="D380" s="46"/>
      <c r="E380" s="46"/>
      <c r="F380" s="46"/>
      <c r="G380" s="46" t="s">
        <v>289</v>
      </c>
      <c r="H380" s="46"/>
      <c r="I380" s="46"/>
      <c r="J380" s="46"/>
      <c r="K380" s="46" t="str">
        <f>IFERROR(__xludf.DUMMYFUNCTION("if(A380="""","""",IF(G380="""",""Myn"",IF(REGEXMATCH(lower(G380),""mynn""),""Myn"",if(G380&lt;&gt;"""",""GEMTRE"",""""))))"),"GEMTRE")</f>
        <v>GEMTRE</v>
      </c>
      <c r="L380" s="46" t="s">
        <v>2001</v>
      </c>
      <c r="M380" s="48">
        <v>45255.46059027778</v>
      </c>
    </row>
    <row r="381">
      <c r="A381" s="47">
        <v>45249.634708819445</v>
      </c>
      <c r="B381" s="46" t="s">
        <v>604</v>
      </c>
      <c r="C381" s="46">
        <v>9.711128103E9</v>
      </c>
      <c r="D381" s="46"/>
      <c r="E381" s="46" t="s">
        <v>605</v>
      </c>
      <c r="F381" s="46"/>
      <c r="G381" s="46" t="s">
        <v>303</v>
      </c>
      <c r="H381" s="46"/>
      <c r="I381" s="46"/>
      <c r="J381" s="46"/>
      <c r="K381" s="46" t="str">
        <f>IFERROR(__xludf.DUMMYFUNCTION("if(A381="""","""",IF(G381="""",""Myn"",IF(REGEXMATCH(lower(G381),""mynn""),""Myn"",if(G381&lt;&gt;"""",""GEMTRE"",""""))))"),"Myn")</f>
        <v>Myn</v>
      </c>
      <c r="L381" s="46" t="s">
        <v>2000</v>
      </c>
      <c r="M381" s="48">
        <v>45255.46059027778</v>
      </c>
    </row>
    <row r="382">
      <c r="A382" s="47">
        <v>45249.63516799769</v>
      </c>
      <c r="B382" s="46" t="s">
        <v>606</v>
      </c>
      <c r="C382" s="46">
        <v>9.87370116E9</v>
      </c>
      <c r="D382" s="46"/>
      <c r="E382" s="46"/>
      <c r="F382" s="46"/>
      <c r="G382" s="46" t="s">
        <v>289</v>
      </c>
      <c r="H382" s="46"/>
      <c r="I382" s="46"/>
      <c r="J382" s="46"/>
      <c r="K382" s="46" t="str">
        <f>IFERROR(__xludf.DUMMYFUNCTION("if(A382="""","""",IF(G382="""",""Myn"",IF(REGEXMATCH(lower(G382),""mynn""),""Myn"",if(G382&lt;&gt;"""",""GEMTRE"",""""))))"),"GEMTRE")</f>
        <v>GEMTRE</v>
      </c>
      <c r="L382" s="46" t="s">
        <v>2001</v>
      </c>
      <c r="M382" s="48">
        <v>45255.46059027778</v>
      </c>
    </row>
    <row r="383">
      <c r="A383" s="47">
        <v>45249.635521006945</v>
      </c>
      <c r="B383" s="46" t="s">
        <v>371</v>
      </c>
      <c r="C383" s="46">
        <v>9.412235113E9</v>
      </c>
      <c r="D383" s="46"/>
      <c r="E383" s="46"/>
      <c r="F383" s="46"/>
      <c r="G383" s="46" t="s">
        <v>289</v>
      </c>
      <c r="H383" s="46"/>
      <c r="I383" s="46"/>
      <c r="J383" s="46"/>
      <c r="K383" s="46" t="str">
        <f>IFERROR(__xludf.DUMMYFUNCTION("if(A383="""","""",IF(G383="""",""Myn"",IF(REGEXMATCH(lower(G383),""mynn""),""Myn"",if(G383&lt;&gt;"""",""GEMTRE"",""""))))"),"GEMTRE")</f>
        <v>GEMTRE</v>
      </c>
      <c r="L383" s="46" t="s">
        <v>2001</v>
      </c>
      <c r="M383" s="48">
        <v>45255.46059027778</v>
      </c>
    </row>
    <row r="384">
      <c r="A384" s="47">
        <v>45249.63640930556</v>
      </c>
      <c r="B384" s="46" t="s">
        <v>607</v>
      </c>
      <c r="C384" s="46">
        <v>9.81816743E9</v>
      </c>
      <c r="D384" s="46"/>
      <c r="E384" s="46" t="s">
        <v>608</v>
      </c>
      <c r="F384" s="46"/>
      <c r="G384" s="46" t="s">
        <v>303</v>
      </c>
      <c r="H384" s="46"/>
      <c r="I384" s="46"/>
      <c r="J384" s="46"/>
      <c r="K384" s="46" t="str">
        <f>IFERROR(__xludf.DUMMYFUNCTION("if(A384="""","""",IF(G384="""",""Myn"",IF(REGEXMATCH(lower(G384),""mynn""),""Myn"",if(G384&lt;&gt;"""",""GEMTRE"",""""))))"),"Myn")</f>
        <v>Myn</v>
      </c>
      <c r="L384" s="46" t="s">
        <v>2000</v>
      </c>
      <c r="M384" s="48">
        <v>45255.46059027778</v>
      </c>
    </row>
    <row r="385">
      <c r="A385" s="47">
        <v>45249.63670368056</v>
      </c>
      <c r="B385" s="46" t="s">
        <v>609</v>
      </c>
      <c r="C385" s="46">
        <v>9.557701702E9</v>
      </c>
      <c r="D385" s="46"/>
      <c r="E385" s="46"/>
      <c r="F385" s="46"/>
      <c r="G385" s="46" t="s">
        <v>289</v>
      </c>
      <c r="H385" s="46"/>
      <c r="I385" s="46"/>
      <c r="J385" s="46"/>
      <c r="K385" s="46" t="str">
        <f>IFERROR(__xludf.DUMMYFUNCTION("if(A385="""","""",IF(G385="""",""Myn"",IF(REGEXMATCH(lower(G385),""mynn""),""Myn"",if(G385&lt;&gt;"""",""GEMTRE"",""""))))"),"GEMTRE")</f>
        <v>GEMTRE</v>
      </c>
      <c r="L385" s="46" t="s">
        <v>2001</v>
      </c>
      <c r="M385" s="48">
        <v>45255.46059027778</v>
      </c>
    </row>
    <row r="386">
      <c r="A386" s="47">
        <v>45249.640509467594</v>
      </c>
      <c r="B386" s="46" t="s">
        <v>610</v>
      </c>
      <c r="C386" s="46">
        <v>7.50343398E9</v>
      </c>
      <c r="D386" s="46"/>
      <c r="E386" s="46"/>
      <c r="F386" s="46"/>
      <c r="G386" s="46" t="s">
        <v>303</v>
      </c>
      <c r="H386" s="46"/>
      <c r="I386" s="46"/>
      <c r="J386" s="46"/>
      <c r="K386" s="46" t="str">
        <f>IFERROR(__xludf.DUMMYFUNCTION("if(A386="""","""",IF(G386="""",""Myn"",IF(REGEXMATCH(lower(G386),""mynn""),""Myn"",if(G386&lt;&gt;"""",""GEMTRE"",""""))))"),"Myn")</f>
        <v>Myn</v>
      </c>
      <c r="L386" s="46" t="s">
        <v>2000</v>
      </c>
      <c r="M386" s="48">
        <v>45255.46059027778</v>
      </c>
    </row>
    <row r="387">
      <c r="A387" s="47">
        <v>45249.64395190972</v>
      </c>
      <c r="B387" s="46" t="s">
        <v>611</v>
      </c>
      <c r="C387" s="46">
        <v>8.860607579E9</v>
      </c>
      <c r="D387" s="46"/>
      <c r="E387" s="46" t="s">
        <v>21</v>
      </c>
      <c r="F387" s="46"/>
      <c r="G387" s="46" t="s">
        <v>303</v>
      </c>
      <c r="H387" s="46"/>
      <c r="I387" s="46"/>
      <c r="J387" s="46"/>
      <c r="K387" s="46" t="str">
        <f>IFERROR(__xludf.DUMMYFUNCTION("if(A387="""","""",IF(G387="""",""Myn"",IF(REGEXMATCH(lower(G387),""mynn""),""Myn"",if(G387&lt;&gt;"""",""GEMTRE"",""""))))"),"Myn")</f>
        <v>Myn</v>
      </c>
      <c r="L387" s="46" t="s">
        <v>2000</v>
      </c>
      <c r="M387" s="48">
        <v>45255.46059027778</v>
      </c>
    </row>
    <row r="388">
      <c r="A388" s="47">
        <v>45249.64477571759</v>
      </c>
      <c r="B388" s="46" t="s">
        <v>612</v>
      </c>
      <c r="C388" s="46">
        <v>9.8113783E9</v>
      </c>
      <c r="D388" s="46"/>
      <c r="E388" s="46"/>
      <c r="F388" s="46"/>
      <c r="G388" s="46" t="s">
        <v>289</v>
      </c>
      <c r="H388" s="46"/>
      <c r="I388" s="46"/>
      <c r="J388" s="46"/>
      <c r="K388" s="46" t="str">
        <f>IFERROR(__xludf.DUMMYFUNCTION("if(A388="""","""",IF(G388="""",""Myn"",IF(REGEXMATCH(lower(G388),""mynn""),""Myn"",if(G388&lt;&gt;"""",""GEMTRE"",""""))))"),"GEMTRE")</f>
        <v>GEMTRE</v>
      </c>
      <c r="L388" s="46" t="s">
        <v>2001</v>
      </c>
      <c r="M388" s="48">
        <v>45255.46059027778</v>
      </c>
    </row>
    <row r="389">
      <c r="A389" s="47">
        <v>45249.64493659722</v>
      </c>
      <c r="B389" s="46" t="s">
        <v>613</v>
      </c>
      <c r="C389" s="46">
        <v>8.285298978E9</v>
      </c>
      <c r="D389" s="46"/>
      <c r="E389" s="46"/>
      <c r="F389" s="46"/>
      <c r="G389" s="46" t="s">
        <v>303</v>
      </c>
      <c r="H389" s="46"/>
      <c r="I389" s="46"/>
      <c r="J389" s="46"/>
      <c r="K389" s="46" t="str">
        <f>IFERROR(__xludf.DUMMYFUNCTION("if(A389="""","""",IF(G389="""",""Myn"",IF(REGEXMATCH(lower(G389),""mynn""),""Myn"",if(G389&lt;&gt;"""",""GEMTRE"",""""))))"),"Myn")</f>
        <v>Myn</v>
      </c>
      <c r="L389" s="46" t="s">
        <v>2000</v>
      </c>
      <c r="M389" s="48">
        <v>45255.46059027778</v>
      </c>
    </row>
    <row r="390">
      <c r="A390" s="47">
        <v>45249.64562563658</v>
      </c>
      <c r="B390" s="46" t="s">
        <v>614</v>
      </c>
      <c r="C390" s="46">
        <v>9.999426629E9</v>
      </c>
      <c r="D390" s="46"/>
      <c r="E390" s="46"/>
      <c r="F390" s="46"/>
      <c r="G390" s="46" t="s">
        <v>289</v>
      </c>
      <c r="H390" s="46"/>
      <c r="I390" s="46"/>
      <c r="J390" s="46"/>
      <c r="K390" s="46" t="str">
        <f>IFERROR(__xludf.DUMMYFUNCTION("if(A390="""","""",IF(G390="""",""Myn"",IF(REGEXMATCH(lower(G390),""mynn""),""Myn"",if(G390&lt;&gt;"""",""GEMTRE"",""""))))"),"GEMTRE")</f>
        <v>GEMTRE</v>
      </c>
      <c r="L390" s="46" t="s">
        <v>2001</v>
      </c>
      <c r="M390" s="48">
        <v>45255.46059027778</v>
      </c>
    </row>
    <row r="391">
      <c r="A391" s="47">
        <v>45249.65236743056</v>
      </c>
      <c r="B391" s="46" t="s">
        <v>615</v>
      </c>
      <c r="C391" s="46">
        <v>8.882486802E9</v>
      </c>
      <c r="D391" s="46"/>
      <c r="E391" s="46" t="s">
        <v>599</v>
      </c>
      <c r="F391" s="46"/>
      <c r="G391" s="46" t="s">
        <v>303</v>
      </c>
      <c r="H391" s="46"/>
      <c r="I391" s="46"/>
      <c r="J391" s="46"/>
      <c r="K391" s="46" t="str">
        <f>IFERROR(__xludf.DUMMYFUNCTION("if(A391="""","""",IF(G391="""",""Myn"",IF(REGEXMATCH(lower(G391),""mynn""),""Myn"",if(G391&lt;&gt;"""",""GEMTRE"",""""))))"),"Myn")</f>
        <v>Myn</v>
      </c>
      <c r="L391" s="46" t="s">
        <v>2000</v>
      </c>
      <c r="M391" s="48">
        <v>45255.46059027778</v>
      </c>
    </row>
    <row r="392">
      <c r="A392" s="47">
        <v>45249.652913321755</v>
      </c>
      <c r="B392" s="46" t="s">
        <v>616</v>
      </c>
      <c r="C392" s="46">
        <v>9.560974127E9</v>
      </c>
      <c r="D392" s="46"/>
      <c r="E392" s="46"/>
      <c r="F392" s="46"/>
      <c r="G392" s="46" t="s">
        <v>289</v>
      </c>
      <c r="H392" s="46"/>
      <c r="I392" s="46"/>
      <c r="J392" s="46"/>
      <c r="K392" s="46" t="str">
        <f>IFERROR(__xludf.DUMMYFUNCTION("if(A392="""","""",IF(G392="""",""Myn"",IF(REGEXMATCH(lower(G392),""mynn""),""Myn"",if(G392&lt;&gt;"""",""GEMTRE"",""""))))"),"GEMTRE")</f>
        <v>GEMTRE</v>
      </c>
      <c r="L392" s="46" t="s">
        <v>2001</v>
      </c>
      <c r="M392" s="48">
        <v>45255.46059027778</v>
      </c>
    </row>
    <row r="393">
      <c r="A393" s="47">
        <v>45249.65406690972</v>
      </c>
      <c r="B393" s="46" t="s">
        <v>179</v>
      </c>
      <c r="C393" s="46">
        <v>9.625556855E9</v>
      </c>
      <c r="D393" s="46"/>
      <c r="E393" s="46"/>
      <c r="F393" s="46"/>
      <c r="G393" s="46" t="s">
        <v>289</v>
      </c>
      <c r="H393" s="46"/>
      <c r="I393" s="46"/>
      <c r="J393" s="46"/>
      <c r="K393" s="46" t="str">
        <f>IFERROR(__xludf.DUMMYFUNCTION("if(A393="""","""",IF(G393="""",""Myn"",IF(REGEXMATCH(lower(G393),""mynn""),""Myn"",if(G393&lt;&gt;"""",""GEMTRE"",""""))))"),"GEMTRE")</f>
        <v>GEMTRE</v>
      </c>
      <c r="L393" s="46" t="s">
        <v>2001</v>
      </c>
      <c r="M393" s="48">
        <v>45255.46059027778</v>
      </c>
    </row>
    <row r="394">
      <c r="A394" s="47">
        <v>45249.65731047453</v>
      </c>
      <c r="B394" s="46" t="s">
        <v>371</v>
      </c>
      <c r="C394" s="46">
        <v>7.838454508E9</v>
      </c>
      <c r="D394" s="46"/>
      <c r="E394" s="46" t="s">
        <v>608</v>
      </c>
      <c r="F394" s="46"/>
      <c r="G394" s="46" t="s">
        <v>303</v>
      </c>
      <c r="H394" s="46"/>
      <c r="I394" s="46"/>
      <c r="J394" s="46"/>
      <c r="K394" s="46" t="str">
        <f>IFERROR(__xludf.DUMMYFUNCTION("if(A394="""","""",IF(G394="""",""Myn"",IF(REGEXMATCH(lower(G394),""mynn""),""Myn"",if(G394&lt;&gt;"""",""GEMTRE"",""""))))"),"Myn")</f>
        <v>Myn</v>
      </c>
      <c r="L394" s="46" t="s">
        <v>2000</v>
      </c>
      <c r="M394" s="48">
        <v>45255.46059027778</v>
      </c>
    </row>
    <row r="395">
      <c r="A395" s="47">
        <v>45249.65917594907</v>
      </c>
      <c r="B395" s="46" t="s">
        <v>617</v>
      </c>
      <c r="C395" s="46">
        <v>7.015517269E9</v>
      </c>
      <c r="D395" s="46"/>
      <c r="E395" s="46" t="s">
        <v>79</v>
      </c>
      <c r="F395" s="46"/>
      <c r="G395" s="46" t="s">
        <v>303</v>
      </c>
      <c r="H395" s="46"/>
      <c r="I395" s="46"/>
      <c r="J395" s="46"/>
      <c r="K395" s="46" t="str">
        <f>IFERROR(__xludf.DUMMYFUNCTION("if(A395="""","""",IF(G395="""",""Myn"",IF(REGEXMATCH(lower(G395),""mynn""),""Myn"",if(G395&lt;&gt;"""",""GEMTRE"",""""))))"),"Myn")</f>
        <v>Myn</v>
      </c>
      <c r="L395" s="46" t="s">
        <v>2000</v>
      </c>
      <c r="M395" s="48">
        <v>45255.46059027778</v>
      </c>
    </row>
    <row r="396">
      <c r="A396" s="47">
        <v>45249.65919443287</v>
      </c>
      <c r="B396" s="46" t="s">
        <v>618</v>
      </c>
      <c r="C396" s="46">
        <v>9.81832918E9</v>
      </c>
      <c r="D396" s="46"/>
      <c r="E396" s="46"/>
      <c r="F396" s="46"/>
      <c r="G396" s="46" t="s">
        <v>303</v>
      </c>
      <c r="H396" s="46"/>
      <c r="I396" s="46"/>
      <c r="J396" s="46"/>
      <c r="K396" s="46" t="str">
        <f>IFERROR(__xludf.DUMMYFUNCTION("if(A396="""","""",IF(G396="""",""Myn"",IF(REGEXMATCH(lower(G396),""mynn""),""Myn"",if(G396&lt;&gt;"""",""GEMTRE"",""""))))"),"Myn")</f>
        <v>Myn</v>
      </c>
      <c r="L396" s="46" t="s">
        <v>2000</v>
      </c>
      <c r="M396" s="48">
        <v>45255.46059027778</v>
      </c>
    </row>
    <row r="397">
      <c r="A397" s="47">
        <v>45249.66113998843</v>
      </c>
      <c r="B397" s="46" t="s">
        <v>619</v>
      </c>
      <c r="C397" s="46">
        <v>9.899187501E9</v>
      </c>
      <c r="D397" s="46"/>
      <c r="E397" s="46" t="s">
        <v>620</v>
      </c>
      <c r="F397" s="46"/>
      <c r="G397" s="46" t="s">
        <v>303</v>
      </c>
      <c r="H397" s="46"/>
      <c r="I397" s="46"/>
      <c r="J397" s="46"/>
      <c r="K397" s="46" t="str">
        <f>IFERROR(__xludf.DUMMYFUNCTION("if(A397="""","""",IF(G397="""",""Myn"",IF(REGEXMATCH(lower(G397),""mynn""),""Myn"",if(G397&lt;&gt;"""",""GEMTRE"",""""))))"),"Myn")</f>
        <v>Myn</v>
      </c>
      <c r="L397" s="46" t="s">
        <v>2000</v>
      </c>
      <c r="M397" s="48">
        <v>45255.46059027778</v>
      </c>
    </row>
    <row r="398">
      <c r="A398" s="47">
        <v>45249.66284725694</v>
      </c>
      <c r="B398" s="46" t="s">
        <v>621</v>
      </c>
      <c r="C398" s="46">
        <v>9.43715219E9</v>
      </c>
      <c r="D398" s="46"/>
      <c r="E398" s="46"/>
      <c r="F398" s="46"/>
      <c r="G398" s="46" t="s">
        <v>289</v>
      </c>
      <c r="H398" s="46"/>
      <c r="I398" s="46"/>
      <c r="J398" s="46"/>
      <c r="K398" s="46" t="str">
        <f>IFERROR(__xludf.DUMMYFUNCTION("if(A398="""","""",IF(G398="""",""Myn"",IF(REGEXMATCH(lower(G398),""mynn""),""Myn"",if(G398&lt;&gt;"""",""GEMTRE"",""""))))"),"GEMTRE")</f>
        <v>GEMTRE</v>
      </c>
      <c r="L398" s="46" t="s">
        <v>2001</v>
      </c>
      <c r="M398" s="48">
        <v>45255.46059027778</v>
      </c>
    </row>
    <row r="399">
      <c r="A399" s="47">
        <v>45249.66613158565</v>
      </c>
      <c r="B399" s="46" t="s">
        <v>622</v>
      </c>
      <c r="C399" s="46">
        <v>9.728500002E9</v>
      </c>
      <c r="D399" s="46"/>
      <c r="E399" s="46" t="s">
        <v>378</v>
      </c>
      <c r="F399" s="46"/>
      <c r="G399" s="46" t="s">
        <v>303</v>
      </c>
      <c r="H399" s="46"/>
      <c r="I399" s="46"/>
      <c r="J399" s="46"/>
      <c r="K399" s="46" t="str">
        <f>IFERROR(__xludf.DUMMYFUNCTION("if(A399="""","""",IF(G399="""",""Myn"",IF(REGEXMATCH(lower(G399),""mynn""),""Myn"",if(G399&lt;&gt;"""",""GEMTRE"",""""))))"),"Myn")</f>
        <v>Myn</v>
      </c>
      <c r="L399" s="46" t="s">
        <v>2000</v>
      </c>
      <c r="M399" s="48">
        <v>45255.46059027778</v>
      </c>
    </row>
    <row r="400">
      <c r="A400" s="47">
        <v>45249.67558038194</v>
      </c>
      <c r="B400" s="46" t="s">
        <v>623</v>
      </c>
      <c r="C400" s="46">
        <v>9.990090212E9</v>
      </c>
      <c r="D400" s="46"/>
      <c r="E400" s="46" t="s">
        <v>15</v>
      </c>
      <c r="F400" s="46"/>
      <c r="G400" s="46" t="s">
        <v>303</v>
      </c>
      <c r="H400" s="46"/>
      <c r="I400" s="46"/>
      <c r="J400" s="46"/>
      <c r="K400" s="46" t="str">
        <f>IFERROR(__xludf.DUMMYFUNCTION("if(A400="""","""",IF(G400="""",""Myn"",IF(REGEXMATCH(lower(G400),""mynn""),""Myn"",if(G400&lt;&gt;"""",""GEMTRE"",""""))))"),"Myn")</f>
        <v>Myn</v>
      </c>
      <c r="L400" s="46" t="s">
        <v>2000</v>
      </c>
      <c r="M400" s="48">
        <v>45255.46059027778</v>
      </c>
    </row>
    <row r="401">
      <c r="A401" s="47">
        <v>45249.676426631944</v>
      </c>
      <c r="B401" s="46" t="s">
        <v>624</v>
      </c>
      <c r="C401" s="46">
        <v>9.999355536E9</v>
      </c>
      <c r="D401" s="46"/>
      <c r="E401" s="46" t="s">
        <v>15</v>
      </c>
      <c r="F401" s="46"/>
      <c r="G401" s="46" t="s">
        <v>303</v>
      </c>
      <c r="H401" s="46"/>
      <c r="I401" s="46"/>
      <c r="J401" s="46"/>
      <c r="K401" s="46" t="str">
        <f>IFERROR(__xludf.DUMMYFUNCTION("if(A401="""","""",IF(G401="""",""Myn"",IF(REGEXMATCH(lower(G401),""mynn""),""Myn"",if(G401&lt;&gt;"""",""GEMTRE"",""""))))"),"Myn")</f>
        <v>Myn</v>
      </c>
      <c r="L401" s="46" t="s">
        <v>2000</v>
      </c>
      <c r="M401" s="48">
        <v>45255.46059027778</v>
      </c>
    </row>
    <row r="402">
      <c r="A402" s="47">
        <v>45249.677584641206</v>
      </c>
      <c r="B402" s="46" t="s">
        <v>625</v>
      </c>
      <c r="C402" s="46">
        <v>9.643593168E9</v>
      </c>
      <c r="D402" s="46"/>
      <c r="E402" s="46" t="s">
        <v>626</v>
      </c>
      <c r="F402" s="46"/>
      <c r="G402" s="46" t="s">
        <v>303</v>
      </c>
      <c r="H402" s="46"/>
      <c r="I402" s="46"/>
      <c r="J402" s="46"/>
      <c r="K402" s="46" t="str">
        <f>IFERROR(__xludf.DUMMYFUNCTION("if(A402="""","""",IF(G402="""",""Myn"",IF(REGEXMATCH(lower(G402),""mynn""),""Myn"",if(G402&lt;&gt;"""",""GEMTRE"",""""))))"),"Myn")</f>
        <v>Myn</v>
      </c>
      <c r="L402" s="46" t="s">
        <v>2000</v>
      </c>
      <c r="M402" s="48">
        <v>45255.46059027778</v>
      </c>
    </row>
    <row r="403">
      <c r="A403" s="47">
        <v>45249.67769884259</v>
      </c>
      <c r="B403" s="46" t="s">
        <v>627</v>
      </c>
      <c r="C403" s="46">
        <v>9.357777547E9</v>
      </c>
      <c r="D403" s="46"/>
      <c r="E403" s="46" t="s">
        <v>21</v>
      </c>
      <c r="F403" s="46"/>
      <c r="G403" s="46" t="s">
        <v>303</v>
      </c>
      <c r="H403" s="46"/>
      <c r="I403" s="46"/>
      <c r="J403" s="46"/>
      <c r="K403" s="46" t="str">
        <f>IFERROR(__xludf.DUMMYFUNCTION("if(A403="""","""",IF(G403="""",""Myn"",IF(REGEXMATCH(lower(G403),""mynn""),""Myn"",if(G403&lt;&gt;"""",""GEMTRE"",""""))))"),"Myn")</f>
        <v>Myn</v>
      </c>
      <c r="L403" s="46" t="s">
        <v>2000</v>
      </c>
      <c r="M403" s="48">
        <v>45255.46059027778</v>
      </c>
    </row>
    <row r="404">
      <c r="A404" s="47">
        <v>45249.67779292824</v>
      </c>
      <c r="B404" s="46" t="s">
        <v>628</v>
      </c>
      <c r="C404" s="46">
        <v>8.558932188E9</v>
      </c>
      <c r="D404" s="46" t="s">
        <v>629</v>
      </c>
      <c r="E404" s="46" t="s">
        <v>114</v>
      </c>
      <c r="F404" s="46"/>
      <c r="G404" s="46" t="s">
        <v>303</v>
      </c>
      <c r="H404" s="46"/>
      <c r="I404" s="46"/>
      <c r="J404" s="46"/>
      <c r="K404" s="46" t="str">
        <f>IFERROR(__xludf.DUMMYFUNCTION("if(A404="""","""",IF(G404="""",""Myn"",IF(REGEXMATCH(lower(G404),""mynn""),""Myn"",if(G404&lt;&gt;"""",""GEMTRE"",""""))))"),"Myn")</f>
        <v>Myn</v>
      </c>
      <c r="L404" s="46" t="s">
        <v>2000</v>
      </c>
      <c r="M404" s="48">
        <v>45255.46059027778</v>
      </c>
    </row>
    <row r="405">
      <c r="A405" s="47">
        <v>45249.67802677084</v>
      </c>
      <c r="B405" s="46" t="s">
        <v>628</v>
      </c>
      <c r="C405" s="46">
        <v>8.558932188E9</v>
      </c>
      <c r="D405" s="46"/>
      <c r="E405" s="46" t="s">
        <v>15</v>
      </c>
      <c r="F405" s="46"/>
      <c r="G405" s="46" t="s">
        <v>303</v>
      </c>
      <c r="H405" s="46"/>
      <c r="I405" s="46"/>
      <c r="J405" s="46"/>
      <c r="K405" s="46" t="str">
        <f>IFERROR(__xludf.DUMMYFUNCTION("if(A405="""","""",IF(G405="""",""Myn"",IF(REGEXMATCH(lower(G405),""mynn""),""Myn"",if(G405&lt;&gt;"""",""GEMTRE"",""""))))"),"Myn")</f>
        <v>Myn</v>
      </c>
      <c r="L405" s="46" t="s">
        <v>2000</v>
      </c>
      <c r="M405" s="48">
        <v>45255.46059027778</v>
      </c>
    </row>
    <row r="406">
      <c r="A406" s="47">
        <v>45249.68018152778</v>
      </c>
      <c r="B406" s="46" t="s">
        <v>630</v>
      </c>
      <c r="C406" s="46">
        <v>9.717633424E9</v>
      </c>
      <c r="D406" s="46"/>
      <c r="E406" s="46"/>
      <c r="F406" s="46"/>
      <c r="G406" s="46" t="s">
        <v>303</v>
      </c>
      <c r="H406" s="46"/>
      <c r="I406" s="46"/>
      <c r="J406" s="46"/>
      <c r="K406" s="46" t="str">
        <f>IFERROR(__xludf.DUMMYFUNCTION("if(A406="""","""",IF(G406="""",""Myn"",IF(REGEXMATCH(lower(G406),""mynn""),""Myn"",if(G406&lt;&gt;"""",""GEMTRE"",""""))))"),"Myn")</f>
        <v>Myn</v>
      </c>
      <c r="L406" s="46" t="s">
        <v>2000</v>
      </c>
      <c r="M406" s="48">
        <v>45255.46059027778</v>
      </c>
    </row>
    <row r="407">
      <c r="A407" s="47">
        <v>45249.68064910879</v>
      </c>
      <c r="B407" s="46" t="s">
        <v>204</v>
      </c>
      <c r="C407" s="46">
        <v>9.899195175E9</v>
      </c>
      <c r="D407" s="46"/>
      <c r="E407" s="46"/>
      <c r="F407" s="46"/>
      <c r="G407" s="46" t="s">
        <v>303</v>
      </c>
      <c r="H407" s="46"/>
      <c r="I407" s="46"/>
      <c r="J407" s="46"/>
      <c r="K407" s="46" t="str">
        <f>IFERROR(__xludf.DUMMYFUNCTION("if(A407="""","""",IF(G407="""",""Myn"",IF(REGEXMATCH(lower(G407),""mynn""),""Myn"",if(G407&lt;&gt;"""",""GEMTRE"",""""))))"),"Myn")</f>
        <v>Myn</v>
      </c>
      <c r="L407" s="46" t="s">
        <v>2000</v>
      </c>
      <c r="M407" s="48">
        <v>45255.46059027778</v>
      </c>
    </row>
    <row r="408">
      <c r="A408" s="47">
        <v>45249.68118564815</v>
      </c>
      <c r="B408" s="46" t="s">
        <v>631</v>
      </c>
      <c r="C408" s="46">
        <v>9.958598121E9</v>
      </c>
      <c r="D408" s="46"/>
      <c r="E408" s="46"/>
      <c r="F408" s="46"/>
      <c r="G408" s="46" t="s">
        <v>303</v>
      </c>
      <c r="H408" s="46"/>
      <c r="I408" s="46"/>
      <c r="J408" s="46"/>
      <c r="K408" s="46" t="str">
        <f>IFERROR(__xludf.DUMMYFUNCTION("if(A408="""","""",IF(G408="""",""Myn"",IF(REGEXMATCH(lower(G408),""mynn""),""Myn"",if(G408&lt;&gt;"""",""GEMTRE"",""""))))"),"Myn")</f>
        <v>Myn</v>
      </c>
      <c r="L408" s="46" t="s">
        <v>2000</v>
      </c>
      <c r="M408" s="48">
        <v>45255.46060185185</v>
      </c>
    </row>
    <row r="409">
      <c r="A409" s="47">
        <v>45249.68334462963</v>
      </c>
      <c r="B409" s="46" t="s">
        <v>632</v>
      </c>
      <c r="C409" s="46">
        <v>7.982053421E9</v>
      </c>
      <c r="D409" s="46"/>
      <c r="E409" s="46"/>
      <c r="F409" s="46"/>
      <c r="G409" s="46" t="s">
        <v>303</v>
      </c>
      <c r="H409" s="46"/>
      <c r="I409" s="46"/>
      <c r="J409" s="46"/>
      <c r="K409" s="46" t="str">
        <f>IFERROR(__xludf.DUMMYFUNCTION("if(A409="""","""",IF(G409="""",""Myn"",IF(REGEXMATCH(lower(G409),""mynn""),""Myn"",if(G409&lt;&gt;"""",""GEMTRE"",""""))))"),"Myn")</f>
        <v>Myn</v>
      </c>
      <c r="L409" s="46" t="s">
        <v>2000</v>
      </c>
      <c r="M409" s="48">
        <v>45255.46060185185</v>
      </c>
    </row>
    <row r="410">
      <c r="A410" s="47">
        <v>45249.68381805556</v>
      </c>
      <c r="B410" s="46" t="s">
        <v>633</v>
      </c>
      <c r="C410" s="46">
        <v>8.860441442E9</v>
      </c>
      <c r="D410" s="46" t="s">
        <v>634</v>
      </c>
      <c r="E410" s="46" t="s">
        <v>635</v>
      </c>
      <c r="F410" s="46"/>
      <c r="G410" s="46" t="s">
        <v>303</v>
      </c>
      <c r="H410" s="46"/>
      <c r="I410" s="46"/>
      <c r="J410" s="46"/>
      <c r="K410" s="46" t="str">
        <f>IFERROR(__xludf.DUMMYFUNCTION("if(A410="""","""",IF(G410="""",""Myn"",IF(REGEXMATCH(lower(G410),""mynn""),""Myn"",if(G410&lt;&gt;"""",""GEMTRE"",""""))))"),"Myn")</f>
        <v>Myn</v>
      </c>
      <c r="L410" s="46" t="s">
        <v>2000</v>
      </c>
      <c r="M410" s="48">
        <v>45255.46060185185</v>
      </c>
    </row>
    <row r="411">
      <c r="A411" s="47">
        <v>45249.686893171296</v>
      </c>
      <c r="B411" s="46" t="s">
        <v>636</v>
      </c>
      <c r="C411" s="46">
        <v>7.98290861E9</v>
      </c>
      <c r="D411" s="46"/>
      <c r="E411" s="46" t="s">
        <v>637</v>
      </c>
      <c r="F411" s="46"/>
      <c r="G411" s="46" t="s">
        <v>303</v>
      </c>
      <c r="H411" s="46"/>
      <c r="I411" s="46"/>
      <c r="J411" s="46"/>
      <c r="K411" s="46" t="str">
        <f>IFERROR(__xludf.DUMMYFUNCTION("if(A411="""","""",IF(G411="""",""Myn"",IF(REGEXMATCH(lower(G411),""mynn""),""Myn"",if(G411&lt;&gt;"""",""GEMTRE"",""""))))"),"Myn")</f>
        <v>Myn</v>
      </c>
      <c r="L411" s="46" t="s">
        <v>2000</v>
      </c>
      <c r="M411" s="48">
        <v>45255.46060185185</v>
      </c>
    </row>
    <row r="412">
      <c r="A412" s="47">
        <v>45249.68812818287</v>
      </c>
      <c r="B412" s="46" t="s">
        <v>470</v>
      </c>
      <c r="C412" s="46">
        <v>9.810500352E9</v>
      </c>
      <c r="D412" s="46"/>
      <c r="E412" s="46" t="s">
        <v>638</v>
      </c>
      <c r="F412" s="46"/>
      <c r="G412" s="46" t="s">
        <v>303</v>
      </c>
      <c r="H412" s="46"/>
      <c r="I412" s="46"/>
      <c r="J412" s="46"/>
      <c r="K412" s="46" t="str">
        <f>IFERROR(__xludf.DUMMYFUNCTION("if(A412="""","""",IF(G412="""",""Myn"",IF(REGEXMATCH(lower(G412),""mynn""),""Myn"",if(G412&lt;&gt;"""",""GEMTRE"",""""))))"),"Myn")</f>
        <v>Myn</v>
      </c>
      <c r="L412" s="46" t="s">
        <v>2000</v>
      </c>
      <c r="M412" s="48">
        <v>45255.46060185185</v>
      </c>
    </row>
    <row r="413">
      <c r="A413" s="47">
        <v>45249.6910775463</v>
      </c>
      <c r="B413" s="46" t="s">
        <v>639</v>
      </c>
      <c r="C413" s="46">
        <v>9.810455005E9</v>
      </c>
      <c r="D413" s="46"/>
      <c r="E413" s="46" t="s">
        <v>71</v>
      </c>
      <c r="F413" s="46"/>
      <c r="G413" s="46" t="s">
        <v>303</v>
      </c>
      <c r="H413" s="46"/>
      <c r="I413" s="46"/>
      <c r="J413" s="46"/>
      <c r="K413" s="46" t="str">
        <f>IFERROR(__xludf.DUMMYFUNCTION("if(A413="""","""",IF(G413="""",""Myn"",IF(REGEXMATCH(lower(G413),""mynn""),""Myn"",if(G413&lt;&gt;"""",""GEMTRE"",""""))))"),"Myn")</f>
        <v>Myn</v>
      </c>
      <c r="L413" s="46" t="s">
        <v>2000</v>
      </c>
      <c r="M413" s="48">
        <v>45255.46060185185</v>
      </c>
    </row>
    <row r="414">
      <c r="A414" s="47">
        <v>45249.691565</v>
      </c>
      <c r="B414" s="46" t="s">
        <v>640</v>
      </c>
      <c r="C414" s="46">
        <v>9.911021076E9</v>
      </c>
      <c r="D414" s="46"/>
      <c r="E414" s="46" t="s">
        <v>641</v>
      </c>
      <c r="F414" s="46"/>
      <c r="G414" s="46" t="s">
        <v>303</v>
      </c>
      <c r="H414" s="46"/>
      <c r="I414" s="46"/>
      <c r="J414" s="46"/>
      <c r="K414" s="46" t="str">
        <f>IFERROR(__xludf.DUMMYFUNCTION("if(A414="""","""",IF(G414="""",""Myn"",IF(REGEXMATCH(lower(G414),""mynn""),""Myn"",if(G414&lt;&gt;"""",""GEMTRE"",""""))))"),"Myn")</f>
        <v>Myn</v>
      </c>
      <c r="L414" s="46" t="s">
        <v>2000</v>
      </c>
      <c r="M414" s="48">
        <v>45255.46060185185</v>
      </c>
    </row>
    <row r="415">
      <c r="A415" s="47">
        <v>45249.69219847222</v>
      </c>
      <c r="B415" s="46" t="s">
        <v>642</v>
      </c>
      <c r="C415" s="46">
        <v>9.212189755E9</v>
      </c>
      <c r="D415" s="46"/>
      <c r="E415" s="46" t="s">
        <v>79</v>
      </c>
      <c r="F415" s="46"/>
      <c r="G415" s="46" t="s">
        <v>303</v>
      </c>
      <c r="H415" s="46"/>
      <c r="I415" s="46"/>
      <c r="J415" s="46"/>
      <c r="K415" s="46" t="str">
        <f>IFERROR(__xludf.DUMMYFUNCTION("if(A415="""","""",IF(G415="""",""Myn"",IF(REGEXMATCH(lower(G415),""mynn""),""Myn"",if(G415&lt;&gt;"""",""GEMTRE"",""""))))"),"Myn")</f>
        <v>Myn</v>
      </c>
      <c r="L415" s="46" t="s">
        <v>2000</v>
      </c>
      <c r="M415" s="48">
        <v>45255.46060185185</v>
      </c>
    </row>
    <row r="416">
      <c r="A416" s="47">
        <v>45249.69306469907</v>
      </c>
      <c r="B416" s="46" t="s">
        <v>643</v>
      </c>
      <c r="C416" s="46">
        <v>9.967587582E9</v>
      </c>
      <c r="D416" s="46"/>
      <c r="E416" s="46"/>
      <c r="F416" s="46"/>
      <c r="G416" s="46" t="s">
        <v>303</v>
      </c>
      <c r="H416" s="46"/>
      <c r="I416" s="46"/>
      <c r="J416" s="46"/>
      <c r="K416" s="46" t="str">
        <f>IFERROR(__xludf.DUMMYFUNCTION("if(A416="""","""",IF(G416="""",""Myn"",IF(REGEXMATCH(lower(G416),""mynn""),""Myn"",if(G416&lt;&gt;"""",""GEMTRE"",""""))))"),"Myn")</f>
        <v>Myn</v>
      </c>
      <c r="L416" s="46" t="s">
        <v>2000</v>
      </c>
      <c r="M416" s="48">
        <v>45255.46060185185</v>
      </c>
    </row>
    <row r="417">
      <c r="A417" s="47">
        <v>45249.69554140046</v>
      </c>
      <c r="B417" s="46" t="s">
        <v>644</v>
      </c>
      <c r="C417" s="46">
        <v>9.821717097E9</v>
      </c>
      <c r="D417" s="46" t="s">
        <v>645</v>
      </c>
      <c r="E417" s="46" t="s">
        <v>71</v>
      </c>
      <c r="F417" s="46"/>
      <c r="G417" s="46" t="s">
        <v>303</v>
      </c>
      <c r="H417" s="46"/>
      <c r="I417" s="46"/>
      <c r="J417" s="46"/>
      <c r="K417" s="46" t="str">
        <f>IFERROR(__xludf.DUMMYFUNCTION("if(A417="""","""",IF(G417="""",""Myn"",IF(REGEXMATCH(lower(G417),""mynn""),""Myn"",if(G417&lt;&gt;"""",""GEMTRE"",""""))))"),"Myn")</f>
        <v>Myn</v>
      </c>
      <c r="L417" s="46" t="s">
        <v>2000</v>
      </c>
      <c r="M417" s="48">
        <v>45255.46060185185</v>
      </c>
    </row>
    <row r="418">
      <c r="A418" s="47">
        <v>45249.69728596065</v>
      </c>
      <c r="B418" s="46" t="s">
        <v>646</v>
      </c>
      <c r="C418" s="46">
        <v>8.233131816E9</v>
      </c>
      <c r="D418" s="46"/>
      <c r="E418" s="46"/>
      <c r="F418" s="46"/>
      <c r="G418" s="46" t="s">
        <v>303</v>
      </c>
      <c r="H418" s="46"/>
      <c r="I418" s="46"/>
      <c r="J418" s="46"/>
      <c r="K418" s="46" t="str">
        <f>IFERROR(__xludf.DUMMYFUNCTION("if(A418="""","""",IF(G418="""",""Myn"",IF(REGEXMATCH(lower(G418),""mynn""),""Myn"",if(G418&lt;&gt;"""",""GEMTRE"",""""))))"),"Myn")</f>
        <v>Myn</v>
      </c>
      <c r="L418" s="46" t="s">
        <v>2000</v>
      </c>
      <c r="M418" s="48">
        <v>45255.46060185185</v>
      </c>
    </row>
    <row r="419">
      <c r="A419" s="47">
        <v>45249.69825233796</v>
      </c>
      <c r="B419" s="46" t="s">
        <v>647</v>
      </c>
      <c r="C419" s="46">
        <v>9.810683324E9</v>
      </c>
      <c r="D419" s="46"/>
      <c r="E419" s="46" t="s">
        <v>648</v>
      </c>
      <c r="F419" s="46"/>
      <c r="G419" s="46" t="s">
        <v>289</v>
      </c>
      <c r="H419" s="46"/>
      <c r="I419" s="46"/>
      <c r="J419" s="46"/>
      <c r="K419" s="46" t="str">
        <f>IFERROR(__xludf.DUMMYFUNCTION("if(A419="""","""",IF(G419="""",""Myn"",IF(REGEXMATCH(lower(G419),""mynn""),""Myn"",if(G419&lt;&gt;"""",""GEMTRE"",""""))))"),"GEMTRE")</f>
        <v>GEMTRE</v>
      </c>
      <c r="L419" s="46" t="s">
        <v>2001</v>
      </c>
      <c r="M419" s="48">
        <v>45255.46060185185</v>
      </c>
    </row>
    <row r="420">
      <c r="A420" s="47">
        <v>45249.69837265046</v>
      </c>
      <c r="B420" s="46" t="s">
        <v>649</v>
      </c>
      <c r="C420" s="46">
        <v>9.899193221E9</v>
      </c>
      <c r="D420" s="46"/>
      <c r="E420" s="46"/>
      <c r="F420" s="46"/>
      <c r="G420" s="46" t="s">
        <v>303</v>
      </c>
      <c r="H420" s="46"/>
      <c r="I420" s="46"/>
      <c r="J420" s="46"/>
      <c r="K420" s="46" t="str">
        <f>IFERROR(__xludf.DUMMYFUNCTION("if(A420="""","""",IF(G420="""",""Myn"",IF(REGEXMATCH(lower(G420),""mynn""),""Myn"",if(G420&lt;&gt;"""",""GEMTRE"",""""))))"),"Myn")</f>
        <v>Myn</v>
      </c>
      <c r="L420" s="46" t="s">
        <v>2000</v>
      </c>
      <c r="M420" s="48">
        <v>45255.46060185185</v>
      </c>
    </row>
    <row r="421">
      <c r="A421" s="47">
        <v>45249.70057368056</v>
      </c>
      <c r="B421" s="46" t="s">
        <v>650</v>
      </c>
      <c r="C421" s="46">
        <v>9.31525881E9</v>
      </c>
      <c r="D421" s="46"/>
      <c r="E421" s="46"/>
      <c r="F421" s="46"/>
      <c r="G421" s="46" t="s">
        <v>303</v>
      </c>
      <c r="H421" s="46"/>
      <c r="I421" s="46"/>
      <c r="J421" s="46"/>
      <c r="K421" s="46" t="str">
        <f>IFERROR(__xludf.DUMMYFUNCTION("if(A421="""","""",IF(G421="""",""Myn"",IF(REGEXMATCH(lower(G421),""mynn""),""Myn"",if(G421&lt;&gt;"""",""GEMTRE"",""""))))"),"Myn")</f>
        <v>Myn</v>
      </c>
      <c r="L421" s="46" t="s">
        <v>2000</v>
      </c>
      <c r="M421" s="48">
        <v>45255.46060185185</v>
      </c>
    </row>
    <row r="422">
      <c r="A422" s="47">
        <v>45249.701694166666</v>
      </c>
      <c r="B422" s="46" t="s">
        <v>651</v>
      </c>
      <c r="C422" s="46">
        <v>9.671932719E9</v>
      </c>
      <c r="D422" s="46"/>
      <c r="E422" s="46"/>
      <c r="F422" s="46"/>
      <c r="G422" s="46" t="s">
        <v>303</v>
      </c>
      <c r="H422" s="46"/>
      <c r="I422" s="46"/>
      <c r="J422" s="46"/>
      <c r="K422" s="46" t="str">
        <f>IFERROR(__xludf.DUMMYFUNCTION("if(A422="""","""",IF(G422="""",""Myn"",IF(REGEXMATCH(lower(G422),""mynn""),""Myn"",if(G422&lt;&gt;"""",""GEMTRE"",""""))))"),"Myn")</f>
        <v>Myn</v>
      </c>
      <c r="L422" s="46" t="s">
        <v>2000</v>
      </c>
      <c r="M422" s="48">
        <v>45255.46060185185</v>
      </c>
    </row>
    <row r="423">
      <c r="A423" s="47">
        <v>45249.70192226852</v>
      </c>
      <c r="B423" s="46" t="s">
        <v>652</v>
      </c>
      <c r="C423" s="46">
        <v>9.911329213E9</v>
      </c>
      <c r="D423" s="46"/>
      <c r="E423" s="46"/>
      <c r="F423" s="46"/>
      <c r="G423" s="46" t="s">
        <v>289</v>
      </c>
      <c r="H423" s="46"/>
      <c r="I423" s="46"/>
      <c r="J423" s="46"/>
      <c r="K423" s="46" t="str">
        <f>IFERROR(__xludf.DUMMYFUNCTION("if(A423="""","""",IF(G423="""",""Myn"",IF(REGEXMATCH(lower(G423),""mynn""),""Myn"",if(G423&lt;&gt;"""",""GEMTRE"",""""))))"),"GEMTRE")</f>
        <v>GEMTRE</v>
      </c>
      <c r="L423" s="46" t="s">
        <v>2001</v>
      </c>
      <c r="M423" s="48">
        <v>45255.46060185185</v>
      </c>
    </row>
    <row r="424">
      <c r="A424" s="47">
        <v>45249.702517488426</v>
      </c>
      <c r="B424" s="46" t="s">
        <v>653</v>
      </c>
      <c r="C424" s="46">
        <v>9.911329213E9</v>
      </c>
      <c r="D424" s="46"/>
      <c r="E424" s="46"/>
      <c r="F424" s="46"/>
      <c r="G424" s="46" t="s">
        <v>289</v>
      </c>
      <c r="H424" s="46"/>
      <c r="I424" s="46"/>
      <c r="J424" s="46"/>
      <c r="K424" s="46" t="str">
        <f>IFERROR(__xludf.DUMMYFUNCTION("if(A424="""","""",IF(G424="""",""Myn"",IF(REGEXMATCH(lower(G424),""mynn""),""Myn"",if(G424&lt;&gt;"""",""GEMTRE"",""""))))"),"GEMTRE")</f>
        <v>GEMTRE</v>
      </c>
      <c r="L424" s="46" t="s">
        <v>2001</v>
      </c>
      <c r="M424" s="48">
        <v>45255.46060185185</v>
      </c>
    </row>
    <row r="425">
      <c r="A425" s="47">
        <v>45249.70277421296</v>
      </c>
      <c r="B425" s="46" t="s">
        <v>654</v>
      </c>
      <c r="C425" s="46">
        <v>9.990215164E9</v>
      </c>
      <c r="D425" s="46"/>
      <c r="E425" s="46"/>
      <c r="F425" s="46"/>
      <c r="G425" s="46" t="s">
        <v>289</v>
      </c>
      <c r="H425" s="46"/>
      <c r="I425" s="46"/>
      <c r="J425" s="46"/>
      <c r="K425" s="46" t="str">
        <f>IFERROR(__xludf.DUMMYFUNCTION("if(A425="""","""",IF(G425="""",""Myn"",IF(REGEXMATCH(lower(G425),""mynn""),""Myn"",if(G425&lt;&gt;"""",""GEMTRE"",""""))))"),"GEMTRE")</f>
        <v>GEMTRE</v>
      </c>
      <c r="L425" s="46" t="s">
        <v>2001</v>
      </c>
      <c r="M425" s="48">
        <v>45255.46060185185</v>
      </c>
    </row>
    <row r="426">
      <c r="A426" s="47">
        <v>45249.70369446759</v>
      </c>
      <c r="B426" s="46" t="s">
        <v>655</v>
      </c>
      <c r="C426" s="46">
        <v>9.81188726E9</v>
      </c>
      <c r="D426" s="46"/>
      <c r="E426" s="46"/>
      <c r="F426" s="46"/>
      <c r="G426" s="46" t="s">
        <v>303</v>
      </c>
      <c r="H426" s="46"/>
      <c r="I426" s="46"/>
      <c r="J426" s="46"/>
      <c r="K426" s="46" t="str">
        <f>IFERROR(__xludf.DUMMYFUNCTION("if(A426="""","""",IF(G426="""",""Myn"",IF(REGEXMATCH(lower(G426),""mynn""),""Myn"",if(G426&lt;&gt;"""",""GEMTRE"",""""))))"),"Myn")</f>
        <v>Myn</v>
      </c>
      <c r="L426" s="46" t="s">
        <v>2000</v>
      </c>
      <c r="M426" s="48">
        <v>45255.46060185185</v>
      </c>
    </row>
    <row r="427">
      <c r="A427" s="47">
        <v>45249.70428215278</v>
      </c>
      <c r="B427" s="46" t="s">
        <v>656</v>
      </c>
      <c r="C427" s="46">
        <v>9.911883588E9</v>
      </c>
      <c r="D427" s="46"/>
      <c r="E427" s="46"/>
      <c r="F427" s="46"/>
      <c r="G427" s="46" t="s">
        <v>303</v>
      </c>
      <c r="H427" s="46"/>
      <c r="I427" s="46"/>
      <c r="J427" s="46"/>
      <c r="K427" s="46" t="str">
        <f>IFERROR(__xludf.DUMMYFUNCTION("if(A427="""","""",IF(G427="""",""Myn"",IF(REGEXMATCH(lower(G427),""mynn""),""Myn"",if(G427&lt;&gt;"""",""GEMTRE"",""""))))"),"Myn")</f>
        <v>Myn</v>
      </c>
      <c r="L427" s="46" t="s">
        <v>2000</v>
      </c>
      <c r="M427" s="48">
        <v>45255.46060185185</v>
      </c>
    </row>
    <row r="428">
      <c r="A428" s="47">
        <v>45249.70454042824</v>
      </c>
      <c r="B428" s="46" t="s">
        <v>179</v>
      </c>
      <c r="C428" s="46">
        <v>9.21525881E9</v>
      </c>
      <c r="D428" s="46"/>
      <c r="E428" s="46"/>
      <c r="F428" s="46"/>
      <c r="G428" s="46" t="s">
        <v>289</v>
      </c>
      <c r="H428" s="46"/>
      <c r="I428" s="46"/>
      <c r="J428" s="46"/>
      <c r="K428" s="46" t="str">
        <f>IFERROR(__xludf.DUMMYFUNCTION("if(A428="""","""",IF(G428="""",""Myn"",IF(REGEXMATCH(lower(G428),""mynn""),""Myn"",if(G428&lt;&gt;"""",""GEMTRE"",""""))))"),"GEMTRE")</f>
        <v>GEMTRE</v>
      </c>
      <c r="L428" s="46" t="s">
        <v>2001</v>
      </c>
      <c r="M428" s="48">
        <v>45255.46060185185</v>
      </c>
    </row>
    <row r="429">
      <c r="A429" s="47">
        <v>45249.7053491088</v>
      </c>
      <c r="B429" s="46" t="s">
        <v>657</v>
      </c>
      <c r="C429" s="46">
        <v>7.527053735E9</v>
      </c>
      <c r="D429" s="46"/>
      <c r="E429" s="46"/>
      <c r="F429" s="46"/>
      <c r="G429" s="46" t="s">
        <v>303</v>
      </c>
      <c r="H429" s="46"/>
      <c r="I429" s="46"/>
      <c r="J429" s="46"/>
      <c r="K429" s="46" t="str">
        <f>IFERROR(__xludf.DUMMYFUNCTION("if(A429="""","""",IF(G429="""",""Myn"",IF(REGEXMATCH(lower(G429),""mynn""),""Myn"",if(G429&lt;&gt;"""",""GEMTRE"",""""))))"),"Myn")</f>
        <v>Myn</v>
      </c>
      <c r="L429" s="46" t="s">
        <v>2000</v>
      </c>
      <c r="M429" s="48">
        <v>45255.46060185185</v>
      </c>
    </row>
    <row r="430">
      <c r="A430" s="47">
        <v>45249.70625585648</v>
      </c>
      <c r="B430" s="46" t="s">
        <v>658</v>
      </c>
      <c r="C430" s="46">
        <v>7.04242042E9</v>
      </c>
      <c r="D430" s="46"/>
      <c r="E430" s="46"/>
      <c r="F430" s="46"/>
      <c r="G430" s="46" t="s">
        <v>303</v>
      </c>
      <c r="H430" s="46"/>
      <c r="I430" s="46"/>
      <c r="J430" s="46"/>
      <c r="K430" s="46" t="str">
        <f>IFERROR(__xludf.DUMMYFUNCTION("if(A430="""","""",IF(G430="""",""Myn"",IF(REGEXMATCH(lower(G430),""mynn""),""Myn"",if(G430&lt;&gt;"""",""GEMTRE"",""""))))"),"Myn")</f>
        <v>Myn</v>
      </c>
      <c r="L430" s="46" t="s">
        <v>2000</v>
      </c>
      <c r="M430" s="48">
        <v>45255.46060185185</v>
      </c>
    </row>
    <row r="431">
      <c r="A431" s="47">
        <v>45249.70913689815</v>
      </c>
      <c r="B431" s="46" t="s">
        <v>659</v>
      </c>
      <c r="C431" s="46">
        <v>9.817433373E9</v>
      </c>
      <c r="D431" s="46"/>
      <c r="E431" s="46"/>
      <c r="F431" s="46"/>
      <c r="G431" s="46" t="s">
        <v>303</v>
      </c>
      <c r="H431" s="46"/>
      <c r="I431" s="46"/>
      <c r="J431" s="46"/>
      <c r="K431" s="46" t="str">
        <f>IFERROR(__xludf.DUMMYFUNCTION("if(A431="""","""",IF(G431="""",""Myn"",IF(REGEXMATCH(lower(G431),""mynn""),""Myn"",if(G431&lt;&gt;"""",""GEMTRE"",""""))))"),"Myn")</f>
        <v>Myn</v>
      </c>
      <c r="L431" s="46" t="s">
        <v>2000</v>
      </c>
      <c r="M431" s="48">
        <v>45255.46060185185</v>
      </c>
    </row>
    <row r="432">
      <c r="A432" s="47">
        <v>45249.70978765046</v>
      </c>
      <c r="B432" s="46" t="s">
        <v>660</v>
      </c>
      <c r="C432" s="46">
        <v>8.368214545E9</v>
      </c>
      <c r="D432" s="46"/>
      <c r="E432" s="46"/>
      <c r="F432" s="46"/>
      <c r="G432" s="46" t="s">
        <v>303</v>
      </c>
      <c r="H432" s="46"/>
      <c r="I432" s="46"/>
      <c r="J432" s="46"/>
      <c r="K432" s="46" t="str">
        <f>IFERROR(__xludf.DUMMYFUNCTION("if(A432="""","""",IF(G432="""",""Myn"",IF(REGEXMATCH(lower(G432),""mynn""),""Myn"",if(G432&lt;&gt;"""",""GEMTRE"",""""))))"),"Myn")</f>
        <v>Myn</v>
      </c>
      <c r="L432" s="46" t="s">
        <v>2000</v>
      </c>
      <c r="M432" s="48">
        <v>45255.46060185185</v>
      </c>
    </row>
    <row r="433">
      <c r="A433" s="47">
        <v>45249.71036822916</v>
      </c>
      <c r="B433" s="46" t="s">
        <v>661</v>
      </c>
      <c r="C433" s="46">
        <v>9.6530181E9</v>
      </c>
      <c r="D433" s="46"/>
      <c r="E433" s="46" t="s">
        <v>662</v>
      </c>
      <c r="F433" s="46"/>
      <c r="G433" s="46" t="s">
        <v>303</v>
      </c>
      <c r="H433" s="46"/>
      <c r="I433" s="46"/>
      <c r="J433" s="46"/>
      <c r="K433" s="46" t="str">
        <f>IFERROR(__xludf.DUMMYFUNCTION("if(A433="""","""",IF(G433="""",""Myn"",IF(REGEXMATCH(lower(G433),""mynn""),""Myn"",if(G433&lt;&gt;"""",""GEMTRE"",""""))))"),"Myn")</f>
        <v>Myn</v>
      </c>
      <c r="L433" s="46" t="s">
        <v>2000</v>
      </c>
      <c r="M433" s="48">
        <v>45255.46060185185</v>
      </c>
    </row>
    <row r="434">
      <c r="A434" s="47">
        <v>45249.71197296296</v>
      </c>
      <c r="B434" s="46" t="s">
        <v>663</v>
      </c>
      <c r="C434" s="46">
        <v>9.971712516E9</v>
      </c>
      <c r="D434" s="46"/>
      <c r="E434" s="46"/>
      <c r="F434" s="46"/>
      <c r="G434" s="46" t="s">
        <v>303</v>
      </c>
      <c r="H434" s="46"/>
      <c r="I434" s="46"/>
      <c r="J434" s="46"/>
      <c r="K434" s="46" t="str">
        <f>IFERROR(__xludf.DUMMYFUNCTION("if(A434="""","""",IF(G434="""",""Myn"",IF(REGEXMATCH(lower(G434),""mynn""),""Myn"",if(G434&lt;&gt;"""",""GEMTRE"",""""))))"),"Myn")</f>
        <v>Myn</v>
      </c>
      <c r="L434" s="46" t="s">
        <v>2000</v>
      </c>
      <c r="M434" s="48">
        <v>45255.46060185185</v>
      </c>
    </row>
    <row r="435">
      <c r="A435" s="47">
        <v>45249.712268240735</v>
      </c>
      <c r="B435" s="46" t="s">
        <v>664</v>
      </c>
      <c r="C435" s="46">
        <v>7.290997505E9</v>
      </c>
      <c r="D435" s="46" t="s">
        <v>665</v>
      </c>
      <c r="E435" s="46" t="s">
        <v>15</v>
      </c>
      <c r="F435" s="46"/>
      <c r="G435" s="46" t="s">
        <v>303</v>
      </c>
      <c r="H435" s="46"/>
      <c r="I435" s="46"/>
      <c r="J435" s="46"/>
      <c r="K435" s="46" t="str">
        <f>IFERROR(__xludf.DUMMYFUNCTION("if(A435="""","""",IF(G435="""",""Myn"",IF(REGEXMATCH(lower(G435),""mynn""),""Myn"",if(G435&lt;&gt;"""",""GEMTRE"",""""))))"),"Myn")</f>
        <v>Myn</v>
      </c>
      <c r="L435" s="46" t="s">
        <v>2000</v>
      </c>
      <c r="M435" s="48">
        <v>45255.46060185185</v>
      </c>
    </row>
    <row r="436">
      <c r="A436" s="47">
        <v>45249.71297811343</v>
      </c>
      <c r="B436" s="46" t="s">
        <v>666</v>
      </c>
      <c r="C436" s="46">
        <v>7.982978397E9</v>
      </c>
      <c r="D436" s="46" t="s">
        <v>667</v>
      </c>
      <c r="E436" s="46" t="s">
        <v>599</v>
      </c>
      <c r="F436" s="46"/>
      <c r="G436" s="46" t="s">
        <v>303</v>
      </c>
      <c r="H436" s="46"/>
      <c r="I436" s="46"/>
      <c r="J436" s="46"/>
      <c r="K436" s="46" t="str">
        <f>IFERROR(__xludf.DUMMYFUNCTION("if(A436="""","""",IF(G436="""",""Myn"",IF(REGEXMATCH(lower(G436),""mynn""),""Myn"",if(G436&lt;&gt;"""",""GEMTRE"",""""))))"),"Myn")</f>
        <v>Myn</v>
      </c>
      <c r="L436" s="46" t="s">
        <v>2000</v>
      </c>
      <c r="M436" s="48">
        <v>45255.46060185185</v>
      </c>
    </row>
    <row r="437">
      <c r="A437" s="47">
        <v>45249.71590200231</v>
      </c>
      <c r="B437" s="46" t="s">
        <v>668</v>
      </c>
      <c r="C437" s="46">
        <v>9.870521545E9</v>
      </c>
      <c r="D437" s="46"/>
      <c r="E437" s="46"/>
      <c r="F437" s="46"/>
      <c r="G437" s="46" t="s">
        <v>303</v>
      </c>
      <c r="H437" s="46"/>
      <c r="I437" s="46"/>
      <c r="J437" s="46"/>
      <c r="K437" s="46" t="str">
        <f>IFERROR(__xludf.DUMMYFUNCTION("if(A437="""","""",IF(G437="""",""Myn"",IF(REGEXMATCH(lower(G437),""mynn""),""Myn"",if(G437&lt;&gt;"""",""GEMTRE"",""""))))"),"Myn")</f>
        <v>Myn</v>
      </c>
      <c r="L437" s="46" t="s">
        <v>2000</v>
      </c>
      <c r="M437" s="48">
        <v>45255.46060185185</v>
      </c>
    </row>
    <row r="438">
      <c r="A438" s="47">
        <v>45249.71886108797</v>
      </c>
      <c r="B438" s="46" t="s">
        <v>539</v>
      </c>
      <c r="C438" s="46">
        <v>8.58687987E9</v>
      </c>
      <c r="D438" s="46"/>
      <c r="E438" s="46" t="s">
        <v>599</v>
      </c>
      <c r="F438" s="46"/>
      <c r="G438" s="46" t="s">
        <v>303</v>
      </c>
      <c r="H438" s="46"/>
      <c r="I438" s="46"/>
      <c r="J438" s="46"/>
      <c r="K438" s="46" t="str">
        <f>IFERROR(__xludf.DUMMYFUNCTION("if(A438="""","""",IF(G438="""",""Myn"",IF(REGEXMATCH(lower(G438),""mynn""),""Myn"",if(G438&lt;&gt;"""",""GEMTRE"",""""))))"),"Myn")</f>
        <v>Myn</v>
      </c>
      <c r="L438" s="46" t="s">
        <v>2000</v>
      </c>
      <c r="M438" s="48">
        <v>45255.46060185185</v>
      </c>
    </row>
    <row r="439">
      <c r="A439" s="47">
        <v>45249.72211778935</v>
      </c>
      <c r="B439" s="46" t="s">
        <v>669</v>
      </c>
      <c r="C439" s="46">
        <v>8.901388384E9</v>
      </c>
      <c r="D439" s="46"/>
      <c r="E439" s="46"/>
      <c r="F439" s="46"/>
      <c r="G439" s="46" t="s">
        <v>303</v>
      </c>
      <c r="H439" s="46"/>
      <c r="I439" s="46"/>
      <c r="J439" s="46"/>
      <c r="K439" s="46" t="str">
        <f>IFERROR(__xludf.DUMMYFUNCTION("if(A439="""","""",IF(G439="""",""Myn"",IF(REGEXMATCH(lower(G439),""mynn""),""Myn"",if(G439&lt;&gt;"""",""GEMTRE"",""""))))"),"Myn")</f>
        <v>Myn</v>
      </c>
      <c r="L439" s="46" t="s">
        <v>2000</v>
      </c>
      <c r="M439" s="48">
        <v>45255.46060185185</v>
      </c>
    </row>
    <row r="440">
      <c r="A440" s="47">
        <v>45249.722461840276</v>
      </c>
      <c r="B440" s="46" t="s">
        <v>670</v>
      </c>
      <c r="C440" s="46">
        <v>8.800787853E9</v>
      </c>
      <c r="D440" s="46"/>
      <c r="E440" s="46"/>
      <c r="F440" s="46"/>
      <c r="G440" s="46" t="s">
        <v>303</v>
      </c>
      <c r="H440" s="46"/>
      <c r="I440" s="46"/>
      <c r="J440" s="46"/>
      <c r="K440" s="46" t="str">
        <f>IFERROR(__xludf.DUMMYFUNCTION("if(A440="""","""",IF(G440="""",""Myn"",IF(REGEXMATCH(lower(G440),""mynn""),""Myn"",if(G440&lt;&gt;"""",""GEMTRE"",""""))))"),"Myn")</f>
        <v>Myn</v>
      </c>
      <c r="L440" s="46" t="s">
        <v>2000</v>
      </c>
      <c r="M440" s="48">
        <v>45255.46060185185</v>
      </c>
    </row>
    <row r="441">
      <c r="A441" s="47">
        <v>45249.72309775463</v>
      </c>
      <c r="B441" s="46" t="s">
        <v>671</v>
      </c>
      <c r="C441" s="46">
        <v>9.692897928E9</v>
      </c>
      <c r="D441" s="46"/>
      <c r="E441" s="46"/>
      <c r="F441" s="46"/>
      <c r="G441" s="46" t="s">
        <v>303</v>
      </c>
      <c r="H441" s="46"/>
      <c r="I441" s="46"/>
      <c r="J441" s="46"/>
      <c r="K441" s="46" t="str">
        <f>IFERROR(__xludf.DUMMYFUNCTION("if(A441="""","""",IF(G441="""",""Myn"",IF(REGEXMATCH(lower(G441),""mynn""),""Myn"",if(G441&lt;&gt;"""",""GEMTRE"",""""))))"),"Myn")</f>
        <v>Myn</v>
      </c>
      <c r="L441" s="46" t="s">
        <v>2000</v>
      </c>
      <c r="M441" s="48">
        <v>45255.46060185185</v>
      </c>
    </row>
    <row r="442">
      <c r="A442" s="47">
        <v>45249.72448252315</v>
      </c>
      <c r="B442" s="46" t="s">
        <v>525</v>
      </c>
      <c r="C442" s="46">
        <v>9.210029848E9</v>
      </c>
      <c r="D442" s="46"/>
      <c r="E442" s="46" t="s">
        <v>672</v>
      </c>
      <c r="F442" s="46"/>
      <c r="G442" s="46" t="s">
        <v>289</v>
      </c>
      <c r="H442" s="46"/>
      <c r="I442" s="46"/>
      <c r="J442" s="46"/>
      <c r="K442" s="46" t="str">
        <f>IFERROR(__xludf.DUMMYFUNCTION("if(A442="""","""",IF(G442="""",""Myn"",IF(REGEXMATCH(lower(G442),""mynn""),""Myn"",if(G442&lt;&gt;"""",""GEMTRE"",""""))))"),"GEMTRE")</f>
        <v>GEMTRE</v>
      </c>
      <c r="L442" s="46" t="s">
        <v>2001</v>
      </c>
      <c r="M442" s="48">
        <v>45255.46060185185</v>
      </c>
    </row>
    <row r="443">
      <c r="A443" s="47">
        <v>45249.72479094907</v>
      </c>
      <c r="B443" s="46" t="s">
        <v>673</v>
      </c>
      <c r="C443" s="46">
        <v>9.910310221E9</v>
      </c>
      <c r="D443" s="46"/>
      <c r="E443" s="46" t="s">
        <v>599</v>
      </c>
      <c r="F443" s="46"/>
      <c r="G443" s="46" t="s">
        <v>303</v>
      </c>
      <c r="H443" s="46"/>
      <c r="I443" s="46"/>
      <c r="J443" s="46"/>
      <c r="K443" s="46" t="str">
        <f>IFERROR(__xludf.DUMMYFUNCTION("if(A443="""","""",IF(G443="""",""Myn"",IF(REGEXMATCH(lower(G443),""mynn""),""Myn"",if(G443&lt;&gt;"""",""GEMTRE"",""""))))"),"Myn")</f>
        <v>Myn</v>
      </c>
      <c r="L443" s="46" t="s">
        <v>2000</v>
      </c>
      <c r="M443" s="48">
        <v>45255.46060185185</v>
      </c>
    </row>
    <row r="444">
      <c r="A444" s="47">
        <v>45249.72499980324</v>
      </c>
      <c r="B444" s="46" t="s">
        <v>674</v>
      </c>
      <c r="C444" s="46">
        <v>8.368685491E9</v>
      </c>
      <c r="D444" s="46"/>
      <c r="E444" s="46"/>
      <c r="F444" s="46"/>
      <c r="G444" s="46" t="s">
        <v>289</v>
      </c>
      <c r="H444" s="46"/>
      <c r="I444" s="46"/>
      <c r="J444" s="46"/>
      <c r="K444" s="46" t="str">
        <f>IFERROR(__xludf.DUMMYFUNCTION("if(A444="""","""",IF(G444="""",""Myn"",IF(REGEXMATCH(lower(G444),""mynn""),""Myn"",if(G444&lt;&gt;"""",""GEMTRE"",""""))))"),"GEMTRE")</f>
        <v>GEMTRE</v>
      </c>
      <c r="L444" s="46" t="s">
        <v>2001</v>
      </c>
      <c r="M444" s="48">
        <v>45255.46060185185</v>
      </c>
    </row>
    <row r="445">
      <c r="A445" s="47">
        <v>45249.7255100926</v>
      </c>
      <c r="B445" s="46" t="s">
        <v>675</v>
      </c>
      <c r="C445" s="46">
        <v>9.136117195E9</v>
      </c>
      <c r="D445" s="46"/>
      <c r="E445" s="46"/>
      <c r="F445" s="46"/>
      <c r="G445" s="46" t="s">
        <v>289</v>
      </c>
      <c r="H445" s="46"/>
      <c r="I445" s="46"/>
      <c r="J445" s="46"/>
      <c r="K445" s="46" t="str">
        <f>IFERROR(__xludf.DUMMYFUNCTION("if(A445="""","""",IF(G445="""",""Myn"",IF(REGEXMATCH(lower(G445),""mynn""),""Myn"",if(G445&lt;&gt;"""",""GEMTRE"",""""))))"),"GEMTRE")</f>
        <v>GEMTRE</v>
      </c>
      <c r="L445" s="46" t="s">
        <v>2001</v>
      </c>
      <c r="M445" s="48">
        <v>45255.46060185185</v>
      </c>
    </row>
    <row r="446">
      <c r="A446" s="47">
        <v>45249.72565118056</v>
      </c>
      <c r="B446" s="46" t="s">
        <v>676</v>
      </c>
      <c r="C446" s="46">
        <v>9.57204501E9</v>
      </c>
      <c r="D446" s="46"/>
      <c r="E446" s="46" t="s">
        <v>599</v>
      </c>
      <c r="F446" s="46"/>
      <c r="G446" s="46" t="s">
        <v>303</v>
      </c>
      <c r="H446" s="46"/>
      <c r="I446" s="46"/>
      <c r="J446" s="46"/>
      <c r="K446" s="46" t="str">
        <f>IFERROR(__xludf.DUMMYFUNCTION("if(A446="""","""",IF(G446="""",""Myn"",IF(REGEXMATCH(lower(G446),""mynn""),""Myn"",if(G446&lt;&gt;"""",""GEMTRE"",""""))))"),"Myn")</f>
        <v>Myn</v>
      </c>
      <c r="L446" s="46" t="s">
        <v>2000</v>
      </c>
      <c r="M446" s="48">
        <v>45255.46060185185</v>
      </c>
    </row>
    <row r="447">
      <c r="A447" s="47">
        <v>45249.7258674537</v>
      </c>
      <c r="B447" s="46" t="s">
        <v>677</v>
      </c>
      <c r="C447" s="46">
        <v>9.582645551E9</v>
      </c>
      <c r="D447" s="46"/>
      <c r="E447" s="46"/>
      <c r="F447" s="46"/>
      <c r="G447" s="46" t="s">
        <v>289</v>
      </c>
      <c r="H447" s="46"/>
      <c r="I447" s="46"/>
      <c r="J447" s="46"/>
      <c r="K447" s="46" t="str">
        <f>IFERROR(__xludf.DUMMYFUNCTION("if(A447="""","""",IF(G447="""",""Myn"",IF(REGEXMATCH(lower(G447),""mynn""),""Myn"",if(G447&lt;&gt;"""",""GEMTRE"",""""))))"),"GEMTRE")</f>
        <v>GEMTRE</v>
      </c>
      <c r="L447" s="46" t="s">
        <v>2001</v>
      </c>
      <c r="M447" s="48">
        <v>45255.46060185185</v>
      </c>
    </row>
    <row r="448">
      <c r="A448" s="47">
        <v>45249.72624912037</v>
      </c>
      <c r="B448" s="46" t="s">
        <v>678</v>
      </c>
      <c r="C448" s="46">
        <v>8.076516975E9</v>
      </c>
      <c r="D448" s="46"/>
      <c r="E448" s="46"/>
      <c r="F448" s="46"/>
      <c r="G448" s="46" t="s">
        <v>289</v>
      </c>
      <c r="H448" s="46"/>
      <c r="I448" s="46"/>
      <c r="J448" s="46"/>
      <c r="K448" s="46" t="str">
        <f>IFERROR(__xludf.DUMMYFUNCTION("if(A448="""","""",IF(G448="""",""Myn"",IF(REGEXMATCH(lower(G448),""mynn""),""Myn"",if(G448&lt;&gt;"""",""GEMTRE"",""""))))"),"GEMTRE")</f>
        <v>GEMTRE</v>
      </c>
      <c r="L448" s="46" t="s">
        <v>2001</v>
      </c>
      <c r="M448" s="48">
        <v>45255.46060185185</v>
      </c>
    </row>
    <row r="449">
      <c r="A449" s="47">
        <v>45249.72662001157</v>
      </c>
      <c r="B449" s="46" t="s">
        <v>679</v>
      </c>
      <c r="C449" s="46">
        <v>9.64395943E9</v>
      </c>
      <c r="D449" s="46" t="s">
        <v>680</v>
      </c>
      <c r="E449" s="46" t="s">
        <v>681</v>
      </c>
      <c r="F449" s="46"/>
      <c r="G449" s="46" t="s">
        <v>303</v>
      </c>
      <c r="H449" s="46"/>
      <c r="I449" s="46"/>
      <c r="J449" s="46"/>
      <c r="K449" s="46" t="str">
        <f>IFERROR(__xludf.DUMMYFUNCTION("if(A449="""","""",IF(G449="""",""Myn"",IF(REGEXMATCH(lower(G449),""mynn""),""Myn"",if(G449&lt;&gt;"""",""GEMTRE"",""""))))"),"Myn")</f>
        <v>Myn</v>
      </c>
      <c r="L449" s="46" t="s">
        <v>2000</v>
      </c>
      <c r="M449" s="48">
        <v>45255.46060185185</v>
      </c>
    </row>
    <row r="450">
      <c r="A450" s="47">
        <v>45249.72675783565</v>
      </c>
      <c r="B450" s="46" t="s">
        <v>486</v>
      </c>
      <c r="C450" s="46">
        <v>8.448663897E9</v>
      </c>
      <c r="D450" s="46"/>
      <c r="E450" s="46"/>
      <c r="F450" s="46"/>
      <c r="G450" s="46" t="s">
        <v>289</v>
      </c>
      <c r="H450" s="46"/>
      <c r="I450" s="46"/>
      <c r="J450" s="46"/>
      <c r="K450" s="46" t="str">
        <f>IFERROR(__xludf.DUMMYFUNCTION("if(A450="""","""",IF(G450="""",""Myn"",IF(REGEXMATCH(lower(G450),""mynn""),""Myn"",if(G450&lt;&gt;"""",""GEMTRE"",""""))))"),"GEMTRE")</f>
        <v>GEMTRE</v>
      </c>
      <c r="L450" s="46" t="s">
        <v>2001</v>
      </c>
      <c r="M450" s="48">
        <v>45255.46060185185</v>
      </c>
    </row>
    <row r="451">
      <c r="A451" s="47">
        <v>45249.72707671297</v>
      </c>
      <c r="B451" s="46" t="s">
        <v>682</v>
      </c>
      <c r="C451" s="46">
        <v>8.3768369E9</v>
      </c>
      <c r="D451" s="46"/>
      <c r="E451" s="46"/>
      <c r="F451" s="46"/>
      <c r="G451" s="46" t="s">
        <v>289</v>
      </c>
      <c r="H451" s="46"/>
      <c r="I451" s="46"/>
      <c r="J451" s="46"/>
      <c r="K451" s="46" t="str">
        <f>IFERROR(__xludf.DUMMYFUNCTION("if(A451="""","""",IF(G451="""",""Myn"",IF(REGEXMATCH(lower(G451),""mynn""),""Myn"",if(G451&lt;&gt;"""",""GEMTRE"",""""))))"),"GEMTRE")</f>
        <v>GEMTRE</v>
      </c>
      <c r="L451" s="46" t="s">
        <v>2001</v>
      </c>
      <c r="M451" s="48">
        <v>45255.46060185185</v>
      </c>
    </row>
    <row r="452">
      <c r="A452" s="47">
        <v>45249.72746444444</v>
      </c>
      <c r="B452" s="46" t="s">
        <v>683</v>
      </c>
      <c r="C452" s="46">
        <v>9.540658998E9</v>
      </c>
      <c r="D452" s="46"/>
      <c r="E452" s="46"/>
      <c r="F452" s="46"/>
      <c r="G452" s="46" t="s">
        <v>289</v>
      </c>
      <c r="H452" s="46"/>
      <c r="I452" s="46"/>
      <c r="J452" s="46"/>
      <c r="K452" s="46" t="str">
        <f>IFERROR(__xludf.DUMMYFUNCTION("if(A452="""","""",IF(G452="""",""Myn"",IF(REGEXMATCH(lower(G452),""mynn""),""Myn"",if(G452&lt;&gt;"""",""GEMTRE"",""""))))"),"GEMTRE")</f>
        <v>GEMTRE</v>
      </c>
      <c r="L452" s="46" t="s">
        <v>2001</v>
      </c>
      <c r="M452" s="48">
        <v>45255.46060185185</v>
      </c>
    </row>
    <row r="453">
      <c r="A453" s="47">
        <v>45249.727978553245</v>
      </c>
      <c r="B453" s="46" t="s">
        <v>684</v>
      </c>
      <c r="C453" s="46">
        <v>9.717170333E9</v>
      </c>
      <c r="D453" s="46"/>
      <c r="E453" s="46" t="s">
        <v>685</v>
      </c>
      <c r="F453" s="46"/>
      <c r="G453" s="46" t="s">
        <v>289</v>
      </c>
      <c r="H453" s="46"/>
      <c r="I453" s="46"/>
      <c r="J453" s="46"/>
      <c r="K453" s="46" t="str">
        <f>IFERROR(__xludf.DUMMYFUNCTION("if(A453="""","""",IF(G453="""",""Myn"",IF(REGEXMATCH(lower(G453),""mynn""),""Myn"",if(G453&lt;&gt;"""",""GEMTRE"",""""))))"),"GEMTRE")</f>
        <v>GEMTRE</v>
      </c>
      <c r="L453" s="46" t="s">
        <v>2001</v>
      </c>
      <c r="M453" s="48">
        <v>45255.46060185185</v>
      </c>
    </row>
    <row r="454">
      <c r="A454" s="47">
        <v>45249.72830701389</v>
      </c>
      <c r="B454" s="46" t="s">
        <v>686</v>
      </c>
      <c r="C454" s="46">
        <v>7.009614365E9</v>
      </c>
      <c r="D454" s="46"/>
      <c r="E454" s="46"/>
      <c r="F454" s="46"/>
      <c r="G454" s="46" t="s">
        <v>289</v>
      </c>
      <c r="H454" s="46"/>
      <c r="I454" s="46"/>
      <c r="J454" s="46"/>
      <c r="K454" s="46" t="str">
        <f>IFERROR(__xludf.DUMMYFUNCTION("if(A454="""","""",IF(G454="""",""Myn"",IF(REGEXMATCH(lower(G454),""mynn""),""Myn"",if(G454&lt;&gt;"""",""GEMTRE"",""""))))"),"GEMTRE")</f>
        <v>GEMTRE</v>
      </c>
      <c r="L454" s="46" t="s">
        <v>2001</v>
      </c>
      <c r="M454" s="48">
        <v>45255.46060185185</v>
      </c>
    </row>
    <row r="455">
      <c r="A455" s="47">
        <v>45249.72879930555</v>
      </c>
      <c r="B455" s="46" t="s">
        <v>687</v>
      </c>
      <c r="C455" s="46">
        <v>9.716161698E9</v>
      </c>
      <c r="D455" s="46"/>
      <c r="E455" s="46" t="s">
        <v>688</v>
      </c>
      <c r="F455" s="46"/>
      <c r="G455" s="46" t="s">
        <v>289</v>
      </c>
      <c r="H455" s="46"/>
      <c r="I455" s="46"/>
      <c r="J455" s="46"/>
      <c r="K455" s="46" t="str">
        <f>IFERROR(__xludf.DUMMYFUNCTION("if(A455="""","""",IF(G455="""",""Myn"",IF(REGEXMATCH(lower(G455),""mynn""),""Myn"",if(G455&lt;&gt;"""",""GEMTRE"",""""))))"),"GEMTRE")</f>
        <v>GEMTRE</v>
      </c>
      <c r="L455" s="46" t="s">
        <v>2001</v>
      </c>
      <c r="M455" s="48">
        <v>45255.46060185185</v>
      </c>
    </row>
    <row r="456">
      <c r="A456" s="47">
        <v>45249.72928584491</v>
      </c>
      <c r="B456" s="46" t="s">
        <v>689</v>
      </c>
      <c r="C456" s="46">
        <v>9.991381E9</v>
      </c>
      <c r="D456" s="46"/>
      <c r="E456" s="46"/>
      <c r="F456" s="46"/>
      <c r="G456" s="46" t="s">
        <v>289</v>
      </c>
      <c r="H456" s="46"/>
      <c r="I456" s="46"/>
      <c r="J456" s="46"/>
      <c r="K456" s="46" t="str">
        <f>IFERROR(__xludf.DUMMYFUNCTION("if(A456="""","""",IF(G456="""",""Myn"",IF(REGEXMATCH(lower(G456),""mynn""),""Myn"",if(G456&lt;&gt;"""",""GEMTRE"",""""))))"),"GEMTRE")</f>
        <v>GEMTRE</v>
      </c>
      <c r="L456" s="46" t="s">
        <v>2001</v>
      </c>
      <c r="M456" s="48">
        <v>45255.46060185185</v>
      </c>
    </row>
    <row r="457">
      <c r="A457" s="47">
        <v>45249.729722118056</v>
      </c>
      <c r="B457" s="46" t="s">
        <v>690</v>
      </c>
      <c r="C457" s="46">
        <v>9.99012078E9</v>
      </c>
      <c r="D457" s="46"/>
      <c r="E457" s="46"/>
      <c r="F457" s="46"/>
      <c r="G457" s="46" t="s">
        <v>289</v>
      </c>
      <c r="H457" s="46"/>
      <c r="I457" s="46"/>
      <c r="J457" s="46"/>
      <c r="K457" s="46" t="str">
        <f>IFERROR(__xludf.DUMMYFUNCTION("if(A457="""","""",IF(G457="""",""Myn"",IF(REGEXMATCH(lower(G457),""mynn""),""Myn"",if(G457&lt;&gt;"""",""GEMTRE"",""""))))"),"GEMTRE")</f>
        <v>GEMTRE</v>
      </c>
      <c r="L457" s="46" t="s">
        <v>2001</v>
      </c>
      <c r="M457" s="48">
        <v>45255.46060185185</v>
      </c>
    </row>
    <row r="458">
      <c r="A458" s="47">
        <v>45249.73004277778</v>
      </c>
      <c r="B458" s="46" t="s">
        <v>691</v>
      </c>
      <c r="C458" s="46">
        <v>8.368922378E9</v>
      </c>
      <c r="D458" s="46"/>
      <c r="E458" s="46"/>
      <c r="F458" s="46"/>
      <c r="G458" s="46" t="s">
        <v>289</v>
      </c>
      <c r="H458" s="46"/>
      <c r="I458" s="46"/>
      <c r="J458" s="46"/>
      <c r="K458" s="46" t="str">
        <f>IFERROR(__xludf.DUMMYFUNCTION("if(A458="""","""",IF(G458="""",""Myn"",IF(REGEXMATCH(lower(G458),""mynn""),""Myn"",if(G458&lt;&gt;"""",""GEMTRE"",""""))))"),"GEMTRE")</f>
        <v>GEMTRE</v>
      </c>
      <c r="L458" s="46" t="s">
        <v>2001</v>
      </c>
      <c r="M458" s="48">
        <v>45255.46060185185</v>
      </c>
    </row>
    <row r="459">
      <c r="A459" s="47">
        <v>45249.73081392361</v>
      </c>
      <c r="B459" s="46" t="s">
        <v>692</v>
      </c>
      <c r="C459" s="46">
        <v>9.812902533E9</v>
      </c>
      <c r="D459" s="46"/>
      <c r="E459" s="46"/>
      <c r="F459" s="46"/>
      <c r="G459" s="46" t="s">
        <v>289</v>
      </c>
      <c r="H459" s="46"/>
      <c r="I459" s="46"/>
      <c r="J459" s="46"/>
      <c r="K459" s="46" t="str">
        <f>IFERROR(__xludf.DUMMYFUNCTION("if(A459="""","""",IF(G459="""",""Myn"",IF(REGEXMATCH(lower(G459),""mynn""),""Myn"",if(G459&lt;&gt;"""",""GEMTRE"",""""))))"),"GEMTRE")</f>
        <v>GEMTRE</v>
      </c>
      <c r="L459" s="46" t="s">
        <v>2001</v>
      </c>
      <c r="M459" s="48">
        <v>45255.46060185185</v>
      </c>
    </row>
    <row r="460">
      <c r="A460" s="47">
        <v>45249.73137222222</v>
      </c>
      <c r="B460" s="46" t="s">
        <v>693</v>
      </c>
      <c r="C460" s="46">
        <v>9.871578787E9</v>
      </c>
      <c r="D460" s="46"/>
      <c r="E460" s="46"/>
      <c r="F460" s="46"/>
      <c r="G460" s="46" t="s">
        <v>289</v>
      </c>
      <c r="H460" s="46"/>
      <c r="I460" s="46"/>
      <c r="J460" s="46"/>
      <c r="K460" s="46" t="str">
        <f>IFERROR(__xludf.DUMMYFUNCTION("if(A460="""","""",IF(G460="""",""Myn"",IF(REGEXMATCH(lower(G460),""mynn""),""Myn"",if(G460&lt;&gt;"""",""GEMTRE"",""""))))"),"GEMTRE")</f>
        <v>GEMTRE</v>
      </c>
      <c r="L460" s="46" t="s">
        <v>2001</v>
      </c>
      <c r="M460" s="48">
        <v>45255.46060185185</v>
      </c>
    </row>
    <row r="461">
      <c r="A461" s="47">
        <v>45249.7318568287</v>
      </c>
      <c r="B461" s="46" t="s">
        <v>694</v>
      </c>
      <c r="C461" s="46">
        <v>9.958097438E9</v>
      </c>
      <c r="D461" s="46"/>
      <c r="E461" s="46" t="s">
        <v>695</v>
      </c>
      <c r="F461" s="46"/>
      <c r="G461" s="46" t="s">
        <v>289</v>
      </c>
      <c r="H461" s="46"/>
      <c r="I461" s="46"/>
      <c r="J461" s="46"/>
      <c r="K461" s="46" t="str">
        <f>IFERROR(__xludf.DUMMYFUNCTION("if(A461="""","""",IF(G461="""",""Myn"",IF(REGEXMATCH(lower(G461),""mynn""),""Myn"",if(G461&lt;&gt;"""",""GEMTRE"",""""))))"),"GEMTRE")</f>
        <v>GEMTRE</v>
      </c>
      <c r="L461" s="46" t="s">
        <v>2001</v>
      </c>
      <c r="M461" s="48">
        <v>45255.46060185185</v>
      </c>
    </row>
    <row r="462">
      <c r="A462" s="47">
        <v>45249.73231765046</v>
      </c>
      <c r="B462" s="46" t="s">
        <v>696</v>
      </c>
      <c r="C462" s="46">
        <v>9.953960602E9</v>
      </c>
      <c r="D462" s="46"/>
      <c r="E462" s="46" t="s">
        <v>697</v>
      </c>
      <c r="F462" s="46"/>
      <c r="G462" s="46" t="s">
        <v>289</v>
      </c>
      <c r="H462" s="46"/>
      <c r="I462" s="46"/>
      <c r="J462" s="46"/>
      <c r="K462" s="46" t="str">
        <f>IFERROR(__xludf.DUMMYFUNCTION("if(A462="""","""",IF(G462="""",""Myn"",IF(REGEXMATCH(lower(G462),""mynn""),""Myn"",if(G462&lt;&gt;"""",""GEMTRE"",""""))))"),"GEMTRE")</f>
        <v>GEMTRE</v>
      </c>
      <c r="L462" s="46" t="s">
        <v>2001</v>
      </c>
      <c r="M462" s="48">
        <v>45255.46060185185</v>
      </c>
    </row>
    <row r="463">
      <c r="A463" s="47">
        <v>45249.73262231481</v>
      </c>
      <c r="B463" s="46" t="s">
        <v>698</v>
      </c>
      <c r="C463" s="46">
        <v>9.891815228E9</v>
      </c>
      <c r="D463" s="46"/>
      <c r="E463" s="46"/>
      <c r="F463" s="46"/>
      <c r="G463" s="46" t="s">
        <v>289</v>
      </c>
      <c r="H463" s="46"/>
      <c r="I463" s="46"/>
      <c r="J463" s="46"/>
      <c r="K463" s="46" t="str">
        <f>IFERROR(__xludf.DUMMYFUNCTION("if(A463="""","""",IF(G463="""",""Myn"",IF(REGEXMATCH(lower(G463),""mynn""),""Myn"",if(G463&lt;&gt;"""",""GEMTRE"",""""))))"),"GEMTRE")</f>
        <v>GEMTRE</v>
      </c>
      <c r="L463" s="46" t="s">
        <v>2001</v>
      </c>
      <c r="M463" s="48">
        <v>45255.46060185185</v>
      </c>
    </row>
    <row r="464">
      <c r="A464" s="47">
        <v>45249.73267981481</v>
      </c>
      <c r="B464" s="46" t="s">
        <v>169</v>
      </c>
      <c r="C464" s="46">
        <v>8.802571074E9</v>
      </c>
      <c r="D464" s="46"/>
      <c r="E464" s="46"/>
      <c r="F464" s="46"/>
      <c r="G464" s="46" t="s">
        <v>303</v>
      </c>
      <c r="H464" s="46"/>
      <c r="I464" s="46"/>
      <c r="J464" s="46"/>
      <c r="K464" s="46" t="str">
        <f>IFERROR(__xludf.DUMMYFUNCTION("if(A464="""","""",IF(G464="""",""Myn"",IF(REGEXMATCH(lower(G464),""mynn""),""Myn"",if(G464&lt;&gt;"""",""GEMTRE"",""""))))"),"Myn")</f>
        <v>Myn</v>
      </c>
      <c r="L464" s="46" t="s">
        <v>2000</v>
      </c>
      <c r="M464" s="48">
        <v>45255.46060185185</v>
      </c>
    </row>
    <row r="465">
      <c r="A465" s="47">
        <v>45249.73385538194</v>
      </c>
      <c r="B465" s="46" t="s">
        <v>699</v>
      </c>
      <c r="C465" s="46">
        <v>9.555311183E9</v>
      </c>
      <c r="D465" s="46"/>
      <c r="E465" s="46"/>
      <c r="F465" s="46"/>
      <c r="G465" s="46" t="s">
        <v>303</v>
      </c>
      <c r="H465" s="46"/>
      <c r="I465" s="46"/>
      <c r="J465" s="46"/>
      <c r="K465" s="46" t="str">
        <f>IFERROR(__xludf.DUMMYFUNCTION("if(A465="""","""",IF(G465="""",""Myn"",IF(REGEXMATCH(lower(G465),""mynn""),""Myn"",if(G465&lt;&gt;"""",""GEMTRE"",""""))))"),"Myn")</f>
        <v>Myn</v>
      </c>
      <c r="L465" s="46" t="s">
        <v>2000</v>
      </c>
      <c r="M465" s="48">
        <v>45255.46060185185</v>
      </c>
    </row>
    <row r="466">
      <c r="A466" s="47">
        <v>45249.73685565972</v>
      </c>
      <c r="B466" s="46" t="s">
        <v>700</v>
      </c>
      <c r="C466" s="46">
        <v>7.83836025E9</v>
      </c>
      <c r="D466" s="46"/>
      <c r="E466" s="46"/>
      <c r="F466" s="46"/>
      <c r="G466" s="46" t="s">
        <v>303</v>
      </c>
      <c r="H466" s="46" t="s">
        <v>701</v>
      </c>
      <c r="I466" s="46"/>
      <c r="J466" s="46"/>
      <c r="K466" s="46" t="str">
        <f>IFERROR(__xludf.DUMMYFUNCTION("if(A466="""","""",IF(G466="""",""Myn"",IF(REGEXMATCH(lower(G466),""mynn""),""Myn"",if(G466&lt;&gt;"""",""GEMTRE"",""""))))"),"Myn")</f>
        <v>Myn</v>
      </c>
      <c r="L466" s="46" t="s">
        <v>2000</v>
      </c>
      <c r="M466" s="48">
        <v>45255.46060185185</v>
      </c>
    </row>
    <row r="467">
      <c r="A467" s="47">
        <v>45249.74004021991</v>
      </c>
      <c r="B467" s="46" t="s">
        <v>702</v>
      </c>
      <c r="C467" s="46">
        <v>7.72889472E9</v>
      </c>
      <c r="D467" s="46"/>
      <c r="E467" s="46"/>
      <c r="F467" s="46"/>
      <c r="G467" s="46" t="s">
        <v>303</v>
      </c>
      <c r="H467" s="46" t="s">
        <v>701</v>
      </c>
      <c r="I467" s="46"/>
      <c r="J467" s="46"/>
      <c r="K467" s="46" t="str">
        <f>IFERROR(__xludf.DUMMYFUNCTION("if(A467="""","""",IF(G467="""",""Myn"",IF(REGEXMATCH(lower(G467),""mynn""),""Myn"",if(G467&lt;&gt;"""",""GEMTRE"",""""))))"),"Myn")</f>
        <v>Myn</v>
      </c>
      <c r="L467" s="46" t="s">
        <v>2000</v>
      </c>
      <c r="M467" s="48">
        <v>45255.46060185185</v>
      </c>
    </row>
    <row r="468">
      <c r="A468" s="47">
        <v>45249.740414722226</v>
      </c>
      <c r="B468" s="46" t="s">
        <v>703</v>
      </c>
      <c r="C468" s="46">
        <v>8.826269262E9</v>
      </c>
      <c r="D468" s="46" t="s">
        <v>704</v>
      </c>
      <c r="E468" s="46" t="s">
        <v>705</v>
      </c>
      <c r="F468" s="46"/>
      <c r="G468" s="46" t="s">
        <v>303</v>
      </c>
      <c r="H468" s="46" t="s">
        <v>706</v>
      </c>
      <c r="I468" s="46"/>
      <c r="J468" s="46"/>
      <c r="K468" s="46" t="str">
        <f>IFERROR(__xludf.DUMMYFUNCTION("if(A468="""","""",IF(G468="""",""Myn"",IF(REGEXMATCH(lower(G468),""mynn""),""Myn"",if(G468&lt;&gt;"""",""GEMTRE"",""""))))"),"Myn")</f>
        <v>Myn</v>
      </c>
      <c r="L468" s="46" t="s">
        <v>2000</v>
      </c>
      <c r="M468" s="48">
        <v>45255.46060185185</v>
      </c>
    </row>
    <row r="469">
      <c r="A469" s="47">
        <v>45249.74090204861</v>
      </c>
      <c r="B469" s="46" t="s">
        <v>707</v>
      </c>
      <c r="C469" s="46">
        <v>7.428676767E9</v>
      </c>
      <c r="D469" s="46"/>
      <c r="E469" s="46"/>
      <c r="F469" s="46"/>
      <c r="G469" s="46" t="s">
        <v>303</v>
      </c>
      <c r="H469" s="46" t="s">
        <v>701</v>
      </c>
      <c r="I469" s="46"/>
      <c r="J469" s="46"/>
      <c r="K469" s="46" t="str">
        <f>IFERROR(__xludf.DUMMYFUNCTION("if(A469="""","""",IF(G469="""",""Myn"",IF(REGEXMATCH(lower(G469),""mynn""),""Myn"",if(G469&lt;&gt;"""",""GEMTRE"",""""))))"),"Myn")</f>
        <v>Myn</v>
      </c>
      <c r="L469" s="46" t="s">
        <v>2000</v>
      </c>
      <c r="M469" s="48">
        <v>45255.46060185185</v>
      </c>
    </row>
    <row r="470">
      <c r="A470" s="47">
        <v>45249.74566054398</v>
      </c>
      <c r="B470" s="46" t="s">
        <v>708</v>
      </c>
      <c r="C470" s="46">
        <v>8.37699338E9</v>
      </c>
      <c r="D470" s="46"/>
      <c r="E470" s="46" t="s">
        <v>79</v>
      </c>
      <c r="F470" s="46"/>
      <c r="G470" s="46" t="s">
        <v>303</v>
      </c>
      <c r="H470" s="46" t="s">
        <v>706</v>
      </c>
      <c r="I470" s="46"/>
      <c r="J470" s="46"/>
      <c r="K470" s="46" t="str">
        <f>IFERROR(__xludf.DUMMYFUNCTION("if(A470="""","""",IF(G470="""",""Myn"",IF(REGEXMATCH(lower(G470),""mynn""),""Myn"",if(G470&lt;&gt;"""",""GEMTRE"",""""))))"),"Myn")</f>
        <v>Myn</v>
      </c>
      <c r="L470" s="46" t="s">
        <v>2000</v>
      </c>
      <c r="M470" s="48">
        <v>45255.46060185185</v>
      </c>
    </row>
    <row r="471">
      <c r="A471" s="47">
        <v>45249.7482537037</v>
      </c>
      <c r="B471" s="46" t="s">
        <v>709</v>
      </c>
      <c r="C471" s="46">
        <v>9.729600811E9</v>
      </c>
      <c r="D471" s="46"/>
      <c r="E471" s="46" t="s">
        <v>71</v>
      </c>
      <c r="F471" s="46"/>
      <c r="G471" s="46" t="s">
        <v>303</v>
      </c>
      <c r="H471" s="46" t="s">
        <v>706</v>
      </c>
      <c r="I471" s="46"/>
      <c r="J471" s="46"/>
      <c r="K471" s="46" t="str">
        <f>IFERROR(__xludf.DUMMYFUNCTION("if(A471="""","""",IF(G471="""",""Myn"",IF(REGEXMATCH(lower(G471),""mynn""),""Myn"",if(G471&lt;&gt;"""",""GEMTRE"",""""))))"),"Myn")</f>
        <v>Myn</v>
      </c>
      <c r="L471" s="46" t="s">
        <v>2000</v>
      </c>
      <c r="M471" s="48">
        <v>45255.46060185185</v>
      </c>
    </row>
    <row r="472">
      <c r="A472" s="47">
        <v>45249.748484421296</v>
      </c>
      <c r="B472" s="46" t="s">
        <v>710</v>
      </c>
      <c r="C472" s="46">
        <v>9.255555983E9</v>
      </c>
      <c r="D472" s="46"/>
      <c r="E472" s="46"/>
      <c r="F472" s="46"/>
      <c r="G472" s="46" t="s">
        <v>303</v>
      </c>
      <c r="H472" s="46" t="s">
        <v>701</v>
      </c>
      <c r="I472" s="46"/>
      <c r="J472" s="46"/>
      <c r="K472" s="46" t="str">
        <f>IFERROR(__xludf.DUMMYFUNCTION("if(A472="""","""",IF(G472="""",""Myn"",IF(REGEXMATCH(lower(G472),""mynn""),""Myn"",if(G472&lt;&gt;"""",""GEMTRE"",""""))))"),"Myn")</f>
        <v>Myn</v>
      </c>
      <c r="L472" s="46" t="s">
        <v>2000</v>
      </c>
      <c r="M472" s="48">
        <v>45255.46060185185</v>
      </c>
    </row>
    <row r="473">
      <c r="A473" s="47">
        <v>45249.749922268515</v>
      </c>
      <c r="B473" s="46" t="s">
        <v>649</v>
      </c>
      <c r="C473" s="46">
        <v>7.678427428E9</v>
      </c>
      <c r="D473" s="46"/>
      <c r="E473" s="46"/>
      <c r="F473" s="46"/>
      <c r="G473" s="46" t="s">
        <v>303</v>
      </c>
      <c r="H473" s="46" t="s">
        <v>701</v>
      </c>
      <c r="I473" s="46"/>
      <c r="J473" s="46"/>
      <c r="K473" s="46" t="str">
        <f>IFERROR(__xludf.DUMMYFUNCTION("if(A473="""","""",IF(G473="""",""Myn"",IF(REGEXMATCH(lower(G473),""mynn""),""Myn"",if(G473&lt;&gt;"""",""GEMTRE"",""""))))"),"Myn")</f>
        <v>Myn</v>
      </c>
      <c r="L473" s="46" t="s">
        <v>2000</v>
      </c>
      <c r="M473" s="48">
        <v>45255.46060185185</v>
      </c>
    </row>
    <row r="474">
      <c r="A474" s="47">
        <v>45249.75049364583</v>
      </c>
      <c r="B474" s="46" t="s">
        <v>711</v>
      </c>
      <c r="C474" s="46">
        <v>9.999456491E9</v>
      </c>
      <c r="D474" s="46" t="s">
        <v>712</v>
      </c>
      <c r="E474" s="46"/>
      <c r="F474" s="46"/>
      <c r="G474" s="46" t="s">
        <v>303</v>
      </c>
      <c r="H474" s="46" t="s">
        <v>701</v>
      </c>
      <c r="I474" s="46"/>
      <c r="J474" s="46"/>
      <c r="K474" s="46" t="str">
        <f>IFERROR(__xludf.DUMMYFUNCTION("if(A474="""","""",IF(G474="""",""Myn"",IF(REGEXMATCH(lower(G474),""mynn""),""Myn"",if(G474&lt;&gt;"""",""GEMTRE"",""""))))"),"Myn")</f>
        <v>Myn</v>
      </c>
      <c r="L474" s="46" t="s">
        <v>2000</v>
      </c>
      <c r="M474" s="48">
        <v>45255.46060185185</v>
      </c>
    </row>
    <row r="475">
      <c r="A475" s="47">
        <v>45249.75121592593</v>
      </c>
      <c r="B475" s="46" t="s">
        <v>713</v>
      </c>
      <c r="C475" s="46">
        <v>9.871041701E9</v>
      </c>
      <c r="D475" s="46" t="s">
        <v>714</v>
      </c>
      <c r="E475" s="46"/>
      <c r="F475" s="46"/>
      <c r="G475" s="46" t="s">
        <v>303</v>
      </c>
      <c r="H475" s="46" t="s">
        <v>701</v>
      </c>
      <c r="I475" s="46"/>
      <c r="J475" s="46"/>
      <c r="K475" s="46" t="str">
        <f>IFERROR(__xludf.DUMMYFUNCTION("if(A475="""","""",IF(G475="""",""Myn"",IF(REGEXMATCH(lower(G475),""mynn""),""Myn"",if(G475&lt;&gt;"""",""GEMTRE"",""""))))"),"Myn")</f>
        <v>Myn</v>
      </c>
      <c r="L475" s="46" t="s">
        <v>2000</v>
      </c>
      <c r="M475" s="48">
        <v>45255.46060185185</v>
      </c>
    </row>
    <row r="476">
      <c r="A476" s="47">
        <v>45249.76481289352</v>
      </c>
      <c r="B476" s="46" t="s">
        <v>715</v>
      </c>
      <c r="C476" s="46">
        <v>9.510980962E9</v>
      </c>
      <c r="D476" s="46"/>
      <c r="E476" s="46"/>
      <c r="F476" s="46"/>
      <c r="G476" s="46" t="s">
        <v>303</v>
      </c>
      <c r="H476" s="46" t="s">
        <v>701</v>
      </c>
      <c r="I476" s="46"/>
      <c r="J476" s="46" t="s">
        <v>716</v>
      </c>
      <c r="K476" s="46" t="str">
        <f>IFERROR(__xludf.DUMMYFUNCTION("if(A476="""","""",IF(G476="""",""Myn"",IF(REGEXMATCH(lower(G476),""mynn""),""Myn"",if(G476&lt;&gt;"""",""GEMTRE"",""""))))"),"Myn")</f>
        <v>Myn</v>
      </c>
      <c r="L476" s="46" t="s">
        <v>2000</v>
      </c>
      <c r="M476" s="48">
        <v>45255.46060185185</v>
      </c>
    </row>
    <row r="477">
      <c r="A477" s="47">
        <v>45249.76579336806</v>
      </c>
      <c r="B477" s="46" t="s">
        <v>717</v>
      </c>
      <c r="C477" s="46">
        <v>9.729999195E9</v>
      </c>
      <c r="D477" s="46"/>
      <c r="E477" s="46" t="s">
        <v>718</v>
      </c>
      <c r="F477" s="46"/>
      <c r="G477" s="46" t="s">
        <v>303</v>
      </c>
      <c r="H477" s="46" t="s">
        <v>706</v>
      </c>
      <c r="I477" s="46"/>
      <c r="J477" s="46" t="s">
        <v>719</v>
      </c>
      <c r="K477" s="46" t="str">
        <f>IFERROR(__xludf.DUMMYFUNCTION("if(A477="""","""",IF(G477="""",""Myn"",IF(REGEXMATCH(lower(G477),""mynn""),""Myn"",if(G477&lt;&gt;"""",""GEMTRE"",""""))))"),"Myn")</f>
        <v>Myn</v>
      </c>
      <c r="L477" s="46" t="s">
        <v>2000</v>
      </c>
      <c r="M477" s="48">
        <v>45255.46060185185</v>
      </c>
    </row>
    <row r="478">
      <c r="A478" s="47">
        <v>45249.7678971875</v>
      </c>
      <c r="B478" s="46" t="s">
        <v>720</v>
      </c>
      <c r="C478" s="46">
        <v>9.43196959E9</v>
      </c>
      <c r="D478" s="46"/>
      <c r="E478" s="46" t="s">
        <v>721</v>
      </c>
      <c r="F478" s="46"/>
      <c r="G478" s="46" t="s">
        <v>303</v>
      </c>
      <c r="H478" s="46" t="s">
        <v>722</v>
      </c>
      <c r="I478" s="46"/>
      <c r="J478" s="46" t="s">
        <v>723</v>
      </c>
      <c r="K478" s="46" t="str">
        <f>IFERROR(__xludf.DUMMYFUNCTION("if(A478="""","""",IF(G478="""",""Myn"",IF(REGEXMATCH(lower(G478),""mynn""),""Myn"",if(G478&lt;&gt;"""",""GEMTRE"",""""))))"),"Myn")</f>
        <v>Myn</v>
      </c>
      <c r="L478" s="46" t="s">
        <v>2000</v>
      </c>
      <c r="M478" s="48">
        <v>45255.46060185185</v>
      </c>
    </row>
    <row r="479">
      <c r="A479" s="47">
        <v>45249.76817789352</v>
      </c>
      <c r="B479" s="46" t="s">
        <v>724</v>
      </c>
      <c r="C479" s="46">
        <v>7.983758686E9</v>
      </c>
      <c r="D479" s="46"/>
      <c r="E479" s="46" t="s">
        <v>725</v>
      </c>
      <c r="F479" s="46"/>
      <c r="G479" s="46" t="s">
        <v>303</v>
      </c>
      <c r="H479" s="46" t="s">
        <v>706</v>
      </c>
      <c r="I479" s="46"/>
      <c r="J479" s="46" t="s">
        <v>719</v>
      </c>
      <c r="K479" s="46" t="str">
        <f>IFERROR(__xludf.DUMMYFUNCTION("if(A479="""","""",IF(G479="""",""Myn"",IF(REGEXMATCH(lower(G479),""mynn""),""Myn"",if(G479&lt;&gt;"""",""GEMTRE"",""""))))"),"Myn")</f>
        <v>Myn</v>
      </c>
      <c r="L479" s="46" t="s">
        <v>2000</v>
      </c>
      <c r="M479" s="48">
        <v>45255.46060185185</v>
      </c>
    </row>
    <row r="480">
      <c r="A480" s="47">
        <v>45249.77062391204</v>
      </c>
      <c r="B480" s="46" t="s">
        <v>726</v>
      </c>
      <c r="C480" s="46">
        <v>7.503600259E9</v>
      </c>
      <c r="D480" s="46"/>
      <c r="E480" s="46" t="s">
        <v>79</v>
      </c>
      <c r="F480" s="46"/>
      <c r="G480" s="46" t="s">
        <v>303</v>
      </c>
      <c r="H480" s="46" t="s">
        <v>706</v>
      </c>
      <c r="I480" s="46"/>
      <c r="J480" s="46" t="s">
        <v>719</v>
      </c>
      <c r="K480" s="46" t="str">
        <f>IFERROR(__xludf.DUMMYFUNCTION("if(A480="""","""",IF(G480="""",""Myn"",IF(REGEXMATCH(lower(G480),""mynn""),""Myn"",if(G480&lt;&gt;"""",""GEMTRE"",""""))))"),"Myn")</f>
        <v>Myn</v>
      </c>
      <c r="L480" s="46" t="s">
        <v>2000</v>
      </c>
      <c r="M480" s="48">
        <v>45255.46060185185</v>
      </c>
    </row>
    <row r="481">
      <c r="A481" s="47">
        <v>45249.77083342592</v>
      </c>
      <c r="B481" s="46" t="s">
        <v>727</v>
      </c>
      <c r="C481" s="46">
        <v>9.667713321E9</v>
      </c>
      <c r="D481" s="46"/>
      <c r="E481" s="46"/>
      <c r="F481" s="46"/>
      <c r="G481" s="46" t="s">
        <v>303</v>
      </c>
      <c r="H481" s="46" t="s">
        <v>701</v>
      </c>
      <c r="I481" s="46"/>
      <c r="J481" s="46" t="s">
        <v>716</v>
      </c>
      <c r="K481" s="46" t="str">
        <f>IFERROR(__xludf.DUMMYFUNCTION("if(A481="""","""",IF(G481="""",""Myn"",IF(REGEXMATCH(lower(G481),""mynn""),""Myn"",if(G481&lt;&gt;"""",""GEMTRE"",""""))))"),"Myn")</f>
        <v>Myn</v>
      </c>
      <c r="L481" s="46" t="s">
        <v>2000</v>
      </c>
      <c r="M481" s="48">
        <v>45255.46060185185</v>
      </c>
    </row>
    <row r="482">
      <c r="A482" s="47">
        <v>45249.77417209491</v>
      </c>
      <c r="B482" s="46" t="s">
        <v>414</v>
      </c>
      <c r="C482" s="46">
        <v>9.310108131E9</v>
      </c>
      <c r="D482" s="46"/>
      <c r="E482" s="46" t="s">
        <v>728</v>
      </c>
      <c r="F482" s="46"/>
      <c r="G482" s="46" t="s">
        <v>303</v>
      </c>
      <c r="H482" s="46" t="s">
        <v>706</v>
      </c>
      <c r="I482" s="46"/>
      <c r="J482" s="46" t="s">
        <v>719</v>
      </c>
      <c r="K482" s="46" t="str">
        <f>IFERROR(__xludf.DUMMYFUNCTION("if(A482="""","""",IF(G482="""",""Myn"",IF(REGEXMATCH(lower(G482),""mynn""),""Myn"",if(G482&lt;&gt;"""",""GEMTRE"",""""))))"),"Myn")</f>
        <v>Myn</v>
      </c>
      <c r="L482" s="46" t="s">
        <v>2000</v>
      </c>
      <c r="M482" s="48">
        <v>45255.46060185185</v>
      </c>
    </row>
    <row r="483">
      <c r="A483" s="47">
        <v>45249.778657372684</v>
      </c>
      <c r="B483" s="46" t="s">
        <v>729</v>
      </c>
      <c r="C483" s="46">
        <v>8.447697639E9</v>
      </c>
      <c r="D483" s="46" t="s">
        <v>730</v>
      </c>
      <c r="E483" s="46" t="s">
        <v>79</v>
      </c>
      <c r="F483" s="46"/>
      <c r="G483" s="46" t="s">
        <v>303</v>
      </c>
      <c r="H483" s="46" t="s">
        <v>706</v>
      </c>
      <c r="I483" s="46"/>
      <c r="J483" s="46" t="s">
        <v>719</v>
      </c>
      <c r="K483" s="46" t="str">
        <f>IFERROR(__xludf.DUMMYFUNCTION("if(A483="""","""",IF(G483="""",""Myn"",IF(REGEXMATCH(lower(G483),""mynn""),""Myn"",if(G483&lt;&gt;"""",""GEMTRE"",""""))))"),"Myn")</f>
        <v>Myn</v>
      </c>
      <c r="L483" s="46" t="s">
        <v>2000</v>
      </c>
      <c r="M483" s="48">
        <v>45255.46060185185</v>
      </c>
    </row>
    <row r="484">
      <c r="A484" s="47">
        <v>45249.77876439814</v>
      </c>
      <c r="B484" s="46" t="s">
        <v>731</v>
      </c>
      <c r="C484" s="46">
        <v>8.447697639E9</v>
      </c>
      <c r="D484" s="46" t="s">
        <v>732</v>
      </c>
      <c r="E484" s="46"/>
      <c r="F484" s="46"/>
      <c r="G484" s="46" t="s">
        <v>303</v>
      </c>
      <c r="H484" s="46" t="s">
        <v>701</v>
      </c>
      <c r="I484" s="46"/>
      <c r="J484" s="46" t="s">
        <v>716</v>
      </c>
      <c r="K484" s="46" t="str">
        <f>IFERROR(__xludf.DUMMYFUNCTION("if(A484="""","""",IF(G484="""",""Myn"",IF(REGEXMATCH(lower(G484),""mynn""),""Myn"",if(G484&lt;&gt;"""",""GEMTRE"",""""))))"),"Myn")</f>
        <v>Myn</v>
      </c>
      <c r="L484" s="46" t="s">
        <v>2000</v>
      </c>
      <c r="M484" s="48">
        <v>45255.46060185185</v>
      </c>
    </row>
    <row r="485">
      <c r="A485" s="47">
        <v>45249.78027775463</v>
      </c>
      <c r="B485" s="46" t="s">
        <v>733</v>
      </c>
      <c r="C485" s="46">
        <v>9.910000632E9</v>
      </c>
      <c r="D485" s="46" t="s">
        <v>734</v>
      </c>
      <c r="E485" s="46"/>
      <c r="F485" s="46"/>
      <c r="G485" s="46" t="s">
        <v>303</v>
      </c>
      <c r="H485" s="46" t="s">
        <v>701</v>
      </c>
      <c r="I485" s="46"/>
      <c r="J485" s="46" t="s">
        <v>716</v>
      </c>
      <c r="K485" s="46" t="str">
        <f>IFERROR(__xludf.DUMMYFUNCTION("if(A485="""","""",IF(G485="""",""Myn"",IF(REGEXMATCH(lower(G485),""mynn""),""Myn"",if(G485&lt;&gt;"""",""GEMTRE"",""""))))"),"Myn")</f>
        <v>Myn</v>
      </c>
      <c r="L485" s="46" t="s">
        <v>2000</v>
      </c>
      <c r="M485" s="48">
        <v>45255.46060185185</v>
      </c>
    </row>
    <row r="486">
      <c r="A486" s="47">
        <v>45249.78288438657</v>
      </c>
      <c r="B486" s="46" t="s">
        <v>735</v>
      </c>
      <c r="C486" s="46">
        <v>9.968162461E9</v>
      </c>
      <c r="D486" s="46"/>
      <c r="E486" s="46"/>
      <c r="F486" s="46"/>
      <c r="G486" s="46" t="s">
        <v>289</v>
      </c>
      <c r="H486" s="46" t="s">
        <v>701</v>
      </c>
      <c r="I486" s="46"/>
      <c r="J486" s="46" t="s">
        <v>736</v>
      </c>
      <c r="K486" s="46" t="str">
        <f>IFERROR(__xludf.DUMMYFUNCTION("if(A486="""","""",IF(G486="""",""Myn"",IF(REGEXMATCH(lower(G486),""mynn""),""Myn"",if(G486&lt;&gt;"""",""GEMTRE"",""""))))"),"GEMTRE")</f>
        <v>GEMTRE</v>
      </c>
      <c r="L486" s="46" t="s">
        <v>2001</v>
      </c>
      <c r="M486" s="48">
        <v>45255.46060185185</v>
      </c>
    </row>
    <row r="487">
      <c r="A487" s="47">
        <v>45249.78365146991</v>
      </c>
      <c r="B487" s="46" t="s">
        <v>737</v>
      </c>
      <c r="C487" s="46">
        <v>8.82696449E9</v>
      </c>
      <c r="D487" s="46"/>
      <c r="E487" s="46"/>
      <c r="F487" s="46"/>
      <c r="G487" s="46" t="s">
        <v>289</v>
      </c>
      <c r="H487" s="46" t="s">
        <v>701</v>
      </c>
      <c r="I487" s="46"/>
      <c r="J487" s="46" t="s">
        <v>738</v>
      </c>
      <c r="K487" s="46" t="str">
        <f>IFERROR(__xludf.DUMMYFUNCTION("if(A487="""","""",IF(G487="""",""Myn"",IF(REGEXMATCH(lower(G487),""mynn""),""Myn"",if(G487&lt;&gt;"""",""GEMTRE"",""""))))"),"GEMTRE")</f>
        <v>GEMTRE</v>
      </c>
      <c r="L487" s="46" t="s">
        <v>2001</v>
      </c>
      <c r="M487" s="48">
        <v>45255.46060185185</v>
      </c>
    </row>
    <row r="488">
      <c r="A488" s="47">
        <v>45249.784154629626</v>
      </c>
      <c r="B488" s="46" t="s">
        <v>739</v>
      </c>
      <c r="C488" s="46">
        <v>9.810609464E9</v>
      </c>
      <c r="D488" s="46"/>
      <c r="E488" s="46"/>
      <c r="F488" s="46"/>
      <c r="G488" s="46" t="s">
        <v>289</v>
      </c>
      <c r="H488" s="46" t="s">
        <v>701</v>
      </c>
      <c r="I488" s="46"/>
      <c r="J488" s="46" t="s">
        <v>490</v>
      </c>
      <c r="K488" s="46" t="str">
        <f>IFERROR(__xludf.DUMMYFUNCTION("if(A488="""","""",IF(G488="""",""Myn"",IF(REGEXMATCH(lower(G488),""mynn""),""Myn"",if(G488&lt;&gt;"""",""GEMTRE"",""""))))"),"GEMTRE")</f>
        <v>GEMTRE</v>
      </c>
      <c r="L488" s="46" t="s">
        <v>2001</v>
      </c>
      <c r="M488" s="48">
        <v>45255.46060185185</v>
      </c>
    </row>
    <row r="489">
      <c r="A489" s="47">
        <v>45249.78437828703</v>
      </c>
      <c r="B489" s="46" t="s">
        <v>740</v>
      </c>
      <c r="C489" s="46">
        <v>8.802343445E9</v>
      </c>
      <c r="D489" s="46"/>
      <c r="E489" s="46"/>
      <c r="F489" s="46"/>
      <c r="G489" s="46" t="s">
        <v>303</v>
      </c>
      <c r="H489" s="46" t="s">
        <v>701</v>
      </c>
      <c r="I489" s="46"/>
      <c r="J489" s="46" t="s">
        <v>723</v>
      </c>
      <c r="K489" s="46" t="str">
        <f>IFERROR(__xludf.DUMMYFUNCTION("if(A489="""","""",IF(G489="""",""Myn"",IF(REGEXMATCH(lower(G489),""mynn""),""Myn"",if(G489&lt;&gt;"""",""GEMTRE"",""""))))"),"Myn")</f>
        <v>Myn</v>
      </c>
      <c r="L489" s="46" t="s">
        <v>2000</v>
      </c>
      <c r="M489" s="48">
        <v>45255.46060185185</v>
      </c>
    </row>
    <row r="490">
      <c r="A490" s="47">
        <v>45249.78489765046</v>
      </c>
      <c r="B490" s="46" t="s">
        <v>741</v>
      </c>
      <c r="C490" s="46">
        <v>9.911838993E9</v>
      </c>
      <c r="D490" s="46"/>
      <c r="E490" s="46"/>
      <c r="F490" s="46"/>
      <c r="G490" s="46" t="s">
        <v>289</v>
      </c>
      <c r="H490" s="46" t="s">
        <v>706</v>
      </c>
      <c r="I490" s="46"/>
      <c r="J490" s="46" t="s">
        <v>736</v>
      </c>
      <c r="K490" s="46" t="str">
        <f>IFERROR(__xludf.DUMMYFUNCTION("if(A490="""","""",IF(G490="""",""Myn"",IF(REGEXMATCH(lower(G490),""mynn""),""Myn"",if(G490&lt;&gt;"""",""GEMTRE"",""""))))"),"GEMTRE")</f>
        <v>GEMTRE</v>
      </c>
      <c r="L490" s="46" t="s">
        <v>2001</v>
      </c>
      <c r="M490" s="48">
        <v>45255.46060185185</v>
      </c>
    </row>
    <row r="491">
      <c r="A491" s="47">
        <v>45249.78538613426</v>
      </c>
      <c r="B491" s="46" t="s">
        <v>742</v>
      </c>
      <c r="C491" s="46">
        <v>7.500651712E9</v>
      </c>
      <c r="D491" s="46"/>
      <c r="E491" s="46" t="s">
        <v>743</v>
      </c>
      <c r="F491" s="46"/>
      <c r="G491" s="46" t="s">
        <v>289</v>
      </c>
      <c r="H491" s="46" t="s">
        <v>706</v>
      </c>
      <c r="I491" s="46"/>
      <c r="J491" s="46"/>
      <c r="K491" s="46" t="str">
        <f>IFERROR(__xludf.DUMMYFUNCTION("if(A491="""","""",IF(G491="""",""Myn"",IF(REGEXMATCH(lower(G491),""mynn""),""Myn"",if(G491&lt;&gt;"""",""GEMTRE"",""""))))"),"GEMTRE")</f>
        <v>GEMTRE</v>
      </c>
      <c r="L491" s="46" t="s">
        <v>2001</v>
      </c>
      <c r="M491" s="48">
        <v>45255.46060185185</v>
      </c>
    </row>
    <row r="492">
      <c r="A492" s="47">
        <v>45249.78592731481</v>
      </c>
      <c r="B492" s="46" t="s">
        <v>744</v>
      </c>
      <c r="C492" s="46">
        <v>9.560023362E9</v>
      </c>
      <c r="D492" s="46"/>
      <c r="E492" s="46" t="s">
        <v>459</v>
      </c>
      <c r="F492" s="46"/>
      <c r="G492" s="46" t="s">
        <v>289</v>
      </c>
      <c r="H492" s="46" t="s">
        <v>722</v>
      </c>
      <c r="I492" s="46"/>
      <c r="J492" s="46"/>
      <c r="K492" s="46" t="str">
        <f>IFERROR(__xludf.DUMMYFUNCTION("if(A492="""","""",IF(G492="""",""Myn"",IF(REGEXMATCH(lower(G492),""mynn""),""Myn"",if(G492&lt;&gt;"""",""GEMTRE"",""""))))"),"GEMTRE")</f>
        <v>GEMTRE</v>
      </c>
      <c r="L492" s="46" t="s">
        <v>2001</v>
      </c>
      <c r="M492" s="48">
        <v>45255.46060185185</v>
      </c>
    </row>
    <row r="493">
      <c r="A493" s="47">
        <v>45249.786444363424</v>
      </c>
      <c r="B493" s="46" t="s">
        <v>745</v>
      </c>
      <c r="C493" s="46">
        <v>9.897628823E9</v>
      </c>
      <c r="D493" s="46"/>
      <c r="E493" s="46" t="s">
        <v>79</v>
      </c>
      <c r="F493" s="46"/>
      <c r="G493" s="46" t="s">
        <v>303</v>
      </c>
      <c r="H493" s="46" t="s">
        <v>706</v>
      </c>
      <c r="I493" s="46"/>
      <c r="J493" s="46"/>
      <c r="K493" s="46" t="str">
        <f>IFERROR(__xludf.DUMMYFUNCTION("if(A493="""","""",IF(G493="""",""Myn"",IF(REGEXMATCH(lower(G493),""mynn""),""Myn"",if(G493&lt;&gt;"""",""GEMTRE"",""""))))"),"Myn")</f>
        <v>Myn</v>
      </c>
      <c r="L493" s="46" t="s">
        <v>2000</v>
      </c>
      <c r="M493" s="48">
        <v>45255.46060185185</v>
      </c>
    </row>
    <row r="494">
      <c r="A494" s="47">
        <v>45249.79064302084</v>
      </c>
      <c r="B494" s="46" t="s">
        <v>746</v>
      </c>
      <c r="C494" s="46">
        <v>9.560818599E9</v>
      </c>
      <c r="D494" s="46"/>
      <c r="E494" s="46"/>
      <c r="F494" s="46"/>
      <c r="G494" s="46" t="s">
        <v>303</v>
      </c>
      <c r="H494" s="46" t="s">
        <v>701</v>
      </c>
      <c r="I494" s="46"/>
      <c r="J494" s="46"/>
      <c r="K494" s="46" t="str">
        <f>IFERROR(__xludf.DUMMYFUNCTION("if(A494="""","""",IF(G494="""",""Myn"",IF(REGEXMATCH(lower(G494),""mynn""),""Myn"",if(G494&lt;&gt;"""",""GEMTRE"",""""))))"),"Myn")</f>
        <v>Myn</v>
      </c>
      <c r="L494" s="46" t="s">
        <v>2000</v>
      </c>
      <c r="M494" s="48">
        <v>45255.46060185185</v>
      </c>
    </row>
    <row r="495">
      <c r="A495" s="47">
        <v>45249.79097890046</v>
      </c>
      <c r="B495" s="46" t="s">
        <v>747</v>
      </c>
      <c r="C495" s="46">
        <v>9.810850496E9</v>
      </c>
      <c r="D495" s="46"/>
      <c r="E495" s="46" t="s">
        <v>748</v>
      </c>
      <c r="F495" s="46"/>
      <c r="G495" s="46" t="s">
        <v>303</v>
      </c>
      <c r="H495" s="46" t="s">
        <v>706</v>
      </c>
      <c r="I495" s="46"/>
      <c r="J495" s="46"/>
      <c r="K495" s="46" t="str">
        <f>IFERROR(__xludf.DUMMYFUNCTION("if(A495="""","""",IF(G495="""",""Myn"",IF(REGEXMATCH(lower(G495),""mynn""),""Myn"",if(G495&lt;&gt;"""",""GEMTRE"",""""))))"),"Myn")</f>
        <v>Myn</v>
      </c>
      <c r="L495" s="46" t="s">
        <v>2000</v>
      </c>
      <c r="M495" s="48">
        <v>45255.46060185185</v>
      </c>
    </row>
    <row r="496">
      <c r="A496" s="47">
        <v>45249.79140793982</v>
      </c>
      <c r="B496" s="46" t="s">
        <v>749</v>
      </c>
      <c r="C496" s="46">
        <v>9.899807013E9</v>
      </c>
      <c r="D496" s="46"/>
      <c r="E496" s="46" t="s">
        <v>51</v>
      </c>
      <c r="F496" s="46"/>
      <c r="G496" s="46" t="s">
        <v>303</v>
      </c>
      <c r="H496" s="46" t="s">
        <v>706</v>
      </c>
      <c r="I496" s="46"/>
      <c r="J496" s="46"/>
      <c r="K496" s="46" t="str">
        <f>IFERROR(__xludf.DUMMYFUNCTION("if(A496="""","""",IF(G496="""",""Myn"",IF(REGEXMATCH(lower(G496),""mynn""),""Myn"",if(G496&lt;&gt;"""",""GEMTRE"",""""))))"),"Myn")</f>
        <v>Myn</v>
      </c>
      <c r="L496" s="46" t="s">
        <v>2000</v>
      </c>
      <c r="M496" s="48">
        <v>45255.46060185185</v>
      </c>
    </row>
    <row r="497">
      <c r="A497" s="47">
        <v>45249.79190150463</v>
      </c>
      <c r="B497" s="46" t="s">
        <v>750</v>
      </c>
      <c r="C497" s="46">
        <v>9.873078134E9</v>
      </c>
      <c r="D497" s="46"/>
      <c r="E497" s="46" t="s">
        <v>79</v>
      </c>
      <c r="F497" s="46"/>
      <c r="G497" s="46" t="s">
        <v>303</v>
      </c>
      <c r="H497" s="46" t="s">
        <v>706</v>
      </c>
      <c r="I497" s="46"/>
      <c r="J497" s="46"/>
      <c r="K497" s="46" t="str">
        <f>IFERROR(__xludf.DUMMYFUNCTION("if(A497="""","""",IF(G497="""",""Myn"",IF(REGEXMATCH(lower(G497),""mynn""),""Myn"",if(G497&lt;&gt;"""",""GEMTRE"",""""))))"),"Myn")</f>
        <v>Myn</v>
      </c>
      <c r="L497" s="46" t="s">
        <v>2000</v>
      </c>
      <c r="M497" s="48">
        <v>45255.46060185185</v>
      </c>
    </row>
    <row r="498">
      <c r="A498" s="47">
        <v>45249.793019317134</v>
      </c>
      <c r="B498" s="46" t="s">
        <v>751</v>
      </c>
      <c r="C498" s="46">
        <v>9.821538053E9</v>
      </c>
      <c r="D498" s="46"/>
      <c r="E498" s="46" t="s">
        <v>79</v>
      </c>
      <c r="F498" s="46"/>
      <c r="G498" s="46" t="s">
        <v>303</v>
      </c>
      <c r="H498" s="46" t="s">
        <v>706</v>
      </c>
      <c r="I498" s="46"/>
      <c r="J498" s="46"/>
      <c r="K498" s="46" t="str">
        <f>IFERROR(__xludf.DUMMYFUNCTION("if(A498="""","""",IF(G498="""",""Myn"",IF(REGEXMATCH(lower(G498),""mynn""),""Myn"",if(G498&lt;&gt;"""",""GEMTRE"",""""))))"),"Myn")</f>
        <v>Myn</v>
      </c>
      <c r="L498" s="46" t="s">
        <v>2000</v>
      </c>
      <c r="M498" s="48">
        <v>45255.46060185185</v>
      </c>
    </row>
    <row r="499">
      <c r="A499" s="47">
        <v>45249.793288229164</v>
      </c>
      <c r="B499" s="46" t="s">
        <v>752</v>
      </c>
      <c r="C499" s="46">
        <v>9.99794739E9</v>
      </c>
      <c r="D499" s="46"/>
      <c r="E499" s="46"/>
      <c r="F499" s="46"/>
      <c r="G499" s="46" t="s">
        <v>303</v>
      </c>
      <c r="H499" s="46" t="s">
        <v>701</v>
      </c>
      <c r="I499" s="46"/>
      <c r="J499" s="46"/>
      <c r="K499" s="46" t="str">
        <f>IFERROR(__xludf.DUMMYFUNCTION("if(A499="""","""",IF(G499="""",""Myn"",IF(REGEXMATCH(lower(G499),""mynn""),""Myn"",if(G499&lt;&gt;"""",""GEMTRE"",""""))))"),"Myn")</f>
        <v>Myn</v>
      </c>
      <c r="L499" s="46" t="s">
        <v>2000</v>
      </c>
      <c r="M499" s="48">
        <v>45255.46060185185</v>
      </c>
    </row>
    <row r="500">
      <c r="A500" s="47">
        <v>45249.79384092592</v>
      </c>
      <c r="B500" s="46" t="s">
        <v>753</v>
      </c>
      <c r="C500" s="46">
        <v>9.358011988E9</v>
      </c>
      <c r="D500" s="46"/>
      <c r="E500" s="46" t="s">
        <v>21</v>
      </c>
      <c r="F500" s="49" t="s">
        <v>754</v>
      </c>
      <c r="G500" s="46" t="s">
        <v>303</v>
      </c>
      <c r="H500" s="46" t="s">
        <v>706</v>
      </c>
      <c r="I500" s="46"/>
      <c r="J500" s="46"/>
      <c r="K500" s="46" t="str">
        <f>IFERROR(__xludf.DUMMYFUNCTION("if(A500="""","""",IF(G500="""",""Myn"",IF(REGEXMATCH(lower(G500),""mynn""),""Myn"",if(G500&lt;&gt;"""",""GEMTRE"",""""))))"),"Myn")</f>
        <v>Myn</v>
      </c>
      <c r="L500" s="46" t="s">
        <v>2000</v>
      </c>
      <c r="M500" s="48">
        <v>45255.46060185185</v>
      </c>
    </row>
    <row r="501">
      <c r="A501" s="47">
        <v>45249.79970376157</v>
      </c>
      <c r="B501" s="46" t="s">
        <v>755</v>
      </c>
      <c r="C501" s="46">
        <v>9.810850496E9</v>
      </c>
      <c r="D501" s="46"/>
      <c r="E501" s="46"/>
      <c r="F501" s="46"/>
      <c r="G501" s="46" t="s">
        <v>303</v>
      </c>
      <c r="H501" s="46" t="s">
        <v>722</v>
      </c>
      <c r="I501" s="46"/>
      <c r="J501" s="46"/>
      <c r="K501" s="46" t="str">
        <f>IFERROR(__xludf.DUMMYFUNCTION("if(A501="""","""",IF(G501="""",""Myn"",IF(REGEXMATCH(lower(G501),""mynn""),""Myn"",if(G501&lt;&gt;"""",""GEMTRE"",""""))))"),"Myn")</f>
        <v>Myn</v>
      </c>
      <c r="L501" s="46" t="s">
        <v>2000</v>
      </c>
      <c r="M501" s="48">
        <v>45255.46060185185</v>
      </c>
    </row>
    <row r="502">
      <c r="A502" s="47">
        <v>45249.8025044213</v>
      </c>
      <c r="B502" s="46" t="s">
        <v>756</v>
      </c>
      <c r="C502" s="46">
        <v>9.310055032E9</v>
      </c>
      <c r="D502" s="46" t="s">
        <v>757</v>
      </c>
      <c r="E502" s="46"/>
      <c r="F502" s="46"/>
      <c r="G502" s="46" t="s">
        <v>303</v>
      </c>
      <c r="H502" s="46" t="s">
        <v>701</v>
      </c>
      <c r="I502" s="46"/>
      <c r="J502" s="46"/>
      <c r="K502" s="46" t="str">
        <f>IFERROR(__xludf.DUMMYFUNCTION("if(A502="""","""",IF(G502="""",""Myn"",IF(REGEXMATCH(lower(G502),""mynn""),""Myn"",if(G502&lt;&gt;"""",""GEMTRE"",""""))))"),"Myn")</f>
        <v>Myn</v>
      </c>
      <c r="L502" s="46" t="s">
        <v>2000</v>
      </c>
      <c r="M502" s="48">
        <v>45255.46060185185</v>
      </c>
    </row>
    <row r="503">
      <c r="A503" s="47">
        <v>45249.81770771991</v>
      </c>
      <c r="B503" s="46" t="s">
        <v>758</v>
      </c>
      <c r="C503" s="46">
        <v>9.8680933E9</v>
      </c>
      <c r="D503" s="46"/>
      <c r="E503" s="46" t="s">
        <v>759</v>
      </c>
      <c r="F503" s="46"/>
      <c r="G503" s="46" t="s">
        <v>303</v>
      </c>
      <c r="H503" s="46" t="s">
        <v>722</v>
      </c>
      <c r="I503" s="46"/>
      <c r="J503" s="46"/>
      <c r="K503" s="46" t="str">
        <f>IFERROR(__xludf.DUMMYFUNCTION("if(A503="""","""",IF(G503="""",""Myn"",IF(REGEXMATCH(lower(G503),""mynn""),""Myn"",if(G503&lt;&gt;"""",""GEMTRE"",""""))))"),"Myn")</f>
        <v>Myn</v>
      </c>
      <c r="L503" s="46" t="s">
        <v>2000</v>
      </c>
      <c r="M503" s="48">
        <v>45255.46060185185</v>
      </c>
    </row>
    <row r="504">
      <c r="A504" s="47">
        <v>45250.49728486111</v>
      </c>
      <c r="B504" s="46" t="s">
        <v>760</v>
      </c>
      <c r="C504" s="46">
        <v>9.105564802E9</v>
      </c>
      <c r="D504" s="46" t="s">
        <v>761</v>
      </c>
      <c r="E504" s="46"/>
      <c r="F504" s="46"/>
      <c r="G504" s="46" t="s">
        <v>303</v>
      </c>
      <c r="H504" s="46" t="s">
        <v>701</v>
      </c>
      <c r="I504" s="46"/>
      <c r="J504" s="46"/>
      <c r="K504" s="46" t="str">
        <f>IFERROR(__xludf.DUMMYFUNCTION("if(A504="""","""",IF(G504="""",""Myn"",IF(REGEXMATCH(lower(G504),""mynn""),""Myn"",if(G504&lt;&gt;"""",""GEMTRE"",""""))))"),"Myn")</f>
        <v>Myn</v>
      </c>
      <c r="L504" s="46" t="s">
        <v>2000</v>
      </c>
      <c r="M504" s="48">
        <v>45255.46060185185</v>
      </c>
    </row>
    <row r="505">
      <c r="A505" s="47">
        <v>45250.502795266206</v>
      </c>
      <c r="B505" s="46" t="s">
        <v>762</v>
      </c>
      <c r="C505" s="46">
        <v>9.89758288E9</v>
      </c>
      <c r="D505" s="46"/>
      <c r="E505" s="46"/>
      <c r="F505" s="46"/>
      <c r="G505" s="46" t="s">
        <v>303</v>
      </c>
      <c r="H505" s="46" t="s">
        <v>701</v>
      </c>
      <c r="I505" s="46"/>
      <c r="J505" s="46"/>
      <c r="K505" s="46" t="str">
        <f>IFERROR(__xludf.DUMMYFUNCTION("if(A505="""","""",IF(G505="""",""Myn"",IF(REGEXMATCH(lower(G505),""mynn""),""Myn"",if(G505&lt;&gt;"""",""GEMTRE"",""""))))"),"Myn")</f>
        <v>Myn</v>
      </c>
      <c r="L505" s="46" t="s">
        <v>2000</v>
      </c>
      <c r="M505" s="48">
        <v>45255.46060185185</v>
      </c>
    </row>
    <row r="506">
      <c r="A506" s="47">
        <v>45250.50407701389</v>
      </c>
      <c r="B506" s="46" t="s">
        <v>763</v>
      </c>
      <c r="C506" s="46">
        <v>9.990729019E9</v>
      </c>
      <c r="D506" s="46"/>
      <c r="E506" s="46" t="s">
        <v>764</v>
      </c>
      <c r="F506" s="46"/>
      <c r="G506" s="46" t="s">
        <v>303</v>
      </c>
      <c r="H506" s="46" t="s">
        <v>706</v>
      </c>
      <c r="I506" s="46"/>
      <c r="J506" s="46"/>
      <c r="K506" s="46" t="str">
        <f>IFERROR(__xludf.DUMMYFUNCTION("if(A506="""","""",IF(G506="""",""Myn"",IF(REGEXMATCH(lower(G506),""mynn""),""Myn"",if(G506&lt;&gt;"""",""GEMTRE"",""""))))"),"Myn")</f>
        <v>Myn</v>
      </c>
      <c r="L506" s="46" t="s">
        <v>2000</v>
      </c>
      <c r="M506" s="48">
        <v>45255.46060185185</v>
      </c>
    </row>
    <row r="507">
      <c r="A507" s="47">
        <v>45250.5059768287</v>
      </c>
      <c r="B507" s="46" t="s">
        <v>765</v>
      </c>
      <c r="C507" s="46">
        <v>9.971139277E9</v>
      </c>
      <c r="D507" s="46" t="s">
        <v>766</v>
      </c>
      <c r="E507" s="46"/>
      <c r="F507" s="46"/>
      <c r="G507" s="46" t="s">
        <v>303</v>
      </c>
      <c r="H507" s="46" t="s">
        <v>701</v>
      </c>
      <c r="I507" s="46"/>
      <c r="J507" s="46"/>
      <c r="K507" s="46" t="str">
        <f>IFERROR(__xludf.DUMMYFUNCTION("if(A507="""","""",IF(G507="""",""Myn"",IF(REGEXMATCH(lower(G507),""mynn""),""Myn"",if(G507&lt;&gt;"""",""GEMTRE"",""""))))"),"Myn")</f>
        <v>Myn</v>
      </c>
      <c r="L507" s="46" t="s">
        <v>2000</v>
      </c>
      <c r="M507" s="48">
        <v>45255.46060185185</v>
      </c>
    </row>
    <row r="508">
      <c r="A508" s="47">
        <v>45250.508675324076</v>
      </c>
      <c r="B508" s="46" t="s">
        <v>767</v>
      </c>
      <c r="C508" s="46">
        <v>9.968278496E9</v>
      </c>
      <c r="D508" s="46"/>
      <c r="E508" s="46"/>
      <c r="F508" s="46"/>
      <c r="G508" s="46" t="s">
        <v>303</v>
      </c>
      <c r="H508" s="46" t="s">
        <v>701</v>
      </c>
      <c r="I508" s="46"/>
      <c r="J508" s="46"/>
      <c r="K508" s="46" t="str">
        <f>IFERROR(__xludf.DUMMYFUNCTION("if(A508="""","""",IF(G508="""",""Myn"",IF(REGEXMATCH(lower(G508),""mynn""),""Myn"",if(G508&lt;&gt;"""",""GEMTRE"",""""))))"),"Myn")</f>
        <v>Myn</v>
      </c>
      <c r="L508" s="46" t="s">
        <v>2000</v>
      </c>
      <c r="M508" s="48">
        <v>45255.46060185185</v>
      </c>
    </row>
    <row r="509">
      <c r="A509" s="47">
        <v>45250.51073260416</v>
      </c>
      <c r="B509" s="46" t="s">
        <v>768</v>
      </c>
      <c r="C509" s="46">
        <v>9.015292013E9</v>
      </c>
      <c r="D509" s="46"/>
      <c r="E509" s="46" t="s">
        <v>769</v>
      </c>
      <c r="F509" s="46"/>
      <c r="G509" s="46" t="s">
        <v>303</v>
      </c>
      <c r="H509" s="46" t="s">
        <v>706</v>
      </c>
      <c r="I509" s="46"/>
      <c r="J509" s="46"/>
      <c r="K509" s="46" t="str">
        <f>IFERROR(__xludf.DUMMYFUNCTION("if(A509="""","""",IF(G509="""",""Myn"",IF(REGEXMATCH(lower(G509),""mynn""),""Myn"",if(G509&lt;&gt;"""",""GEMTRE"",""""))))"),"Myn")</f>
        <v>Myn</v>
      </c>
      <c r="L509" s="46" t="s">
        <v>2000</v>
      </c>
      <c r="M509" s="48">
        <v>45255.46060185185</v>
      </c>
    </row>
    <row r="510">
      <c r="A510" s="47">
        <v>45250.517828854165</v>
      </c>
      <c r="B510" s="46" t="s">
        <v>770</v>
      </c>
      <c r="C510" s="46">
        <v>9.315574697E9</v>
      </c>
      <c r="D510" s="46"/>
      <c r="E510" s="46"/>
      <c r="F510" s="46"/>
      <c r="G510" s="46" t="s">
        <v>303</v>
      </c>
      <c r="H510" s="46" t="s">
        <v>701</v>
      </c>
      <c r="I510" s="46"/>
      <c r="J510" s="46"/>
      <c r="K510" s="46" t="str">
        <f>IFERROR(__xludf.DUMMYFUNCTION("if(A510="""","""",IF(G510="""",""Myn"",IF(REGEXMATCH(lower(G510),""mynn""),""Myn"",if(G510&lt;&gt;"""",""GEMTRE"",""""))))"),"Myn")</f>
        <v>Myn</v>
      </c>
      <c r="L510" s="46" t="s">
        <v>2000</v>
      </c>
      <c r="M510" s="48">
        <v>45255.46060185185</v>
      </c>
    </row>
    <row r="511">
      <c r="A511" s="47">
        <v>45250.52102236111</v>
      </c>
      <c r="B511" s="46" t="s">
        <v>771</v>
      </c>
      <c r="C511" s="46">
        <v>9.810702912E9</v>
      </c>
      <c r="D511" s="46"/>
      <c r="E511" s="46"/>
      <c r="F511" s="46"/>
      <c r="G511" s="46" t="s">
        <v>303</v>
      </c>
      <c r="H511" s="46" t="s">
        <v>701</v>
      </c>
      <c r="I511" s="46"/>
      <c r="J511" s="46"/>
      <c r="K511" s="46" t="str">
        <f>IFERROR(__xludf.DUMMYFUNCTION("if(A511="""","""",IF(G511="""",""Myn"",IF(REGEXMATCH(lower(G511),""mynn""),""Myn"",if(G511&lt;&gt;"""",""GEMTRE"",""""))))"),"Myn")</f>
        <v>Myn</v>
      </c>
      <c r="L511" s="46" t="s">
        <v>2000</v>
      </c>
      <c r="M511" s="48">
        <v>45255.46060185185</v>
      </c>
    </row>
    <row r="512">
      <c r="A512" s="47">
        <v>45250.52302930555</v>
      </c>
      <c r="B512" s="46" t="s">
        <v>772</v>
      </c>
      <c r="C512" s="46">
        <v>9.86863402E9</v>
      </c>
      <c r="D512" s="46"/>
      <c r="E512" s="46"/>
      <c r="F512" s="46"/>
      <c r="G512" s="46" t="s">
        <v>303</v>
      </c>
      <c r="H512" s="46" t="s">
        <v>701</v>
      </c>
      <c r="I512" s="46"/>
      <c r="J512" s="46"/>
      <c r="K512" s="46" t="str">
        <f>IFERROR(__xludf.DUMMYFUNCTION("if(A512="""","""",IF(G512="""",""Myn"",IF(REGEXMATCH(lower(G512),""mynn""),""Myn"",if(G512&lt;&gt;"""",""GEMTRE"",""""))))"),"Myn")</f>
        <v>Myn</v>
      </c>
      <c r="L512" s="46" t="s">
        <v>2000</v>
      </c>
      <c r="M512" s="48">
        <v>45255.46060185185</v>
      </c>
    </row>
    <row r="513">
      <c r="A513" s="47">
        <v>45250.52310630787</v>
      </c>
      <c r="B513" s="46" t="s">
        <v>291</v>
      </c>
      <c r="C513" s="46">
        <v>9.953202106E9</v>
      </c>
      <c r="D513" s="46" t="s">
        <v>773</v>
      </c>
      <c r="E513" s="46"/>
      <c r="F513" s="46"/>
      <c r="G513" s="46" t="s">
        <v>303</v>
      </c>
      <c r="H513" s="46" t="s">
        <v>701</v>
      </c>
      <c r="I513" s="46"/>
      <c r="J513" s="46"/>
      <c r="K513" s="46" t="str">
        <f>IFERROR(__xludf.DUMMYFUNCTION("if(A513="""","""",IF(G513="""",""Myn"",IF(REGEXMATCH(lower(G513),""mynn""),""Myn"",if(G513&lt;&gt;"""",""GEMTRE"",""""))))"),"Myn")</f>
        <v>Myn</v>
      </c>
      <c r="L513" s="46" t="s">
        <v>2000</v>
      </c>
      <c r="M513" s="48">
        <v>45255.46060185185</v>
      </c>
    </row>
    <row r="514">
      <c r="A514" s="47">
        <v>45250.52623087963</v>
      </c>
      <c r="B514" s="46" t="s">
        <v>774</v>
      </c>
      <c r="C514" s="46">
        <v>9.711004903E9</v>
      </c>
      <c r="D514" s="46"/>
      <c r="E514" s="46"/>
      <c r="F514" s="46"/>
      <c r="G514" s="46" t="s">
        <v>303</v>
      </c>
      <c r="H514" s="46" t="s">
        <v>701</v>
      </c>
      <c r="I514" s="46"/>
      <c r="J514" s="46"/>
      <c r="K514" s="46" t="str">
        <f>IFERROR(__xludf.DUMMYFUNCTION("if(A514="""","""",IF(G514="""",""Myn"",IF(REGEXMATCH(lower(G514),""mynn""),""Myn"",if(G514&lt;&gt;"""",""GEMTRE"",""""))))"),"Myn")</f>
        <v>Myn</v>
      </c>
      <c r="L514" s="46" t="s">
        <v>2000</v>
      </c>
      <c r="M514" s="48">
        <v>45255.46060185185</v>
      </c>
    </row>
    <row r="515">
      <c r="A515" s="47">
        <v>45250.53590364583</v>
      </c>
      <c r="B515" s="46" t="s">
        <v>775</v>
      </c>
      <c r="C515" s="46">
        <v>9.540325879E9</v>
      </c>
      <c r="D515" s="46"/>
      <c r="E515" s="46" t="s">
        <v>79</v>
      </c>
      <c r="F515" s="46"/>
      <c r="G515" s="46" t="s">
        <v>303</v>
      </c>
      <c r="H515" s="46" t="s">
        <v>706</v>
      </c>
      <c r="I515" s="46"/>
      <c r="J515" s="46"/>
      <c r="K515" s="46" t="str">
        <f>IFERROR(__xludf.DUMMYFUNCTION("if(A515="""","""",IF(G515="""",""Myn"",IF(REGEXMATCH(lower(G515),""mynn""),""Myn"",if(G515&lt;&gt;"""",""GEMTRE"",""""))))"),"Myn")</f>
        <v>Myn</v>
      </c>
      <c r="L515" s="46" t="s">
        <v>2000</v>
      </c>
      <c r="M515" s="48">
        <v>45255.46060185185</v>
      </c>
    </row>
    <row r="516">
      <c r="A516" s="47">
        <v>45250.537424131944</v>
      </c>
      <c r="B516" s="46" t="s">
        <v>776</v>
      </c>
      <c r="C516" s="46">
        <v>9.868429229E9</v>
      </c>
      <c r="D516" s="46"/>
      <c r="E516" s="46"/>
      <c r="F516" s="46"/>
      <c r="G516" s="46" t="s">
        <v>303</v>
      </c>
      <c r="H516" s="46" t="s">
        <v>701</v>
      </c>
      <c r="I516" s="46"/>
      <c r="J516" s="46"/>
      <c r="K516" s="46" t="str">
        <f>IFERROR(__xludf.DUMMYFUNCTION("if(A516="""","""",IF(G516="""",""Myn"",IF(REGEXMATCH(lower(G516),""mynn""),""Myn"",if(G516&lt;&gt;"""",""GEMTRE"",""""))))"),"Myn")</f>
        <v>Myn</v>
      </c>
      <c r="L516" s="46" t="s">
        <v>2000</v>
      </c>
      <c r="M516" s="48">
        <v>45255.46060185185</v>
      </c>
    </row>
    <row r="517">
      <c r="A517" s="47">
        <v>45250.54060453703</v>
      </c>
      <c r="B517" s="46" t="s">
        <v>777</v>
      </c>
      <c r="C517" s="46">
        <v>8.527283567E9</v>
      </c>
      <c r="D517" s="46" t="s">
        <v>778</v>
      </c>
      <c r="E517" s="46"/>
      <c r="F517" s="46"/>
      <c r="G517" s="46" t="s">
        <v>303</v>
      </c>
      <c r="H517" s="46" t="s">
        <v>701</v>
      </c>
      <c r="I517" s="46"/>
      <c r="J517" s="46"/>
      <c r="K517" s="46" t="str">
        <f>IFERROR(__xludf.DUMMYFUNCTION("if(A517="""","""",IF(G517="""",""Myn"",IF(REGEXMATCH(lower(G517),""mynn""),""Myn"",if(G517&lt;&gt;"""",""GEMTRE"",""""))))"),"Myn")</f>
        <v>Myn</v>
      </c>
      <c r="L517" s="46" t="s">
        <v>2000</v>
      </c>
      <c r="M517" s="48">
        <v>45255.46061342592</v>
      </c>
    </row>
    <row r="518">
      <c r="A518" s="47">
        <v>45250.54117253472</v>
      </c>
      <c r="B518" s="46" t="s">
        <v>516</v>
      </c>
      <c r="C518" s="46">
        <v>9.650766897E9</v>
      </c>
      <c r="D518" s="46" t="s">
        <v>779</v>
      </c>
      <c r="E518" s="46"/>
      <c r="F518" s="46"/>
      <c r="G518" s="46" t="s">
        <v>303</v>
      </c>
      <c r="H518" s="46" t="s">
        <v>701</v>
      </c>
      <c r="I518" s="46"/>
      <c r="J518" s="46"/>
      <c r="K518" s="46" t="str">
        <f>IFERROR(__xludf.DUMMYFUNCTION("if(A518="""","""",IF(G518="""",""Myn"",IF(REGEXMATCH(lower(G518),""mynn""),""Myn"",if(G518&lt;&gt;"""",""GEMTRE"",""""))))"),"Myn")</f>
        <v>Myn</v>
      </c>
      <c r="L518" s="46" t="s">
        <v>2000</v>
      </c>
      <c r="M518" s="48">
        <v>45255.46061342592</v>
      </c>
    </row>
    <row r="519">
      <c r="A519" s="47">
        <v>45250.541978379624</v>
      </c>
      <c r="B519" s="46" t="s">
        <v>780</v>
      </c>
      <c r="C519" s="46">
        <v>7.835992121E9</v>
      </c>
      <c r="D519" s="46" t="s">
        <v>781</v>
      </c>
      <c r="E519" s="46"/>
      <c r="F519" s="46"/>
      <c r="G519" s="46" t="s">
        <v>303</v>
      </c>
      <c r="H519" s="46" t="s">
        <v>701</v>
      </c>
      <c r="I519" s="46"/>
      <c r="J519" s="46"/>
      <c r="K519" s="46" t="str">
        <f>IFERROR(__xludf.DUMMYFUNCTION("if(A519="""","""",IF(G519="""",""Myn"",IF(REGEXMATCH(lower(G519),""mynn""),""Myn"",if(G519&lt;&gt;"""",""GEMTRE"",""""))))"),"Myn")</f>
        <v>Myn</v>
      </c>
      <c r="L519" s="46" t="s">
        <v>2000</v>
      </c>
      <c r="M519" s="48">
        <v>45255.46061342592</v>
      </c>
    </row>
    <row r="520">
      <c r="A520" s="47">
        <v>45250.54478077547</v>
      </c>
      <c r="B520" s="46" t="s">
        <v>782</v>
      </c>
      <c r="C520" s="46">
        <v>8.587975931E9</v>
      </c>
      <c r="D520" s="46"/>
      <c r="E520" s="46"/>
      <c r="F520" s="46"/>
      <c r="G520" s="46" t="s">
        <v>303</v>
      </c>
      <c r="H520" s="46" t="s">
        <v>701</v>
      </c>
      <c r="I520" s="46"/>
      <c r="J520" s="46"/>
      <c r="K520" s="46" t="str">
        <f>IFERROR(__xludf.DUMMYFUNCTION("if(A520="""","""",IF(G520="""",""Myn"",IF(REGEXMATCH(lower(G520),""mynn""),""Myn"",if(G520&lt;&gt;"""",""GEMTRE"",""""))))"),"Myn")</f>
        <v>Myn</v>
      </c>
      <c r="L520" s="46" t="s">
        <v>2000</v>
      </c>
      <c r="M520" s="48">
        <v>45255.46061342592</v>
      </c>
    </row>
    <row r="521">
      <c r="A521" s="47">
        <v>45250.54578443287</v>
      </c>
      <c r="B521" s="46" t="s">
        <v>783</v>
      </c>
      <c r="C521" s="46">
        <v>9.911189092E9</v>
      </c>
      <c r="D521" s="46"/>
      <c r="E521" s="46"/>
      <c r="F521" s="46"/>
      <c r="G521" s="46" t="s">
        <v>303</v>
      </c>
      <c r="H521" s="46" t="s">
        <v>701</v>
      </c>
      <c r="I521" s="46"/>
      <c r="J521" s="46"/>
      <c r="K521" s="46" t="str">
        <f>IFERROR(__xludf.DUMMYFUNCTION("if(A521="""","""",IF(G521="""",""Myn"",IF(REGEXMATCH(lower(G521),""mynn""),""Myn"",if(G521&lt;&gt;"""",""GEMTRE"",""""))))"),"Myn")</f>
        <v>Myn</v>
      </c>
      <c r="L521" s="46" t="s">
        <v>2000</v>
      </c>
      <c r="M521" s="48">
        <v>45255.46061342592</v>
      </c>
    </row>
    <row r="522">
      <c r="A522" s="47">
        <v>45250.55040047454</v>
      </c>
      <c r="B522" s="46" t="s">
        <v>784</v>
      </c>
      <c r="C522" s="46">
        <v>9.819808647E9</v>
      </c>
      <c r="D522" s="46" t="s">
        <v>785</v>
      </c>
      <c r="E522" s="46" t="s">
        <v>786</v>
      </c>
      <c r="F522" s="49" t="s">
        <v>787</v>
      </c>
      <c r="G522" s="46" t="s">
        <v>303</v>
      </c>
      <c r="H522" s="46" t="s">
        <v>706</v>
      </c>
      <c r="I522" s="46"/>
      <c r="J522" s="46"/>
      <c r="K522" s="46" t="str">
        <f>IFERROR(__xludf.DUMMYFUNCTION("if(A522="""","""",IF(G522="""",""Myn"",IF(REGEXMATCH(lower(G522),""mynn""),""Myn"",if(G522&lt;&gt;"""",""GEMTRE"",""""))))"),"Myn")</f>
        <v>Myn</v>
      </c>
      <c r="L522" s="46" t="s">
        <v>2000</v>
      </c>
      <c r="M522" s="48">
        <v>45255.46061342592</v>
      </c>
    </row>
    <row r="523">
      <c r="A523" s="47">
        <v>45250.556455162034</v>
      </c>
      <c r="B523" s="46" t="s">
        <v>788</v>
      </c>
      <c r="C523" s="46">
        <v>9.289846101E9</v>
      </c>
      <c r="D523" s="46"/>
      <c r="E523" s="46" t="s">
        <v>79</v>
      </c>
      <c r="F523" s="46"/>
      <c r="G523" s="46" t="s">
        <v>303</v>
      </c>
      <c r="H523" s="46" t="s">
        <v>706</v>
      </c>
      <c r="I523" s="46"/>
      <c r="J523" s="46"/>
      <c r="K523" s="46" t="str">
        <f>IFERROR(__xludf.DUMMYFUNCTION("if(A523="""","""",IF(G523="""",""Myn"",IF(REGEXMATCH(lower(G523),""mynn""),""Myn"",if(G523&lt;&gt;"""",""GEMTRE"",""""))))"),"Myn")</f>
        <v>Myn</v>
      </c>
      <c r="L523" s="46" t="s">
        <v>2000</v>
      </c>
      <c r="M523" s="48">
        <v>45255.46061342592</v>
      </c>
    </row>
    <row r="524">
      <c r="A524" s="47">
        <v>45250.556652847226</v>
      </c>
      <c r="B524" s="46" t="s">
        <v>789</v>
      </c>
      <c r="C524" s="46">
        <v>7.838134901E9</v>
      </c>
      <c r="D524" s="46"/>
      <c r="E524" s="46"/>
      <c r="F524" s="46"/>
      <c r="G524" s="46" t="s">
        <v>303</v>
      </c>
      <c r="H524" s="46" t="s">
        <v>701</v>
      </c>
      <c r="I524" s="46"/>
      <c r="J524" s="46"/>
      <c r="K524" s="46" t="str">
        <f>IFERROR(__xludf.DUMMYFUNCTION("if(A524="""","""",IF(G524="""",""Myn"",IF(REGEXMATCH(lower(G524),""mynn""),""Myn"",if(G524&lt;&gt;"""",""GEMTRE"",""""))))"),"Myn")</f>
        <v>Myn</v>
      </c>
      <c r="L524" s="46" t="s">
        <v>2000</v>
      </c>
      <c r="M524" s="48">
        <v>45255.46061342592</v>
      </c>
    </row>
    <row r="525">
      <c r="A525" s="47">
        <v>45250.55742631944</v>
      </c>
      <c r="B525" s="46" t="s">
        <v>790</v>
      </c>
      <c r="C525" s="46">
        <v>7.011511636E9</v>
      </c>
      <c r="D525" s="46"/>
      <c r="E525" s="46"/>
      <c r="F525" s="46"/>
      <c r="G525" s="46" t="s">
        <v>303</v>
      </c>
      <c r="H525" s="46" t="s">
        <v>701</v>
      </c>
      <c r="I525" s="46"/>
      <c r="J525" s="46"/>
      <c r="K525" s="46" t="str">
        <f>IFERROR(__xludf.DUMMYFUNCTION("if(A525="""","""",IF(G525="""",""Myn"",IF(REGEXMATCH(lower(G525),""mynn""),""Myn"",if(G525&lt;&gt;"""",""GEMTRE"",""""))))"),"Myn")</f>
        <v>Myn</v>
      </c>
      <c r="L525" s="46" t="s">
        <v>2000</v>
      </c>
      <c r="M525" s="48">
        <v>45255.46061342592</v>
      </c>
    </row>
    <row r="526">
      <c r="A526" s="47">
        <v>45250.56089178241</v>
      </c>
      <c r="B526" s="46" t="s">
        <v>791</v>
      </c>
      <c r="C526" s="46">
        <v>8.05393043E9</v>
      </c>
      <c r="D526" s="46"/>
      <c r="E526" s="46"/>
      <c r="F526" s="46"/>
      <c r="G526" s="46" t="s">
        <v>303</v>
      </c>
      <c r="H526" s="46" t="s">
        <v>701</v>
      </c>
      <c r="I526" s="46"/>
      <c r="J526" s="46"/>
      <c r="K526" s="46" t="str">
        <f>IFERROR(__xludf.DUMMYFUNCTION("if(A526="""","""",IF(G526="""",""Myn"",IF(REGEXMATCH(lower(G526),""mynn""),""Myn"",if(G526&lt;&gt;"""",""GEMTRE"",""""))))"),"Myn")</f>
        <v>Myn</v>
      </c>
      <c r="L526" s="46" t="s">
        <v>2000</v>
      </c>
      <c r="M526" s="48">
        <v>45255.46061342592</v>
      </c>
    </row>
    <row r="527">
      <c r="A527" s="47">
        <v>45250.56252715278</v>
      </c>
      <c r="B527" s="46" t="s">
        <v>792</v>
      </c>
      <c r="C527" s="46">
        <v>8.813882129E9</v>
      </c>
      <c r="D527" s="46"/>
      <c r="E527" s="46" t="s">
        <v>793</v>
      </c>
      <c r="F527" s="46"/>
      <c r="G527" s="46" t="s">
        <v>303</v>
      </c>
      <c r="H527" s="46" t="s">
        <v>706</v>
      </c>
      <c r="I527" s="46"/>
      <c r="J527" s="46"/>
      <c r="K527" s="46" t="str">
        <f>IFERROR(__xludf.DUMMYFUNCTION("if(A527="""","""",IF(G527="""",""Myn"",IF(REGEXMATCH(lower(G527),""mynn""),""Myn"",if(G527&lt;&gt;"""",""GEMTRE"",""""))))"),"Myn")</f>
        <v>Myn</v>
      </c>
      <c r="L527" s="46" t="s">
        <v>2000</v>
      </c>
      <c r="M527" s="48">
        <v>45255.46061342592</v>
      </c>
    </row>
    <row r="528">
      <c r="A528" s="47">
        <v>45250.5666782176</v>
      </c>
      <c r="B528" s="46" t="s">
        <v>794</v>
      </c>
      <c r="C528" s="46">
        <v>9.8710642E9</v>
      </c>
      <c r="D528" s="46"/>
      <c r="E528" s="46" t="s">
        <v>795</v>
      </c>
      <c r="F528" s="46"/>
      <c r="G528" s="46" t="s">
        <v>303</v>
      </c>
      <c r="H528" s="46" t="s">
        <v>706</v>
      </c>
      <c r="I528" s="46"/>
      <c r="J528" s="46"/>
      <c r="K528" s="46" t="str">
        <f>IFERROR(__xludf.DUMMYFUNCTION("if(A528="""","""",IF(G528="""",""Myn"",IF(REGEXMATCH(lower(G528),""mynn""),""Myn"",if(G528&lt;&gt;"""",""GEMTRE"",""""))))"),"Myn")</f>
        <v>Myn</v>
      </c>
      <c r="L528" s="46" t="s">
        <v>2000</v>
      </c>
      <c r="M528" s="48">
        <v>45255.46061342592</v>
      </c>
    </row>
    <row r="529">
      <c r="A529" s="47">
        <v>45250.57616690973</v>
      </c>
      <c r="B529" s="46" t="s">
        <v>796</v>
      </c>
      <c r="C529" s="46">
        <v>9.650243333E9</v>
      </c>
      <c r="D529" s="46" t="s">
        <v>797</v>
      </c>
      <c r="E529" s="46"/>
      <c r="F529" s="46"/>
      <c r="G529" s="46" t="s">
        <v>303</v>
      </c>
      <c r="H529" s="46" t="s">
        <v>701</v>
      </c>
      <c r="I529" s="46"/>
      <c r="J529" s="46"/>
      <c r="K529" s="46" t="str">
        <f>IFERROR(__xludf.DUMMYFUNCTION("if(A529="""","""",IF(G529="""",""Myn"",IF(REGEXMATCH(lower(G529),""mynn""),""Myn"",if(G529&lt;&gt;"""",""GEMTRE"",""""))))"),"Myn")</f>
        <v>Myn</v>
      </c>
      <c r="L529" s="46" t="s">
        <v>2000</v>
      </c>
      <c r="M529" s="48">
        <v>45255.46061342592</v>
      </c>
    </row>
    <row r="530">
      <c r="A530" s="47">
        <v>45250.587122557874</v>
      </c>
      <c r="B530" s="46" t="s">
        <v>798</v>
      </c>
      <c r="C530" s="46">
        <v>9.667993383E9</v>
      </c>
      <c r="D530" s="46" t="s">
        <v>799</v>
      </c>
      <c r="E530" s="46"/>
      <c r="F530" s="46"/>
      <c r="G530" s="46" t="s">
        <v>303</v>
      </c>
      <c r="H530" s="46" t="s">
        <v>701</v>
      </c>
      <c r="I530" s="46"/>
      <c r="J530" s="46"/>
      <c r="K530" s="46" t="str">
        <f>IFERROR(__xludf.DUMMYFUNCTION("if(A530="""","""",IF(G530="""",""Myn"",IF(REGEXMATCH(lower(G530),""mynn""),""Myn"",if(G530&lt;&gt;"""",""GEMTRE"",""""))))"),"Myn")</f>
        <v>Myn</v>
      </c>
      <c r="L530" s="46" t="s">
        <v>2000</v>
      </c>
      <c r="M530" s="48">
        <v>45255.46061342592</v>
      </c>
    </row>
    <row r="531">
      <c r="A531" s="47">
        <v>45250.58743875</v>
      </c>
      <c r="B531" s="46" t="s">
        <v>371</v>
      </c>
      <c r="C531" s="46">
        <v>8.764035354E9</v>
      </c>
      <c r="D531" s="46"/>
      <c r="E531" s="46"/>
      <c r="F531" s="46"/>
      <c r="G531" s="46" t="s">
        <v>303</v>
      </c>
      <c r="H531" s="46" t="s">
        <v>701</v>
      </c>
      <c r="I531" s="46"/>
      <c r="J531" s="46"/>
      <c r="K531" s="46" t="str">
        <f>IFERROR(__xludf.DUMMYFUNCTION("if(A531="""","""",IF(G531="""",""Myn"",IF(REGEXMATCH(lower(G531),""mynn""),""Myn"",if(G531&lt;&gt;"""",""GEMTRE"",""""))))"),"Myn")</f>
        <v>Myn</v>
      </c>
      <c r="L531" s="46" t="s">
        <v>2000</v>
      </c>
      <c r="M531" s="48">
        <v>45255.46061342592</v>
      </c>
    </row>
    <row r="532">
      <c r="A532" s="47">
        <v>45250.59233407407</v>
      </c>
      <c r="B532" s="46" t="s">
        <v>800</v>
      </c>
      <c r="C532" s="46">
        <v>9.818926496E9</v>
      </c>
      <c r="D532" s="46" t="s">
        <v>801</v>
      </c>
      <c r="E532" s="46"/>
      <c r="F532" s="46"/>
      <c r="G532" s="46" t="s">
        <v>303</v>
      </c>
      <c r="H532" s="46" t="s">
        <v>701</v>
      </c>
      <c r="I532" s="46"/>
      <c r="J532" s="46"/>
      <c r="K532" s="46" t="str">
        <f>IFERROR(__xludf.DUMMYFUNCTION("if(A532="""","""",IF(G532="""",""Myn"",IF(REGEXMATCH(lower(G532),""mynn""),""Myn"",if(G532&lt;&gt;"""",""GEMTRE"",""""))))"),"Myn")</f>
        <v>Myn</v>
      </c>
      <c r="L532" s="46" t="s">
        <v>2000</v>
      </c>
      <c r="M532" s="48">
        <v>45255.46061342592</v>
      </c>
    </row>
    <row r="533">
      <c r="A533" s="47">
        <v>45250.59334420139</v>
      </c>
      <c r="B533" s="46" t="s">
        <v>802</v>
      </c>
      <c r="C533" s="46">
        <v>9.810490279E9</v>
      </c>
      <c r="D533" s="46" t="s">
        <v>803</v>
      </c>
      <c r="E533" s="46"/>
      <c r="F533" s="46"/>
      <c r="G533" s="46" t="s">
        <v>303</v>
      </c>
      <c r="H533" s="46" t="s">
        <v>701</v>
      </c>
      <c r="I533" s="46"/>
      <c r="J533" s="46"/>
      <c r="K533" s="46" t="str">
        <f>IFERROR(__xludf.DUMMYFUNCTION("if(A533="""","""",IF(G533="""",""Myn"",IF(REGEXMATCH(lower(G533),""mynn""),""Myn"",if(G533&lt;&gt;"""",""GEMTRE"",""""))))"),"Myn")</f>
        <v>Myn</v>
      </c>
      <c r="L533" s="46" t="s">
        <v>2000</v>
      </c>
      <c r="M533" s="48">
        <v>45255.46061342592</v>
      </c>
    </row>
    <row r="534">
      <c r="A534" s="47">
        <v>45250.59685909722</v>
      </c>
      <c r="B534" s="46" t="s">
        <v>804</v>
      </c>
      <c r="C534" s="46">
        <v>9.354316687E9</v>
      </c>
      <c r="D534" s="46"/>
      <c r="E534" s="46" t="s">
        <v>143</v>
      </c>
      <c r="F534" s="46"/>
      <c r="G534" s="46" t="s">
        <v>303</v>
      </c>
      <c r="H534" s="46" t="s">
        <v>706</v>
      </c>
      <c r="I534" s="46"/>
      <c r="J534" s="46"/>
      <c r="K534" s="46" t="str">
        <f>IFERROR(__xludf.DUMMYFUNCTION("if(A534="""","""",IF(G534="""",""Myn"",IF(REGEXMATCH(lower(G534),""mynn""),""Myn"",if(G534&lt;&gt;"""",""GEMTRE"",""""))))"),"Myn")</f>
        <v>Myn</v>
      </c>
      <c r="L534" s="46" t="s">
        <v>2000</v>
      </c>
      <c r="M534" s="48">
        <v>45255.46061342592</v>
      </c>
    </row>
    <row r="535">
      <c r="A535" s="47">
        <v>45250.60228853009</v>
      </c>
      <c r="B535" s="46" t="s">
        <v>805</v>
      </c>
      <c r="C535" s="46">
        <v>9.929074118E9</v>
      </c>
      <c r="D535" s="46"/>
      <c r="E535" s="46" t="s">
        <v>79</v>
      </c>
      <c r="F535" s="46"/>
      <c r="G535" s="46" t="s">
        <v>303</v>
      </c>
      <c r="H535" s="46" t="s">
        <v>706</v>
      </c>
      <c r="I535" s="46"/>
      <c r="J535" s="46"/>
      <c r="K535" s="46" t="str">
        <f>IFERROR(__xludf.DUMMYFUNCTION("if(A535="""","""",IF(G535="""",""Myn"",IF(REGEXMATCH(lower(G535),""mynn""),""Myn"",if(G535&lt;&gt;"""",""GEMTRE"",""""))))"),"Myn")</f>
        <v>Myn</v>
      </c>
      <c r="L535" s="46" t="s">
        <v>2000</v>
      </c>
      <c r="M535" s="48">
        <v>45255.46061342592</v>
      </c>
    </row>
    <row r="536">
      <c r="A536" s="47">
        <v>45250.60580880787</v>
      </c>
      <c r="B536" s="46" t="s">
        <v>806</v>
      </c>
      <c r="C536" s="46">
        <v>9.910044303E9</v>
      </c>
      <c r="D536" s="46"/>
      <c r="E536" s="46" t="s">
        <v>769</v>
      </c>
      <c r="F536" s="46"/>
      <c r="G536" s="46" t="s">
        <v>303</v>
      </c>
      <c r="H536" s="46" t="s">
        <v>706</v>
      </c>
      <c r="I536" s="46"/>
      <c r="J536" s="46"/>
      <c r="K536" s="46" t="str">
        <f>IFERROR(__xludf.DUMMYFUNCTION("if(A536="""","""",IF(G536="""",""Myn"",IF(REGEXMATCH(lower(G536),""mynn""),""Myn"",if(G536&lt;&gt;"""",""GEMTRE"",""""))))"),"Myn")</f>
        <v>Myn</v>
      </c>
      <c r="L536" s="46" t="s">
        <v>2000</v>
      </c>
      <c r="M536" s="48">
        <v>45255.46061342592</v>
      </c>
    </row>
    <row r="537">
      <c r="A537" s="47">
        <v>45250.60748914352</v>
      </c>
      <c r="B537" s="46" t="s">
        <v>807</v>
      </c>
      <c r="C537" s="46">
        <v>9.818989744E9</v>
      </c>
      <c r="D537" s="46"/>
      <c r="E537" s="46"/>
      <c r="F537" s="46"/>
      <c r="G537" s="46" t="s">
        <v>303</v>
      </c>
      <c r="H537" s="46" t="s">
        <v>722</v>
      </c>
      <c r="I537" s="46"/>
      <c r="J537" s="46"/>
      <c r="K537" s="46" t="str">
        <f>IFERROR(__xludf.DUMMYFUNCTION("if(A537="""","""",IF(G537="""",""Myn"",IF(REGEXMATCH(lower(G537),""mynn""),""Myn"",if(G537&lt;&gt;"""",""GEMTRE"",""""))))"),"Myn")</f>
        <v>Myn</v>
      </c>
      <c r="L537" s="46" t="s">
        <v>2000</v>
      </c>
      <c r="M537" s="48">
        <v>45255.46061342592</v>
      </c>
    </row>
    <row r="538">
      <c r="A538" s="47">
        <v>45250.610033634264</v>
      </c>
      <c r="B538" s="46" t="s">
        <v>808</v>
      </c>
      <c r="C538" s="46">
        <v>7.678122408E9</v>
      </c>
      <c r="D538" s="46"/>
      <c r="E538" s="46"/>
      <c r="F538" s="46"/>
      <c r="G538" s="46" t="s">
        <v>303</v>
      </c>
      <c r="H538" s="46" t="s">
        <v>701</v>
      </c>
      <c r="I538" s="46"/>
      <c r="J538" s="46"/>
      <c r="K538" s="46" t="str">
        <f>IFERROR(__xludf.DUMMYFUNCTION("if(A538="""","""",IF(G538="""",""Myn"",IF(REGEXMATCH(lower(G538),""mynn""),""Myn"",if(G538&lt;&gt;"""",""GEMTRE"",""""))))"),"Myn")</f>
        <v>Myn</v>
      </c>
      <c r="L538" s="46" t="s">
        <v>2000</v>
      </c>
      <c r="M538" s="48">
        <v>45255.46061342592</v>
      </c>
    </row>
    <row r="539">
      <c r="A539" s="47">
        <v>45250.61123928241</v>
      </c>
      <c r="B539" s="46" t="s">
        <v>809</v>
      </c>
      <c r="C539" s="46">
        <v>7.982527397E9</v>
      </c>
      <c r="D539" s="46"/>
      <c r="E539" s="46"/>
      <c r="F539" s="46"/>
      <c r="G539" s="46" t="s">
        <v>303</v>
      </c>
      <c r="H539" s="46" t="s">
        <v>701</v>
      </c>
      <c r="I539" s="46"/>
      <c r="J539" s="46"/>
      <c r="K539" s="46" t="str">
        <f>IFERROR(__xludf.DUMMYFUNCTION("if(A539="""","""",IF(G539="""",""Myn"",IF(REGEXMATCH(lower(G539),""mynn""),""Myn"",if(G539&lt;&gt;"""",""GEMTRE"",""""))))"),"Myn")</f>
        <v>Myn</v>
      </c>
      <c r="L539" s="46" t="s">
        <v>2000</v>
      </c>
      <c r="M539" s="48">
        <v>45255.46061342592</v>
      </c>
    </row>
    <row r="540">
      <c r="A540" s="47">
        <v>45250.61411400463</v>
      </c>
      <c r="B540" s="46" t="s">
        <v>810</v>
      </c>
      <c r="C540" s="46">
        <v>9.971237514E9</v>
      </c>
      <c r="D540" s="46"/>
      <c r="E540" s="46"/>
      <c r="F540" s="46"/>
      <c r="G540" s="46" t="s">
        <v>303</v>
      </c>
      <c r="H540" s="46" t="s">
        <v>701</v>
      </c>
      <c r="I540" s="46"/>
      <c r="J540" s="46"/>
      <c r="K540" s="46" t="str">
        <f>IFERROR(__xludf.DUMMYFUNCTION("if(A540="""","""",IF(G540="""",""Myn"",IF(REGEXMATCH(lower(G540),""mynn""),""Myn"",if(G540&lt;&gt;"""",""GEMTRE"",""""))))"),"Myn")</f>
        <v>Myn</v>
      </c>
      <c r="L540" s="46" t="s">
        <v>2000</v>
      </c>
      <c r="M540" s="48">
        <v>45255.46061342592</v>
      </c>
    </row>
    <row r="541">
      <c r="A541" s="47">
        <v>45250.61538657408</v>
      </c>
      <c r="B541" s="46" t="s">
        <v>811</v>
      </c>
      <c r="C541" s="46">
        <v>9.416032444E9</v>
      </c>
      <c r="D541" s="46"/>
      <c r="E541" s="46"/>
      <c r="F541" s="46"/>
      <c r="G541" s="46" t="s">
        <v>303</v>
      </c>
      <c r="H541" s="46" t="s">
        <v>701</v>
      </c>
      <c r="I541" s="46"/>
      <c r="J541" s="46"/>
      <c r="K541" s="46" t="str">
        <f>IFERROR(__xludf.DUMMYFUNCTION("if(A541="""","""",IF(G541="""",""Myn"",IF(REGEXMATCH(lower(G541),""mynn""),""Myn"",if(G541&lt;&gt;"""",""GEMTRE"",""""))))"),"Myn")</f>
        <v>Myn</v>
      </c>
      <c r="L541" s="46" t="s">
        <v>2000</v>
      </c>
      <c r="M541" s="48">
        <v>45255.46061342592</v>
      </c>
    </row>
    <row r="542">
      <c r="A542" s="47">
        <v>45250.61784861111</v>
      </c>
      <c r="B542" s="46" t="s">
        <v>812</v>
      </c>
      <c r="C542" s="46">
        <v>8.860382778E9</v>
      </c>
      <c r="D542" s="46"/>
      <c r="E542" s="46" t="s">
        <v>79</v>
      </c>
      <c r="F542" s="46"/>
      <c r="G542" s="46" t="s">
        <v>303</v>
      </c>
      <c r="H542" s="46" t="s">
        <v>706</v>
      </c>
      <c r="I542" s="46"/>
      <c r="J542" s="46"/>
      <c r="K542" s="46" t="str">
        <f>IFERROR(__xludf.DUMMYFUNCTION("if(A542="""","""",IF(G542="""",""Myn"",IF(REGEXMATCH(lower(G542),""mynn""),""Myn"",if(G542&lt;&gt;"""",""GEMTRE"",""""))))"),"Myn")</f>
        <v>Myn</v>
      </c>
      <c r="L542" s="46" t="s">
        <v>2000</v>
      </c>
      <c r="M542" s="48">
        <v>45255.46061342592</v>
      </c>
    </row>
    <row r="543">
      <c r="A543" s="47">
        <v>45250.618286655095</v>
      </c>
      <c r="B543" s="46" t="s">
        <v>813</v>
      </c>
      <c r="C543" s="46">
        <v>8.595701213E9</v>
      </c>
      <c r="D543" s="46"/>
      <c r="E543" s="46"/>
      <c r="F543" s="46"/>
      <c r="G543" s="46" t="s">
        <v>303</v>
      </c>
      <c r="H543" s="46" t="s">
        <v>701</v>
      </c>
      <c r="I543" s="46"/>
      <c r="J543" s="46"/>
      <c r="K543" s="46" t="str">
        <f>IFERROR(__xludf.DUMMYFUNCTION("if(A543="""","""",IF(G543="""",""Myn"",IF(REGEXMATCH(lower(G543),""mynn""),""Myn"",if(G543&lt;&gt;"""",""GEMTRE"",""""))))"),"Myn")</f>
        <v>Myn</v>
      </c>
      <c r="L543" s="46" t="s">
        <v>2000</v>
      </c>
      <c r="M543" s="48">
        <v>45255.46061342592</v>
      </c>
    </row>
    <row r="544">
      <c r="A544" s="47">
        <v>45250.61991298611</v>
      </c>
      <c r="B544" s="46" t="s">
        <v>109</v>
      </c>
      <c r="C544" s="46">
        <v>9.818364903E9</v>
      </c>
      <c r="D544" s="46"/>
      <c r="E544" s="46" t="s">
        <v>814</v>
      </c>
      <c r="F544" s="46"/>
      <c r="G544" s="46" t="s">
        <v>303</v>
      </c>
      <c r="H544" s="46" t="s">
        <v>706</v>
      </c>
      <c r="I544" s="46"/>
      <c r="J544" s="46"/>
      <c r="K544" s="46" t="str">
        <f>IFERROR(__xludf.DUMMYFUNCTION("if(A544="""","""",IF(G544="""",""Myn"",IF(REGEXMATCH(lower(G544),""mynn""),""Myn"",if(G544&lt;&gt;"""",""GEMTRE"",""""))))"),"Myn")</f>
        <v>Myn</v>
      </c>
      <c r="L544" s="46" t="s">
        <v>2000</v>
      </c>
      <c r="M544" s="48">
        <v>45255.46061342592</v>
      </c>
    </row>
    <row r="545">
      <c r="A545" s="47">
        <v>45250.62133087963</v>
      </c>
      <c r="B545" s="46" t="s">
        <v>815</v>
      </c>
      <c r="C545" s="46">
        <v>9.990087872E9</v>
      </c>
      <c r="D545" s="46"/>
      <c r="E545" s="46"/>
      <c r="F545" s="46"/>
      <c r="G545" s="46" t="s">
        <v>303</v>
      </c>
      <c r="H545" s="46" t="s">
        <v>701</v>
      </c>
      <c r="I545" s="46"/>
      <c r="J545" s="46"/>
      <c r="K545" s="46" t="str">
        <f>IFERROR(__xludf.DUMMYFUNCTION("if(A545="""","""",IF(G545="""",""Myn"",IF(REGEXMATCH(lower(G545),""mynn""),""Myn"",if(G545&lt;&gt;"""",""GEMTRE"",""""))))"),"Myn")</f>
        <v>Myn</v>
      </c>
      <c r="L545" s="46" t="s">
        <v>2000</v>
      </c>
      <c r="M545" s="48">
        <v>45255.46061342592</v>
      </c>
    </row>
    <row r="546">
      <c r="A546" s="47">
        <v>45250.6218503125</v>
      </c>
      <c r="B546" s="46" t="s">
        <v>816</v>
      </c>
      <c r="C546" s="46">
        <v>7.042168871E9</v>
      </c>
      <c r="D546" s="46"/>
      <c r="E546" s="46" t="s">
        <v>143</v>
      </c>
      <c r="F546" s="46"/>
      <c r="G546" s="46" t="s">
        <v>303</v>
      </c>
      <c r="H546" s="46" t="s">
        <v>706</v>
      </c>
      <c r="I546" s="46"/>
      <c r="J546" s="46"/>
      <c r="K546" s="46" t="str">
        <f>IFERROR(__xludf.DUMMYFUNCTION("if(A546="""","""",IF(G546="""",""Myn"",IF(REGEXMATCH(lower(G546),""mynn""),""Myn"",if(G546&lt;&gt;"""",""GEMTRE"",""""))))"),"Myn")</f>
        <v>Myn</v>
      </c>
      <c r="L546" s="46" t="s">
        <v>2000</v>
      </c>
      <c r="M546" s="48">
        <v>45255.46061342592</v>
      </c>
    </row>
    <row r="547">
      <c r="A547" s="47">
        <v>45250.62282554398</v>
      </c>
      <c r="B547" s="46" t="s">
        <v>817</v>
      </c>
      <c r="C547" s="46">
        <v>8.285968093E9</v>
      </c>
      <c r="D547" s="46"/>
      <c r="E547" s="46" t="s">
        <v>227</v>
      </c>
      <c r="F547" s="46"/>
      <c r="G547" s="46" t="s">
        <v>303</v>
      </c>
      <c r="H547" s="46" t="s">
        <v>706</v>
      </c>
      <c r="I547" s="46"/>
      <c r="J547" s="46"/>
      <c r="K547" s="46" t="str">
        <f>IFERROR(__xludf.DUMMYFUNCTION("if(A547="""","""",IF(G547="""",""Myn"",IF(REGEXMATCH(lower(G547),""mynn""),""Myn"",if(G547&lt;&gt;"""",""GEMTRE"",""""))))"),"Myn")</f>
        <v>Myn</v>
      </c>
      <c r="L547" s="46" t="s">
        <v>2000</v>
      </c>
      <c r="M547" s="48">
        <v>45255.46061342592</v>
      </c>
    </row>
    <row r="548">
      <c r="A548" s="47">
        <v>45250.623615185184</v>
      </c>
      <c r="B548" s="46" t="s">
        <v>818</v>
      </c>
      <c r="C548" s="46">
        <v>9.999217858E9</v>
      </c>
      <c r="D548" s="46" t="s">
        <v>819</v>
      </c>
      <c r="E548" s="46"/>
      <c r="F548" s="46"/>
      <c r="G548" s="46" t="s">
        <v>303</v>
      </c>
      <c r="H548" s="46" t="s">
        <v>701</v>
      </c>
      <c r="I548" s="46"/>
      <c r="J548" s="46"/>
      <c r="K548" s="46" t="str">
        <f>IFERROR(__xludf.DUMMYFUNCTION("if(A548="""","""",IF(G548="""",""Myn"",IF(REGEXMATCH(lower(G548),""mynn""),""Myn"",if(G548&lt;&gt;"""",""GEMTRE"",""""))))"),"Myn")</f>
        <v>Myn</v>
      </c>
      <c r="L548" s="46" t="s">
        <v>2000</v>
      </c>
      <c r="M548" s="48">
        <v>45255.46061342592</v>
      </c>
    </row>
    <row r="549">
      <c r="A549" s="47">
        <v>45250.62639928241</v>
      </c>
      <c r="B549" s="46" t="s">
        <v>820</v>
      </c>
      <c r="C549" s="46">
        <v>8.447410447E9</v>
      </c>
      <c r="D549" s="46"/>
      <c r="E549" s="46" t="s">
        <v>227</v>
      </c>
      <c r="F549" s="46"/>
      <c r="G549" s="46" t="s">
        <v>303</v>
      </c>
      <c r="H549" s="46" t="s">
        <v>706</v>
      </c>
      <c r="I549" s="46"/>
      <c r="J549" s="46"/>
      <c r="K549" s="46" t="str">
        <f>IFERROR(__xludf.DUMMYFUNCTION("if(A549="""","""",IF(G549="""",""Myn"",IF(REGEXMATCH(lower(G549),""mynn""),""Myn"",if(G549&lt;&gt;"""",""GEMTRE"",""""))))"),"Myn")</f>
        <v>Myn</v>
      </c>
      <c r="L549" s="46" t="s">
        <v>2000</v>
      </c>
      <c r="M549" s="48">
        <v>45255.46061342592</v>
      </c>
    </row>
    <row r="550">
      <c r="A550" s="47">
        <v>45250.63017125</v>
      </c>
      <c r="B550" s="46" t="s">
        <v>821</v>
      </c>
      <c r="C550" s="46">
        <v>9.811425384E9</v>
      </c>
      <c r="D550" s="46"/>
      <c r="E550" s="46" t="s">
        <v>79</v>
      </c>
      <c r="F550" s="46"/>
      <c r="G550" s="46" t="s">
        <v>303</v>
      </c>
      <c r="H550" s="46" t="s">
        <v>706</v>
      </c>
      <c r="I550" s="46"/>
      <c r="J550" s="46"/>
      <c r="K550" s="46" t="str">
        <f>IFERROR(__xludf.DUMMYFUNCTION("if(A550="""","""",IF(G550="""",""Myn"",IF(REGEXMATCH(lower(G550),""mynn""),""Myn"",if(G550&lt;&gt;"""",""GEMTRE"",""""))))"),"Myn")</f>
        <v>Myn</v>
      </c>
      <c r="L550" s="46" t="s">
        <v>2000</v>
      </c>
      <c r="M550" s="48">
        <v>45255.46061342592</v>
      </c>
    </row>
    <row r="551">
      <c r="A551" s="47">
        <v>45250.6340113426</v>
      </c>
      <c r="B551" s="46" t="s">
        <v>822</v>
      </c>
      <c r="C551" s="46">
        <v>7.042556601E9</v>
      </c>
      <c r="D551" s="46"/>
      <c r="E551" s="46" t="s">
        <v>823</v>
      </c>
      <c r="F551" s="46"/>
      <c r="G551" s="46" t="s">
        <v>303</v>
      </c>
      <c r="H551" s="46" t="s">
        <v>706</v>
      </c>
      <c r="I551" s="46"/>
      <c r="J551" s="46"/>
      <c r="K551" s="46" t="str">
        <f>IFERROR(__xludf.DUMMYFUNCTION("if(A551="""","""",IF(G551="""",""Myn"",IF(REGEXMATCH(lower(G551),""mynn""),""Myn"",if(G551&lt;&gt;"""",""GEMTRE"",""""))))"),"Myn")</f>
        <v>Myn</v>
      </c>
      <c r="L551" s="46" t="s">
        <v>2000</v>
      </c>
      <c r="M551" s="48">
        <v>45255.46061342592</v>
      </c>
    </row>
    <row r="552">
      <c r="A552" s="47">
        <v>45250.635436261575</v>
      </c>
      <c r="B552" s="46" t="s">
        <v>824</v>
      </c>
      <c r="C552" s="46">
        <v>9.62595893E9</v>
      </c>
      <c r="D552" s="46"/>
      <c r="E552" s="46"/>
      <c r="F552" s="46"/>
      <c r="G552" s="46" t="s">
        <v>303</v>
      </c>
      <c r="H552" s="46" t="s">
        <v>701</v>
      </c>
      <c r="I552" s="46"/>
      <c r="J552" s="46"/>
      <c r="K552" s="46" t="str">
        <f>IFERROR(__xludf.DUMMYFUNCTION("if(A552="""","""",IF(G552="""",""Myn"",IF(REGEXMATCH(lower(G552),""mynn""),""Myn"",if(G552&lt;&gt;"""",""GEMTRE"",""""))))"),"Myn")</f>
        <v>Myn</v>
      </c>
      <c r="L552" s="46" t="s">
        <v>2000</v>
      </c>
      <c r="M552" s="48">
        <v>45255.46061342592</v>
      </c>
    </row>
    <row r="553">
      <c r="A553" s="47">
        <v>45250.64000900463</v>
      </c>
      <c r="B553" s="46" t="s">
        <v>825</v>
      </c>
      <c r="C553" s="46">
        <v>9.210586675E9</v>
      </c>
      <c r="D553" s="46"/>
      <c r="E553" s="46"/>
      <c r="F553" s="46"/>
      <c r="G553" s="46" t="s">
        <v>303</v>
      </c>
      <c r="H553" s="46" t="s">
        <v>701</v>
      </c>
      <c r="I553" s="46"/>
      <c r="J553" s="46"/>
      <c r="K553" s="46" t="str">
        <f>IFERROR(__xludf.DUMMYFUNCTION("if(A553="""","""",IF(G553="""",""Myn"",IF(REGEXMATCH(lower(G553),""mynn""),""Myn"",if(G553&lt;&gt;"""",""GEMTRE"",""""))))"),"Myn")</f>
        <v>Myn</v>
      </c>
      <c r="L553" s="46" t="s">
        <v>2000</v>
      </c>
      <c r="M553" s="48">
        <v>45255.46061342592</v>
      </c>
    </row>
    <row r="554">
      <c r="A554" s="47">
        <v>45250.64057758102</v>
      </c>
      <c r="B554" s="46" t="s">
        <v>826</v>
      </c>
      <c r="C554" s="46">
        <v>9.212459436E9</v>
      </c>
      <c r="D554" s="46"/>
      <c r="E554" s="46"/>
      <c r="F554" s="46"/>
      <c r="G554" s="46" t="s">
        <v>303</v>
      </c>
      <c r="H554" s="46" t="s">
        <v>701</v>
      </c>
      <c r="I554" s="46"/>
      <c r="J554" s="46"/>
      <c r="K554" s="46" t="str">
        <f>IFERROR(__xludf.DUMMYFUNCTION("if(A554="""","""",IF(G554="""",""Myn"",IF(REGEXMATCH(lower(G554),""mynn""),""Myn"",if(G554&lt;&gt;"""",""GEMTRE"",""""))))"),"Myn")</f>
        <v>Myn</v>
      </c>
      <c r="L554" s="46" t="s">
        <v>2000</v>
      </c>
      <c r="M554" s="48">
        <v>45255.46061342592</v>
      </c>
    </row>
    <row r="555">
      <c r="A555" s="47">
        <v>45250.64847829861</v>
      </c>
      <c r="B555" s="46" t="s">
        <v>827</v>
      </c>
      <c r="C555" s="46">
        <v>8.287455411E9</v>
      </c>
      <c r="D555" s="46"/>
      <c r="E555" s="46" t="s">
        <v>227</v>
      </c>
      <c r="F555" s="46"/>
      <c r="G555" s="46" t="s">
        <v>303</v>
      </c>
      <c r="H555" s="46" t="s">
        <v>706</v>
      </c>
      <c r="I555" s="46"/>
      <c r="J555" s="46"/>
      <c r="K555" s="46" t="str">
        <f>IFERROR(__xludf.DUMMYFUNCTION("if(A555="""","""",IF(G555="""",""Myn"",IF(REGEXMATCH(lower(G555),""mynn""),""Myn"",if(G555&lt;&gt;"""",""GEMTRE"",""""))))"),"Myn")</f>
        <v>Myn</v>
      </c>
      <c r="L555" s="46" t="s">
        <v>2000</v>
      </c>
      <c r="M555" s="48">
        <v>45255.46061342592</v>
      </c>
    </row>
    <row r="556">
      <c r="A556" s="47">
        <v>45250.64933539352</v>
      </c>
      <c r="B556" s="46" t="s">
        <v>828</v>
      </c>
      <c r="C556" s="46">
        <v>9.810033194E9</v>
      </c>
      <c r="D556" s="46" t="s">
        <v>829</v>
      </c>
      <c r="E556" s="46"/>
      <c r="F556" s="46"/>
      <c r="G556" s="46" t="s">
        <v>303</v>
      </c>
      <c r="H556" s="46" t="s">
        <v>701</v>
      </c>
      <c r="I556" s="46"/>
      <c r="J556" s="46"/>
      <c r="K556" s="46" t="str">
        <f>IFERROR(__xludf.DUMMYFUNCTION("if(A556="""","""",IF(G556="""",""Myn"",IF(REGEXMATCH(lower(G556),""mynn""),""Myn"",if(G556&lt;&gt;"""",""GEMTRE"",""""))))"),"Myn")</f>
        <v>Myn</v>
      </c>
      <c r="L556" s="46" t="s">
        <v>2000</v>
      </c>
      <c r="M556" s="48">
        <v>45255.46061342592</v>
      </c>
    </row>
    <row r="557">
      <c r="A557" s="47">
        <v>45250.64974709491</v>
      </c>
      <c r="B557" s="46" t="s">
        <v>830</v>
      </c>
      <c r="C557" s="46">
        <v>8.130655666E9</v>
      </c>
      <c r="D557" s="46" t="s">
        <v>831</v>
      </c>
      <c r="E557" s="46"/>
      <c r="F557" s="46"/>
      <c r="G557" s="46" t="s">
        <v>303</v>
      </c>
      <c r="H557" s="46" t="s">
        <v>701</v>
      </c>
      <c r="I557" s="46"/>
      <c r="J557" s="46"/>
      <c r="K557" s="46" t="str">
        <f>IFERROR(__xludf.DUMMYFUNCTION("if(A557="""","""",IF(G557="""",""Myn"",IF(REGEXMATCH(lower(G557),""mynn""),""Myn"",if(G557&lt;&gt;"""",""GEMTRE"",""""))))"),"Myn")</f>
        <v>Myn</v>
      </c>
      <c r="L557" s="46" t="s">
        <v>2000</v>
      </c>
      <c r="M557" s="48">
        <v>45255.46061342592</v>
      </c>
    </row>
    <row r="558">
      <c r="A558" s="47">
        <v>45250.650157638884</v>
      </c>
      <c r="B558" s="46" t="s">
        <v>832</v>
      </c>
      <c r="C558" s="46">
        <v>8.860773648E9</v>
      </c>
      <c r="D558" s="46" t="s">
        <v>833</v>
      </c>
      <c r="E558" s="46" t="s">
        <v>79</v>
      </c>
      <c r="F558" s="46"/>
      <c r="G558" s="46" t="s">
        <v>303</v>
      </c>
      <c r="H558" s="46" t="s">
        <v>706</v>
      </c>
      <c r="I558" s="46"/>
      <c r="J558" s="46"/>
      <c r="K558" s="46" t="str">
        <f>IFERROR(__xludf.DUMMYFUNCTION("if(A558="""","""",IF(G558="""",""Myn"",IF(REGEXMATCH(lower(G558),""mynn""),""Myn"",if(G558&lt;&gt;"""",""GEMTRE"",""""))))"),"Myn")</f>
        <v>Myn</v>
      </c>
      <c r="L558" s="46" t="s">
        <v>2000</v>
      </c>
      <c r="M558" s="48">
        <v>45255.46061342592</v>
      </c>
    </row>
    <row r="559">
      <c r="A559" s="47">
        <v>45250.65106771991</v>
      </c>
      <c r="B559" s="46" t="s">
        <v>834</v>
      </c>
      <c r="C559" s="46">
        <v>9.871150444E9</v>
      </c>
      <c r="D559" s="46"/>
      <c r="E559" s="46"/>
      <c r="F559" s="46"/>
      <c r="G559" s="46" t="s">
        <v>303</v>
      </c>
      <c r="H559" s="46" t="s">
        <v>701</v>
      </c>
      <c r="I559" s="46"/>
      <c r="J559" s="46"/>
      <c r="K559" s="46" t="str">
        <f>IFERROR(__xludf.DUMMYFUNCTION("if(A559="""","""",IF(G559="""",""Myn"",IF(REGEXMATCH(lower(G559),""mynn""),""Myn"",if(G559&lt;&gt;"""",""GEMTRE"",""""))))"),"Myn")</f>
        <v>Myn</v>
      </c>
      <c r="L559" s="46" t="s">
        <v>2000</v>
      </c>
      <c r="M559" s="48">
        <v>45255.46061342592</v>
      </c>
    </row>
    <row r="560">
      <c r="A560" s="47">
        <v>45250.65200943287</v>
      </c>
      <c r="B560" s="46" t="s">
        <v>835</v>
      </c>
      <c r="C560" s="46">
        <v>9.911574217E9</v>
      </c>
      <c r="D560" s="46"/>
      <c r="E560" s="46" t="s">
        <v>79</v>
      </c>
      <c r="F560" s="46"/>
      <c r="G560" s="46" t="s">
        <v>303</v>
      </c>
      <c r="H560" s="46" t="s">
        <v>706</v>
      </c>
      <c r="I560" s="46"/>
      <c r="J560" s="46"/>
      <c r="K560" s="46" t="str">
        <f>IFERROR(__xludf.DUMMYFUNCTION("if(A560="""","""",IF(G560="""",""Myn"",IF(REGEXMATCH(lower(G560),""mynn""),""Myn"",if(G560&lt;&gt;"""",""GEMTRE"",""""))))"),"Myn")</f>
        <v>Myn</v>
      </c>
      <c r="L560" s="46" t="s">
        <v>2000</v>
      </c>
      <c r="M560" s="48">
        <v>45255.46061342592</v>
      </c>
    </row>
    <row r="561">
      <c r="A561" s="47">
        <v>45250.65374623843</v>
      </c>
      <c r="B561" s="46" t="s">
        <v>836</v>
      </c>
      <c r="C561" s="46">
        <v>9.999962973E9</v>
      </c>
      <c r="D561" s="46"/>
      <c r="E561" s="46" t="s">
        <v>26</v>
      </c>
      <c r="F561" s="46"/>
      <c r="G561" s="46" t="s">
        <v>303</v>
      </c>
      <c r="H561" s="46" t="s">
        <v>706</v>
      </c>
      <c r="I561" s="46"/>
      <c r="J561" s="46"/>
      <c r="K561" s="46" t="str">
        <f>IFERROR(__xludf.DUMMYFUNCTION("if(A561="""","""",IF(G561="""",""Myn"",IF(REGEXMATCH(lower(G561),""mynn""),""Myn"",if(G561&lt;&gt;"""",""GEMTRE"",""""))))"),"Myn")</f>
        <v>Myn</v>
      </c>
      <c r="L561" s="46" t="s">
        <v>2000</v>
      </c>
      <c r="M561" s="48">
        <v>45255.46061342592</v>
      </c>
    </row>
    <row r="562">
      <c r="A562" s="47">
        <v>45250.656011134255</v>
      </c>
      <c r="B562" s="46" t="s">
        <v>385</v>
      </c>
      <c r="C562" s="46">
        <v>9.81352136E9</v>
      </c>
      <c r="D562" s="46"/>
      <c r="E562" s="46" t="s">
        <v>837</v>
      </c>
      <c r="F562" s="46"/>
      <c r="G562" s="46" t="s">
        <v>303</v>
      </c>
      <c r="H562" s="46" t="s">
        <v>706</v>
      </c>
      <c r="I562" s="46"/>
      <c r="J562" s="46"/>
      <c r="K562" s="46" t="str">
        <f>IFERROR(__xludf.DUMMYFUNCTION("if(A562="""","""",IF(G562="""",""Myn"",IF(REGEXMATCH(lower(G562),""mynn""),""Myn"",if(G562&lt;&gt;"""",""GEMTRE"",""""))))"),"Myn")</f>
        <v>Myn</v>
      </c>
      <c r="L562" s="46" t="s">
        <v>2000</v>
      </c>
      <c r="M562" s="48">
        <v>45255.46061342592</v>
      </c>
    </row>
    <row r="563">
      <c r="A563" s="47">
        <v>45250.65761846065</v>
      </c>
      <c r="B563" s="46" t="s">
        <v>838</v>
      </c>
      <c r="C563" s="46">
        <v>9.289315307E9</v>
      </c>
      <c r="D563" s="46"/>
      <c r="E563" s="46"/>
      <c r="F563" s="46"/>
      <c r="G563" s="46" t="s">
        <v>303</v>
      </c>
      <c r="H563" s="46" t="s">
        <v>706</v>
      </c>
      <c r="I563" s="46"/>
      <c r="J563" s="46"/>
      <c r="K563" s="46" t="str">
        <f>IFERROR(__xludf.DUMMYFUNCTION("if(A563="""","""",IF(G563="""",""Myn"",IF(REGEXMATCH(lower(G563),""mynn""),""Myn"",if(G563&lt;&gt;"""",""GEMTRE"",""""))))"),"Myn")</f>
        <v>Myn</v>
      </c>
      <c r="L563" s="46" t="s">
        <v>2000</v>
      </c>
      <c r="M563" s="48">
        <v>45255.46061342592</v>
      </c>
    </row>
    <row r="564">
      <c r="A564" s="47">
        <v>45250.65858587963</v>
      </c>
      <c r="B564" s="46" t="s">
        <v>839</v>
      </c>
      <c r="C564" s="46">
        <v>9.350007424E9</v>
      </c>
      <c r="D564" s="46"/>
      <c r="E564" s="46" t="s">
        <v>15</v>
      </c>
      <c r="F564" s="46"/>
      <c r="G564" s="46" t="s">
        <v>303</v>
      </c>
      <c r="H564" s="46" t="s">
        <v>706</v>
      </c>
      <c r="I564" s="46"/>
      <c r="J564" s="46"/>
      <c r="K564" s="46" t="str">
        <f>IFERROR(__xludf.DUMMYFUNCTION("if(A564="""","""",IF(G564="""",""Myn"",IF(REGEXMATCH(lower(G564),""mynn""),""Myn"",if(G564&lt;&gt;"""",""GEMTRE"",""""))))"),"Myn")</f>
        <v>Myn</v>
      </c>
      <c r="L564" s="46" t="s">
        <v>2000</v>
      </c>
      <c r="M564" s="48">
        <v>45255.46061342592</v>
      </c>
    </row>
    <row r="565">
      <c r="A565" s="47">
        <v>45250.65979638889</v>
      </c>
      <c r="B565" s="46" t="s">
        <v>840</v>
      </c>
      <c r="C565" s="46">
        <v>9.818412381E9</v>
      </c>
      <c r="D565" s="46"/>
      <c r="E565" s="46" t="s">
        <v>841</v>
      </c>
      <c r="F565" s="46"/>
      <c r="G565" s="46" t="s">
        <v>303</v>
      </c>
      <c r="H565" s="46" t="s">
        <v>706</v>
      </c>
      <c r="I565" s="46"/>
      <c r="J565" s="46"/>
      <c r="K565" s="46" t="str">
        <f>IFERROR(__xludf.DUMMYFUNCTION("if(A565="""","""",IF(G565="""",""Myn"",IF(REGEXMATCH(lower(G565),""mynn""),""Myn"",if(G565&lt;&gt;"""",""GEMTRE"",""""))))"),"Myn")</f>
        <v>Myn</v>
      </c>
      <c r="L565" s="46" t="s">
        <v>2000</v>
      </c>
      <c r="M565" s="48">
        <v>45255.46061342592</v>
      </c>
    </row>
    <row r="566">
      <c r="A566" s="47">
        <v>45250.66103809028</v>
      </c>
      <c r="B566" s="46" t="s">
        <v>842</v>
      </c>
      <c r="C566" s="46">
        <v>8.755677291E9</v>
      </c>
      <c r="D566" s="46"/>
      <c r="E566" s="46"/>
      <c r="F566" s="46"/>
      <c r="G566" s="46" t="s">
        <v>303</v>
      </c>
      <c r="H566" s="46" t="s">
        <v>701</v>
      </c>
      <c r="I566" s="46"/>
      <c r="J566" s="46"/>
      <c r="K566" s="46" t="str">
        <f>IFERROR(__xludf.DUMMYFUNCTION("if(A566="""","""",IF(G566="""",""Myn"",IF(REGEXMATCH(lower(G566),""mynn""),""Myn"",if(G566&lt;&gt;"""",""GEMTRE"",""""))))"),"Myn")</f>
        <v>Myn</v>
      </c>
      <c r="L566" s="46" t="s">
        <v>2000</v>
      </c>
      <c r="M566" s="48">
        <v>45255.46061342592</v>
      </c>
    </row>
    <row r="567">
      <c r="A567" s="47">
        <v>45250.66479065972</v>
      </c>
      <c r="B567" s="46" t="s">
        <v>204</v>
      </c>
      <c r="C567" s="46">
        <v>9.654334311E9</v>
      </c>
      <c r="D567" s="46"/>
      <c r="E567" s="46" t="s">
        <v>79</v>
      </c>
      <c r="F567" s="46"/>
      <c r="G567" s="46" t="s">
        <v>303</v>
      </c>
      <c r="H567" s="46" t="s">
        <v>706</v>
      </c>
      <c r="I567" s="46"/>
      <c r="J567" s="46"/>
      <c r="K567" s="46" t="str">
        <f>IFERROR(__xludf.DUMMYFUNCTION("if(A567="""","""",IF(G567="""",""Myn"",IF(REGEXMATCH(lower(G567),""mynn""),""Myn"",if(G567&lt;&gt;"""",""GEMTRE"",""""))))"),"Myn")</f>
        <v>Myn</v>
      </c>
      <c r="L567" s="46" t="s">
        <v>2000</v>
      </c>
      <c r="M567" s="48">
        <v>45255.46061342592</v>
      </c>
    </row>
    <row r="568">
      <c r="A568" s="47">
        <v>45250.66639275463</v>
      </c>
      <c r="B568" s="46" t="s">
        <v>843</v>
      </c>
      <c r="C568" s="46">
        <v>9.891170912E9</v>
      </c>
      <c r="D568" s="46"/>
      <c r="E568" s="46" t="s">
        <v>769</v>
      </c>
      <c r="F568" s="46"/>
      <c r="G568" s="46" t="s">
        <v>303</v>
      </c>
      <c r="H568" s="46" t="s">
        <v>706</v>
      </c>
      <c r="I568" s="46"/>
      <c r="J568" s="46"/>
      <c r="K568" s="46" t="str">
        <f>IFERROR(__xludf.DUMMYFUNCTION("if(A568="""","""",IF(G568="""",""Myn"",IF(REGEXMATCH(lower(G568),""mynn""),""Myn"",if(G568&lt;&gt;"""",""GEMTRE"",""""))))"),"Myn")</f>
        <v>Myn</v>
      </c>
      <c r="L568" s="46" t="s">
        <v>2000</v>
      </c>
      <c r="M568" s="48">
        <v>45255.46061342592</v>
      </c>
    </row>
    <row r="569">
      <c r="A569" s="47">
        <v>45250.671360057866</v>
      </c>
      <c r="B569" s="46" t="s">
        <v>649</v>
      </c>
      <c r="C569" s="46">
        <v>9.958746147E9</v>
      </c>
      <c r="D569" s="46"/>
      <c r="E569" s="46" t="s">
        <v>143</v>
      </c>
      <c r="F569" s="46"/>
      <c r="G569" s="46" t="s">
        <v>303</v>
      </c>
      <c r="H569" s="46" t="s">
        <v>706</v>
      </c>
      <c r="I569" s="46"/>
      <c r="J569" s="46"/>
      <c r="K569" s="46" t="str">
        <f>IFERROR(__xludf.DUMMYFUNCTION("if(A569="""","""",IF(G569="""",""Myn"",IF(REGEXMATCH(lower(G569),""mynn""),""Myn"",if(G569&lt;&gt;"""",""GEMTRE"",""""))))"),"Myn")</f>
        <v>Myn</v>
      </c>
      <c r="L569" s="46" t="s">
        <v>2000</v>
      </c>
      <c r="M569" s="48">
        <v>45255.46061342592</v>
      </c>
    </row>
    <row r="570">
      <c r="A570" s="47">
        <v>45250.6731960301</v>
      </c>
      <c r="B570" s="46" t="s">
        <v>844</v>
      </c>
      <c r="C570" s="46">
        <v>9.871489556E9</v>
      </c>
      <c r="D570" s="46"/>
      <c r="E570" s="46" t="s">
        <v>15</v>
      </c>
      <c r="F570" s="46"/>
      <c r="G570" s="46" t="s">
        <v>303</v>
      </c>
      <c r="H570" s="46" t="s">
        <v>706</v>
      </c>
      <c r="I570" s="46"/>
      <c r="J570" s="46"/>
      <c r="K570" s="46" t="str">
        <f>IFERROR(__xludf.DUMMYFUNCTION("if(A570="""","""",IF(G570="""",""Myn"",IF(REGEXMATCH(lower(G570),""mynn""),""Myn"",if(G570&lt;&gt;"""",""GEMTRE"",""""))))"),"Myn")</f>
        <v>Myn</v>
      </c>
      <c r="L570" s="46" t="s">
        <v>2000</v>
      </c>
      <c r="M570" s="48">
        <v>45255.46061342592</v>
      </c>
    </row>
    <row r="571">
      <c r="A571" s="47">
        <v>45250.673443078704</v>
      </c>
      <c r="B571" s="46" t="s">
        <v>845</v>
      </c>
      <c r="C571" s="46">
        <v>8.076413835E9</v>
      </c>
      <c r="D571" s="46"/>
      <c r="E571" s="46"/>
      <c r="F571" s="46"/>
      <c r="G571" s="46" t="s">
        <v>303</v>
      </c>
      <c r="H571" s="46" t="s">
        <v>701</v>
      </c>
      <c r="I571" s="46"/>
      <c r="J571" s="46"/>
      <c r="K571" s="46" t="str">
        <f>IFERROR(__xludf.DUMMYFUNCTION("if(A571="""","""",IF(G571="""",""Myn"",IF(REGEXMATCH(lower(G571),""mynn""),""Myn"",if(G571&lt;&gt;"""",""GEMTRE"",""""))))"),"Myn")</f>
        <v>Myn</v>
      </c>
      <c r="L571" s="46" t="s">
        <v>2000</v>
      </c>
      <c r="M571" s="48">
        <v>45255.46061342592</v>
      </c>
    </row>
    <row r="572">
      <c r="A572" s="47">
        <v>45250.68289171296</v>
      </c>
      <c r="B572" s="46" t="s">
        <v>846</v>
      </c>
      <c r="C572" s="46">
        <v>9.891766693E9</v>
      </c>
      <c r="D572" s="46"/>
      <c r="E572" s="46" t="s">
        <v>71</v>
      </c>
      <c r="F572" s="46"/>
      <c r="G572" s="46" t="s">
        <v>303</v>
      </c>
      <c r="H572" s="46" t="s">
        <v>706</v>
      </c>
      <c r="I572" s="46"/>
      <c r="J572" s="46"/>
      <c r="K572" s="46" t="str">
        <f>IFERROR(__xludf.DUMMYFUNCTION("if(A572="""","""",IF(G572="""",""Myn"",IF(REGEXMATCH(lower(G572),""mynn""),""Myn"",if(G572&lt;&gt;"""",""GEMTRE"",""""))))"),"Myn")</f>
        <v>Myn</v>
      </c>
      <c r="L572" s="46" t="s">
        <v>2000</v>
      </c>
      <c r="M572" s="48">
        <v>45255.46061342592</v>
      </c>
    </row>
    <row r="573">
      <c r="A573" s="47">
        <v>45250.68531664352</v>
      </c>
      <c r="B573" s="46" t="s">
        <v>847</v>
      </c>
      <c r="C573" s="46">
        <v>8.1711798E9</v>
      </c>
      <c r="D573" s="46"/>
      <c r="E573" s="46" t="s">
        <v>15</v>
      </c>
      <c r="F573" s="46"/>
      <c r="G573" s="46" t="s">
        <v>303</v>
      </c>
      <c r="H573" s="46" t="s">
        <v>706</v>
      </c>
      <c r="I573" s="46"/>
      <c r="J573" s="46"/>
      <c r="K573" s="46" t="str">
        <f>IFERROR(__xludf.DUMMYFUNCTION("if(A573="""","""",IF(G573="""",""Myn"",IF(REGEXMATCH(lower(G573),""mynn""),""Myn"",if(G573&lt;&gt;"""",""GEMTRE"",""""))))"),"Myn")</f>
        <v>Myn</v>
      </c>
      <c r="L573" s="46" t="s">
        <v>2000</v>
      </c>
      <c r="M573" s="48">
        <v>45255.46061342592</v>
      </c>
    </row>
    <row r="574">
      <c r="A574" s="47">
        <v>45250.6855612037</v>
      </c>
      <c r="B574" s="46" t="s">
        <v>848</v>
      </c>
      <c r="C574" s="46">
        <v>9.837330846E9</v>
      </c>
      <c r="D574" s="46"/>
      <c r="E574" s="46" t="s">
        <v>79</v>
      </c>
      <c r="F574" s="46"/>
      <c r="G574" s="46" t="s">
        <v>303</v>
      </c>
      <c r="H574" s="46" t="s">
        <v>706</v>
      </c>
      <c r="I574" s="46"/>
      <c r="J574" s="46"/>
      <c r="K574" s="46" t="str">
        <f>IFERROR(__xludf.DUMMYFUNCTION("if(A574="""","""",IF(G574="""",""Myn"",IF(REGEXMATCH(lower(G574),""mynn""),""Myn"",if(G574&lt;&gt;"""",""GEMTRE"",""""))))"),"Myn")</f>
        <v>Myn</v>
      </c>
      <c r="L574" s="46" t="s">
        <v>2000</v>
      </c>
      <c r="M574" s="48">
        <v>45255.46061342592</v>
      </c>
    </row>
    <row r="575">
      <c r="A575" s="47">
        <v>45250.68560465278</v>
      </c>
      <c r="B575" s="46" t="s">
        <v>849</v>
      </c>
      <c r="C575" s="46">
        <v>9.213650565E9</v>
      </c>
      <c r="D575" s="46"/>
      <c r="E575" s="46"/>
      <c r="F575" s="46"/>
      <c r="G575" s="46" t="s">
        <v>303</v>
      </c>
      <c r="H575" s="46" t="s">
        <v>706</v>
      </c>
      <c r="I575" s="46"/>
      <c r="J575" s="46"/>
      <c r="K575" s="46" t="str">
        <f>IFERROR(__xludf.DUMMYFUNCTION("if(A575="""","""",IF(G575="""",""Myn"",IF(REGEXMATCH(lower(G575),""mynn""),""Myn"",if(G575&lt;&gt;"""",""GEMTRE"",""""))))"),"Myn")</f>
        <v>Myn</v>
      </c>
      <c r="L575" s="46" t="s">
        <v>2000</v>
      </c>
      <c r="M575" s="48">
        <v>45255.46061342592</v>
      </c>
    </row>
    <row r="576">
      <c r="A576" s="47">
        <v>45250.68599174768</v>
      </c>
      <c r="B576" s="46" t="s">
        <v>850</v>
      </c>
      <c r="C576" s="46">
        <v>9.910549664E9</v>
      </c>
      <c r="D576" s="46"/>
      <c r="E576" s="46" t="s">
        <v>26</v>
      </c>
      <c r="F576" s="46"/>
      <c r="G576" s="46" t="s">
        <v>303</v>
      </c>
      <c r="H576" s="46" t="s">
        <v>706</v>
      </c>
      <c r="I576" s="46"/>
      <c r="J576" s="46"/>
      <c r="K576" s="46" t="str">
        <f>IFERROR(__xludf.DUMMYFUNCTION("if(A576="""","""",IF(G576="""",""Myn"",IF(REGEXMATCH(lower(G576),""mynn""),""Myn"",if(G576&lt;&gt;"""",""GEMTRE"",""""))))"),"Myn")</f>
        <v>Myn</v>
      </c>
      <c r="L576" s="46" t="s">
        <v>2000</v>
      </c>
      <c r="M576" s="48">
        <v>45255.46061342592</v>
      </c>
    </row>
    <row r="577">
      <c r="A577" s="47">
        <v>45250.687210648146</v>
      </c>
      <c r="B577" s="46" t="s">
        <v>851</v>
      </c>
      <c r="C577" s="46">
        <v>9.81159611E9</v>
      </c>
      <c r="D577" s="46"/>
      <c r="E577" s="46" t="s">
        <v>79</v>
      </c>
      <c r="F577" s="46"/>
      <c r="G577" s="46" t="s">
        <v>303</v>
      </c>
      <c r="H577" s="46" t="s">
        <v>706</v>
      </c>
      <c r="I577" s="46"/>
      <c r="J577" s="46"/>
      <c r="K577" s="46" t="str">
        <f>IFERROR(__xludf.DUMMYFUNCTION("if(A577="""","""",IF(G577="""",""Myn"",IF(REGEXMATCH(lower(G577),""mynn""),""Myn"",if(G577&lt;&gt;"""",""GEMTRE"",""""))))"),"Myn")</f>
        <v>Myn</v>
      </c>
      <c r="L577" s="46" t="s">
        <v>2000</v>
      </c>
      <c r="M577" s="48">
        <v>45255.46061342592</v>
      </c>
    </row>
    <row r="578">
      <c r="A578" s="47">
        <v>45250.69097167824</v>
      </c>
      <c r="B578" s="46" t="s">
        <v>852</v>
      </c>
      <c r="C578" s="46">
        <v>7.042459239E9</v>
      </c>
      <c r="D578" s="46"/>
      <c r="E578" s="46"/>
      <c r="F578" s="46"/>
      <c r="G578" s="46" t="s">
        <v>303</v>
      </c>
      <c r="H578" s="46" t="s">
        <v>701</v>
      </c>
      <c r="I578" s="46"/>
      <c r="J578" s="46"/>
      <c r="K578" s="46" t="str">
        <f>IFERROR(__xludf.DUMMYFUNCTION("if(A578="""","""",IF(G578="""",""Myn"",IF(REGEXMATCH(lower(G578),""mynn""),""Myn"",if(G578&lt;&gt;"""",""GEMTRE"",""""))))"),"Myn")</f>
        <v>Myn</v>
      </c>
      <c r="L578" s="46" t="s">
        <v>2000</v>
      </c>
      <c r="M578" s="48">
        <v>45255.46061342592</v>
      </c>
    </row>
    <row r="579">
      <c r="A579" s="47">
        <v>45250.69504818287</v>
      </c>
      <c r="B579" s="46" t="s">
        <v>709</v>
      </c>
      <c r="C579" s="46">
        <v>8.076546728E9</v>
      </c>
      <c r="D579" s="46"/>
      <c r="E579" s="46" t="s">
        <v>853</v>
      </c>
      <c r="F579" s="46"/>
      <c r="G579" s="46" t="s">
        <v>303</v>
      </c>
      <c r="H579" s="46" t="s">
        <v>706</v>
      </c>
      <c r="I579" s="46"/>
      <c r="J579" s="46"/>
      <c r="K579" s="46" t="str">
        <f>IFERROR(__xludf.DUMMYFUNCTION("if(A579="""","""",IF(G579="""",""Myn"",IF(REGEXMATCH(lower(G579),""mynn""),""Myn"",if(G579&lt;&gt;"""",""GEMTRE"",""""))))"),"Myn")</f>
        <v>Myn</v>
      </c>
      <c r="L579" s="46" t="s">
        <v>2000</v>
      </c>
      <c r="M579" s="48">
        <v>45255.46061342592</v>
      </c>
    </row>
    <row r="580">
      <c r="A580" s="47">
        <v>45250.69894672454</v>
      </c>
      <c r="B580" s="46" t="s">
        <v>854</v>
      </c>
      <c r="C580" s="46">
        <v>9.498082453E9</v>
      </c>
      <c r="D580" s="46"/>
      <c r="E580" s="46" t="s">
        <v>26</v>
      </c>
      <c r="F580" s="49" t="s">
        <v>855</v>
      </c>
      <c r="G580" s="46" t="s">
        <v>303</v>
      </c>
      <c r="H580" s="46" t="s">
        <v>706</v>
      </c>
      <c r="I580" s="46"/>
      <c r="J580" s="46"/>
      <c r="K580" s="46" t="str">
        <f>IFERROR(__xludf.DUMMYFUNCTION("if(A580="""","""",IF(G580="""",""Myn"",IF(REGEXMATCH(lower(G580),""mynn""),""Myn"",if(G580&lt;&gt;"""",""GEMTRE"",""""))))"),"Myn")</f>
        <v>Myn</v>
      </c>
      <c r="L580" s="46" t="s">
        <v>2000</v>
      </c>
      <c r="M580" s="48">
        <v>45255.46061342592</v>
      </c>
    </row>
    <row r="581">
      <c r="A581" s="47">
        <v>45250.69980993056</v>
      </c>
      <c r="B581" s="46" t="s">
        <v>856</v>
      </c>
      <c r="C581" s="46">
        <v>9.650038833E9</v>
      </c>
      <c r="D581" s="46"/>
      <c r="E581" s="46"/>
      <c r="F581" s="46"/>
      <c r="G581" s="46" t="s">
        <v>303</v>
      </c>
      <c r="H581" s="46" t="s">
        <v>701</v>
      </c>
      <c r="I581" s="46"/>
      <c r="J581" s="46"/>
      <c r="K581" s="46" t="str">
        <f>IFERROR(__xludf.DUMMYFUNCTION("if(A581="""","""",IF(G581="""",""Myn"",IF(REGEXMATCH(lower(G581),""mynn""),""Myn"",if(G581&lt;&gt;"""",""GEMTRE"",""""))))"),"Myn")</f>
        <v>Myn</v>
      </c>
      <c r="L581" s="46" t="s">
        <v>2000</v>
      </c>
      <c r="M581" s="48">
        <v>45255.46061342592</v>
      </c>
    </row>
    <row r="582">
      <c r="A582" s="47">
        <v>45250.704968668986</v>
      </c>
      <c r="B582" s="46" t="s">
        <v>857</v>
      </c>
      <c r="C582" s="46">
        <v>7.683042525E9</v>
      </c>
      <c r="D582" s="46" t="s">
        <v>858</v>
      </c>
      <c r="E582" s="46"/>
      <c r="F582" s="46"/>
      <c r="G582" s="46" t="s">
        <v>303</v>
      </c>
      <c r="H582" s="46" t="s">
        <v>701</v>
      </c>
      <c r="I582" s="46"/>
      <c r="J582" s="46"/>
      <c r="K582" s="46" t="str">
        <f>IFERROR(__xludf.DUMMYFUNCTION("if(A582="""","""",IF(G582="""",""Myn"",IF(REGEXMATCH(lower(G582),""mynn""),""Myn"",if(G582&lt;&gt;"""",""GEMTRE"",""""))))"),"Myn")</f>
        <v>Myn</v>
      </c>
      <c r="L582" s="46" t="s">
        <v>2000</v>
      </c>
      <c r="M582" s="48">
        <v>45255.46061342592</v>
      </c>
    </row>
    <row r="583">
      <c r="A583" s="47">
        <v>45250.705771863424</v>
      </c>
      <c r="B583" s="46" t="s">
        <v>859</v>
      </c>
      <c r="C583" s="46">
        <v>9.811140702E9</v>
      </c>
      <c r="D583" s="46" t="s">
        <v>860</v>
      </c>
      <c r="E583" s="46"/>
      <c r="F583" s="46"/>
      <c r="G583" s="46" t="s">
        <v>303</v>
      </c>
      <c r="H583" s="46" t="s">
        <v>701</v>
      </c>
      <c r="I583" s="46"/>
      <c r="J583" s="46"/>
      <c r="K583" s="46" t="str">
        <f>IFERROR(__xludf.DUMMYFUNCTION("if(A583="""","""",IF(G583="""",""Myn"",IF(REGEXMATCH(lower(G583),""mynn""),""Myn"",if(G583&lt;&gt;"""",""GEMTRE"",""""))))"),"Myn")</f>
        <v>Myn</v>
      </c>
      <c r="L583" s="46" t="s">
        <v>2000</v>
      </c>
      <c r="M583" s="48">
        <v>45255.46061342592</v>
      </c>
    </row>
    <row r="584">
      <c r="A584" s="47">
        <v>45250.70682302084</v>
      </c>
      <c r="B584" s="46" t="s">
        <v>861</v>
      </c>
      <c r="C584" s="46">
        <v>9.971607405E9</v>
      </c>
      <c r="D584" s="46"/>
      <c r="E584" s="46" t="s">
        <v>862</v>
      </c>
      <c r="F584" s="46"/>
      <c r="G584" s="46" t="s">
        <v>303</v>
      </c>
      <c r="H584" s="46" t="s">
        <v>701</v>
      </c>
      <c r="I584" s="46"/>
      <c r="J584" s="46"/>
      <c r="K584" s="46" t="str">
        <f>IFERROR(__xludf.DUMMYFUNCTION("if(A584="""","""",IF(G584="""",""Myn"",IF(REGEXMATCH(lower(G584),""mynn""),""Myn"",if(G584&lt;&gt;"""",""GEMTRE"",""""))))"),"Myn")</f>
        <v>Myn</v>
      </c>
      <c r="L584" s="46" t="s">
        <v>2000</v>
      </c>
      <c r="M584" s="48">
        <v>45255.46061342592</v>
      </c>
    </row>
    <row r="585">
      <c r="A585" s="47">
        <v>45250.723284907406</v>
      </c>
      <c r="B585" s="46" t="s">
        <v>863</v>
      </c>
      <c r="C585" s="46">
        <v>7.42820344E9</v>
      </c>
      <c r="D585" s="46"/>
      <c r="E585" s="46" t="s">
        <v>864</v>
      </c>
      <c r="F585" s="46"/>
      <c r="G585" s="46" t="s">
        <v>303</v>
      </c>
      <c r="H585" s="46" t="s">
        <v>706</v>
      </c>
      <c r="I585" s="46"/>
      <c r="J585" s="46"/>
      <c r="K585" s="46" t="str">
        <f>IFERROR(__xludf.DUMMYFUNCTION("if(A585="""","""",IF(G585="""",""Myn"",IF(REGEXMATCH(lower(G585),""mynn""),""Myn"",if(G585&lt;&gt;"""",""GEMTRE"",""""))))"),"Myn")</f>
        <v>Myn</v>
      </c>
      <c r="L585" s="46" t="s">
        <v>2000</v>
      </c>
      <c r="M585" s="48">
        <v>45255.46061342592</v>
      </c>
    </row>
    <row r="586">
      <c r="A586" s="47">
        <v>45250.73134832176</v>
      </c>
      <c r="B586" s="46" t="s">
        <v>865</v>
      </c>
      <c r="C586" s="46">
        <v>9.968003624E9</v>
      </c>
      <c r="D586" s="46"/>
      <c r="E586" s="46" t="s">
        <v>21</v>
      </c>
      <c r="F586" s="46"/>
      <c r="G586" s="46" t="s">
        <v>303</v>
      </c>
      <c r="H586" s="46" t="s">
        <v>706</v>
      </c>
      <c r="I586" s="46"/>
      <c r="J586" s="46"/>
      <c r="K586" s="46" t="str">
        <f>IFERROR(__xludf.DUMMYFUNCTION("if(A586="""","""",IF(G586="""",""Myn"",IF(REGEXMATCH(lower(G586),""mynn""),""Myn"",if(G586&lt;&gt;"""",""GEMTRE"",""""))))"),"Myn")</f>
        <v>Myn</v>
      </c>
      <c r="L586" s="46" t="s">
        <v>2000</v>
      </c>
      <c r="M586" s="48">
        <v>45255.46061342592</v>
      </c>
    </row>
    <row r="587">
      <c r="A587" s="47">
        <v>45250.7328570949</v>
      </c>
      <c r="B587" s="46" t="s">
        <v>630</v>
      </c>
      <c r="C587" s="46">
        <v>9.811228477E9</v>
      </c>
      <c r="D587" s="46"/>
      <c r="E587" s="46"/>
      <c r="F587" s="46"/>
      <c r="G587" s="46" t="s">
        <v>303</v>
      </c>
      <c r="H587" s="46" t="s">
        <v>701</v>
      </c>
      <c r="I587" s="46"/>
      <c r="J587" s="46"/>
      <c r="K587" s="46" t="str">
        <f>IFERROR(__xludf.DUMMYFUNCTION("if(A587="""","""",IF(G587="""",""Myn"",IF(REGEXMATCH(lower(G587),""mynn""),""Myn"",if(G587&lt;&gt;"""",""GEMTRE"",""""))))"),"Myn")</f>
        <v>Myn</v>
      </c>
      <c r="L587" s="46" t="s">
        <v>2000</v>
      </c>
      <c r="M587" s="48">
        <v>45255.46061342592</v>
      </c>
    </row>
    <row r="588">
      <c r="A588" s="47">
        <v>45250.73440064814</v>
      </c>
      <c r="B588" s="46" t="s">
        <v>866</v>
      </c>
      <c r="C588" s="46">
        <v>9.910137295E9</v>
      </c>
      <c r="D588" s="46"/>
      <c r="E588" s="46" t="s">
        <v>867</v>
      </c>
      <c r="F588" s="46"/>
      <c r="G588" s="46" t="s">
        <v>303</v>
      </c>
      <c r="H588" s="46" t="s">
        <v>706</v>
      </c>
      <c r="I588" s="46"/>
      <c r="J588" s="46"/>
      <c r="K588" s="46" t="str">
        <f>IFERROR(__xludf.DUMMYFUNCTION("if(A588="""","""",IF(G588="""",""Myn"",IF(REGEXMATCH(lower(G588),""mynn""),""Myn"",if(G588&lt;&gt;"""",""GEMTRE"",""""))))"),"Myn")</f>
        <v>Myn</v>
      </c>
      <c r="L588" s="46" t="s">
        <v>2000</v>
      </c>
      <c r="M588" s="48">
        <v>45255.46061342592</v>
      </c>
    </row>
    <row r="589">
      <c r="A589" s="47">
        <v>45250.73574181713</v>
      </c>
      <c r="B589" s="46" t="s">
        <v>868</v>
      </c>
      <c r="C589" s="46">
        <v>9.711947445E9</v>
      </c>
      <c r="D589" s="46"/>
      <c r="E589" s="46" t="s">
        <v>15</v>
      </c>
      <c r="F589" s="46"/>
      <c r="G589" s="46" t="s">
        <v>303</v>
      </c>
      <c r="H589" s="46" t="s">
        <v>706</v>
      </c>
      <c r="I589" s="46"/>
      <c r="J589" s="46"/>
      <c r="K589" s="46" t="str">
        <f>IFERROR(__xludf.DUMMYFUNCTION("if(A589="""","""",IF(G589="""",""Myn"",IF(REGEXMATCH(lower(G589),""mynn""),""Myn"",if(G589&lt;&gt;"""",""GEMTRE"",""""))))"),"Myn")</f>
        <v>Myn</v>
      </c>
      <c r="L589" s="46" t="s">
        <v>2000</v>
      </c>
      <c r="M589" s="48">
        <v>45255.46061342592</v>
      </c>
    </row>
    <row r="590">
      <c r="A590" s="47">
        <v>45250.74648915509</v>
      </c>
      <c r="B590" s="46" t="s">
        <v>869</v>
      </c>
      <c r="C590" s="46">
        <v>9.650745331E9</v>
      </c>
      <c r="D590" s="46"/>
      <c r="E590" s="46"/>
      <c r="F590" s="46"/>
      <c r="G590" s="46" t="s">
        <v>303</v>
      </c>
      <c r="H590" s="46" t="s">
        <v>701</v>
      </c>
      <c r="I590" s="46"/>
      <c r="J590" s="46"/>
      <c r="K590" s="46" t="str">
        <f>IFERROR(__xludf.DUMMYFUNCTION("if(A590="""","""",IF(G590="""",""Myn"",IF(REGEXMATCH(lower(G590),""mynn""),""Myn"",if(G590&lt;&gt;"""",""GEMTRE"",""""))))"),"Myn")</f>
        <v>Myn</v>
      </c>
      <c r="L590" s="46" t="s">
        <v>2000</v>
      </c>
      <c r="M590" s="48">
        <v>45255.46061342592</v>
      </c>
    </row>
    <row r="591">
      <c r="A591" s="47">
        <v>45250.74729134259</v>
      </c>
      <c r="B591" s="46" t="s">
        <v>870</v>
      </c>
      <c r="C591" s="46">
        <v>9.212007023E9</v>
      </c>
      <c r="D591" s="46"/>
      <c r="E591" s="46"/>
      <c r="F591" s="46"/>
      <c r="G591" s="46" t="s">
        <v>303</v>
      </c>
      <c r="H591" s="46" t="s">
        <v>701</v>
      </c>
      <c r="I591" s="46"/>
      <c r="J591" s="46"/>
      <c r="K591" s="46" t="str">
        <f>IFERROR(__xludf.DUMMYFUNCTION("if(A591="""","""",IF(G591="""",""Myn"",IF(REGEXMATCH(lower(G591),""mynn""),""Myn"",if(G591&lt;&gt;"""",""GEMTRE"",""""))))"),"Myn")</f>
        <v>Myn</v>
      </c>
      <c r="L591" s="46" t="s">
        <v>2000</v>
      </c>
      <c r="M591" s="48">
        <v>45255.46061342592</v>
      </c>
    </row>
    <row r="592">
      <c r="A592" s="47">
        <v>45250.74803630787</v>
      </c>
      <c r="B592" s="46" t="s">
        <v>871</v>
      </c>
      <c r="C592" s="46">
        <v>9.87111801E9</v>
      </c>
      <c r="D592" s="46" t="s">
        <v>872</v>
      </c>
      <c r="E592" s="46" t="s">
        <v>873</v>
      </c>
      <c r="F592" s="46"/>
      <c r="G592" s="46" t="s">
        <v>303</v>
      </c>
      <c r="H592" s="46" t="s">
        <v>706</v>
      </c>
      <c r="I592" s="46"/>
      <c r="J592" s="46"/>
      <c r="K592" s="46" t="str">
        <f>IFERROR(__xludf.DUMMYFUNCTION("if(A592="""","""",IF(G592="""",""Myn"",IF(REGEXMATCH(lower(G592),""mynn""),""Myn"",if(G592&lt;&gt;"""",""GEMTRE"",""""))))"),"Myn")</f>
        <v>Myn</v>
      </c>
      <c r="L592" s="46" t="s">
        <v>2000</v>
      </c>
      <c r="M592" s="48">
        <v>45255.46061342592</v>
      </c>
    </row>
    <row r="593">
      <c r="A593" s="47">
        <v>45250.750396400465</v>
      </c>
      <c r="B593" s="46" t="s">
        <v>874</v>
      </c>
      <c r="C593" s="46">
        <v>9.315000642E9</v>
      </c>
      <c r="D593" s="46"/>
      <c r="E593" s="46" t="s">
        <v>13</v>
      </c>
      <c r="F593" s="46"/>
      <c r="G593" s="46" t="s">
        <v>303</v>
      </c>
      <c r="H593" s="46" t="s">
        <v>706</v>
      </c>
      <c r="I593" s="46"/>
      <c r="J593" s="46"/>
      <c r="K593" s="46" t="str">
        <f>IFERROR(__xludf.DUMMYFUNCTION("if(A593="""","""",IF(G593="""",""Myn"",IF(REGEXMATCH(lower(G593),""mynn""),""Myn"",if(G593&lt;&gt;"""",""GEMTRE"",""""))))"),"Myn")</f>
        <v>Myn</v>
      </c>
      <c r="L593" s="46" t="s">
        <v>2000</v>
      </c>
      <c r="M593" s="48">
        <v>45255.46061342592</v>
      </c>
    </row>
    <row r="594">
      <c r="A594" s="47">
        <v>45250.75932395834</v>
      </c>
      <c r="B594" s="46" t="s">
        <v>875</v>
      </c>
      <c r="C594" s="46">
        <v>8.700854695E9</v>
      </c>
      <c r="D594" s="46"/>
      <c r="E594" s="46" t="s">
        <v>79</v>
      </c>
      <c r="F594" s="46"/>
      <c r="G594" s="46" t="s">
        <v>303</v>
      </c>
      <c r="H594" s="46" t="s">
        <v>706</v>
      </c>
      <c r="I594" s="46"/>
      <c r="J594" s="46"/>
      <c r="K594" s="46" t="str">
        <f>IFERROR(__xludf.DUMMYFUNCTION("if(A594="""","""",IF(G594="""",""Myn"",IF(REGEXMATCH(lower(G594),""mynn""),""Myn"",if(G594&lt;&gt;"""",""GEMTRE"",""""))))"),"Myn")</f>
        <v>Myn</v>
      </c>
      <c r="L594" s="46" t="s">
        <v>2000</v>
      </c>
      <c r="M594" s="48">
        <v>45255.46061342592</v>
      </c>
    </row>
    <row r="595">
      <c r="A595" s="47">
        <v>45250.759535219906</v>
      </c>
      <c r="B595" s="46" t="s">
        <v>876</v>
      </c>
      <c r="C595" s="46">
        <v>9.810339516E9</v>
      </c>
      <c r="D595" s="46"/>
      <c r="E595" s="46"/>
      <c r="F595" s="46"/>
      <c r="G595" s="46" t="s">
        <v>303</v>
      </c>
      <c r="H595" s="46" t="s">
        <v>701</v>
      </c>
      <c r="I595" s="46"/>
      <c r="J595" s="46"/>
      <c r="K595" s="46" t="str">
        <f>IFERROR(__xludf.DUMMYFUNCTION("if(A595="""","""",IF(G595="""",""Myn"",IF(REGEXMATCH(lower(G595),""mynn""),""Myn"",if(G595&lt;&gt;"""",""GEMTRE"",""""))))"),"Myn")</f>
        <v>Myn</v>
      </c>
      <c r="L595" s="46" t="s">
        <v>2000</v>
      </c>
      <c r="M595" s="48">
        <v>45255.46061342592</v>
      </c>
    </row>
    <row r="596">
      <c r="A596" s="47">
        <v>45250.75978361111</v>
      </c>
      <c r="B596" s="46" t="s">
        <v>877</v>
      </c>
      <c r="C596" s="46">
        <v>9.811956918E9</v>
      </c>
      <c r="D596" s="46"/>
      <c r="E596" s="46" t="s">
        <v>79</v>
      </c>
      <c r="F596" s="46"/>
      <c r="G596" s="46" t="s">
        <v>303</v>
      </c>
      <c r="H596" s="46" t="s">
        <v>706</v>
      </c>
      <c r="I596" s="46"/>
      <c r="J596" s="46"/>
      <c r="K596" s="46" t="str">
        <f>IFERROR(__xludf.DUMMYFUNCTION("if(A596="""","""",IF(G596="""",""Myn"",IF(REGEXMATCH(lower(G596),""mynn""),""Myn"",if(G596&lt;&gt;"""",""GEMTRE"",""""))))"),"Myn")</f>
        <v>Myn</v>
      </c>
      <c r="L596" s="46" t="s">
        <v>2000</v>
      </c>
      <c r="M596" s="48">
        <v>45255.46061342592</v>
      </c>
    </row>
    <row r="597">
      <c r="A597" s="47">
        <v>45250.760804108795</v>
      </c>
      <c r="B597" s="46" t="s">
        <v>878</v>
      </c>
      <c r="C597" s="46">
        <v>9.648536015E9</v>
      </c>
      <c r="D597" s="46"/>
      <c r="E597" s="46" t="s">
        <v>879</v>
      </c>
      <c r="F597" s="46"/>
      <c r="G597" s="46" t="s">
        <v>303</v>
      </c>
      <c r="H597" s="46" t="s">
        <v>706</v>
      </c>
      <c r="I597" s="46"/>
      <c r="J597" s="46"/>
      <c r="K597" s="46" t="str">
        <f>IFERROR(__xludf.DUMMYFUNCTION("if(A597="""","""",IF(G597="""",""Myn"",IF(REGEXMATCH(lower(G597),""mynn""),""Myn"",if(G597&lt;&gt;"""",""GEMTRE"",""""))))"),"Myn")</f>
        <v>Myn</v>
      </c>
      <c r="L597" s="46" t="s">
        <v>2000</v>
      </c>
      <c r="M597" s="48">
        <v>45255.46061342592</v>
      </c>
    </row>
    <row r="598">
      <c r="A598" s="47">
        <v>45250.76110210648</v>
      </c>
      <c r="B598" s="46" t="s">
        <v>880</v>
      </c>
      <c r="C598" s="46">
        <v>9.95309502E9</v>
      </c>
      <c r="D598" s="46"/>
      <c r="E598" s="46" t="s">
        <v>79</v>
      </c>
      <c r="F598" s="46"/>
      <c r="G598" s="46" t="s">
        <v>303</v>
      </c>
      <c r="H598" s="46" t="s">
        <v>706</v>
      </c>
      <c r="I598" s="46"/>
      <c r="J598" s="46"/>
      <c r="K598" s="46" t="str">
        <f>IFERROR(__xludf.DUMMYFUNCTION("if(A598="""","""",IF(G598="""",""Myn"",IF(REGEXMATCH(lower(G598),""mynn""),""Myn"",if(G598&lt;&gt;"""",""GEMTRE"",""""))))"),"Myn")</f>
        <v>Myn</v>
      </c>
      <c r="L598" s="46" t="s">
        <v>2000</v>
      </c>
      <c r="M598" s="48">
        <v>45255.46061342592</v>
      </c>
    </row>
    <row r="599">
      <c r="A599" s="47">
        <v>45250.76148385416</v>
      </c>
      <c r="B599" s="46" t="s">
        <v>75</v>
      </c>
      <c r="C599" s="46">
        <v>9.89918112E9</v>
      </c>
      <c r="D599" s="46"/>
      <c r="E599" s="46" t="s">
        <v>21</v>
      </c>
      <c r="F599" s="46"/>
      <c r="G599" s="46" t="s">
        <v>303</v>
      </c>
      <c r="H599" s="46" t="s">
        <v>706</v>
      </c>
      <c r="I599" s="46"/>
      <c r="J599" s="46"/>
      <c r="K599" s="46" t="str">
        <f>IFERROR(__xludf.DUMMYFUNCTION("if(A599="""","""",IF(G599="""",""Myn"",IF(REGEXMATCH(lower(G599),""mynn""),""Myn"",if(G599&lt;&gt;"""",""GEMTRE"",""""))))"),"Myn")</f>
        <v>Myn</v>
      </c>
      <c r="L599" s="46" t="s">
        <v>2000</v>
      </c>
      <c r="M599" s="48">
        <v>45255.46061342592</v>
      </c>
    </row>
    <row r="600">
      <c r="A600" s="47">
        <v>45250.76246203703</v>
      </c>
      <c r="B600" s="46" t="s">
        <v>881</v>
      </c>
      <c r="C600" s="46">
        <v>8.586844339E9</v>
      </c>
      <c r="D600" s="46"/>
      <c r="E600" s="46"/>
      <c r="F600" s="46"/>
      <c r="G600" s="46" t="s">
        <v>303</v>
      </c>
      <c r="H600" s="46" t="s">
        <v>722</v>
      </c>
      <c r="I600" s="46"/>
      <c r="J600" s="46"/>
      <c r="K600" s="46" t="str">
        <f>IFERROR(__xludf.DUMMYFUNCTION("if(A600="""","""",IF(G600="""",""Myn"",IF(REGEXMATCH(lower(G600),""mynn""),""Myn"",if(G600&lt;&gt;"""",""GEMTRE"",""""))))"),"Myn")</f>
        <v>Myn</v>
      </c>
      <c r="L600" s="46" t="s">
        <v>2000</v>
      </c>
      <c r="M600" s="48">
        <v>45255.46061342592</v>
      </c>
    </row>
    <row r="601">
      <c r="A601" s="47">
        <v>45250.762729016205</v>
      </c>
      <c r="B601" s="46" t="s">
        <v>882</v>
      </c>
      <c r="C601" s="46">
        <v>7.838785123E9</v>
      </c>
      <c r="D601" s="46"/>
      <c r="E601" s="46"/>
      <c r="F601" s="46"/>
      <c r="G601" s="46" t="s">
        <v>303</v>
      </c>
      <c r="H601" s="46" t="s">
        <v>701</v>
      </c>
      <c r="I601" s="46"/>
      <c r="J601" s="46"/>
      <c r="K601" s="46" t="str">
        <f>IFERROR(__xludf.DUMMYFUNCTION("if(A601="""","""",IF(G601="""",""Myn"",IF(REGEXMATCH(lower(G601),""mynn""),""Myn"",if(G601&lt;&gt;"""",""GEMTRE"",""""))))"),"Myn")</f>
        <v>Myn</v>
      </c>
      <c r="L601" s="46" t="s">
        <v>2000</v>
      </c>
      <c r="M601" s="48">
        <v>45255.46061342592</v>
      </c>
    </row>
    <row r="602">
      <c r="A602" s="47">
        <v>45250.76455050926</v>
      </c>
      <c r="B602" s="46" t="s">
        <v>883</v>
      </c>
      <c r="C602" s="46">
        <v>9.278319726E9</v>
      </c>
      <c r="D602" s="46"/>
      <c r="E602" s="46" t="s">
        <v>71</v>
      </c>
      <c r="F602" s="46"/>
      <c r="G602" s="46" t="s">
        <v>303</v>
      </c>
      <c r="H602" s="46" t="s">
        <v>706</v>
      </c>
      <c r="I602" s="46"/>
      <c r="J602" s="46"/>
      <c r="K602" s="46" t="str">
        <f>IFERROR(__xludf.DUMMYFUNCTION("if(A602="""","""",IF(G602="""",""Myn"",IF(REGEXMATCH(lower(G602),""mynn""),""Myn"",if(G602&lt;&gt;"""",""GEMTRE"",""""))))"),"Myn")</f>
        <v>Myn</v>
      </c>
      <c r="L602" s="46" t="s">
        <v>2000</v>
      </c>
      <c r="M602" s="48">
        <v>45255.46061342592</v>
      </c>
    </row>
    <row r="603">
      <c r="A603" s="47">
        <v>45250.769703287035</v>
      </c>
      <c r="B603" s="46" t="s">
        <v>606</v>
      </c>
      <c r="C603" s="46">
        <v>9.310579045E9</v>
      </c>
      <c r="D603" s="46"/>
      <c r="E603" s="46"/>
      <c r="F603" s="46"/>
      <c r="G603" s="46" t="s">
        <v>303</v>
      </c>
      <c r="H603" s="46" t="s">
        <v>701</v>
      </c>
      <c r="I603" s="46"/>
      <c r="J603" s="46"/>
      <c r="K603" s="46" t="str">
        <f>IFERROR(__xludf.DUMMYFUNCTION("if(A603="""","""",IF(G603="""",""Myn"",IF(REGEXMATCH(lower(G603),""mynn""),""Myn"",if(G603&lt;&gt;"""",""GEMTRE"",""""))))"),"Myn")</f>
        <v>Myn</v>
      </c>
      <c r="L603" s="46" t="s">
        <v>2000</v>
      </c>
      <c r="M603" s="48">
        <v>45255.46061342592</v>
      </c>
    </row>
    <row r="604">
      <c r="A604" s="47">
        <v>45250.77218636574</v>
      </c>
      <c r="B604" s="46" t="s">
        <v>884</v>
      </c>
      <c r="C604" s="46">
        <v>8.860333929E9</v>
      </c>
      <c r="D604" s="46"/>
      <c r="E604" s="46"/>
      <c r="F604" s="46"/>
      <c r="G604" s="46" t="s">
        <v>303</v>
      </c>
      <c r="H604" s="46" t="s">
        <v>701</v>
      </c>
      <c r="I604" s="46"/>
      <c r="J604" s="46"/>
      <c r="K604" s="46" t="str">
        <f>IFERROR(__xludf.DUMMYFUNCTION("if(A604="""","""",IF(G604="""",""Myn"",IF(REGEXMATCH(lower(G604),""mynn""),""Myn"",if(G604&lt;&gt;"""",""GEMTRE"",""""))))"),"Myn")</f>
        <v>Myn</v>
      </c>
      <c r="L604" s="46" t="s">
        <v>2000</v>
      </c>
      <c r="M604" s="48">
        <v>45255.46061342592</v>
      </c>
    </row>
    <row r="605">
      <c r="A605" s="47">
        <v>45250.77249685185</v>
      </c>
      <c r="B605" s="46" t="s">
        <v>885</v>
      </c>
      <c r="C605" s="46">
        <v>9.891073026E9</v>
      </c>
      <c r="D605" s="46"/>
      <c r="E605" s="46"/>
      <c r="F605" s="46"/>
      <c r="G605" s="46" t="s">
        <v>303</v>
      </c>
      <c r="H605" s="46" t="s">
        <v>701</v>
      </c>
      <c r="I605" s="46"/>
      <c r="J605" s="46"/>
      <c r="K605" s="46" t="str">
        <f>IFERROR(__xludf.DUMMYFUNCTION("if(A605="""","""",IF(G605="""",""Myn"",IF(REGEXMATCH(lower(G605),""mynn""),""Myn"",if(G605&lt;&gt;"""",""GEMTRE"",""""))))"),"Myn")</f>
        <v>Myn</v>
      </c>
      <c r="L605" s="46" t="s">
        <v>2000</v>
      </c>
      <c r="M605" s="48">
        <v>45255.46061342592</v>
      </c>
    </row>
    <row r="606">
      <c r="A606" s="47">
        <v>45250.7727958912</v>
      </c>
      <c r="B606" s="46" t="s">
        <v>886</v>
      </c>
      <c r="C606" s="46">
        <v>9.210599666E9</v>
      </c>
      <c r="D606" s="46"/>
      <c r="E606" s="46"/>
      <c r="F606" s="46"/>
      <c r="G606" s="46" t="s">
        <v>303</v>
      </c>
      <c r="H606" s="46" t="s">
        <v>701</v>
      </c>
      <c r="I606" s="46"/>
      <c r="J606" s="46"/>
      <c r="K606" s="46" t="str">
        <f>IFERROR(__xludf.DUMMYFUNCTION("if(A606="""","""",IF(G606="""",""Myn"",IF(REGEXMATCH(lower(G606),""mynn""),""Myn"",if(G606&lt;&gt;"""",""GEMTRE"",""""))))"),"Myn")</f>
        <v>Myn</v>
      </c>
      <c r="L606" s="46" t="s">
        <v>2000</v>
      </c>
      <c r="M606" s="48">
        <v>45255.46061342592</v>
      </c>
    </row>
    <row r="607">
      <c r="A607" s="47">
        <v>45250.784214328705</v>
      </c>
      <c r="B607" s="46" t="s">
        <v>887</v>
      </c>
      <c r="C607" s="46">
        <v>8.010083688E9</v>
      </c>
      <c r="D607" s="46"/>
      <c r="E607" s="46" t="s">
        <v>13</v>
      </c>
      <c r="F607" s="46"/>
      <c r="G607" s="46" t="s">
        <v>303</v>
      </c>
      <c r="H607" s="46" t="s">
        <v>706</v>
      </c>
      <c r="I607" s="46"/>
      <c r="J607" s="46"/>
      <c r="K607" s="46" t="str">
        <f>IFERROR(__xludf.DUMMYFUNCTION("if(A607="""","""",IF(G607="""",""Myn"",IF(REGEXMATCH(lower(G607),""mynn""),""Myn"",if(G607&lt;&gt;"""",""GEMTRE"",""""))))"),"Myn")</f>
        <v>Myn</v>
      </c>
      <c r="L607" s="46" t="s">
        <v>2000</v>
      </c>
      <c r="M607" s="48">
        <v>45255.46061342592</v>
      </c>
    </row>
    <row r="608">
      <c r="A608" s="47">
        <v>45250.78779844908</v>
      </c>
      <c r="B608" s="46" t="s">
        <v>888</v>
      </c>
      <c r="C608" s="46">
        <v>7.428640742E9</v>
      </c>
      <c r="D608" s="46"/>
      <c r="E608" s="46" t="s">
        <v>297</v>
      </c>
      <c r="F608" s="46"/>
      <c r="G608" s="46" t="s">
        <v>303</v>
      </c>
      <c r="H608" s="46" t="s">
        <v>706</v>
      </c>
      <c r="I608" s="46"/>
      <c r="J608" s="46"/>
      <c r="K608" s="46" t="str">
        <f>IFERROR(__xludf.DUMMYFUNCTION("if(A608="""","""",IF(G608="""",""Myn"",IF(REGEXMATCH(lower(G608),""mynn""),""Myn"",if(G608&lt;&gt;"""",""GEMTRE"",""""))))"),"Myn")</f>
        <v>Myn</v>
      </c>
      <c r="L608" s="46" t="s">
        <v>2000</v>
      </c>
      <c r="M608" s="48">
        <v>45255.46061342592</v>
      </c>
    </row>
    <row r="609">
      <c r="A609" s="47">
        <v>45250.80159902778</v>
      </c>
      <c r="B609" s="46" t="s">
        <v>889</v>
      </c>
      <c r="C609" s="46">
        <v>9.810856174E9</v>
      </c>
      <c r="D609" s="46"/>
      <c r="E609" s="46"/>
      <c r="F609" s="46"/>
      <c r="G609" s="46" t="s">
        <v>303</v>
      </c>
      <c r="H609" s="46" t="s">
        <v>701</v>
      </c>
      <c r="I609" s="46"/>
      <c r="J609" s="46"/>
      <c r="K609" s="46" t="str">
        <f>IFERROR(__xludf.DUMMYFUNCTION("if(A609="""","""",IF(G609="""",""Myn"",IF(REGEXMATCH(lower(G609),""mynn""),""Myn"",if(G609&lt;&gt;"""",""GEMTRE"",""""))))"),"Myn")</f>
        <v>Myn</v>
      </c>
      <c r="L609" s="46" t="s">
        <v>2000</v>
      </c>
      <c r="M609" s="48">
        <v>45255.46061342592</v>
      </c>
    </row>
    <row r="610">
      <c r="A610" s="47">
        <v>45250.802077939814</v>
      </c>
      <c r="B610" s="46" t="s">
        <v>890</v>
      </c>
      <c r="C610" s="46">
        <v>9.211406027E9</v>
      </c>
      <c r="D610" s="46"/>
      <c r="E610" s="46"/>
      <c r="F610" s="46"/>
      <c r="G610" s="46" t="s">
        <v>303</v>
      </c>
      <c r="H610" s="46" t="s">
        <v>701</v>
      </c>
      <c r="I610" s="46"/>
      <c r="J610" s="46"/>
      <c r="K610" s="46" t="str">
        <f>IFERROR(__xludf.DUMMYFUNCTION("if(A610="""","""",IF(G610="""",""Myn"",IF(REGEXMATCH(lower(G610),""mynn""),""Myn"",if(G610&lt;&gt;"""",""GEMTRE"",""""))))"),"Myn")</f>
        <v>Myn</v>
      </c>
      <c r="L610" s="46" t="s">
        <v>2000</v>
      </c>
      <c r="M610" s="48">
        <v>45255.46061342592</v>
      </c>
    </row>
    <row r="611">
      <c r="A611" s="47">
        <v>45250.80387231482</v>
      </c>
      <c r="B611" s="46" t="s">
        <v>606</v>
      </c>
      <c r="C611" s="46">
        <v>9.910299194E9</v>
      </c>
      <c r="D611" s="46"/>
      <c r="E611" s="46" t="s">
        <v>891</v>
      </c>
      <c r="F611" s="46"/>
      <c r="G611" s="46" t="s">
        <v>303</v>
      </c>
      <c r="H611" s="46" t="s">
        <v>706</v>
      </c>
      <c r="I611" s="46"/>
      <c r="J611" s="46"/>
      <c r="K611" s="46" t="str">
        <f>IFERROR(__xludf.DUMMYFUNCTION("if(A611="""","""",IF(G611="""",""Myn"",IF(REGEXMATCH(lower(G611),""mynn""),""Myn"",if(G611&lt;&gt;"""",""GEMTRE"",""""))))"),"Myn")</f>
        <v>Myn</v>
      </c>
      <c r="L611" s="46" t="s">
        <v>2000</v>
      </c>
      <c r="M611" s="48">
        <v>45255.46061342592</v>
      </c>
    </row>
    <row r="612">
      <c r="A612" s="47">
        <v>45250.80454939815</v>
      </c>
      <c r="B612" s="46" t="s">
        <v>892</v>
      </c>
      <c r="C612" s="46">
        <v>9.311731358E9</v>
      </c>
      <c r="D612" s="46"/>
      <c r="E612" s="46"/>
      <c r="F612" s="46"/>
      <c r="G612" s="46" t="s">
        <v>303</v>
      </c>
      <c r="H612" s="46" t="s">
        <v>722</v>
      </c>
      <c r="I612" s="46"/>
      <c r="J612" s="46"/>
      <c r="K612" s="46" t="str">
        <f>IFERROR(__xludf.DUMMYFUNCTION("if(A612="""","""",IF(G612="""",""Myn"",IF(REGEXMATCH(lower(G612),""mynn""),""Myn"",if(G612&lt;&gt;"""",""GEMTRE"",""""))))"),"Myn")</f>
        <v>Myn</v>
      </c>
      <c r="L612" s="46" t="s">
        <v>2000</v>
      </c>
      <c r="M612" s="48">
        <v>45255.46061342592</v>
      </c>
    </row>
    <row r="613">
      <c r="A613" s="47">
        <v>45251.474600497684</v>
      </c>
      <c r="B613" s="46" t="s">
        <v>893</v>
      </c>
      <c r="C613" s="46">
        <v>9.412411768E9</v>
      </c>
      <c r="D613" s="46"/>
      <c r="E613" s="46"/>
      <c r="F613" s="46"/>
      <c r="G613" s="46" t="s">
        <v>303</v>
      </c>
      <c r="H613" s="46" t="s">
        <v>701</v>
      </c>
      <c r="I613" s="46"/>
      <c r="J613" s="46"/>
      <c r="K613" s="46" t="str">
        <f>IFERROR(__xludf.DUMMYFUNCTION("if(A613="""","""",IF(G613="""",""Myn"",IF(REGEXMATCH(lower(G613),""mynn""),""Myn"",if(G613&lt;&gt;"""",""GEMTRE"",""""))))"),"Myn")</f>
        <v>Myn</v>
      </c>
      <c r="L613" s="46" t="s">
        <v>2000</v>
      </c>
      <c r="M613" s="48">
        <v>45255.46061342592</v>
      </c>
    </row>
    <row r="614">
      <c r="A614" s="47">
        <v>45251.496007222224</v>
      </c>
      <c r="B614" s="46" t="s">
        <v>894</v>
      </c>
      <c r="C614" s="46">
        <v>9.891910994E9</v>
      </c>
      <c r="D614" s="46"/>
      <c r="E614" s="46" t="s">
        <v>11</v>
      </c>
      <c r="F614" s="46"/>
      <c r="G614" s="46" t="s">
        <v>303</v>
      </c>
      <c r="H614" s="46" t="s">
        <v>706</v>
      </c>
      <c r="I614" s="46"/>
      <c r="J614" s="46"/>
      <c r="K614" s="46" t="str">
        <f>IFERROR(__xludf.DUMMYFUNCTION("if(A614="""","""",IF(G614="""",""Myn"",IF(REGEXMATCH(lower(G614),""mynn""),""Myn"",if(G614&lt;&gt;"""",""GEMTRE"",""""))))"),"Myn")</f>
        <v>Myn</v>
      </c>
      <c r="L614" s="46" t="s">
        <v>2000</v>
      </c>
      <c r="M614" s="48">
        <v>45255.46061342592</v>
      </c>
    </row>
    <row r="615">
      <c r="A615" s="47">
        <v>45251.496654305556</v>
      </c>
      <c r="B615" s="46" t="s">
        <v>490</v>
      </c>
      <c r="C615" s="46">
        <v>9.868668475E9</v>
      </c>
      <c r="D615" s="46"/>
      <c r="E615" s="46" t="s">
        <v>15</v>
      </c>
      <c r="F615" s="46"/>
      <c r="G615" s="46" t="s">
        <v>303</v>
      </c>
      <c r="H615" s="46" t="s">
        <v>706</v>
      </c>
      <c r="I615" s="46"/>
      <c r="J615" s="46"/>
      <c r="K615" s="46" t="str">
        <f>IFERROR(__xludf.DUMMYFUNCTION("if(A615="""","""",IF(G615="""",""Myn"",IF(REGEXMATCH(lower(G615),""mynn""),""Myn"",if(G615&lt;&gt;"""",""GEMTRE"",""""))))"),"Myn")</f>
        <v>Myn</v>
      </c>
      <c r="L615" s="46" t="s">
        <v>2000</v>
      </c>
      <c r="M615" s="48">
        <v>45255.46061342592</v>
      </c>
    </row>
    <row r="616">
      <c r="A616" s="47">
        <v>45251.500240416666</v>
      </c>
      <c r="B616" s="46" t="s">
        <v>895</v>
      </c>
      <c r="C616" s="46">
        <v>9.891565625E9</v>
      </c>
      <c r="D616" s="46"/>
      <c r="E616" s="46"/>
      <c r="F616" s="46"/>
      <c r="G616" s="46" t="s">
        <v>303</v>
      </c>
      <c r="H616" s="46" t="s">
        <v>701</v>
      </c>
      <c r="I616" s="46"/>
      <c r="J616" s="46"/>
      <c r="K616" s="46" t="str">
        <f>IFERROR(__xludf.DUMMYFUNCTION("if(A616="""","""",IF(G616="""",""Myn"",IF(REGEXMATCH(lower(G616),""mynn""),""Myn"",if(G616&lt;&gt;"""",""GEMTRE"",""""))))"),"Myn")</f>
        <v>Myn</v>
      </c>
      <c r="L616" s="46" t="s">
        <v>2000</v>
      </c>
      <c r="M616" s="48">
        <v>45255.46061342592</v>
      </c>
    </row>
    <row r="617">
      <c r="A617" s="47">
        <v>45251.503511863426</v>
      </c>
      <c r="B617" s="46" t="s">
        <v>896</v>
      </c>
      <c r="C617" s="46">
        <v>9.868200531E9</v>
      </c>
      <c r="D617" s="46"/>
      <c r="E617" s="46"/>
      <c r="F617" s="46"/>
      <c r="G617" s="46" t="s">
        <v>303</v>
      </c>
      <c r="H617" s="46" t="s">
        <v>701</v>
      </c>
      <c r="I617" s="46"/>
      <c r="J617" s="46"/>
      <c r="K617" s="46" t="str">
        <f>IFERROR(__xludf.DUMMYFUNCTION("if(A617="""","""",IF(G617="""",""Myn"",IF(REGEXMATCH(lower(G617),""mynn""),""Myn"",if(G617&lt;&gt;"""",""GEMTRE"",""""))))"),"Myn")</f>
        <v>Myn</v>
      </c>
      <c r="L617" s="46" t="s">
        <v>2000</v>
      </c>
      <c r="M617" s="48">
        <v>45255.46061342592</v>
      </c>
    </row>
    <row r="618">
      <c r="A618" s="47">
        <v>45251.50380258102</v>
      </c>
      <c r="B618" s="46" t="s">
        <v>897</v>
      </c>
      <c r="C618" s="46">
        <v>9.811262577E9</v>
      </c>
      <c r="D618" s="46"/>
      <c r="E618" s="46"/>
      <c r="F618" s="46"/>
      <c r="G618" s="46" t="s">
        <v>303</v>
      </c>
      <c r="H618" s="46" t="s">
        <v>701</v>
      </c>
      <c r="I618" s="46"/>
      <c r="J618" s="46"/>
      <c r="K618" s="46" t="str">
        <f>IFERROR(__xludf.DUMMYFUNCTION("if(A618="""","""",IF(G618="""",""Myn"",IF(REGEXMATCH(lower(G618),""mynn""),""Myn"",if(G618&lt;&gt;"""",""GEMTRE"",""""))))"),"Myn")</f>
        <v>Myn</v>
      </c>
      <c r="L618" s="46" t="s">
        <v>2000</v>
      </c>
      <c r="M618" s="48">
        <v>45255.46061342592</v>
      </c>
    </row>
    <row r="619">
      <c r="A619" s="47">
        <v>45251.50454285879</v>
      </c>
      <c r="B619" s="46" t="s">
        <v>898</v>
      </c>
      <c r="C619" s="46">
        <v>8.074445603E9</v>
      </c>
      <c r="D619" s="46"/>
      <c r="E619" s="46" t="s">
        <v>899</v>
      </c>
      <c r="F619" s="46"/>
      <c r="G619" s="46" t="s">
        <v>303</v>
      </c>
      <c r="H619" s="46" t="s">
        <v>706</v>
      </c>
      <c r="I619" s="46"/>
      <c r="J619" s="46"/>
      <c r="K619" s="46" t="str">
        <f>IFERROR(__xludf.DUMMYFUNCTION("if(A619="""","""",IF(G619="""",""Myn"",IF(REGEXMATCH(lower(G619),""mynn""),""Myn"",if(G619&lt;&gt;"""",""GEMTRE"",""""))))"),"Myn")</f>
        <v>Myn</v>
      </c>
      <c r="L619" s="46" t="s">
        <v>2000</v>
      </c>
      <c r="M619" s="48">
        <v>45255.46061342592</v>
      </c>
    </row>
    <row r="620">
      <c r="A620" s="47">
        <v>45251.50515668982</v>
      </c>
      <c r="B620" s="46" t="s">
        <v>900</v>
      </c>
      <c r="C620" s="46">
        <v>8.800955909E9</v>
      </c>
      <c r="D620" s="46" t="s">
        <v>901</v>
      </c>
      <c r="E620" s="46"/>
      <c r="F620" s="46"/>
      <c r="G620" s="46" t="s">
        <v>303</v>
      </c>
      <c r="H620" s="46" t="s">
        <v>701</v>
      </c>
      <c r="I620" s="46"/>
      <c r="J620" s="46"/>
      <c r="K620" s="46" t="str">
        <f>IFERROR(__xludf.DUMMYFUNCTION("if(A620="""","""",IF(G620="""",""Myn"",IF(REGEXMATCH(lower(G620),""mynn""),""Myn"",if(G620&lt;&gt;"""",""GEMTRE"",""""))))"),"Myn")</f>
        <v>Myn</v>
      </c>
      <c r="L620" s="46" t="s">
        <v>2000</v>
      </c>
      <c r="M620" s="48">
        <v>45255.46061342592</v>
      </c>
    </row>
    <row r="621">
      <c r="A621" s="47">
        <v>45251.50565178241</v>
      </c>
      <c r="B621" s="46" t="s">
        <v>902</v>
      </c>
      <c r="C621" s="46">
        <v>9.899415802E9</v>
      </c>
      <c r="D621" s="46" t="s">
        <v>903</v>
      </c>
      <c r="E621" s="46"/>
      <c r="F621" s="46"/>
      <c r="G621" s="46" t="s">
        <v>303</v>
      </c>
      <c r="H621" s="46" t="s">
        <v>701</v>
      </c>
      <c r="I621" s="46"/>
      <c r="J621" s="46"/>
      <c r="K621" s="46" t="str">
        <f>IFERROR(__xludf.DUMMYFUNCTION("if(A621="""","""",IF(G621="""",""Myn"",IF(REGEXMATCH(lower(G621),""mynn""),""Myn"",if(G621&lt;&gt;"""",""GEMTRE"",""""))))"),"Myn")</f>
        <v>Myn</v>
      </c>
      <c r="L621" s="46" t="s">
        <v>2000</v>
      </c>
      <c r="M621" s="48">
        <v>45255.46061342592</v>
      </c>
    </row>
    <row r="622">
      <c r="A622" s="47">
        <v>45251.50710857639</v>
      </c>
      <c r="B622" s="46" t="s">
        <v>390</v>
      </c>
      <c r="C622" s="46">
        <v>9.871377641E9</v>
      </c>
      <c r="D622" s="46"/>
      <c r="E622" s="46"/>
      <c r="F622" s="46"/>
      <c r="G622" s="46" t="s">
        <v>303</v>
      </c>
      <c r="H622" s="46" t="s">
        <v>701</v>
      </c>
      <c r="I622" s="46"/>
      <c r="J622" s="46"/>
      <c r="K622" s="46" t="str">
        <f>IFERROR(__xludf.DUMMYFUNCTION("if(A622="""","""",IF(G622="""",""Myn"",IF(REGEXMATCH(lower(G622),""mynn""),""Myn"",if(G622&lt;&gt;"""",""GEMTRE"",""""))))"),"Myn")</f>
        <v>Myn</v>
      </c>
      <c r="L622" s="46" t="s">
        <v>2000</v>
      </c>
      <c r="M622" s="48">
        <v>45255.46061342592</v>
      </c>
    </row>
    <row r="623">
      <c r="A623" s="47">
        <v>45251.508769155094</v>
      </c>
      <c r="B623" s="46" t="s">
        <v>904</v>
      </c>
      <c r="C623" s="46">
        <v>8.882446736E9</v>
      </c>
      <c r="D623" s="46"/>
      <c r="E623" s="46" t="s">
        <v>15</v>
      </c>
      <c r="F623" s="46"/>
      <c r="G623" s="46" t="s">
        <v>303</v>
      </c>
      <c r="H623" s="46" t="s">
        <v>706</v>
      </c>
      <c r="I623" s="46"/>
      <c r="J623" s="46"/>
      <c r="K623" s="46" t="str">
        <f>IFERROR(__xludf.DUMMYFUNCTION("if(A623="""","""",IF(G623="""",""Myn"",IF(REGEXMATCH(lower(G623),""mynn""),""Myn"",if(G623&lt;&gt;"""",""GEMTRE"",""""))))"),"Myn")</f>
        <v>Myn</v>
      </c>
      <c r="L623" s="46" t="s">
        <v>2000</v>
      </c>
      <c r="M623" s="48">
        <v>45255.46061342592</v>
      </c>
    </row>
    <row r="624">
      <c r="A624" s="47">
        <v>45251.50887556713</v>
      </c>
      <c r="B624" s="46" t="s">
        <v>905</v>
      </c>
      <c r="C624" s="46">
        <v>8.97905488E9</v>
      </c>
      <c r="D624" s="46"/>
      <c r="E624" s="46"/>
      <c r="F624" s="46"/>
      <c r="G624" s="46" t="s">
        <v>303</v>
      </c>
      <c r="H624" s="46" t="s">
        <v>701</v>
      </c>
      <c r="I624" s="46"/>
      <c r="J624" s="46"/>
      <c r="K624" s="46" t="str">
        <f>IFERROR(__xludf.DUMMYFUNCTION("if(A624="""","""",IF(G624="""",""Myn"",IF(REGEXMATCH(lower(G624),""mynn""),""Myn"",if(G624&lt;&gt;"""",""GEMTRE"",""""))))"),"Myn")</f>
        <v>Myn</v>
      </c>
      <c r="L624" s="46" t="s">
        <v>2000</v>
      </c>
      <c r="M624" s="48">
        <v>45255.46061342592</v>
      </c>
    </row>
    <row r="625">
      <c r="A625" s="47">
        <v>45251.509250358795</v>
      </c>
      <c r="B625" s="46" t="s">
        <v>906</v>
      </c>
      <c r="C625" s="46">
        <v>9.389406565E9</v>
      </c>
      <c r="D625" s="46"/>
      <c r="E625" s="46"/>
      <c r="F625" s="46"/>
      <c r="G625" s="46" t="s">
        <v>303</v>
      </c>
      <c r="H625" s="46" t="s">
        <v>701</v>
      </c>
      <c r="I625" s="46"/>
      <c r="J625" s="46"/>
      <c r="K625" s="46" t="str">
        <f>IFERROR(__xludf.DUMMYFUNCTION("if(A625="""","""",IF(G625="""",""Myn"",IF(REGEXMATCH(lower(G625),""mynn""),""Myn"",if(G625&lt;&gt;"""",""GEMTRE"",""""))))"),"Myn")</f>
        <v>Myn</v>
      </c>
      <c r="L625" s="46" t="s">
        <v>2000</v>
      </c>
      <c r="M625" s="48">
        <v>45255.46061342592</v>
      </c>
    </row>
    <row r="626">
      <c r="A626" s="47">
        <v>45251.51046605324</v>
      </c>
      <c r="B626" s="46" t="s">
        <v>907</v>
      </c>
      <c r="C626" s="46">
        <v>9.441432207E9</v>
      </c>
      <c r="D626" s="46" t="s">
        <v>908</v>
      </c>
      <c r="E626" s="46"/>
      <c r="F626" s="46"/>
      <c r="G626" s="46" t="s">
        <v>303</v>
      </c>
      <c r="H626" s="46" t="s">
        <v>701</v>
      </c>
      <c r="I626" s="46"/>
      <c r="J626" s="46"/>
      <c r="K626" s="46" t="str">
        <f>IFERROR(__xludf.DUMMYFUNCTION("if(A626="""","""",IF(G626="""",""Myn"",IF(REGEXMATCH(lower(G626),""mynn""),""Myn"",if(G626&lt;&gt;"""",""GEMTRE"",""""))))"),"Myn")</f>
        <v>Myn</v>
      </c>
      <c r="L626" s="46" t="s">
        <v>2000</v>
      </c>
      <c r="M626" s="48">
        <v>45255.46061342592</v>
      </c>
    </row>
    <row r="627">
      <c r="A627" s="47">
        <v>45251.51126467592</v>
      </c>
      <c r="B627" s="46" t="s">
        <v>909</v>
      </c>
      <c r="C627" s="46">
        <v>8.810307887E9</v>
      </c>
      <c r="D627" s="46"/>
      <c r="E627" s="46" t="s">
        <v>424</v>
      </c>
      <c r="F627" s="46"/>
      <c r="G627" s="46" t="s">
        <v>303</v>
      </c>
      <c r="H627" s="46" t="s">
        <v>706</v>
      </c>
      <c r="I627" s="46"/>
      <c r="J627" s="46"/>
      <c r="K627" s="46" t="str">
        <f>IFERROR(__xludf.DUMMYFUNCTION("if(A627="""","""",IF(G627="""",""Myn"",IF(REGEXMATCH(lower(G627),""mynn""),""Myn"",if(G627&lt;&gt;"""",""GEMTRE"",""""))))"),"Myn")</f>
        <v>Myn</v>
      </c>
      <c r="L627" s="46" t="s">
        <v>2000</v>
      </c>
      <c r="M627" s="48">
        <v>45255.460625</v>
      </c>
    </row>
    <row r="628">
      <c r="A628" s="47">
        <v>45251.512087951385</v>
      </c>
      <c r="B628" s="46" t="s">
        <v>910</v>
      </c>
      <c r="C628" s="46">
        <v>9.8283271E9</v>
      </c>
      <c r="D628" s="46"/>
      <c r="E628" s="46"/>
      <c r="F628" s="46"/>
      <c r="G628" s="46" t="s">
        <v>303</v>
      </c>
      <c r="H628" s="46" t="s">
        <v>701</v>
      </c>
      <c r="I628" s="46"/>
      <c r="J628" s="46"/>
      <c r="K628" s="46" t="str">
        <f>IFERROR(__xludf.DUMMYFUNCTION("if(A628="""","""",IF(G628="""",""Myn"",IF(REGEXMATCH(lower(G628),""mynn""),""Myn"",if(G628&lt;&gt;"""",""GEMTRE"",""""))))"),"Myn")</f>
        <v>Myn</v>
      </c>
      <c r="L628" s="46" t="s">
        <v>2000</v>
      </c>
      <c r="M628" s="48">
        <v>45255.460625</v>
      </c>
    </row>
    <row r="629">
      <c r="A629" s="47">
        <v>45251.514505520834</v>
      </c>
      <c r="B629" s="46" t="s">
        <v>911</v>
      </c>
      <c r="C629" s="46">
        <v>9.891359335E9</v>
      </c>
      <c r="D629" s="46"/>
      <c r="E629" s="46"/>
      <c r="F629" s="46"/>
      <c r="G629" s="46" t="s">
        <v>303</v>
      </c>
      <c r="H629" s="46" t="s">
        <v>701</v>
      </c>
      <c r="I629" s="46"/>
      <c r="J629" s="46"/>
      <c r="K629" s="46" t="str">
        <f>IFERROR(__xludf.DUMMYFUNCTION("if(A629="""","""",IF(G629="""",""Myn"",IF(REGEXMATCH(lower(G629),""mynn""),""Myn"",if(G629&lt;&gt;"""",""GEMTRE"",""""))))"),"Myn")</f>
        <v>Myn</v>
      </c>
      <c r="L629" s="46" t="s">
        <v>2000</v>
      </c>
      <c r="M629" s="48">
        <v>45255.460625</v>
      </c>
    </row>
    <row r="630">
      <c r="A630" s="47">
        <v>45251.51524850694</v>
      </c>
      <c r="B630" s="46" t="s">
        <v>912</v>
      </c>
      <c r="C630" s="46">
        <v>9.99008755E9</v>
      </c>
      <c r="D630" s="46"/>
      <c r="E630" s="46"/>
      <c r="F630" s="46"/>
      <c r="G630" s="46" t="s">
        <v>303</v>
      </c>
      <c r="H630" s="46" t="s">
        <v>701</v>
      </c>
      <c r="I630" s="46"/>
      <c r="J630" s="46"/>
      <c r="K630" s="46" t="str">
        <f>IFERROR(__xludf.DUMMYFUNCTION("if(A630="""","""",IF(G630="""",""Myn"",IF(REGEXMATCH(lower(G630),""mynn""),""Myn"",if(G630&lt;&gt;"""",""GEMTRE"",""""))))"),"Myn")</f>
        <v>Myn</v>
      </c>
      <c r="L630" s="46" t="s">
        <v>2000</v>
      </c>
      <c r="M630" s="48">
        <v>45255.460625</v>
      </c>
    </row>
    <row r="631">
      <c r="A631" s="47">
        <v>45251.5157927199</v>
      </c>
      <c r="B631" s="46" t="s">
        <v>913</v>
      </c>
      <c r="C631" s="46">
        <v>8.800498351E9</v>
      </c>
      <c r="D631" s="46"/>
      <c r="E631" s="46" t="s">
        <v>15</v>
      </c>
      <c r="F631" s="46"/>
      <c r="G631" s="46" t="s">
        <v>303</v>
      </c>
      <c r="H631" s="46" t="s">
        <v>706</v>
      </c>
      <c r="I631" s="46"/>
      <c r="J631" s="46"/>
      <c r="K631" s="46" t="str">
        <f>IFERROR(__xludf.DUMMYFUNCTION("if(A631="""","""",IF(G631="""",""Myn"",IF(REGEXMATCH(lower(G631),""mynn""),""Myn"",if(G631&lt;&gt;"""",""GEMTRE"",""""))))"),"Myn")</f>
        <v>Myn</v>
      </c>
      <c r="L631" s="46" t="s">
        <v>2000</v>
      </c>
      <c r="M631" s="48">
        <v>45255.460625</v>
      </c>
    </row>
    <row r="632">
      <c r="A632" s="47">
        <v>45251.5223569213</v>
      </c>
      <c r="B632" s="46" t="s">
        <v>914</v>
      </c>
      <c r="C632" s="46">
        <v>8.076392071E9</v>
      </c>
      <c r="D632" s="46"/>
      <c r="E632" s="46" t="s">
        <v>21</v>
      </c>
      <c r="F632" s="46"/>
      <c r="G632" s="46" t="s">
        <v>303</v>
      </c>
      <c r="H632" s="46" t="s">
        <v>706</v>
      </c>
      <c r="I632" s="46"/>
      <c r="J632" s="46"/>
      <c r="K632" s="46" t="str">
        <f>IFERROR(__xludf.DUMMYFUNCTION("if(A632="""","""",IF(G632="""",""Myn"",IF(REGEXMATCH(lower(G632),""mynn""),""Myn"",if(G632&lt;&gt;"""",""GEMTRE"",""""))))"),"Myn")</f>
        <v>Myn</v>
      </c>
      <c r="L632" s="46" t="s">
        <v>2000</v>
      </c>
      <c r="M632" s="48">
        <v>45255.460625</v>
      </c>
    </row>
    <row r="633">
      <c r="A633" s="47">
        <v>45251.52259145833</v>
      </c>
      <c r="B633" s="46" t="s">
        <v>711</v>
      </c>
      <c r="C633" s="46">
        <v>8.860568021E9</v>
      </c>
      <c r="D633" s="46"/>
      <c r="E633" s="46"/>
      <c r="F633" s="46"/>
      <c r="G633" s="46" t="s">
        <v>303</v>
      </c>
      <c r="H633" s="46" t="s">
        <v>701</v>
      </c>
      <c r="I633" s="46"/>
      <c r="J633" s="46"/>
      <c r="K633" s="46" t="str">
        <f>IFERROR(__xludf.DUMMYFUNCTION("if(A633="""","""",IF(G633="""",""Myn"",IF(REGEXMATCH(lower(G633),""mynn""),""Myn"",if(G633&lt;&gt;"""",""GEMTRE"",""""))))"),"Myn")</f>
        <v>Myn</v>
      </c>
      <c r="L633" s="46" t="s">
        <v>2000</v>
      </c>
      <c r="M633" s="48">
        <v>45255.460625</v>
      </c>
    </row>
    <row r="634">
      <c r="A634" s="47">
        <v>45251.523497118054</v>
      </c>
      <c r="B634" s="46" t="s">
        <v>915</v>
      </c>
      <c r="C634" s="46">
        <v>9.899122033E9</v>
      </c>
      <c r="D634" s="46"/>
      <c r="E634" s="46"/>
      <c r="F634" s="46"/>
      <c r="G634" s="46" t="s">
        <v>303</v>
      </c>
      <c r="H634" s="46" t="s">
        <v>701</v>
      </c>
      <c r="I634" s="46"/>
      <c r="J634" s="46"/>
      <c r="K634" s="46" t="str">
        <f>IFERROR(__xludf.DUMMYFUNCTION("if(A634="""","""",IF(G634="""",""Myn"",IF(REGEXMATCH(lower(G634),""mynn""),""Myn"",if(G634&lt;&gt;"""",""GEMTRE"",""""))))"),"Myn")</f>
        <v>Myn</v>
      </c>
      <c r="L634" s="46" t="s">
        <v>2000</v>
      </c>
      <c r="M634" s="48">
        <v>45255.460625</v>
      </c>
    </row>
    <row r="635">
      <c r="A635" s="47">
        <v>45251.5272490625</v>
      </c>
      <c r="B635" s="46" t="s">
        <v>916</v>
      </c>
      <c r="C635" s="46">
        <v>9.3118929E9</v>
      </c>
      <c r="D635" s="46"/>
      <c r="E635" s="46"/>
      <c r="F635" s="46"/>
      <c r="G635" s="46" t="s">
        <v>303</v>
      </c>
      <c r="H635" s="46" t="s">
        <v>701</v>
      </c>
      <c r="I635" s="46"/>
      <c r="J635" s="46"/>
      <c r="K635" s="46" t="str">
        <f>IFERROR(__xludf.DUMMYFUNCTION("if(A635="""","""",IF(G635="""",""Myn"",IF(REGEXMATCH(lower(G635),""mynn""),""Myn"",if(G635&lt;&gt;"""",""GEMTRE"",""""))))"),"Myn")</f>
        <v>Myn</v>
      </c>
      <c r="L635" s="46" t="s">
        <v>2000</v>
      </c>
      <c r="M635" s="48">
        <v>45255.460625</v>
      </c>
    </row>
    <row r="636">
      <c r="A636" s="47">
        <v>45251.528844155095</v>
      </c>
      <c r="B636" s="46" t="s">
        <v>917</v>
      </c>
      <c r="C636" s="46">
        <v>9.810676701E9</v>
      </c>
      <c r="D636" s="46"/>
      <c r="E636" s="46" t="s">
        <v>918</v>
      </c>
      <c r="F636" s="49" t="s">
        <v>919</v>
      </c>
      <c r="G636" s="46" t="s">
        <v>303</v>
      </c>
      <c r="H636" s="46" t="s">
        <v>701</v>
      </c>
      <c r="I636" s="46"/>
      <c r="J636" s="46"/>
      <c r="K636" s="46" t="str">
        <f>IFERROR(__xludf.DUMMYFUNCTION("if(A636="""","""",IF(G636="""",""Myn"",IF(REGEXMATCH(lower(G636),""mynn""),""Myn"",if(G636&lt;&gt;"""",""GEMTRE"",""""))))"),"Myn")</f>
        <v>Myn</v>
      </c>
      <c r="L636" s="46" t="s">
        <v>2000</v>
      </c>
      <c r="M636" s="48">
        <v>45255.460625</v>
      </c>
    </row>
    <row r="637">
      <c r="A637" s="47">
        <v>45251.52972490741</v>
      </c>
      <c r="B637" s="46" t="s">
        <v>920</v>
      </c>
      <c r="C637" s="46">
        <v>8.826584991E9</v>
      </c>
      <c r="D637" s="46"/>
      <c r="E637" s="46" t="s">
        <v>15</v>
      </c>
      <c r="F637" s="46"/>
      <c r="G637" s="46" t="s">
        <v>303</v>
      </c>
      <c r="H637" s="46" t="s">
        <v>706</v>
      </c>
      <c r="I637" s="46"/>
      <c r="J637" s="46"/>
      <c r="K637" s="46" t="str">
        <f>IFERROR(__xludf.DUMMYFUNCTION("if(A637="""","""",IF(G637="""",""Myn"",IF(REGEXMATCH(lower(G637),""mynn""),""Myn"",if(G637&lt;&gt;"""",""GEMTRE"",""""))))"),"Myn")</f>
        <v>Myn</v>
      </c>
      <c r="L637" s="46" t="s">
        <v>2000</v>
      </c>
      <c r="M637" s="48">
        <v>45255.460625</v>
      </c>
    </row>
    <row r="638">
      <c r="A638" s="47">
        <v>45251.53373638889</v>
      </c>
      <c r="B638" s="46" t="s">
        <v>921</v>
      </c>
      <c r="C638" s="46">
        <v>9.140000675E9</v>
      </c>
      <c r="D638" s="46"/>
      <c r="E638" s="46" t="s">
        <v>71</v>
      </c>
      <c r="F638" s="46"/>
      <c r="G638" s="46" t="s">
        <v>303</v>
      </c>
      <c r="H638" s="46" t="s">
        <v>706</v>
      </c>
      <c r="I638" s="46"/>
      <c r="J638" s="46"/>
      <c r="K638" s="46" t="str">
        <f>IFERROR(__xludf.DUMMYFUNCTION("if(A638="""","""",IF(G638="""",""Myn"",IF(REGEXMATCH(lower(G638),""mynn""),""Myn"",if(G638&lt;&gt;"""",""GEMTRE"",""""))))"),"Myn")</f>
        <v>Myn</v>
      </c>
      <c r="L638" s="46" t="s">
        <v>2000</v>
      </c>
      <c r="M638" s="48">
        <v>45255.460625</v>
      </c>
    </row>
    <row r="639">
      <c r="A639" s="47">
        <v>45251.53563395834</v>
      </c>
      <c r="B639" s="46" t="s">
        <v>922</v>
      </c>
      <c r="C639" s="46">
        <v>7.011881757E9</v>
      </c>
      <c r="D639" s="46"/>
      <c r="E639" s="46"/>
      <c r="F639" s="46"/>
      <c r="G639" s="46" t="s">
        <v>303</v>
      </c>
      <c r="H639" s="46" t="s">
        <v>706</v>
      </c>
      <c r="I639" s="46"/>
      <c r="J639" s="46"/>
      <c r="K639" s="46" t="str">
        <f>IFERROR(__xludf.DUMMYFUNCTION("if(A639="""","""",IF(G639="""",""Myn"",IF(REGEXMATCH(lower(G639),""mynn""),""Myn"",if(G639&lt;&gt;"""",""GEMTRE"",""""))))"),"Myn")</f>
        <v>Myn</v>
      </c>
      <c r="L639" s="46" t="s">
        <v>2000</v>
      </c>
      <c r="M639" s="48">
        <v>45255.460625</v>
      </c>
    </row>
    <row r="640">
      <c r="A640" s="47">
        <v>45251.53667855324</v>
      </c>
      <c r="B640" s="46" t="s">
        <v>923</v>
      </c>
      <c r="C640" s="46">
        <v>9.968312164E9</v>
      </c>
      <c r="D640" s="46"/>
      <c r="E640" s="46" t="s">
        <v>71</v>
      </c>
      <c r="F640" s="46"/>
      <c r="G640" s="46" t="s">
        <v>303</v>
      </c>
      <c r="H640" s="46" t="s">
        <v>706</v>
      </c>
      <c r="I640" s="46"/>
      <c r="J640" s="46"/>
      <c r="K640" s="46" t="str">
        <f>IFERROR(__xludf.DUMMYFUNCTION("if(A640="""","""",IF(G640="""",""Myn"",IF(REGEXMATCH(lower(G640),""mynn""),""Myn"",if(G640&lt;&gt;"""",""GEMTRE"",""""))))"),"Myn")</f>
        <v>Myn</v>
      </c>
      <c r="L640" s="46" t="s">
        <v>2000</v>
      </c>
      <c r="M640" s="48">
        <v>45255.460625</v>
      </c>
    </row>
    <row r="641">
      <c r="A641" s="47">
        <v>45251.53797849537</v>
      </c>
      <c r="B641" s="46" t="s">
        <v>924</v>
      </c>
      <c r="C641" s="46">
        <v>7.011312243E9</v>
      </c>
      <c r="D641" s="46"/>
      <c r="E641" s="46"/>
      <c r="F641" s="46"/>
      <c r="G641" s="46" t="s">
        <v>303</v>
      </c>
      <c r="H641" s="46" t="s">
        <v>701</v>
      </c>
      <c r="I641" s="46"/>
      <c r="J641" s="46"/>
      <c r="K641" s="46" t="str">
        <f>IFERROR(__xludf.DUMMYFUNCTION("if(A641="""","""",IF(G641="""",""Myn"",IF(REGEXMATCH(lower(G641),""mynn""),""Myn"",if(G641&lt;&gt;"""",""GEMTRE"",""""))))"),"Myn")</f>
        <v>Myn</v>
      </c>
      <c r="L641" s="46" t="s">
        <v>2000</v>
      </c>
      <c r="M641" s="48">
        <v>45255.460625</v>
      </c>
    </row>
    <row r="642">
      <c r="A642" s="47">
        <v>45251.540183703706</v>
      </c>
      <c r="B642" s="46" t="s">
        <v>529</v>
      </c>
      <c r="C642" s="46">
        <v>9.319447459E9</v>
      </c>
      <c r="D642" s="46"/>
      <c r="E642" s="46"/>
      <c r="F642" s="46"/>
      <c r="G642" s="46" t="s">
        <v>303</v>
      </c>
      <c r="H642" s="46" t="s">
        <v>701</v>
      </c>
      <c r="I642" s="46"/>
      <c r="J642" s="46"/>
      <c r="K642" s="46" t="str">
        <f>IFERROR(__xludf.DUMMYFUNCTION("if(A642="""","""",IF(G642="""",""Myn"",IF(REGEXMATCH(lower(G642),""mynn""),""Myn"",if(G642&lt;&gt;"""",""GEMTRE"",""""))))"),"Myn")</f>
        <v>Myn</v>
      </c>
      <c r="L642" s="46" t="s">
        <v>2000</v>
      </c>
      <c r="M642" s="48">
        <v>45255.460625</v>
      </c>
    </row>
    <row r="643">
      <c r="A643" s="47">
        <v>45251.54024398148</v>
      </c>
      <c r="B643" s="46" t="s">
        <v>925</v>
      </c>
      <c r="C643" s="46">
        <v>9.3194292E9</v>
      </c>
      <c r="D643" s="46"/>
      <c r="E643" s="46"/>
      <c r="F643" s="46"/>
      <c r="G643" s="46" t="s">
        <v>303</v>
      </c>
      <c r="H643" s="46" t="s">
        <v>701</v>
      </c>
      <c r="I643" s="46"/>
      <c r="J643" s="46"/>
      <c r="K643" s="46" t="str">
        <f>IFERROR(__xludf.DUMMYFUNCTION("if(A643="""","""",IF(G643="""",""Myn"",IF(REGEXMATCH(lower(G643),""mynn""),""Myn"",if(G643&lt;&gt;"""",""GEMTRE"",""""))))"),"Myn")</f>
        <v>Myn</v>
      </c>
      <c r="L643" s="46" t="s">
        <v>2000</v>
      </c>
      <c r="M643" s="48">
        <v>45255.460625</v>
      </c>
    </row>
    <row r="644">
      <c r="A644" s="47">
        <v>45251.54049537037</v>
      </c>
      <c r="B644" s="46" t="s">
        <v>926</v>
      </c>
      <c r="C644" s="46">
        <v>9.318356185E9</v>
      </c>
      <c r="D644" s="46"/>
      <c r="E644" s="46"/>
      <c r="F644" s="46"/>
      <c r="G644" s="46" t="s">
        <v>303</v>
      </c>
      <c r="H644" s="46" t="s">
        <v>701</v>
      </c>
      <c r="I644" s="46"/>
      <c r="J644" s="46"/>
      <c r="K644" s="46" t="str">
        <f>IFERROR(__xludf.DUMMYFUNCTION("if(A644="""","""",IF(G644="""",""Myn"",IF(REGEXMATCH(lower(G644),""mynn""),""Myn"",if(G644&lt;&gt;"""",""GEMTRE"",""""))))"),"Myn")</f>
        <v>Myn</v>
      </c>
      <c r="L644" s="46" t="s">
        <v>2000</v>
      </c>
      <c r="M644" s="48">
        <v>45255.460625</v>
      </c>
    </row>
    <row r="645">
      <c r="A645" s="47">
        <v>45251.54057932871</v>
      </c>
      <c r="B645" s="46" t="s">
        <v>927</v>
      </c>
      <c r="C645" s="46">
        <v>8.74492049E9</v>
      </c>
      <c r="D645" s="46"/>
      <c r="E645" s="46"/>
      <c r="F645" s="46"/>
      <c r="G645" s="46" t="s">
        <v>303</v>
      </c>
      <c r="H645" s="46" t="s">
        <v>701</v>
      </c>
      <c r="I645" s="46"/>
      <c r="J645" s="46"/>
      <c r="K645" s="46" t="str">
        <f>IFERROR(__xludf.DUMMYFUNCTION("if(A645="""","""",IF(G645="""",""Myn"",IF(REGEXMATCH(lower(G645),""mynn""),""Myn"",if(G645&lt;&gt;"""",""GEMTRE"",""""))))"),"Myn")</f>
        <v>Myn</v>
      </c>
      <c r="L645" s="46" t="s">
        <v>2000</v>
      </c>
      <c r="M645" s="48">
        <v>45255.460625</v>
      </c>
    </row>
    <row r="646">
      <c r="A646" s="47">
        <v>45251.541227395835</v>
      </c>
      <c r="B646" s="46" t="s">
        <v>928</v>
      </c>
      <c r="C646" s="46">
        <v>9.837779696E9</v>
      </c>
      <c r="D646" s="46"/>
      <c r="E646" s="46"/>
      <c r="F646" s="46"/>
      <c r="G646" s="46" t="s">
        <v>303</v>
      </c>
      <c r="H646" s="46" t="s">
        <v>701</v>
      </c>
      <c r="I646" s="46"/>
      <c r="J646" s="46"/>
      <c r="K646" s="46" t="str">
        <f>IFERROR(__xludf.DUMMYFUNCTION("if(A646="""","""",IF(G646="""",""Myn"",IF(REGEXMATCH(lower(G646),""mynn""),""Myn"",if(G646&lt;&gt;"""",""GEMTRE"",""""))))"),"Myn")</f>
        <v>Myn</v>
      </c>
      <c r="L646" s="46" t="s">
        <v>2000</v>
      </c>
      <c r="M646" s="48">
        <v>45255.460625</v>
      </c>
    </row>
    <row r="647">
      <c r="A647" s="47">
        <v>45251.541419236106</v>
      </c>
      <c r="B647" s="46" t="s">
        <v>929</v>
      </c>
      <c r="C647" s="46">
        <v>7.50399586E9</v>
      </c>
      <c r="D647" s="46"/>
      <c r="E647" s="46"/>
      <c r="F647" s="46"/>
      <c r="G647" s="46" t="s">
        <v>303</v>
      </c>
      <c r="H647" s="46" t="s">
        <v>701</v>
      </c>
      <c r="I647" s="46"/>
      <c r="J647" s="46"/>
      <c r="K647" s="46" t="str">
        <f>IFERROR(__xludf.DUMMYFUNCTION("if(A647="""","""",IF(G647="""",""Myn"",IF(REGEXMATCH(lower(G647),""mynn""),""Myn"",if(G647&lt;&gt;"""",""GEMTRE"",""""))))"),"Myn")</f>
        <v>Myn</v>
      </c>
      <c r="L647" s="46" t="s">
        <v>2000</v>
      </c>
      <c r="M647" s="48">
        <v>45255.460625</v>
      </c>
    </row>
    <row r="648">
      <c r="A648" s="47">
        <v>45251.541527615744</v>
      </c>
      <c r="B648" s="46" t="s">
        <v>930</v>
      </c>
      <c r="C648" s="46">
        <v>9.837846489E9</v>
      </c>
      <c r="D648" s="46"/>
      <c r="E648" s="46"/>
      <c r="F648" s="46"/>
      <c r="G648" s="46" t="s">
        <v>303</v>
      </c>
      <c r="H648" s="46" t="s">
        <v>701</v>
      </c>
      <c r="I648" s="46"/>
      <c r="J648" s="46"/>
      <c r="K648" s="46" t="str">
        <f>IFERROR(__xludf.DUMMYFUNCTION("if(A648="""","""",IF(G648="""",""Myn"",IF(REGEXMATCH(lower(G648),""mynn""),""Myn"",if(G648&lt;&gt;"""",""GEMTRE"",""""))))"),"Myn")</f>
        <v>Myn</v>
      </c>
      <c r="L648" s="46" t="s">
        <v>2000</v>
      </c>
      <c r="M648" s="48">
        <v>45255.460625</v>
      </c>
    </row>
    <row r="649">
      <c r="A649" s="47">
        <v>45251.542329606484</v>
      </c>
      <c r="B649" s="46" t="s">
        <v>931</v>
      </c>
      <c r="C649" s="46">
        <v>9.821024357E9</v>
      </c>
      <c r="D649" s="46" t="s">
        <v>932</v>
      </c>
      <c r="E649" s="46"/>
      <c r="F649" s="46"/>
      <c r="G649" s="46" t="s">
        <v>303</v>
      </c>
      <c r="H649" s="46" t="s">
        <v>701</v>
      </c>
      <c r="I649" s="46"/>
      <c r="J649" s="46"/>
      <c r="K649" s="46" t="str">
        <f>IFERROR(__xludf.DUMMYFUNCTION("if(A649="""","""",IF(G649="""",""Myn"",IF(REGEXMATCH(lower(G649),""mynn""),""Myn"",if(G649&lt;&gt;"""",""GEMTRE"",""""))))"),"Myn")</f>
        <v>Myn</v>
      </c>
      <c r="L649" s="46" t="s">
        <v>2000</v>
      </c>
      <c r="M649" s="48">
        <v>45255.460625</v>
      </c>
    </row>
    <row r="650">
      <c r="A650" s="47">
        <v>45251.542582187496</v>
      </c>
      <c r="B650" s="46" t="s">
        <v>121</v>
      </c>
      <c r="C650" s="46">
        <v>7.042633543E9</v>
      </c>
      <c r="D650" s="46"/>
      <c r="E650" s="46"/>
      <c r="F650" s="46"/>
      <c r="G650" s="46" t="s">
        <v>303</v>
      </c>
      <c r="H650" s="46" t="s">
        <v>701</v>
      </c>
      <c r="I650" s="46"/>
      <c r="J650" s="46"/>
      <c r="K650" s="46" t="str">
        <f>IFERROR(__xludf.DUMMYFUNCTION("if(A650="""","""",IF(G650="""",""Myn"",IF(REGEXMATCH(lower(G650),""mynn""),""Myn"",if(G650&lt;&gt;"""",""GEMTRE"",""""))))"),"Myn")</f>
        <v>Myn</v>
      </c>
      <c r="L650" s="46" t="s">
        <v>2000</v>
      </c>
      <c r="M650" s="48">
        <v>45255.460625</v>
      </c>
    </row>
    <row r="651">
      <c r="A651" s="47">
        <v>45251.54275832176</v>
      </c>
      <c r="B651" s="46" t="s">
        <v>933</v>
      </c>
      <c r="C651" s="46">
        <v>9.821024357E9</v>
      </c>
      <c r="D651" s="46" t="s">
        <v>934</v>
      </c>
      <c r="E651" s="46"/>
      <c r="F651" s="46"/>
      <c r="G651" s="46" t="s">
        <v>303</v>
      </c>
      <c r="H651" s="46" t="s">
        <v>701</v>
      </c>
      <c r="I651" s="46"/>
      <c r="J651" s="46"/>
      <c r="K651" s="46" t="str">
        <f>IFERROR(__xludf.DUMMYFUNCTION("if(A651="""","""",IF(G651="""",""Myn"",IF(REGEXMATCH(lower(G651),""mynn""),""Myn"",if(G651&lt;&gt;"""",""GEMTRE"",""""))))"),"Myn")</f>
        <v>Myn</v>
      </c>
      <c r="L651" s="46" t="s">
        <v>2000</v>
      </c>
      <c r="M651" s="48">
        <v>45255.460625</v>
      </c>
    </row>
    <row r="652">
      <c r="A652" s="47">
        <v>45251.54318541667</v>
      </c>
      <c r="B652" s="46" t="s">
        <v>935</v>
      </c>
      <c r="C652" s="46">
        <v>8.28777919E9</v>
      </c>
      <c r="D652" s="46"/>
      <c r="E652" s="46"/>
      <c r="F652" s="46"/>
      <c r="G652" s="46" t="s">
        <v>303</v>
      </c>
      <c r="H652" s="46" t="s">
        <v>701</v>
      </c>
      <c r="I652" s="46"/>
      <c r="J652" s="46"/>
      <c r="K652" s="46" t="str">
        <f>IFERROR(__xludf.DUMMYFUNCTION("if(A652="""","""",IF(G652="""",""Myn"",IF(REGEXMATCH(lower(G652),""mynn""),""Myn"",if(G652&lt;&gt;"""",""GEMTRE"",""""))))"),"Myn")</f>
        <v>Myn</v>
      </c>
      <c r="L652" s="46" t="s">
        <v>2000</v>
      </c>
      <c r="M652" s="48">
        <v>45255.460625</v>
      </c>
    </row>
    <row r="653">
      <c r="A653" s="47">
        <v>45251.54348707176</v>
      </c>
      <c r="B653" s="46" t="s">
        <v>936</v>
      </c>
      <c r="C653" s="46">
        <v>8.708933674E9</v>
      </c>
      <c r="D653" s="46"/>
      <c r="E653" s="46"/>
      <c r="F653" s="46"/>
      <c r="G653" s="46" t="s">
        <v>303</v>
      </c>
      <c r="H653" s="46" t="s">
        <v>701</v>
      </c>
      <c r="I653" s="46"/>
      <c r="J653" s="46"/>
      <c r="K653" s="46" t="str">
        <f>IFERROR(__xludf.DUMMYFUNCTION("if(A653="""","""",IF(G653="""",""Myn"",IF(REGEXMATCH(lower(G653),""mynn""),""Myn"",if(G653&lt;&gt;"""",""GEMTRE"",""""))))"),"Myn")</f>
        <v>Myn</v>
      </c>
      <c r="L653" s="46" t="s">
        <v>2000</v>
      </c>
      <c r="M653" s="48">
        <v>45255.460625</v>
      </c>
    </row>
    <row r="654">
      <c r="A654" s="47">
        <v>45251.54365787037</v>
      </c>
      <c r="B654" s="46" t="s">
        <v>937</v>
      </c>
      <c r="C654" s="46">
        <v>9.31551315E9</v>
      </c>
      <c r="D654" s="46" t="s">
        <v>938</v>
      </c>
      <c r="E654" s="46"/>
      <c r="F654" s="46"/>
      <c r="G654" s="46" t="s">
        <v>303</v>
      </c>
      <c r="H654" s="46" t="s">
        <v>701</v>
      </c>
      <c r="I654" s="46"/>
      <c r="J654" s="46"/>
      <c r="K654" s="46" t="str">
        <f>IFERROR(__xludf.DUMMYFUNCTION("if(A654="""","""",IF(G654="""",""Myn"",IF(REGEXMATCH(lower(G654),""mynn""),""Myn"",if(G654&lt;&gt;"""",""GEMTRE"",""""))))"),"Myn")</f>
        <v>Myn</v>
      </c>
      <c r="L654" s="46" t="s">
        <v>2000</v>
      </c>
      <c r="M654" s="48">
        <v>45255.460625</v>
      </c>
    </row>
    <row r="655">
      <c r="A655" s="47">
        <v>45251.544078402774</v>
      </c>
      <c r="B655" s="46" t="s">
        <v>939</v>
      </c>
      <c r="C655" s="46">
        <v>7.042077936E9</v>
      </c>
      <c r="D655" s="46" t="s">
        <v>940</v>
      </c>
      <c r="E655" s="46"/>
      <c r="F655" s="46"/>
      <c r="G655" s="46" t="s">
        <v>303</v>
      </c>
      <c r="H655" s="46" t="s">
        <v>701</v>
      </c>
      <c r="I655" s="46"/>
      <c r="J655" s="46"/>
      <c r="K655" s="46" t="str">
        <f>IFERROR(__xludf.DUMMYFUNCTION("if(A655="""","""",IF(G655="""",""Myn"",IF(REGEXMATCH(lower(G655),""mynn""),""Myn"",if(G655&lt;&gt;"""",""GEMTRE"",""""))))"),"Myn")</f>
        <v>Myn</v>
      </c>
      <c r="L655" s="46" t="s">
        <v>2000</v>
      </c>
      <c r="M655" s="48">
        <v>45255.460625</v>
      </c>
    </row>
    <row r="656">
      <c r="A656" s="47">
        <v>45251.544340671295</v>
      </c>
      <c r="B656" s="46" t="s">
        <v>933</v>
      </c>
      <c r="C656" s="46">
        <v>9.821024357E9</v>
      </c>
      <c r="D656" s="46"/>
      <c r="E656" s="46"/>
      <c r="F656" s="46"/>
      <c r="G656" s="46" t="s">
        <v>303</v>
      </c>
      <c r="H656" s="46" t="s">
        <v>701</v>
      </c>
      <c r="I656" s="46"/>
      <c r="J656" s="46"/>
      <c r="K656" s="46" t="str">
        <f>IFERROR(__xludf.DUMMYFUNCTION("if(A656="""","""",IF(G656="""",""Myn"",IF(REGEXMATCH(lower(G656),""mynn""),""Myn"",if(G656&lt;&gt;"""",""GEMTRE"",""""))))"),"Myn")</f>
        <v>Myn</v>
      </c>
      <c r="L656" s="46" t="s">
        <v>2000</v>
      </c>
      <c r="M656" s="48">
        <v>45255.460625</v>
      </c>
    </row>
    <row r="657">
      <c r="A657" s="47">
        <v>45251.54638719907</v>
      </c>
      <c r="B657" s="46" t="s">
        <v>941</v>
      </c>
      <c r="C657" s="46">
        <v>9.810824286E9</v>
      </c>
      <c r="D657" s="46"/>
      <c r="E657" s="46" t="s">
        <v>79</v>
      </c>
      <c r="F657" s="46"/>
      <c r="G657" s="46" t="s">
        <v>303</v>
      </c>
      <c r="H657" s="46" t="s">
        <v>706</v>
      </c>
      <c r="I657" s="46"/>
      <c r="J657" s="46"/>
      <c r="K657" s="46" t="str">
        <f>IFERROR(__xludf.DUMMYFUNCTION("if(A657="""","""",IF(G657="""",""Myn"",IF(REGEXMATCH(lower(G657),""mynn""),""Myn"",if(G657&lt;&gt;"""",""GEMTRE"",""""))))"),"Myn")</f>
        <v>Myn</v>
      </c>
      <c r="L657" s="46" t="s">
        <v>2000</v>
      </c>
      <c r="M657" s="48">
        <v>45255.460625</v>
      </c>
    </row>
    <row r="658">
      <c r="A658" s="47">
        <v>45251.54678625</v>
      </c>
      <c r="B658" s="46" t="s">
        <v>942</v>
      </c>
      <c r="C658" s="46">
        <v>9.891108125E9</v>
      </c>
      <c r="D658" s="46"/>
      <c r="E658" s="46" t="s">
        <v>79</v>
      </c>
      <c r="F658" s="46"/>
      <c r="G658" s="46" t="s">
        <v>303</v>
      </c>
      <c r="H658" s="46" t="s">
        <v>706</v>
      </c>
      <c r="I658" s="46"/>
      <c r="J658" s="46"/>
      <c r="K658" s="46" t="str">
        <f>IFERROR(__xludf.DUMMYFUNCTION("if(A658="""","""",IF(G658="""",""Myn"",IF(REGEXMATCH(lower(G658),""mynn""),""Myn"",if(G658&lt;&gt;"""",""GEMTRE"",""""))))"),"Myn")</f>
        <v>Myn</v>
      </c>
      <c r="L658" s="46" t="s">
        <v>2000</v>
      </c>
      <c r="M658" s="48">
        <v>45255.460625</v>
      </c>
    </row>
    <row r="659">
      <c r="A659" s="47">
        <v>45251.54731217593</v>
      </c>
      <c r="B659" s="46" t="s">
        <v>943</v>
      </c>
      <c r="C659" s="46">
        <v>9.899925289E9</v>
      </c>
      <c r="D659" s="46"/>
      <c r="E659" s="46"/>
      <c r="F659" s="46"/>
      <c r="G659" s="46" t="s">
        <v>303</v>
      </c>
      <c r="H659" s="46" t="s">
        <v>701</v>
      </c>
      <c r="I659" s="46"/>
      <c r="J659" s="46"/>
      <c r="K659" s="46" t="str">
        <f>IFERROR(__xludf.DUMMYFUNCTION("if(A659="""","""",IF(G659="""",""Myn"",IF(REGEXMATCH(lower(G659),""mynn""),""Myn"",if(G659&lt;&gt;"""",""GEMTRE"",""""))))"),"Myn")</f>
        <v>Myn</v>
      </c>
      <c r="L659" s="46" t="s">
        <v>2000</v>
      </c>
      <c r="M659" s="48">
        <v>45255.460625</v>
      </c>
    </row>
    <row r="660">
      <c r="A660" s="47">
        <v>45251.54748731482</v>
      </c>
      <c r="B660" s="46" t="s">
        <v>944</v>
      </c>
      <c r="C660" s="46">
        <v>9.958797582E9</v>
      </c>
      <c r="D660" s="46"/>
      <c r="E660" s="46"/>
      <c r="F660" s="46"/>
      <c r="G660" s="46" t="s">
        <v>303</v>
      </c>
      <c r="H660" s="46" t="s">
        <v>701</v>
      </c>
      <c r="I660" s="46"/>
      <c r="J660" s="46"/>
      <c r="K660" s="46" t="str">
        <f>IFERROR(__xludf.DUMMYFUNCTION("if(A660="""","""",IF(G660="""",""Myn"",IF(REGEXMATCH(lower(G660),""mynn""),""Myn"",if(G660&lt;&gt;"""",""GEMTRE"",""""))))"),"Myn")</f>
        <v>Myn</v>
      </c>
      <c r="L660" s="46" t="s">
        <v>2000</v>
      </c>
      <c r="M660" s="48">
        <v>45255.460625</v>
      </c>
    </row>
    <row r="661">
      <c r="A661" s="47">
        <v>45251.54847417824</v>
      </c>
      <c r="B661" s="46" t="s">
        <v>945</v>
      </c>
      <c r="C661" s="46">
        <v>9.999222644E9</v>
      </c>
      <c r="D661" s="46"/>
      <c r="E661" s="46" t="s">
        <v>79</v>
      </c>
      <c r="F661" s="46"/>
      <c r="G661" s="46" t="s">
        <v>303</v>
      </c>
      <c r="H661" s="46" t="s">
        <v>706</v>
      </c>
      <c r="I661" s="46"/>
      <c r="J661" s="46"/>
      <c r="K661" s="46" t="str">
        <f>IFERROR(__xludf.DUMMYFUNCTION("if(A661="""","""",IF(G661="""",""Myn"",IF(REGEXMATCH(lower(G661),""mynn""),""Myn"",if(G661&lt;&gt;"""",""GEMTRE"",""""))))"),"Myn")</f>
        <v>Myn</v>
      </c>
      <c r="L661" s="46" t="s">
        <v>2000</v>
      </c>
      <c r="M661" s="48">
        <v>45255.460625</v>
      </c>
    </row>
    <row r="662">
      <c r="A662" s="47">
        <v>45251.5487244213</v>
      </c>
      <c r="B662" s="46" t="s">
        <v>946</v>
      </c>
      <c r="C662" s="46">
        <v>8.750919253E9</v>
      </c>
      <c r="D662" s="46"/>
      <c r="E662" s="46"/>
      <c r="F662" s="46"/>
      <c r="G662" s="46" t="s">
        <v>303</v>
      </c>
      <c r="H662" s="46" t="s">
        <v>701</v>
      </c>
      <c r="I662" s="46"/>
      <c r="J662" s="46"/>
      <c r="K662" s="46" t="str">
        <f>IFERROR(__xludf.DUMMYFUNCTION("if(A662="""","""",IF(G662="""",""Myn"",IF(REGEXMATCH(lower(G662),""mynn""),""Myn"",if(G662&lt;&gt;"""",""GEMTRE"",""""))))"),"Myn")</f>
        <v>Myn</v>
      </c>
      <c r="L662" s="46" t="s">
        <v>2000</v>
      </c>
      <c r="M662" s="48">
        <v>45255.460625</v>
      </c>
    </row>
    <row r="663">
      <c r="A663" s="47">
        <v>45251.54906005787</v>
      </c>
      <c r="B663" s="46" t="s">
        <v>947</v>
      </c>
      <c r="C663" s="46">
        <v>7.053586786E9</v>
      </c>
      <c r="D663" s="46"/>
      <c r="E663" s="46"/>
      <c r="F663" s="46"/>
      <c r="G663" s="46" t="s">
        <v>303</v>
      </c>
      <c r="H663" s="46" t="s">
        <v>701</v>
      </c>
      <c r="I663" s="46"/>
      <c r="J663" s="46"/>
      <c r="K663" s="46" t="str">
        <f>IFERROR(__xludf.DUMMYFUNCTION("if(A663="""","""",IF(G663="""",""Myn"",IF(REGEXMATCH(lower(G663),""mynn""),""Myn"",if(G663&lt;&gt;"""",""GEMTRE"",""""))))"),"Myn")</f>
        <v>Myn</v>
      </c>
      <c r="L663" s="46" t="s">
        <v>2000</v>
      </c>
      <c r="M663" s="48">
        <v>45255.460625</v>
      </c>
    </row>
    <row r="664">
      <c r="A664" s="47">
        <v>45251.55079826389</v>
      </c>
      <c r="B664" s="46" t="s">
        <v>948</v>
      </c>
      <c r="C664" s="46">
        <v>9.711843859E9</v>
      </c>
      <c r="D664" s="46"/>
      <c r="E664" s="46" t="s">
        <v>79</v>
      </c>
      <c r="F664" s="46"/>
      <c r="G664" s="46" t="s">
        <v>303</v>
      </c>
      <c r="H664" s="46" t="s">
        <v>706</v>
      </c>
      <c r="I664" s="46"/>
      <c r="J664" s="46"/>
      <c r="K664" s="46" t="str">
        <f>IFERROR(__xludf.DUMMYFUNCTION("if(A664="""","""",IF(G664="""",""Myn"",IF(REGEXMATCH(lower(G664),""mynn""),""Myn"",if(G664&lt;&gt;"""",""GEMTRE"",""""))))"),"Myn")</f>
        <v>Myn</v>
      </c>
      <c r="L664" s="46" t="s">
        <v>2000</v>
      </c>
      <c r="M664" s="48">
        <v>45255.460625</v>
      </c>
    </row>
    <row r="665">
      <c r="A665" s="47">
        <v>45251.551151377316</v>
      </c>
      <c r="B665" s="46" t="s">
        <v>949</v>
      </c>
      <c r="C665" s="46">
        <v>9.991511771E9</v>
      </c>
      <c r="D665" s="46"/>
      <c r="E665" s="46"/>
      <c r="F665" s="46"/>
      <c r="G665" s="46" t="s">
        <v>303</v>
      </c>
      <c r="H665" s="46" t="s">
        <v>701</v>
      </c>
      <c r="I665" s="46"/>
      <c r="J665" s="46"/>
      <c r="K665" s="46" t="str">
        <f>IFERROR(__xludf.DUMMYFUNCTION("if(A665="""","""",IF(G665="""",""Myn"",IF(REGEXMATCH(lower(G665),""mynn""),""Myn"",if(G665&lt;&gt;"""",""GEMTRE"",""""))))"),"Myn")</f>
        <v>Myn</v>
      </c>
      <c r="L665" s="46" t="s">
        <v>2000</v>
      </c>
      <c r="M665" s="48">
        <v>45255.460625</v>
      </c>
    </row>
    <row r="666">
      <c r="A666" s="47">
        <v>45251.55173993055</v>
      </c>
      <c r="B666" s="46" t="s">
        <v>950</v>
      </c>
      <c r="C666" s="46">
        <v>9.013448282E9</v>
      </c>
      <c r="D666" s="46"/>
      <c r="E666" s="46" t="s">
        <v>79</v>
      </c>
      <c r="F666" s="46"/>
      <c r="G666" s="46" t="s">
        <v>303</v>
      </c>
      <c r="H666" s="46" t="s">
        <v>706</v>
      </c>
      <c r="I666" s="46"/>
      <c r="J666" s="46"/>
      <c r="K666" s="46" t="str">
        <f>IFERROR(__xludf.DUMMYFUNCTION("if(A666="""","""",IF(G666="""",""Myn"",IF(REGEXMATCH(lower(G666),""mynn""),""Myn"",if(G666&lt;&gt;"""",""GEMTRE"",""""))))"),"Myn")</f>
        <v>Myn</v>
      </c>
      <c r="L666" s="46" t="s">
        <v>2000</v>
      </c>
      <c r="M666" s="48">
        <v>45255.460625</v>
      </c>
    </row>
    <row r="667">
      <c r="A667" s="47">
        <v>45251.55231849537</v>
      </c>
      <c r="B667" s="46" t="s">
        <v>951</v>
      </c>
      <c r="C667" s="46">
        <v>9.431083833E9</v>
      </c>
      <c r="D667" s="46"/>
      <c r="E667" s="46"/>
      <c r="F667" s="46"/>
      <c r="G667" s="46" t="s">
        <v>303</v>
      </c>
      <c r="H667" s="46" t="s">
        <v>701</v>
      </c>
      <c r="I667" s="46"/>
      <c r="J667" s="46"/>
      <c r="K667" s="46" t="str">
        <f>IFERROR(__xludf.DUMMYFUNCTION("if(A667="""","""",IF(G667="""",""Myn"",IF(REGEXMATCH(lower(G667),""mynn""),""Myn"",if(G667&lt;&gt;"""",""GEMTRE"",""""))))"),"Myn")</f>
        <v>Myn</v>
      </c>
      <c r="L667" s="46" t="s">
        <v>2000</v>
      </c>
      <c r="M667" s="48">
        <v>45255.460625</v>
      </c>
    </row>
    <row r="668">
      <c r="A668" s="47">
        <v>45251.554223831015</v>
      </c>
      <c r="B668" s="46" t="s">
        <v>952</v>
      </c>
      <c r="C668" s="46">
        <v>9.467204416E9</v>
      </c>
      <c r="D668" s="46"/>
      <c r="E668" s="46"/>
      <c r="F668" s="46"/>
      <c r="G668" s="46" t="s">
        <v>303</v>
      </c>
      <c r="H668" s="46" t="s">
        <v>701</v>
      </c>
      <c r="I668" s="46"/>
      <c r="J668" s="46"/>
      <c r="K668" s="46" t="str">
        <f>IFERROR(__xludf.DUMMYFUNCTION("if(A668="""","""",IF(G668="""",""Myn"",IF(REGEXMATCH(lower(G668),""mynn""),""Myn"",if(G668&lt;&gt;"""",""GEMTRE"",""""))))"),"Myn")</f>
        <v>Myn</v>
      </c>
      <c r="L668" s="46" t="s">
        <v>2000</v>
      </c>
      <c r="M668" s="48">
        <v>45255.460625</v>
      </c>
    </row>
    <row r="669">
      <c r="A669" s="47">
        <v>45251.55530166667</v>
      </c>
      <c r="B669" s="46" t="s">
        <v>953</v>
      </c>
      <c r="C669" s="46">
        <v>9.981533372E9</v>
      </c>
      <c r="D669" s="46"/>
      <c r="E669" s="46"/>
      <c r="F669" s="46"/>
      <c r="G669" s="46" t="s">
        <v>303</v>
      </c>
      <c r="H669" s="46" t="s">
        <v>701</v>
      </c>
      <c r="I669" s="46"/>
      <c r="J669" s="46"/>
      <c r="K669" s="46" t="str">
        <f>IFERROR(__xludf.DUMMYFUNCTION("if(A669="""","""",IF(G669="""",""Myn"",IF(REGEXMATCH(lower(G669),""mynn""),""Myn"",if(G669&lt;&gt;"""",""GEMTRE"",""""))))"),"Myn")</f>
        <v>Myn</v>
      </c>
      <c r="L669" s="46" t="s">
        <v>2000</v>
      </c>
      <c r="M669" s="48">
        <v>45255.460625</v>
      </c>
    </row>
    <row r="670">
      <c r="A670" s="47">
        <v>45251.55546585648</v>
      </c>
      <c r="B670" s="46" t="s">
        <v>954</v>
      </c>
      <c r="C670" s="46">
        <v>9.958565432E9</v>
      </c>
      <c r="D670" s="46"/>
      <c r="E670" s="46" t="s">
        <v>227</v>
      </c>
      <c r="F670" s="46"/>
      <c r="G670" s="46" t="s">
        <v>303</v>
      </c>
      <c r="H670" s="46" t="s">
        <v>706</v>
      </c>
      <c r="I670" s="46"/>
      <c r="J670" s="46"/>
      <c r="K670" s="46" t="str">
        <f>IFERROR(__xludf.DUMMYFUNCTION("if(A670="""","""",IF(G670="""",""Myn"",IF(REGEXMATCH(lower(G670),""mynn""),""Myn"",if(G670&lt;&gt;"""",""GEMTRE"",""""))))"),"Myn")</f>
        <v>Myn</v>
      </c>
      <c r="L670" s="46" t="s">
        <v>2000</v>
      </c>
      <c r="M670" s="48">
        <v>45255.460625</v>
      </c>
    </row>
    <row r="671">
      <c r="A671" s="47">
        <v>45251.55864783565</v>
      </c>
      <c r="B671" s="46" t="s">
        <v>955</v>
      </c>
      <c r="C671" s="46">
        <v>8.459447702E9</v>
      </c>
      <c r="D671" s="46"/>
      <c r="E671" s="46"/>
      <c r="F671" s="46"/>
      <c r="G671" s="46" t="s">
        <v>303</v>
      </c>
      <c r="H671" s="46" t="s">
        <v>701</v>
      </c>
      <c r="I671" s="46"/>
      <c r="J671" s="46"/>
      <c r="K671" s="46" t="str">
        <f>IFERROR(__xludf.DUMMYFUNCTION("if(A671="""","""",IF(G671="""",""Myn"",IF(REGEXMATCH(lower(G671),""mynn""),""Myn"",if(G671&lt;&gt;"""",""GEMTRE"",""""))))"),"Myn")</f>
        <v>Myn</v>
      </c>
      <c r="L671" s="46" t="s">
        <v>2000</v>
      </c>
      <c r="M671" s="48">
        <v>45255.460625</v>
      </c>
    </row>
    <row r="672">
      <c r="A672" s="47">
        <v>45251.55937120371</v>
      </c>
      <c r="B672" s="46" t="s">
        <v>956</v>
      </c>
      <c r="C672" s="46">
        <v>9.012151617E9</v>
      </c>
      <c r="D672" s="46"/>
      <c r="E672" s="46" t="s">
        <v>957</v>
      </c>
      <c r="F672" s="46"/>
      <c r="G672" s="46" t="s">
        <v>303</v>
      </c>
      <c r="H672" s="46" t="s">
        <v>706</v>
      </c>
      <c r="I672" s="46"/>
      <c r="J672" s="46"/>
      <c r="K672" s="46" t="str">
        <f>IFERROR(__xludf.DUMMYFUNCTION("if(A672="""","""",IF(G672="""",""Myn"",IF(REGEXMATCH(lower(G672),""mynn""),""Myn"",if(G672&lt;&gt;"""",""GEMTRE"",""""))))"),"Myn")</f>
        <v>Myn</v>
      </c>
      <c r="L672" s="46" t="s">
        <v>2000</v>
      </c>
      <c r="M672" s="48">
        <v>45255.460625</v>
      </c>
    </row>
    <row r="673">
      <c r="A673" s="47">
        <v>45251.560586168984</v>
      </c>
      <c r="B673" s="46" t="s">
        <v>390</v>
      </c>
      <c r="C673" s="46">
        <v>7.703881613E9</v>
      </c>
      <c r="D673" s="46"/>
      <c r="E673" s="46"/>
      <c r="F673" s="46"/>
      <c r="G673" s="46" t="s">
        <v>303</v>
      </c>
      <c r="H673" s="46" t="s">
        <v>701</v>
      </c>
      <c r="I673" s="46"/>
      <c r="J673" s="46"/>
      <c r="K673" s="46" t="str">
        <f>IFERROR(__xludf.DUMMYFUNCTION("if(A673="""","""",IF(G673="""",""Myn"",IF(REGEXMATCH(lower(G673),""mynn""),""Myn"",if(G673&lt;&gt;"""",""GEMTRE"",""""))))"),"Myn")</f>
        <v>Myn</v>
      </c>
      <c r="L673" s="46" t="s">
        <v>2000</v>
      </c>
      <c r="M673" s="48">
        <v>45255.460625</v>
      </c>
    </row>
    <row r="674">
      <c r="A674" s="47">
        <v>45251.56273936343</v>
      </c>
      <c r="B674" s="46" t="s">
        <v>958</v>
      </c>
      <c r="C674" s="46">
        <v>9.891872916E9</v>
      </c>
      <c r="D674" s="46"/>
      <c r="E674" s="46"/>
      <c r="F674" s="46"/>
      <c r="G674" s="46" t="s">
        <v>303</v>
      </c>
      <c r="H674" s="46" t="s">
        <v>701</v>
      </c>
      <c r="I674" s="46"/>
      <c r="J674" s="46"/>
      <c r="K674" s="46" t="str">
        <f>IFERROR(__xludf.DUMMYFUNCTION("if(A674="""","""",IF(G674="""",""Myn"",IF(REGEXMATCH(lower(G674),""mynn""),""Myn"",if(G674&lt;&gt;"""",""GEMTRE"",""""))))"),"Myn")</f>
        <v>Myn</v>
      </c>
      <c r="L674" s="46" t="s">
        <v>2000</v>
      </c>
      <c r="M674" s="48">
        <v>45255.460625</v>
      </c>
    </row>
    <row r="675">
      <c r="A675" s="47">
        <v>45251.56297122686</v>
      </c>
      <c r="B675" s="46" t="s">
        <v>959</v>
      </c>
      <c r="C675" s="46">
        <v>9.711561566E9</v>
      </c>
      <c r="D675" s="46"/>
      <c r="E675" s="46" t="s">
        <v>960</v>
      </c>
      <c r="F675" s="46"/>
      <c r="G675" s="46" t="s">
        <v>303</v>
      </c>
      <c r="H675" s="46" t="s">
        <v>706</v>
      </c>
      <c r="I675" s="46"/>
      <c r="J675" s="46"/>
      <c r="K675" s="46" t="str">
        <f>IFERROR(__xludf.DUMMYFUNCTION("if(A675="""","""",IF(G675="""",""Myn"",IF(REGEXMATCH(lower(G675),""mynn""),""Myn"",if(G675&lt;&gt;"""",""GEMTRE"",""""))))"),"Myn")</f>
        <v>Myn</v>
      </c>
      <c r="L675" s="46" t="s">
        <v>2000</v>
      </c>
      <c r="M675" s="48">
        <v>45255.460625</v>
      </c>
    </row>
    <row r="676">
      <c r="A676" s="47">
        <v>45251.57125607639</v>
      </c>
      <c r="B676" s="46" t="s">
        <v>124</v>
      </c>
      <c r="C676" s="46">
        <v>9.811237684E9</v>
      </c>
      <c r="D676" s="46"/>
      <c r="E676" s="46"/>
      <c r="F676" s="46"/>
      <c r="G676" s="46" t="s">
        <v>303</v>
      </c>
      <c r="H676" s="46" t="s">
        <v>701</v>
      </c>
      <c r="I676" s="46"/>
      <c r="J676" s="46"/>
      <c r="K676" s="46" t="str">
        <f>IFERROR(__xludf.DUMMYFUNCTION("if(A676="""","""",IF(G676="""",""Myn"",IF(REGEXMATCH(lower(G676),""mynn""),""Myn"",if(G676&lt;&gt;"""",""GEMTRE"",""""))))"),"Myn")</f>
        <v>Myn</v>
      </c>
      <c r="L676" s="46" t="s">
        <v>2000</v>
      </c>
      <c r="M676" s="48">
        <v>45255.460625</v>
      </c>
    </row>
    <row r="677">
      <c r="A677" s="47">
        <v>45251.572141122684</v>
      </c>
      <c r="B677" s="46" t="s">
        <v>961</v>
      </c>
      <c r="C677" s="46">
        <v>9.811284065E9</v>
      </c>
      <c r="D677" s="46"/>
      <c r="E677" s="46" t="s">
        <v>71</v>
      </c>
      <c r="F677" s="46"/>
      <c r="G677" s="46" t="s">
        <v>303</v>
      </c>
      <c r="H677" s="46" t="s">
        <v>706</v>
      </c>
      <c r="I677" s="46"/>
      <c r="J677" s="46"/>
      <c r="K677" s="46" t="str">
        <f>IFERROR(__xludf.DUMMYFUNCTION("if(A677="""","""",IF(G677="""",""Myn"",IF(REGEXMATCH(lower(G677),""mynn""),""Myn"",if(G677&lt;&gt;"""",""GEMTRE"",""""))))"),"Myn")</f>
        <v>Myn</v>
      </c>
      <c r="L677" s="46" t="s">
        <v>2000</v>
      </c>
      <c r="M677" s="48">
        <v>45255.460625</v>
      </c>
    </row>
    <row r="678">
      <c r="A678" s="47">
        <v>45251.57625899305</v>
      </c>
      <c r="B678" s="46" t="s">
        <v>962</v>
      </c>
      <c r="C678" s="46">
        <v>9.810013958E9</v>
      </c>
      <c r="D678" s="46"/>
      <c r="E678" s="46" t="s">
        <v>963</v>
      </c>
      <c r="F678" s="46"/>
      <c r="G678" s="46" t="s">
        <v>303</v>
      </c>
      <c r="H678" s="46" t="s">
        <v>706</v>
      </c>
      <c r="I678" s="46"/>
      <c r="J678" s="46"/>
      <c r="K678" s="46" t="str">
        <f>IFERROR(__xludf.DUMMYFUNCTION("if(A678="""","""",IF(G678="""",""Myn"",IF(REGEXMATCH(lower(G678),""mynn""),""Myn"",if(G678&lt;&gt;"""",""GEMTRE"",""""))))"),"Myn")</f>
        <v>Myn</v>
      </c>
      <c r="L678" s="46" t="s">
        <v>2000</v>
      </c>
      <c r="M678" s="48">
        <v>45255.460625</v>
      </c>
    </row>
    <row r="679">
      <c r="A679" s="47">
        <v>45251.5776966088</v>
      </c>
      <c r="B679" s="46" t="s">
        <v>964</v>
      </c>
      <c r="C679" s="46">
        <v>9.818640261E9</v>
      </c>
      <c r="D679" s="46"/>
      <c r="E679" s="46" t="s">
        <v>227</v>
      </c>
      <c r="F679" s="46"/>
      <c r="G679" s="46" t="s">
        <v>303</v>
      </c>
      <c r="H679" s="46" t="s">
        <v>706</v>
      </c>
      <c r="I679" s="46"/>
      <c r="J679" s="46"/>
      <c r="K679" s="46" t="str">
        <f>IFERROR(__xludf.DUMMYFUNCTION("if(A679="""","""",IF(G679="""",""Myn"",IF(REGEXMATCH(lower(G679),""mynn""),""Myn"",if(G679&lt;&gt;"""",""GEMTRE"",""""))))"),"Myn")</f>
        <v>Myn</v>
      </c>
      <c r="L679" s="46" t="s">
        <v>2000</v>
      </c>
      <c r="M679" s="48">
        <v>45255.460625</v>
      </c>
    </row>
    <row r="680">
      <c r="A680" s="47">
        <v>45251.57858099537</v>
      </c>
      <c r="B680" s="46" t="s">
        <v>965</v>
      </c>
      <c r="C680" s="46">
        <v>9.811066932E9</v>
      </c>
      <c r="D680" s="46"/>
      <c r="E680" s="46"/>
      <c r="F680" s="46"/>
      <c r="G680" s="46" t="s">
        <v>303</v>
      </c>
      <c r="H680" s="46" t="s">
        <v>701</v>
      </c>
      <c r="I680" s="46"/>
      <c r="J680" s="46"/>
      <c r="K680" s="46" t="str">
        <f>IFERROR(__xludf.DUMMYFUNCTION("if(A680="""","""",IF(G680="""",""Myn"",IF(REGEXMATCH(lower(G680),""mynn""),""Myn"",if(G680&lt;&gt;"""",""GEMTRE"",""""))))"),"Myn")</f>
        <v>Myn</v>
      </c>
      <c r="L680" s="46" t="s">
        <v>2000</v>
      </c>
      <c r="M680" s="48">
        <v>45255.460625</v>
      </c>
    </row>
    <row r="681">
      <c r="A681" s="47">
        <v>45251.57880077546</v>
      </c>
      <c r="B681" s="46" t="s">
        <v>966</v>
      </c>
      <c r="C681" s="46">
        <v>9.958543101E9</v>
      </c>
      <c r="D681" s="46"/>
      <c r="E681" s="46" t="s">
        <v>227</v>
      </c>
      <c r="F681" s="46"/>
      <c r="G681" s="46" t="s">
        <v>303</v>
      </c>
      <c r="H681" s="46" t="s">
        <v>706</v>
      </c>
      <c r="I681" s="46"/>
      <c r="J681" s="46"/>
      <c r="K681" s="46" t="str">
        <f>IFERROR(__xludf.DUMMYFUNCTION("if(A681="""","""",IF(G681="""",""Myn"",IF(REGEXMATCH(lower(G681),""mynn""),""Myn"",if(G681&lt;&gt;"""",""GEMTRE"",""""))))"),"Myn")</f>
        <v>Myn</v>
      </c>
      <c r="L681" s="46" t="s">
        <v>2000</v>
      </c>
      <c r="M681" s="48">
        <v>45255.460625</v>
      </c>
    </row>
    <row r="682">
      <c r="A682" s="47">
        <v>45251.579769062504</v>
      </c>
      <c r="B682" s="46" t="s">
        <v>967</v>
      </c>
      <c r="C682" s="46">
        <v>9.198938545E9</v>
      </c>
      <c r="D682" s="46"/>
      <c r="E682" s="46"/>
      <c r="F682" s="46"/>
      <c r="G682" s="46" t="s">
        <v>303</v>
      </c>
      <c r="H682" s="46" t="s">
        <v>701</v>
      </c>
      <c r="I682" s="46"/>
      <c r="J682" s="46"/>
      <c r="K682" s="46" t="str">
        <f>IFERROR(__xludf.DUMMYFUNCTION("if(A682="""","""",IF(G682="""",""Myn"",IF(REGEXMATCH(lower(G682),""mynn""),""Myn"",if(G682&lt;&gt;"""",""GEMTRE"",""""))))"),"Myn")</f>
        <v>Myn</v>
      </c>
      <c r="L682" s="46" t="s">
        <v>2000</v>
      </c>
      <c r="M682" s="48">
        <v>45255.460625</v>
      </c>
    </row>
    <row r="683">
      <c r="A683" s="47">
        <v>45251.58264421296</v>
      </c>
      <c r="B683" s="46" t="s">
        <v>516</v>
      </c>
      <c r="C683" s="46">
        <v>9.717200052E9</v>
      </c>
      <c r="D683" s="46"/>
      <c r="E683" s="46" t="s">
        <v>79</v>
      </c>
      <c r="F683" s="46"/>
      <c r="G683" s="46" t="s">
        <v>303</v>
      </c>
      <c r="H683" s="46" t="s">
        <v>706</v>
      </c>
      <c r="I683" s="46"/>
      <c r="J683" s="46"/>
      <c r="K683" s="46" t="str">
        <f>IFERROR(__xludf.DUMMYFUNCTION("if(A683="""","""",IF(G683="""",""Myn"",IF(REGEXMATCH(lower(G683),""mynn""),""Myn"",if(G683&lt;&gt;"""",""GEMTRE"",""""))))"),"Myn")</f>
        <v>Myn</v>
      </c>
      <c r="L683" s="46" t="s">
        <v>2000</v>
      </c>
      <c r="M683" s="48">
        <v>45255.460625</v>
      </c>
    </row>
    <row r="684">
      <c r="A684" s="47">
        <v>45251.58513127315</v>
      </c>
      <c r="B684" s="46" t="s">
        <v>968</v>
      </c>
      <c r="C684" s="46">
        <v>8.076975798E9</v>
      </c>
      <c r="D684" s="46"/>
      <c r="E684" s="46" t="s">
        <v>79</v>
      </c>
      <c r="F684" s="46"/>
      <c r="G684" s="46" t="s">
        <v>303</v>
      </c>
      <c r="H684" s="46" t="s">
        <v>706</v>
      </c>
      <c r="I684" s="46"/>
      <c r="J684" s="46"/>
      <c r="K684" s="46" t="str">
        <f>IFERROR(__xludf.DUMMYFUNCTION("if(A684="""","""",IF(G684="""",""Myn"",IF(REGEXMATCH(lower(G684),""mynn""),""Myn"",if(G684&lt;&gt;"""",""GEMTRE"",""""))))"),"Myn")</f>
        <v>Myn</v>
      </c>
      <c r="L684" s="46" t="s">
        <v>2000</v>
      </c>
      <c r="M684" s="48">
        <v>45255.460625</v>
      </c>
    </row>
    <row r="685">
      <c r="A685" s="47">
        <v>45251.5919612037</v>
      </c>
      <c r="B685" s="46" t="s">
        <v>969</v>
      </c>
      <c r="C685" s="46">
        <v>9.818032161E9</v>
      </c>
      <c r="D685" s="46"/>
      <c r="E685" s="46"/>
      <c r="F685" s="46"/>
      <c r="G685" s="46" t="s">
        <v>303</v>
      </c>
      <c r="H685" s="46" t="s">
        <v>701</v>
      </c>
      <c r="I685" s="46"/>
      <c r="J685" s="46"/>
      <c r="K685" s="46" t="str">
        <f>IFERROR(__xludf.DUMMYFUNCTION("if(A685="""","""",IF(G685="""",""Myn"",IF(REGEXMATCH(lower(G685),""mynn""),""Myn"",if(G685&lt;&gt;"""",""GEMTRE"",""""))))"),"Myn")</f>
        <v>Myn</v>
      </c>
      <c r="L685" s="46" t="s">
        <v>2000</v>
      </c>
      <c r="M685" s="48">
        <v>45255.460625</v>
      </c>
    </row>
    <row r="686">
      <c r="A686" s="47">
        <v>45251.592377141205</v>
      </c>
      <c r="B686" s="46" t="s">
        <v>970</v>
      </c>
      <c r="C686" s="46">
        <v>8.360446177E9</v>
      </c>
      <c r="D686" s="46"/>
      <c r="E686" s="46"/>
      <c r="F686" s="46"/>
      <c r="G686" s="46" t="s">
        <v>303</v>
      </c>
      <c r="H686" s="46" t="s">
        <v>701</v>
      </c>
      <c r="I686" s="46"/>
      <c r="J686" s="46"/>
      <c r="K686" s="46" t="str">
        <f>IFERROR(__xludf.DUMMYFUNCTION("if(A686="""","""",IF(G686="""",""Myn"",IF(REGEXMATCH(lower(G686),""mynn""),""Myn"",if(G686&lt;&gt;"""",""GEMTRE"",""""))))"),"Myn")</f>
        <v>Myn</v>
      </c>
      <c r="L686" s="46" t="s">
        <v>2000</v>
      </c>
      <c r="M686" s="48">
        <v>45255.460625</v>
      </c>
    </row>
    <row r="687">
      <c r="A687" s="47">
        <v>45251.594674293985</v>
      </c>
      <c r="B687" s="46" t="s">
        <v>971</v>
      </c>
      <c r="C687" s="46">
        <v>9.818636535E9</v>
      </c>
      <c r="D687" s="46"/>
      <c r="E687" s="46"/>
      <c r="F687" s="46"/>
      <c r="G687" s="46" t="s">
        <v>303</v>
      </c>
      <c r="H687" s="46" t="s">
        <v>701</v>
      </c>
      <c r="I687" s="46"/>
      <c r="J687" s="46"/>
      <c r="K687" s="46" t="str">
        <f>IFERROR(__xludf.DUMMYFUNCTION("if(A687="""","""",IF(G687="""",""Myn"",IF(REGEXMATCH(lower(G687),""mynn""),""Myn"",if(G687&lt;&gt;"""",""GEMTRE"",""""))))"),"Myn")</f>
        <v>Myn</v>
      </c>
      <c r="L687" s="46" t="s">
        <v>2000</v>
      </c>
      <c r="M687" s="48">
        <v>45255.460625</v>
      </c>
    </row>
    <row r="688">
      <c r="A688" s="47">
        <v>45251.595123969906</v>
      </c>
      <c r="B688" s="46" t="s">
        <v>972</v>
      </c>
      <c r="C688" s="46">
        <v>9.99055662E9</v>
      </c>
      <c r="D688" s="46"/>
      <c r="E688" s="46"/>
      <c r="F688" s="46"/>
      <c r="G688" s="46" t="s">
        <v>303</v>
      </c>
      <c r="H688" s="46" t="s">
        <v>701</v>
      </c>
      <c r="I688" s="46"/>
      <c r="J688" s="46"/>
      <c r="K688" s="46" t="str">
        <f>IFERROR(__xludf.DUMMYFUNCTION("if(A688="""","""",IF(G688="""",""Myn"",IF(REGEXMATCH(lower(G688),""mynn""),""Myn"",if(G688&lt;&gt;"""",""GEMTRE"",""""))))"),"Myn")</f>
        <v>Myn</v>
      </c>
      <c r="L688" s="46" t="s">
        <v>2000</v>
      </c>
      <c r="M688" s="48">
        <v>45255.460625</v>
      </c>
    </row>
    <row r="689">
      <c r="A689" s="47">
        <v>45251.59550292824</v>
      </c>
      <c r="B689" s="46" t="s">
        <v>566</v>
      </c>
      <c r="C689" s="46">
        <v>8.468961059E9</v>
      </c>
      <c r="D689" s="46"/>
      <c r="E689" s="46"/>
      <c r="F689" s="46"/>
      <c r="G689" s="46" t="s">
        <v>303</v>
      </c>
      <c r="H689" s="46" t="s">
        <v>701</v>
      </c>
      <c r="I689" s="46"/>
      <c r="J689" s="46"/>
      <c r="K689" s="46" t="str">
        <f>IFERROR(__xludf.DUMMYFUNCTION("if(A689="""","""",IF(G689="""",""Myn"",IF(REGEXMATCH(lower(G689),""mynn""),""Myn"",if(G689&lt;&gt;"""",""GEMTRE"",""""))))"),"Myn")</f>
        <v>Myn</v>
      </c>
      <c r="L689" s="46" t="s">
        <v>2000</v>
      </c>
      <c r="M689" s="48">
        <v>45255.460625</v>
      </c>
    </row>
    <row r="690">
      <c r="A690" s="47">
        <v>45251.596492199074</v>
      </c>
      <c r="B690" s="46" t="s">
        <v>973</v>
      </c>
      <c r="C690" s="46">
        <v>9.65068026E9</v>
      </c>
      <c r="D690" s="46"/>
      <c r="E690" s="46"/>
      <c r="F690" s="46"/>
      <c r="G690" s="46" t="s">
        <v>303</v>
      </c>
      <c r="H690" s="46" t="s">
        <v>701</v>
      </c>
      <c r="I690" s="46"/>
      <c r="J690" s="46"/>
      <c r="K690" s="46" t="str">
        <f>IFERROR(__xludf.DUMMYFUNCTION("if(A690="""","""",IF(G690="""",""Myn"",IF(REGEXMATCH(lower(G690),""mynn""),""Myn"",if(G690&lt;&gt;"""",""GEMTRE"",""""))))"),"Myn")</f>
        <v>Myn</v>
      </c>
      <c r="L690" s="46" t="s">
        <v>2000</v>
      </c>
      <c r="M690" s="48">
        <v>45255.460625</v>
      </c>
    </row>
    <row r="691">
      <c r="A691" s="47">
        <v>45251.59777851852</v>
      </c>
      <c r="B691" s="46" t="s">
        <v>974</v>
      </c>
      <c r="C691" s="46">
        <v>9.999060881E9</v>
      </c>
      <c r="D691" s="46"/>
      <c r="E691" s="46"/>
      <c r="F691" s="46"/>
      <c r="G691" s="46" t="s">
        <v>303</v>
      </c>
      <c r="H691" s="46" t="s">
        <v>701</v>
      </c>
      <c r="I691" s="46"/>
      <c r="J691" s="46"/>
      <c r="K691" s="46" t="str">
        <f>IFERROR(__xludf.DUMMYFUNCTION("if(A691="""","""",IF(G691="""",""Myn"",IF(REGEXMATCH(lower(G691),""mynn""),""Myn"",if(G691&lt;&gt;"""",""GEMTRE"",""""))))"),"Myn")</f>
        <v>Myn</v>
      </c>
      <c r="L691" s="46" t="s">
        <v>2000</v>
      </c>
      <c r="M691" s="48">
        <v>45255.460625</v>
      </c>
    </row>
    <row r="692">
      <c r="A692" s="47">
        <v>45251.59962819444</v>
      </c>
      <c r="B692" s="46" t="s">
        <v>975</v>
      </c>
      <c r="C692" s="46">
        <v>8.010572273E9</v>
      </c>
      <c r="D692" s="46"/>
      <c r="E692" s="46" t="s">
        <v>976</v>
      </c>
      <c r="F692" s="46"/>
      <c r="G692" s="46" t="s">
        <v>303</v>
      </c>
      <c r="H692" s="46" t="s">
        <v>701</v>
      </c>
      <c r="I692" s="46"/>
      <c r="J692" s="46"/>
      <c r="K692" s="46" t="str">
        <f>IFERROR(__xludf.DUMMYFUNCTION("if(A692="""","""",IF(G692="""",""Myn"",IF(REGEXMATCH(lower(G692),""mynn""),""Myn"",if(G692&lt;&gt;"""",""GEMTRE"",""""))))"),"Myn")</f>
        <v>Myn</v>
      </c>
      <c r="L692" s="46" t="s">
        <v>2000</v>
      </c>
      <c r="M692" s="48">
        <v>45255.460625</v>
      </c>
    </row>
    <row r="693">
      <c r="A693" s="47">
        <v>45251.600533055556</v>
      </c>
      <c r="B693" s="46" t="s">
        <v>977</v>
      </c>
      <c r="C693" s="46">
        <v>8.860939122E9</v>
      </c>
      <c r="D693" s="46"/>
      <c r="E693" s="46"/>
      <c r="F693" s="46"/>
      <c r="G693" s="46" t="s">
        <v>303</v>
      </c>
      <c r="H693" s="46" t="s">
        <v>701</v>
      </c>
      <c r="I693" s="46"/>
      <c r="J693" s="46"/>
      <c r="K693" s="46" t="str">
        <f>IFERROR(__xludf.DUMMYFUNCTION("if(A693="""","""",IF(G693="""",""Myn"",IF(REGEXMATCH(lower(G693),""mynn""),""Myn"",if(G693&lt;&gt;"""",""GEMTRE"",""""))))"),"Myn")</f>
        <v>Myn</v>
      </c>
      <c r="L693" s="46" t="s">
        <v>2000</v>
      </c>
      <c r="M693" s="48">
        <v>45255.460625</v>
      </c>
    </row>
    <row r="694">
      <c r="A694" s="47">
        <v>45251.60161611111</v>
      </c>
      <c r="B694" s="46" t="s">
        <v>978</v>
      </c>
      <c r="C694" s="46">
        <v>9.716002225E9</v>
      </c>
      <c r="D694" s="46"/>
      <c r="E694" s="46"/>
      <c r="F694" s="46"/>
      <c r="G694" s="46" t="s">
        <v>303</v>
      </c>
      <c r="H694" s="46" t="s">
        <v>701</v>
      </c>
      <c r="I694" s="46"/>
      <c r="J694" s="46"/>
      <c r="K694" s="46" t="str">
        <f>IFERROR(__xludf.DUMMYFUNCTION("if(A694="""","""",IF(G694="""",""Myn"",IF(REGEXMATCH(lower(G694),""mynn""),""Myn"",if(G694&lt;&gt;"""",""GEMTRE"",""""))))"),"Myn")</f>
        <v>Myn</v>
      </c>
      <c r="L694" s="46" t="s">
        <v>2000</v>
      </c>
      <c r="M694" s="48">
        <v>45255.460625</v>
      </c>
    </row>
    <row r="695">
      <c r="A695" s="47">
        <v>45251.60192966435</v>
      </c>
      <c r="B695" s="46" t="s">
        <v>979</v>
      </c>
      <c r="C695" s="46">
        <v>9.8688773E9</v>
      </c>
      <c r="D695" s="46"/>
      <c r="E695" s="46"/>
      <c r="F695" s="46"/>
      <c r="G695" s="46" t="s">
        <v>303</v>
      </c>
      <c r="H695" s="46" t="s">
        <v>701</v>
      </c>
      <c r="I695" s="46"/>
      <c r="J695" s="46"/>
      <c r="K695" s="46" t="str">
        <f>IFERROR(__xludf.DUMMYFUNCTION("if(A695="""","""",IF(G695="""",""Myn"",IF(REGEXMATCH(lower(G695),""mynn""),""Myn"",if(G695&lt;&gt;"""",""GEMTRE"",""""))))"),"Myn")</f>
        <v>Myn</v>
      </c>
      <c r="L695" s="46" t="s">
        <v>2000</v>
      </c>
      <c r="M695" s="48">
        <v>45255.460625</v>
      </c>
    </row>
    <row r="696">
      <c r="A696" s="47">
        <v>45251.60293700232</v>
      </c>
      <c r="B696" s="46" t="s">
        <v>980</v>
      </c>
      <c r="C696" s="46">
        <v>8.130582414E9</v>
      </c>
      <c r="D696" s="46"/>
      <c r="E696" s="46"/>
      <c r="F696" s="46"/>
      <c r="G696" s="46" t="s">
        <v>303</v>
      </c>
      <c r="H696" s="46" t="s">
        <v>701</v>
      </c>
      <c r="I696" s="46"/>
      <c r="J696" s="46"/>
      <c r="K696" s="46" t="str">
        <f>IFERROR(__xludf.DUMMYFUNCTION("if(A696="""","""",IF(G696="""",""Myn"",IF(REGEXMATCH(lower(G696),""mynn""),""Myn"",if(G696&lt;&gt;"""",""GEMTRE"",""""))))"),"Myn")</f>
        <v>Myn</v>
      </c>
      <c r="L696" s="46" t="s">
        <v>2000</v>
      </c>
      <c r="M696" s="48">
        <v>45255.460625</v>
      </c>
    </row>
    <row r="697">
      <c r="A697" s="47">
        <v>45251.60347135417</v>
      </c>
      <c r="B697" s="46" t="s">
        <v>981</v>
      </c>
      <c r="C697" s="46">
        <v>7.42860708E9</v>
      </c>
      <c r="D697" s="46"/>
      <c r="E697" s="46"/>
      <c r="F697" s="46"/>
      <c r="G697" s="46" t="s">
        <v>303</v>
      </c>
      <c r="H697" s="46" t="s">
        <v>701</v>
      </c>
      <c r="I697" s="46"/>
      <c r="J697" s="46"/>
      <c r="K697" s="46" t="str">
        <f>IFERROR(__xludf.DUMMYFUNCTION("if(A697="""","""",IF(G697="""",""Myn"",IF(REGEXMATCH(lower(G697),""mynn""),""Myn"",if(G697&lt;&gt;"""",""GEMTRE"",""""))))"),"Myn")</f>
        <v>Myn</v>
      </c>
      <c r="L697" s="46" t="s">
        <v>2000</v>
      </c>
      <c r="M697" s="48">
        <v>45255.460625</v>
      </c>
    </row>
    <row r="698">
      <c r="A698" s="47">
        <v>45251.60380909722</v>
      </c>
      <c r="B698" s="46" t="s">
        <v>982</v>
      </c>
      <c r="C698" s="46">
        <v>8.700949752E9</v>
      </c>
      <c r="D698" s="46"/>
      <c r="E698" s="46"/>
      <c r="F698" s="46"/>
      <c r="G698" s="46" t="s">
        <v>303</v>
      </c>
      <c r="H698" s="46" t="s">
        <v>701</v>
      </c>
      <c r="I698" s="46"/>
      <c r="J698" s="46"/>
      <c r="K698" s="46" t="str">
        <f>IFERROR(__xludf.DUMMYFUNCTION("if(A698="""","""",IF(G698="""",""Myn"",IF(REGEXMATCH(lower(G698),""mynn""),""Myn"",if(G698&lt;&gt;"""",""GEMTRE"",""""))))"),"Myn")</f>
        <v>Myn</v>
      </c>
      <c r="L698" s="46" t="s">
        <v>2000</v>
      </c>
      <c r="M698" s="48">
        <v>45255.460625</v>
      </c>
    </row>
    <row r="699">
      <c r="A699" s="47">
        <v>45251.604104375</v>
      </c>
      <c r="B699" s="46" t="s">
        <v>983</v>
      </c>
      <c r="C699" s="46">
        <v>8.285622538E9</v>
      </c>
      <c r="D699" s="46"/>
      <c r="E699" s="46"/>
      <c r="F699" s="46"/>
      <c r="G699" s="46" t="s">
        <v>303</v>
      </c>
      <c r="H699" s="46" t="s">
        <v>701</v>
      </c>
      <c r="I699" s="46"/>
      <c r="J699" s="46"/>
      <c r="K699" s="46" t="str">
        <f>IFERROR(__xludf.DUMMYFUNCTION("if(A699="""","""",IF(G699="""",""Myn"",IF(REGEXMATCH(lower(G699),""mynn""),""Myn"",if(G699&lt;&gt;"""",""GEMTRE"",""""))))"),"Myn")</f>
        <v>Myn</v>
      </c>
      <c r="L699" s="46" t="s">
        <v>2000</v>
      </c>
      <c r="M699" s="48">
        <v>45255.460625</v>
      </c>
    </row>
    <row r="700">
      <c r="A700" s="47">
        <v>45251.606607905094</v>
      </c>
      <c r="B700" s="46" t="s">
        <v>984</v>
      </c>
      <c r="C700" s="46">
        <v>9.910226915E9</v>
      </c>
      <c r="D700" s="46"/>
      <c r="E700" s="46" t="s">
        <v>79</v>
      </c>
      <c r="F700" s="46"/>
      <c r="G700" s="46" t="s">
        <v>303</v>
      </c>
      <c r="H700" s="46" t="s">
        <v>706</v>
      </c>
      <c r="I700" s="46"/>
      <c r="J700" s="46"/>
      <c r="K700" s="46" t="str">
        <f>IFERROR(__xludf.DUMMYFUNCTION("if(A700="""","""",IF(G700="""",""Myn"",IF(REGEXMATCH(lower(G700),""mynn""),""Myn"",if(G700&lt;&gt;"""",""GEMTRE"",""""))))"),"Myn")</f>
        <v>Myn</v>
      </c>
      <c r="L700" s="46" t="s">
        <v>2000</v>
      </c>
      <c r="M700" s="48">
        <v>45255.460625</v>
      </c>
    </row>
    <row r="701">
      <c r="A701" s="47">
        <v>45251.6076800463</v>
      </c>
      <c r="B701" s="46" t="s">
        <v>985</v>
      </c>
      <c r="C701" s="46">
        <v>9.315871515E9</v>
      </c>
      <c r="D701" s="46"/>
      <c r="E701" s="46"/>
      <c r="F701" s="46"/>
      <c r="G701" s="46" t="s">
        <v>303</v>
      </c>
      <c r="H701" s="46" t="s">
        <v>701</v>
      </c>
      <c r="I701" s="46"/>
      <c r="J701" s="46"/>
      <c r="K701" s="46" t="str">
        <f>IFERROR(__xludf.DUMMYFUNCTION("if(A701="""","""",IF(G701="""",""Myn"",IF(REGEXMATCH(lower(G701),""mynn""),""Myn"",if(G701&lt;&gt;"""",""GEMTRE"",""""))))"),"Myn")</f>
        <v>Myn</v>
      </c>
      <c r="L701" s="46" t="s">
        <v>2000</v>
      </c>
      <c r="M701" s="48">
        <v>45255.460625</v>
      </c>
    </row>
    <row r="702">
      <c r="A702" s="47">
        <v>45251.60827505787</v>
      </c>
      <c r="B702" s="46" t="s">
        <v>986</v>
      </c>
      <c r="C702" s="46">
        <v>9.873186638E9</v>
      </c>
      <c r="D702" s="46"/>
      <c r="E702" s="46" t="s">
        <v>79</v>
      </c>
      <c r="F702" s="46"/>
      <c r="G702" s="46" t="s">
        <v>303</v>
      </c>
      <c r="H702" s="46" t="s">
        <v>706</v>
      </c>
      <c r="I702" s="46"/>
      <c r="J702" s="46"/>
      <c r="K702" s="46" t="str">
        <f>IFERROR(__xludf.DUMMYFUNCTION("if(A702="""","""",IF(G702="""",""Myn"",IF(REGEXMATCH(lower(G702),""mynn""),""Myn"",if(G702&lt;&gt;"""",""GEMTRE"",""""))))"),"Myn")</f>
        <v>Myn</v>
      </c>
      <c r="L702" s="46" t="s">
        <v>2000</v>
      </c>
      <c r="M702" s="48">
        <v>45255.460625</v>
      </c>
    </row>
    <row r="703">
      <c r="A703" s="47">
        <v>45251.60862303241</v>
      </c>
      <c r="B703" s="46" t="s">
        <v>987</v>
      </c>
      <c r="C703" s="46">
        <v>7.070824743E9</v>
      </c>
      <c r="D703" s="46"/>
      <c r="E703" s="46" t="s">
        <v>988</v>
      </c>
      <c r="F703" s="49" t="s">
        <v>989</v>
      </c>
      <c r="G703" s="46" t="s">
        <v>303</v>
      </c>
      <c r="H703" s="46" t="s">
        <v>706</v>
      </c>
      <c r="I703" s="46"/>
      <c r="J703" s="46"/>
      <c r="K703" s="46" t="str">
        <f>IFERROR(__xludf.DUMMYFUNCTION("if(A703="""","""",IF(G703="""",""Myn"",IF(REGEXMATCH(lower(G703),""mynn""),""Myn"",if(G703&lt;&gt;"""",""GEMTRE"",""""))))"),"Myn")</f>
        <v>Myn</v>
      </c>
      <c r="L703" s="46" t="s">
        <v>2000</v>
      </c>
      <c r="M703" s="48">
        <v>45255.460625</v>
      </c>
    </row>
    <row r="704">
      <c r="A704" s="47">
        <v>45251.60947599537</v>
      </c>
      <c r="B704" s="46" t="s">
        <v>990</v>
      </c>
      <c r="C704" s="46">
        <v>9.873854881E9</v>
      </c>
      <c r="D704" s="46"/>
      <c r="E704" s="46"/>
      <c r="F704" s="46"/>
      <c r="G704" s="46" t="s">
        <v>303</v>
      </c>
      <c r="H704" s="46" t="s">
        <v>701</v>
      </c>
      <c r="I704" s="46"/>
      <c r="J704" s="46"/>
      <c r="K704" s="46" t="str">
        <f>IFERROR(__xludf.DUMMYFUNCTION("if(A704="""","""",IF(G704="""",""Myn"",IF(REGEXMATCH(lower(G704),""mynn""),""Myn"",if(G704&lt;&gt;"""",""GEMTRE"",""""))))"),"Myn")</f>
        <v>Myn</v>
      </c>
      <c r="L704" s="46" t="s">
        <v>2000</v>
      </c>
      <c r="M704" s="48">
        <v>45255.460625</v>
      </c>
    </row>
    <row r="705">
      <c r="A705" s="47">
        <v>45251.609836076386</v>
      </c>
      <c r="B705" s="46" t="s">
        <v>991</v>
      </c>
      <c r="C705" s="46">
        <v>8.287557112E9</v>
      </c>
      <c r="D705" s="46"/>
      <c r="E705" s="46"/>
      <c r="F705" s="46"/>
      <c r="G705" s="46" t="s">
        <v>303</v>
      </c>
      <c r="H705" s="46" t="s">
        <v>701</v>
      </c>
      <c r="I705" s="46"/>
      <c r="J705" s="46"/>
      <c r="K705" s="46" t="str">
        <f>IFERROR(__xludf.DUMMYFUNCTION("if(A705="""","""",IF(G705="""",""Myn"",IF(REGEXMATCH(lower(G705),""mynn""),""Myn"",if(G705&lt;&gt;"""",""GEMTRE"",""""))))"),"Myn")</f>
        <v>Myn</v>
      </c>
      <c r="L705" s="46" t="s">
        <v>2000</v>
      </c>
      <c r="M705" s="48">
        <v>45255.460625</v>
      </c>
    </row>
    <row r="706">
      <c r="A706" s="47">
        <v>45251.61013734953</v>
      </c>
      <c r="B706" s="46" t="s">
        <v>992</v>
      </c>
      <c r="C706" s="46">
        <v>8.586022117E9</v>
      </c>
      <c r="D706" s="46"/>
      <c r="E706" s="46"/>
      <c r="F706" s="46"/>
      <c r="G706" s="46" t="s">
        <v>303</v>
      </c>
      <c r="H706" s="46" t="s">
        <v>701</v>
      </c>
      <c r="I706" s="46"/>
      <c r="J706" s="46"/>
      <c r="K706" s="46" t="str">
        <f>IFERROR(__xludf.DUMMYFUNCTION("if(A706="""","""",IF(G706="""",""Myn"",IF(REGEXMATCH(lower(G706),""mynn""),""Myn"",if(G706&lt;&gt;"""",""GEMTRE"",""""))))"),"Myn")</f>
        <v>Myn</v>
      </c>
      <c r="L706" s="46" t="s">
        <v>2000</v>
      </c>
      <c r="M706" s="48">
        <v>45255.460625</v>
      </c>
    </row>
    <row r="707">
      <c r="A707" s="47">
        <v>45251.611025266204</v>
      </c>
      <c r="B707" s="46" t="s">
        <v>993</v>
      </c>
      <c r="C707" s="46">
        <v>9.462564639E9</v>
      </c>
      <c r="D707" s="46"/>
      <c r="E707" s="46"/>
      <c r="F707" s="46"/>
      <c r="G707" s="46" t="s">
        <v>303</v>
      </c>
      <c r="H707" s="46" t="s">
        <v>701</v>
      </c>
      <c r="I707" s="46"/>
      <c r="J707" s="46"/>
      <c r="K707" s="46" t="str">
        <f>IFERROR(__xludf.DUMMYFUNCTION("if(A707="""","""",IF(G707="""",""Myn"",IF(REGEXMATCH(lower(G707),""mynn""),""Myn"",if(G707&lt;&gt;"""",""GEMTRE"",""""))))"),"Myn")</f>
        <v>Myn</v>
      </c>
      <c r="L707" s="46" t="s">
        <v>2000</v>
      </c>
      <c r="M707" s="48">
        <v>45255.460625</v>
      </c>
    </row>
    <row r="708">
      <c r="A708" s="47">
        <v>45251.61557086806</v>
      </c>
      <c r="B708" s="46" t="s">
        <v>994</v>
      </c>
      <c r="C708" s="46">
        <v>9.899515049E9</v>
      </c>
      <c r="D708" s="46"/>
      <c r="E708" s="46" t="s">
        <v>918</v>
      </c>
      <c r="F708" s="46"/>
      <c r="G708" s="46" t="s">
        <v>303</v>
      </c>
      <c r="H708" s="46" t="s">
        <v>706</v>
      </c>
      <c r="I708" s="46"/>
      <c r="J708" s="46"/>
      <c r="K708" s="46" t="str">
        <f>IFERROR(__xludf.DUMMYFUNCTION("if(A708="""","""",IF(G708="""",""Myn"",IF(REGEXMATCH(lower(G708),""mynn""),""Myn"",if(G708&lt;&gt;"""",""GEMTRE"",""""))))"),"Myn")</f>
        <v>Myn</v>
      </c>
      <c r="L708" s="46" t="s">
        <v>2000</v>
      </c>
      <c r="M708" s="48">
        <v>45255.460625</v>
      </c>
    </row>
    <row r="709">
      <c r="A709" s="47">
        <v>45251.61610423611</v>
      </c>
      <c r="B709" s="46" t="s">
        <v>995</v>
      </c>
      <c r="C709" s="46">
        <v>9.999712408E9</v>
      </c>
      <c r="D709" s="46"/>
      <c r="E709" s="46" t="s">
        <v>273</v>
      </c>
      <c r="F709" s="46"/>
      <c r="G709" s="46" t="s">
        <v>303</v>
      </c>
      <c r="H709" s="46" t="s">
        <v>706</v>
      </c>
      <c r="I709" s="46"/>
      <c r="J709" s="46"/>
      <c r="K709" s="46" t="str">
        <f>IFERROR(__xludf.DUMMYFUNCTION("if(A709="""","""",IF(G709="""",""Myn"",IF(REGEXMATCH(lower(G709),""mynn""),""Myn"",if(G709&lt;&gt;"""",""GEMTRE"",""""))))"),"Myn")</f>
        <v>Myn</v>
      </c>
      <c r="L709" s="46" t="s">
        <v>2000</v>
      </c>
      <c r="M709" s="48">
        <v>45255.460625</v>
      </c>
    </row>
    <row r="710">
      <c r="A710" s="47">
        <v>45251.6188224537</v>
      </c>
      <c r="B710" s="46" t="s">
        <v>996</v>
      </c>
      <c r="C710" s="46">
        <v>8.368284959E9</v>
      </c>
      <c r="D710" s="46"/>
      <c r="E710" s="46" t="s">
        <v>227</v>
      </c>
      <c r="F710" s="46"/>
      <c r="G710" s="46" t="s">
        <v>303</v>
      </c>
      <c r="H710" s="46" t="s">
        <v>706</v>
      </c>
      <c r="I710" s="46"/>
      <c r="J710" s="46"/>
      <c r="K710" s="46" t="str">
        <f>IFERROR(__xludf.DUMMYFUNCTION("if(A710="""","""",IF(G710="""",""Myn"",IF(REGEXMATCH(lower(G710),""mynn""),""Myn"",if(G710&lt;&gt;"""",""GEMTRE"",""""))))"),"Myn")</f>
        <v>Myn</v>
      </c>
      <c r="L710" s="46" t="s">
        <v>2000</v>
      </c>
      <c r="M710" s="48">
        <v>45255.460625</v>
      </c>
    </row>
    <row r="711">
      <c r="A711" s="47">
        <v>45251.624317002315</v>
      </c>
      <c r="B711" s="46" t="s">
        <v>997</v>
      </c>
      <c r="C711" s="46">
        <v>9.582760144E9</v>
      </c>
      <c r="D711" s="46"/>
      <c r="E711" s="46"/>
      <c r="F711" s="46"/>
      <c r="G711" s="46" t="s">
        <v>303</v>
      </c>
      <c r="H711" s="46" t="s">
        <v>706</v>
      </c>
      <c r="I711" s="46"/>
      <c r="J711" s="46"/>
      <c r="K711" s="46" t="str">
        <f>IFERROR(__xludf.DUMMYFUNCTION("if(A711="""","""",IF(G711="""",""Myn"",IF(REGEXMATCH(lower(G711),""mynn""),""Myn"",if(G711&lt;&gt;"""",""GEMTRE"",""""))))"),"Myn")</f>
        <v>Myn</v>
      </c>
      <c r="L711" s="46" t="s">
        <v>2000</v>
      </c>
      <c r="M711" s="48">
        <v>45255.460625</v>
      </c>
    </row>
    <row r="712">
      <c r="A712" s="47">
        <v>45251.62709178241</v>
      </c>
      <c r="B712" s="46" t="s">
        <v>998</v>
      </c>
      <c r="C712" s="46">
        <v>9.643718626E9</v>
      </c>
      <c r="D712" s="46"/>
      <c r="E712" s="46" t="s">
        <v>227</v>
      </c>
      <c r="F712" s="46"/>
      <c r="G712" s="46" t="s">
        <v>303</v>
      </c>
      <c r="H712" s="46" t="s">
        <v>706</v>
      </c>
      <c r="I712" s="46"/>
      <c r="J712" s="46"/>
      <c r="K712" s="46" t="str">
        <f>IFERROR(__xludf.DUMMYFUNCTION("if(A712="""","""",IF(G712="""",""Myn"",IF(REGEXMATCH(lower(G712),""mynn""),""Myn"",if(G712&lt;&gt;"""",""GEMTRE"",""""))))"),"Myn")</f>
        <v>Myn</v>
      </c>
      <c r="L712" s="46" t="s">
        <v>2000</v>
      </c>
      <c r="M712" s="48">
        <v>45255.460625</v>
      </c>
    </row>
    <row r="713">
      <c r="A713" s="47">
        <v>45251.627376296296</v>
      </c>
      <c r="B713" s="46" t="s">
        <v>999</v>
      </c>
      <c r="C713" s="46">
        <v>8.527023969E9</v>
      </c>
      <c r="D713" s="46"/>
      <c r="E713" s="46" t="s">
        <v>227</v>
      </c>
      <c r="F713" s="46"/>
      <c r="G713" s="46" t="s">
        <v>303</v>
      </c>
      <c r="H713" s="46" t="s">
        <v>706</v>
      </c>
      <c r="I713" s="46"/>
      <c r="J713" s="46"/>
      <c r="K713" s="46" t="str">
        <f>IFERROR(__xludf.DUMMYFUNCTION("if(A713="""","""",IF(G713="""",""Myn"",IF(REGEXMATCH(lower(G713),""mynn""),""Myn"",if(G713&lt;&gt;"""",""GEMTRE"",""""))))"),"Myn")</f>
        <v>Myn</v>
      </c>
      <c r="L713" s="46" t="s">
        <v>2000</v>
      </c>
      <c r="M713" s="48">
        <v>45255.460625</v>
      </c>
    </row>
    <row r="714">
      <c r="A714" s="47">
        <v>45251.6295755787</v>
      </c>
      <c r="B714" s="46" t="s">
        <v>1000</v>
      </c>
      <c r="C714" s="46">
        <v>9.810871971E9</v>
      </c>
      <c r="D714" s="46"/>
      <c r="E714" s="46" t="s">
        <v>79</v>
      </c>
      <c r="F714" s="46"/>
      <c r="G714" s="46" t="s">
        <v>303</v>
      </c>
      <c r="H714" s="46" t="s">
        <v>706</v>
      </c>
      <c r="I714" s="46"/>
      <c r="J714" s="46"/>
      <c r="K714" s="46" t="str">
        <f>IFERROR(__xludf.DUMMYFUNCTION("if(A714="""","""",IF(G714="""",""Myn"",IF(REGEXMATCH(lower(G714),""mynn""),""Myn"",if(G714&lt;&gt;"""",""GEMTRE"",""""))))"),"Myn")</f>
        <v>Myn</v>
      </c>
      <c r="L714" s="46" t="s">
        <v>2000</v>
      </c>
      <c r="M714" s="48">
        <v>45255.460625</v>
      </c>
    </row>
    <row r="715">
      <c r="A715" s="47">
        <v>45251.634744317125</v>
      </c>
      <c r="B715" s="46" t="s">
        <v>1001</v>
      </c>
      <c r="C715" s="46">
        <v>9.310093134E9</v>
      </c>
      <c r="D715" s="46"/>
      <c r="E715" s="46"/>
      <c r="F715" s="46"/>
      <c r="G715" s="46" t="s">
        <v>303</v>
      </c>
      <c r="H715" s="46" t="s">
        <v>706</v>
      </c>
      <c r="I715" s="46"/>
      <c r="J715" s="46"/>
      <c r="K715" s="46" t="str">
        <f>IFERROR(__xludf.DUMMYFUNCTION("if(A715="""","""",IF(G715="""",""Myn"",IF(REGEXMATCH(lower(G715),""mynn""),""Myn"",if(G715&lt;&gt;"""",""GEMTRE"",""""))))"),"Myn")</f>
        <v>Myn</v>
      </c>
      <c r="L715" s="46" t="s">
        <v>2000</v>
      </c>
      <c r="M715" s="48">
        <v>45255.460625</v>
      </c>
    </row>
    <row r="716">
      <c r="A716" s="47">
        <v>45251.63517219907</v>
      </c>
      <c r="B716" s="46" t="s">
        <v>1002</v>
      </c>
      <c r="C716" s="46">
        <v>9.212160399E9</v>
      </c>
      <c r="D716" s="46"/>
      <c r="E716" s="46"/>
      <c r="F716" s="46"/>
      <c r="G716" s="46" t="s">
        <v>303</v>
      </c>
      <c r="H716" s="46" t="s">
        <v>701</v>
      </c>
      <c r="I716" s="46"/>
      <c r="J716" s="46"/>
      <c r="K716" s="46" t="str">
        <f>IFERROR(__xludf.DUMMYFUNCTION("if(A716="""","""",IF(G716="""",""Myn"",IF(REGEXMATCH(lower(G716),""mynn""),""Myn"",if(G716&lt;&gt;"""",""GEMTRE"",""""))))"),"Myn")</f>
        <v>Myn</v>
      </c>
      <c r="L716" s="46" t="s">
        <v>2000</v>
      </c>
      <c r="M716" s="48">
        <v>45255.460625</v>
      </c>
    </row>
    <row r="717">
      <c r="A717" s="47">
        <v>45251.63567611111</v>
      </c>
      <c r="B717" s="46" t="s">
        <v>1003</v>
      </c>
      <c r="C717" s="46">
        <v>8.8828991E9</v>
      </c>
      <c r="D717" s="46"/>
      <c r="E717" s="46"/>
      <c r="F717" s="46"/>
      <c r="G717" s="46" t="s">
        <v>303</v>
      </c>
      <c r="H717" s="46" t="s">
        <v>701</v>
      </c>
      <c r="I717" s="46"/>
      <c r="J717" s="46"/>
      <c r="K717" s="46" t="str">
        <f>IFERROR(__xludf.DUMMYFUNCTION("if(A717="""","""",IF(G717="""",""Myn"",IF(REGEXMATCH(lower(G717),""mynn""),""Myn"",if(G717&lt;&gt;"""",""GEMTRE"",""""))))"),"Myn")</f>
        <v>Myn</v>
      </c>
      <c r="L717" s="46" t="s">
        <v>2000</v>
      </c>
      <c r="M717" s="48">
        <v>45255.460625</v>
      </c>
    </row>
    <row r="718">
      <c r="A718" s="47">
        <v>45251.63661725694</v>
      </c>
      <c r="B718" s="46" t="s">
        <v>1004</v>
      </c>
      <c r="C718" s="46">
        <v>7.042752682E9</v>
      </c>
      <c r="D718" s="46"/>
      <c r="E718" s="46"/>
      <c r="F718" s="46"/>
      <c r="G718" s="46" t="s">
        <v>303</v>
      </c>
      <c r="H718" s="46" t="s">
        <v>701</v>
      </c>
      <c r="I718" s="46"/>
      <c r="J718" s="46"/>
      <c r="K718" s="46" t="str">
        <f>IFERROR(__xludf.DUMMYFUNCTION("if(A718="""","""",IF(G718="""",""Myn"",IF(REGEXMATCH(lower(G718),""mynn""),""Myn"",if(G718&lt;&gt;"""",""GEMTRE"",""""))))"),"Myn")</f>
        <v>Myn</v>
      </c>
      <c r="L718" s="46" t="s">
        <v>2000</v>
      </c>
      <c r="M718" s="48">
        <v>45255.460625</v>
      </c>
    </row>
    <row r="719">
      <c r="A719" s="47">
        <v>45251.637826817125</v>
      </c>
      <c r="B719" s="46" t="s">
        <v>1005</v>
      </c>
      <c r="C719" s="46">
        <v>9.06895336E9</v>
      </c>
      <c r="D719" s="46"/>
      <c r="E719" s="46"/>
      <c r="F719" s="46"/>
      <c r="G719" s="46" t="s">
        <v>303</v>
      </c>
      <c r="H719" s="46" t="s">
        <v>701</v>
      </c>
      <c r="I719" s="46"/>
      <c r="J719" s="46"/>
      <c r="K719" s="46" t="str">
        <f>IFERROR(__xludf.DUMMYFUNCTION("if(A719="""","""",IF(G719="""",""Myn"",IF(REGEXMATCH(lower(G719),""mynn""),""Myn"",if(G719&lt;&gt;"""",""GEMTRE"",""""))))"),"Myn")</f>
        <v>Myn</v>
      </c>
      <c r="L719" s="46" t="s">
        <v>2000</v>
      </c>
      <c r="M719" s="48">
        <v>45255.460625</v>
      </c>
    </row>
    <row r="720">
      <c r="A720" s="47">
        <v>45251.63817878472</v>
      </c>
      <c r="B720" s="46" t="s">
        <v>1006</v>
      </c>
      <c r="C720" s="46">
        <v>9.3548186E9</v>
      </c>
      <c r="D720" s="46"/>
      <c r="E720" s="46"/>
      <c r="F720" s="46"/>
      <c r="G720" s="46" t="s">
        <v>303</v>
      </c>
      <c r="H720" s="46" t="s">
        <v>701</v>
      </c>
      <c r="I720" s="46"/>
      <c r="J720" s="46"/>
      <c r="K720" s="46" t="str">
        <f>IFERROR(__xludf.DUMMYFUNCTION("if(A720="""","""",IF(G720="""",""Myn"",IF(REGEXMATCH(lower(G720),""mynn""),""Myn"",if(G720&lt;&gt;"""",""GEMTRE"",""""))))"),"Myn")</f>
        <v>Myn</v>
      </c>
      <c r="L720" s="46" t="s">
        <v>2000</v>
      </c>
      <c r="M720" s="48">
        <v>45255.460625</v>
      </c>
    </row>
    <row r="721">
      <c r="A721" s="47">
        <v>45251.638364189814</v>
      </c>
      <c r="B721" s="46" t="s">
        <v>1007</v>
      </c>
      <c r="C721" s="46">
        <v>9.04510811E9</v>
      </c>
      <c r="D721" s="46"/>
      <c r="E721" s="46"/>
      <c r="F721" s="46"/>
      <c r="G721" s="46" t="s">
        <v>303</v>
      </c>
      <c r="H721" s="46" t="s">
        <v>701</v>
      </c>
      <c r="I721" s="46"/>
      <c r="J721" s="46"/>
      <c r="K721" s="46" t="str">
        <f>IFERROR(__xludf.DUMMYFUNCTION("if(A721="""","""",IF(G721="""",""Myn"",IF(REGEXMATCH(lower(G721),""mynn""),""Myn"",if(G721&lt;&gt;"""",""GEMTRE"",""""))))"),"Myn")</f>
        <v>Myn</v>
      </c>
      <c r="L721" s="46" t="s">
        <v>2000</v>
      </c>
      <c r="M721" s="48">
        <v>45255.460625</v>
      </c>
    </row>
    <row r="722">
      <c r="A722" s="47">
        <v>45251.63839204861</v>
      </c>
      <c r="B722" s="46" t="s">
        <v>507</v>
      </c>
      <c r="C722" s="46">
        <v>9.811979596E9</v>
      </c>
      <c r="D722" s="46"/>
      <c r="E722" s="46"/>
      <c r="F722" s="46"/>
      <c r="G722" s="46" t="s">
        <v>303</v>
      </c>
      <c r="H722" s="46" t="s">
        <v>706</v>
      </c>
      <c r="I722" s="46"/>
      <c r="J722" s="46"/>
      <c r="K722" s="46" t="str">
        <f>IFERROR(__xludf.DUMMYFUNCTION("if(A722="""","""",IF(G722="""",""Myn"",IF(REGEXMATCH(lower(G722),""mynn""),""Myn"",if(G722&lt;&gt;"""",""GEMTRE"",""""))))"),"Myn")</f>
        <v>Myn</v>
      </c>
      <c r="L722" s="46" t="s">
        <v>2000</v>
      </c>
      <c r="M722" s="48">
        <v>45255.460625</v>
      </c>
    </row>
    <row r="723">
      <c r="A723" s="47">
        <v>45251.6396039699</v>
      </c>
      <c r="B723" s="46" t="s">
        <v>1008</v>
      </c>
      <c r="C723" s="46">
        <v>7.999942011E9</v>
      </c>
      <c r="D723" s="46"/>
      <c r="E723" s="46"/>
      <c r="F723" s="46"/>
      <c r="G723" s="46" t="s">
        <v>303</v>
      </c>
      <c r="H723" s="46" t="s">
        <v>701</v>
      </c>
      <c r="I723" s="46"/>
      <c r="J723" s="46"/>
      <c r="K723" s="46" t="str">
        <f>IFERROR(__xludf.DUMMYFUNCTION("if(A723="""","""",IF(G723="""",""Myn"",IF(REGEXMATCH(lower(G723),""mynn""),""Myn"",if(G723&lt;&gt;"""",""GEMTRE"",""""))))"),"Myn")</f>
        <v>Myn</v>
      </c>
      <c r="L723" s="46" t="s">
        <v>2000</v>
      </c>
      <c r="M723" s="48">
        <v>45255.460625</v>
      </c>
    </row>
    <row r="724">
      <c r="A724" s="47">
        <v>45251.64194458333</v>
      </c>
      <c r="B724" s="46" t="s">
        <v>1009</v>
      </c>
      <c r="C724" s="46">
        <v>9.953519239E9</v>
      </c>
      <c r="D724" s="46"/>
      <c r="E724" s="46"/>
      <c r="F724" s="46"/>
      <c r="G724" s="46" t="s">
        <v>303</v>
      </c>
      <c r="H724" s="46" t="s">
        <v>701</v>
      </c>
      <c r="I724" s="46"/>
      <c r="J724" s="46"/>
      <c r="K724" s="46" t="str">
        <f>IFERROR(__xludf.DUMMYFUNCTION("if(A724="""","""",IF(G724="""",""Myn"",IF(REGEXMATCH(lower(G724),""mynn""),""Myn"",if(G724&lt;&gt;"""",""GEMTRE"",""""))))"),"Myn")</f>
        <v>Myn</v>
      </c>
      <c r="L724" s="46" t="s">
        <v>2000</v>
      </c>
      <c r="M724" s="48">
        <v>45255.460625</v>
      </c>
    </row>
    <row r="725">
      <c r="A725" s="47">
        <v>45251.64289127315</v>
      </c>
      <c r="B725" s="46" t="s">
        <v>1010</v>
      </c>
      <c r="C725" s="46">
        <v>9.927992777E9</v>
      </c>
      <c r="D725" s="46"/>
      <c r="E725" s="46"/>
      <c r="F725" s="46"/>
      <c r="G725" s="46" t="s">
        <v>303</v>
      </c>
      <c r="H725" s="46" t="s">
        <v>701</v>
      </c>
      <c r="I725" s="46"/>
      <c r="J725" s="46"/>
      <c r="K725" s="46" t="str">
        <f>IFERROR(__xludf.DUMMYFUNCTION("if(A725="""","""",IF(G725="""",""Myn"",IF(REGEXMATCH(lower(G725),""mynn""),""Myn"",if(G725&lt;&gt;"""",""GEMTRE"",""""))))"),"Myn")</f>
        <v>Myn</v>
      </c>
      <c r="L725" s="46" t="s">
        <v>2000</v>
      </c>
      <c r="M725" s="48">
        <v>45255.460625</v>
      </c>
    </row>
    <row r="726">
      <c r="A726" s="47">
        <v>45251.64358693287</v>
      </c>
      <c r="B726" s="46" t="s">
        <v>1011</v>
      </c>
      <c r="C726" s="46">
        <v>9.084935199E9</v>
      </c>
      <c r="D726" s="46"/>
      <c r="E726" s="46"/>
      <c r="F726" s="46"/>
      <c r="G726" s="46" t="s">
        <v>303</v>
      </c>
      <c r="H726" s="46" t="s">
        <v>701</v>
      </c>
      <c r="I726" s="46"/>
      <c r="J726" s="46"/>
      <c r="K726" s="46" t="str">
        <f>IFERROR(__xludf.DUMMYFUNCTION("if(A726="""","""",IF(G726="""",""Myn"",IF(REGEXMATCH(lower(G726),""mynn""),""Myn"",if(G726&lt;&gt;"""",""GEMTRE"",""""))))"),"Myn")</f>
        <v>Myn</v>
      </c>
      <c r="L726" s="46" t="s">
        <v>2000</v>
      </c>
      <c r="M726" s="48">
        <v>45255.460625</v>
      </c>
    </row>
    <row r="727">
      <c r="A727" s="47">
        <v>45251.64537395834</v>
      </c>
      <c r="B727" s="46" t="s">
        <v>1012</v>
      </c>
      <c r="C727" s="46">
        <v>9.873698127E9</v>
      </c>
      <c r="D727" s="46"/>
      <c r="E727" s="46"/>
      <c r="F727" s="46"/>
      <c r="G727" s="46" t="s">
        <v>303</v>
      </c>
      <c r="H727" s="46" t="s">
        <v>701</v>
      </c>
      <c r="I727" s="46"/>
      <c r="J727" s="46"/>
      <c r="K727" s="46" t="str">
        <f>IFERROR(__xludf.DUMMYFUNCTION("if(A727="""","""",IF(G727="""",""Myn"",IF(REGEXMATCH(lower(G727),""mynn""),""Myn"",if(G727&lt;&gt;"""",""GEMTRE"",""""))))"),"Myn")</f>
        <v>Myn</v>
      </c>
      <c r="L727" s="46" t="s">
        <v>2000</v>
      </c>
      <c r="M727" s="48">
        <v>45255.460625</v>
      </c>
    </row>
    <row r="728">
      <c r="A728" s="47">
        <v>45251.64874149306</v>
      </c>
      <c r="B728" s="46" t="s">
        <v>1013</v>
      </c>
      <c r="C728" s="46">
        <v>9.315318969E9</v>
      </c>
      <c r="D728" s="46"/>
      <c r="E728" s="46" t="s">
        <v>71</v>
      </c>
      <c r="F728" s="46"/>
      <c r="G728" s="46" t="s">
        <v>303</v>
      </c>
      <c r="H728" s="46" t="s">
        <v>706</v>
      </c>
      <c r="I728" s="46"/>
      <c r="J728" s="46"/>
      <c r="K728" s="46" t="str">
        <f>IFERROR(__xludf.DUMMYFUNCTION("if(A728="""","""",IF(G728="""",""Myn"",IF(REGEXMATCH(lower(G728),""mynn""),""Myn"",if(G728&lt;&gt;"""",""GEMTRE"",""""))))"),"Myn")</f>
        <v>Myn</v>
      </c>
      <c r="L728" s="46" t="s">
        <v>2000</v>
      </c>
      <c r="M728" s="48">
        <v>45255.460625</v>
      </c>
    </row>
    <row r="729">
      <c r="A729" s="47">
        <v>45251.65090782408</v>
      </c>
      <c r="B729" s="46" t="s">
        <v>1014</v>
      </c>
      <c r="C729" s="46">
        <v>9.818952362E9</v>
      </c>
      <c r="D729" s="46"/>
      <c r="E729" s="46" t="s">
        <v>227</v>
      </c>
      <c r="F729" s="46"/>
      <c r="G729" s="46" t="s">
        <v>303</v>
      </c>
      <c r="H729" s="46" t="s">
        <v>706</v>
      </c>
      <c r="I729" s="46"/>
      <c r="J729" s="46"/>
      <c r="K729" s="46" t="str">
        <f>IFERROR(__xludf.DUMMYFUNCTION("if(A729="""","""",IF(G729="""",""Myn"",IF(REGEXMATCH(lower(G729),""mynn""),""Myn"",if(G729&lt;&gt;"""",""GEMTRE"",""""))))"),"Myn")</f>
        <v>Myn</v>
      </c>
      <c r="L729" s="46" t="s">
        <v>2000</v>
      </c>
      <c r="M729" s="48">
        <v>45255.460625</v>
      </c>
    </row>
    <row r="730">
      <c r="A730" s="47">
        <v>45251.65225510417</v>
      </c>
      <c r="B730" s="46" t="s">
        <v>1015</v>
      </c>
      <c r="C730" s="46">
        <v>7.838529133E9</v>
      </c>
      <c r="D730" s="46"/>
      <c r="E730" s="46" t="s">
        <v>769</v>
      </c>
      <c r="F730" s="46"/>
      <c r="G730" s="46" t="s">
        <v>303</v>
      </c>
      <c r="H730" s="46" t="s">
        <v>706</v>
      </c>
      <c r="I730" s="46"/>
      <c r="J730" s="46"/>
      <c r="K730" s="46" t="str">
        <f>IFERROR(__xludf.DUMMYFUNCTION("if(A730="""","""",IF(G730="""",""Myn"",IF(REGEXMATCH(lower(G730),""mynn""),""Myn"",if(G730&lt;&gt;"""",""GEMTRE"",""""))))"),"Myn")</f>
        <v>Myn</v>
      </c>
      <c r="L730" s="46" t="s">
        <v>2000</v>
      </c>
      <c r="M730" s="48">
        <v>45255.460625</v>
      </c>
    </row>
    <row r="731">
      <c r="A731" s="47">
        <v>45251.65421601852</v>
      </c>
      <c r="B731" s="46" t="s">
        <v>613</v>
      </c>
      <c r="C731" s="46">
        <v>8.851508406E9</v>
      </c>
      <c r="D731" s="46"/>
      <c r="E731" s="46"/>
      <c r="F731" s="46"/>
      <c r="G731" s="46" t="s">
        <v>303</v>
      </c>
      <c r="H731" s="46" t="s">
        <v>701</v>
      </c>
      <c r="I731" s="46"/>
      <c r="J731" s="46"/>
      <c r="K731" s="46" t="str">
        <f>IFERROR(__xludf.DUMMYFUNCTION("if(A731="""","""",IF(G731="""",""Myn"",IF(REGEXMATCH(lower(G731),""mynn""),""Myn"",if(G731&lt;&gt;"""",""GEMTRE"",""""))))"),"Myn")</f>
        <v>Myn</v>
      </c>
      <c r="L731" s="46" t="s">
        <v>2000</v>
      </c>
      <c r="M731" s="48">
        <v>45255.460625</v>
      </c>
    </row>
    <row r="732">
      <c r="A732" s="47">
        <v>45251.6565853125</v>
      </c>
      <c r="B732" s="46" t="s">
        <v>1016</v>
      </c>
      <c r="C732" s="46">
        <v>9.910888808E9</v>
      </c>
      <c r="D732" s="46"/>
      <c r="E732" s="46"/>
      <c r="F732" s="46"/>
      <c r="G732" s="46" t="s">
        <v>303</v>
      </c>
      <c r="H732" s="46" t="s">
        <v>701</v>
      </c>
      <c r="I732" s="46"/>
      <c r="J732" s="46"/>
      <c r="K732" s="46" t="str">
        <f>IFERROR(__xludf.DUMMYFUNCTION("if(A732="""","""",IF(G732="""",""Myn"",IF(REGEXMATCH(lower(G732),""mynn""),""Myn"",if(G732&lt;&gt;"""",""GEMTRE"",""""))))"),"Myn")</f>
        <v>Myn</v>
      </c>
      <c r="L732" s="46" t="s">
        <v>2000</v>
      </c>
      <c r="M732" s="48">
        <v>45255.460625</v>
      </c>
    </row>
    <row r="733">
      <c r="A733" s="47">
        <v>45251.65724778935</v>
      </c>
      <c r="B733" s="46" t="s">
        <v>1017</v>
      </c>
      <c r="C733" s="46">
        <v>8.810378923E9</v>
      </c>
      <c r="D733" s="46"/>
      <c r="E733" s="46" t="s">
        <v>79</v>
      </c>
      <c r="F733" s="46"/>
      <c r="G733" s="46" t="s">
        <v>303</v>
      </c>
      <c r="H733" s="46" t="s">
        <v>706</v>
      </c>
      <c r="I733" s="46"/>
      <c r="J733" s="46"/>
      <c r="K733" s="46" t="str">
        <f>IFERROR(__xludf.DUMMYFUNCTION("if(A733="""","""",IF(G733="""",""Myn"",IF(REGEXMATCH(lower(G733),""mynn""),""Myn"",if(G733&lt;&gt;"""",""GEMTRE"",""""))))"),"Myn")</f>
        <v>Myn</v>
      </c>
      <c r="L733" s="46" t="s">
        <v>2000</v>
      </c>
      <c r="M733" s="48">
        <v>45255.460625</v>
      </c>
    </row>
    <row r="734">
      <c r="A734" s="47">
        <v>45251.65793797454</v>
      </c>
      <c r="B734" s="46" t="s">
        <v>1018</v>
      </c>
      <c r="C734" s="46">
        <v>7.840899907E9</v>
      </c>
      <c r="D734" s="46"/>
      <c r="E734" s="46"/>
      <c r="F734" s="46"/>
      <c r="G734" s="46" t="s">
        <v>303</v>
      </c>
      <c r="H734" s="46" t="s">
        <v>701</v>
      </c>
      <c r="I734" s="46"/>
      <c r="J734" s="46"/>
      <c r="K734" s="46" t="str">
        <f>IFERROR(__xludf.DUMMYFUNCTION("if(A734="""","""",IF(G734="""",""Myn"",IF(REGEXMATCH(lower(G734),""mynn""),""Myn"",if(G734&lt;&gt;"""",""GEMTRE"",""""))))"),"Myn")</f>
        <v>Myn</v>
      </c>
      <c r="L734" s="46" t="s">
        <v>2000</v>
      </c>
      <c r="M734" s="48">
        <v>45255.460625</v>
      </c>
    </row>
    <row r="735">
      <c r="A735" s="47">
        <v>45251.65926320602</v>
      </c>
      <c r="B735" s="46" t="s">
        <v>1019</v>
      </c>
      <c r="C735" s="46">
        <v>9.911022277E9</v>
      </c>
      <c r="D735" s="46"/>
      <c r="E735" s="46"/>
      <c r="F735" s="46"/>
      <c r="G735" s="46" t="s">
        <v>303</v>
      </c>
      <c r="H735" s="46" t="s">
        <v>701</v>
      </c>
      <c r="I735" s="46"/>
      <c r="J735" s="46"/>
      <c r="K735" s="46" t="str">
        <f>IFERROR(__xludf.DUMMYFUNCTION("if(A735="""","""",IF(G735="""",""Myn"",IF(REGEXMATCH(lower(G735),""mynn""),""Myn"",if(G735&lt;&gt;"""",""GEMTRE"",""""))))"),"Myn")</f>
        <v>Myn</v>
      </c>
      <c r="L735" s="46" t="s">
        <v>2000</v>
      </c>
      <c r="M735" s="48">
        <v>45255.460625</v>
      </c>
    </row>
    <row r="736">
      <c r="A736" s="47">
        <v>45251.659843553236</v>
      </c>
      <c r="B736" s="46" t="s">
        <v>1020</v>
      </c>
      <c r="C736" s="46">
        <v>7.529999495E9</v>
      </c>
      <c r="D736" s="46"/>
      <c r="E736" s="46" t="s">
        <v>764</v>
      </c>
      <c r="F736" s="46"/>
      <c r="G736" s="46" t="s">
        <v>303</v>
      </c>
      <c r="H736" s="46" t="s">
        <v>706</v>
      </c>
      <c r="I736" s="46"/>
      <c r="J736" s="46"/>
      <c r="K736" s="46" t="str">
        <f>IFERROR(__xludf.DUMMYFUNCTION("if(A736="""","""",IF(G736="""",""Myn"",IF(REGEXMATCH(lower(G736),""mynn""),""Myn"",if(G736&lt;&gt;"""",""GEMTRE"",""""))))"),"Myn")</f>
        <v>Myn</v>
      </c>
      <c r="L736" s="46" t="s">
        <v>2000</v>
      </c>
      <c r="M736" s="48">
        <v>45255.460625</v>
      </c>
    </row>
    <row r="737">
      <c r="A737" s="47">
        <v>45251.662918483795</v>
      </c>
      <c r="B737" s="46" t="s">
        <v>1021</v>
      </c>
      <c r="C737" s="46">
        <v>7.290894806E9</v>
      </c>
      <c r="D737" s="46"/>
      <c r="E737" s="46" t="s">
        <v>1022</v>
      </c>
      <c r="F737" s="46"/>
      <c r="G737" s="46" t="s">
        <v>303</v>
      </c>
      <c r="H737" s="46" t="s">
        <v>706</v>
      </c>
      <c r="I737" s="46"/>
      <c r="J737" s="46"/>
      <c r="K737" s="46" t="str">
        <f>IFERROR(__xludf.DUMMYFUNCTION("if(A737="""","""",IF(G737="""",""Myn"",IF(REGEXMATCH(lower(G737),""mynn""),""Myn"",if(G737&lt;&gt;"""",""GEMTRE"",""""))))"),"Myn")</f>
        <v>Myn</v>
      </c>
      <c r="L737" s="46" t="s">
        <v>2000</v>
      </c>
      <c r="M737" s="48">
        <v>45255.460625</v>
      </c>
    </row>
    <row r="738">
      <c r="A738" s="47">
        <v>45251.66315061343</v>
      </c>
      <c r="B738" s="46" t="s">
        <v>604</v>
      </c>
      <c r="C738" s="46">
        <v>9.999152426E9</v>
      </c>
      <c r="D738" s="46"/>
      <c r="E738" s="46" t="s">
        <v>79</v>
      </c>
      <c r="F738" s="46"/>
      <c r="G738" s="46" t="s">
        <v>303</v>
      </c>
      <c r="H738" s="46" t="s">
        <v>706</v>
      </c>
      <c r="I738" s="46"/>
      <c r="J738" s="46"/>
      <c r="K738" s="46" t="str">
        <f>IFERROR(__xludf.DUMMYFUNCTION("if(A738="""","""",IF(G738="""",""Myn"",IF(REGEXMATCH(lower(G738),""mynn""),""Myn"",if(G738&lt;&gt;"""",""GEMTRE"",""""))))"),"Myn")</f>
        <v>Myn</v>
      </c>
      <c r="L738" s="46" t="s">
        <v>2000</v>
      </c>
      <c r="M738" s="48">
        <v>45255.460625</v>
      </c>
    </row>
    <row r="739">
      <c r="A739" s="47">
        <v>45251.66491337963</v>
      </c>
      <c r="B739" s="46" t="s">
        <v>1023</v>
      </c>
      <c r="C739" s="46">
        <v>9.557629228E9</v>
      </c>
      <c r="D739" s="46"/>
      <c r="E739" s="46"/>
      <c r="F739" s="49" t="s">
        <v>1024</v>
      </c>
      <c r="G739" s="46" t="s">
        <v>303</v>
      </c>
      <c r="H739" s="46" t="s">
        <v>706</v>
      </c>
      <c r="I739" s="46"/>
      <c r="J739" s="46"/>
      <c r="K739" s="46" t="str">
        <f>IFERROR(__xludf.DUMMYFUNCTION("if(A739="""","""",IF(G739="""",""Myn"",IF(REGEXMATCH(lower(G739),""mynn""),""Myn"",if(G739&lt;&gt;"""",""GEMTRE"",""""))))"),"Myn")</f>
        <v>Myn</v>
      </c>
      <c r="L739" s="46" t="s">
        <v>2000</v>
      </c>
      <c r="M739" s="48">
        <v>45255.460625</v>
      </c>
    </row>
    <row r="740">
      <c r="A740" s="47">
        <v>45251.66713392361</v>
      </c>
      <c r="B740" s="46" t="s">
        <v>1025</v>
      </c>
      <c r="C740" s="46">
        <v>9.599276778E9</v>
      </c>
      <c r="D740" s="46"/>
      <c r="E740" s="46"/>
      <c r="F740" s="46"/>
      <c r="G740" s="46" t="s">
        <v>303</v>
      </c>
      <c r="H740" s="46" t="s">
        <v>701</v>
      </c>
      <c r="I740" s="46"/>
      <c r="J740" s="46"/>
      <c r="K740" s="46" t="str">
        <f>IFERROR(__xludf.DUMMYFUNCTION("if(A740="""","""",IF(G740="""",""Myn"",IF(REGEXMATCH(lower(G740),""mynn""),""Myn"",if(G740&lt;&gt;"""",""GEMTRE"",""""))))"),"Myn")</f>
        <v>Myn</v>
      </c>
      <c r="L740" s="46" t="s">
        <v>2000</v>
      </c>
      <c r="M740" s="48">
        <v>45255.460625</v>
      </c>
    </row>
    <row r="741">
      <c r="A741" s="47">
        <v>45251.66830856481</v>
      </c>
      <c r="B741" s="46" t="s">
        <v>1026</v>
      </c>
      <c r="C741" s="46">
        <v>8.810653464E9</v>
      </c>
      <c r="D741" s="46"/>
      <c r="E741" s="46"/>
      <c r="F741" s="46"/>
      <c r="G741" s="46" t="s">
        <v>303</v>
      </c>
      <c r="H741" s="46" t="s">
        <v>701</v>
      </c>
      <c r="I741" s="46"/>
      <c r="J741" s="46"/>
      <c r="K741" s="46" t="str">
        <f>IFERROR(__xludf.DUMMYFUNCTION("if(A741="""","""",IF(G741="""",""Myn"",IF(REGEXMATCH(lower(G741),""mynn""),""Myn"",if(G741&lt;&gt;"""",""GEMTRE"",""""))))"),"Myn")</f>
        <v>Myn</v>
      </c>
      <c r="L741" s="46" t="s">
        <v>2000</v>
      </c>
      <c r="M741" s="48">
        <v>45255.460625</v>
      </c>
    </row>
    <row r="742">
      <c r="A742" s="47">
        <v>45251.669445798616</v>
      </c>
      <c r="B742" s="46" t="s">
        <v>1027</v>
      </c>
      <c r="C742" s="46">
        <v>8.800916038E9</v>
      </c>
      <c r="D742" s="46"/>
      <c r="E742" s="46" t="s">
        <v>71</v>
      </c>
      <c r="F742" s="46"/>
      <c r="G742" s="46" t="s">
        <v>303</v>
      </c>
      <c r="H742" s="46" t="s">
        <v>706</v>
      </c>
      <c r="I742" s="46"/>
      <c r="J742" s="46"/>
      <c r="K742" s="46" t="str">
        <f>IFERROR(__xludf.DUMMYFUNCTION("if(A742="""","""",IF(G742="""",""Myn"",IF(REGEXMATCH(lower(G742),""mynn""),""Myn"",if(G742&lt;&gt;"""",""GEMTRE"",""""))))"),"Myn")</f>
        <v>Myn</v>
      </c>
      <c r="L742" s="46" t="s">
        <v>2000</v>
      </c>
      <c r="M742" s="48">
        <v>45255.460625</v>
      </c>
    </row>
    <row r="743">
      <c r="A743" s="47">
        <v>45251.67091350694</v>
      </c>
      <c r="B743" s="46" t="s">
        <v>179</v>
      </c>
      <c r="C743" s="46">
        <v>9.818825444E9</v>
      </c>
      <c r="D743" s="46"/>
      <c r="E743" s="46" t="s">
        <v>71</v>
      </c>
      <c r="F743" s="46"/>
      <c r="G743" s="46" t="s">
        <v>303</v>
      </c>
      <c r="H743" s="46" t="s">
        <v>706</v>
      </c>
      <c r="I743" s="46"/>
      <c r="J743" s="46"/>
      <c r="K743" s="46" t="str">
        <f>IFERROR(__xludf.DUMMYFUNCTION("if(A743="""","""",IF(G743="""",""Myn"",IF(REGEXMATCH(lower(G743),""mynn""),""Myn"",if(G743&lt;&gt;"""",""GEMTRE"",""""))))"),"Myn")</f>
        <v>Myn</v>
      </c>
      <c r="L743" s="46" t="s">
        <v>2000</v>
      </c>
      <c r="M743" s="48">
        <v>45255.460625</v>
      </c>
    </row>
    <row r="744">
      <c r="A744" s="47">
        <v>45251.67109653935</v>
      </c>
      <c r="B744" s="46" t="s">
        <v>1028</v>
      </c>
      <c r="C744" s="46">
        <v>9.899134205E9</v>
      </c>
      <c r="D744" s="46"/>
      <c r="E744" s="46"/>
      <c r="F744" s="46"/>
      <c r="G744" s="46" t="s">
        <v>303</v>
      </c>
      <c r="H744" s="46" t="s">
        <v>701</v>
      </c>
      <c r="I744" s="46"/>
      <c r="J744" s="46"/>
      <c r="K744" s="46" t="str">
        <f>IFERROR(__xludf.DUMMYFUNCTION("if(A744="""","""",IF(G744="""",""Myn"",IF(REGEXMATCH(lower(G744),""mynn""),""Myn"",if(G744&lt;&gt;"""",""GEMTRE"",""""))))"),"Myn")</f>
        <v>Myn</v>
      </c>
      <c r="L744" s="46" t="s">
        <v>2000</v>
      </c>
      <c r="M744" s="48">
        <v>45255.460625</v>
      </c>
    </row>
    <row r="745">
      <c r="A745" s="47">
        <v>45251.671163506944</v>
      </c>
      <c r="B745" s="46" t="s">
        <v>1029</v>
      </c>
      <c r="C745" s="46">
        <v>9.910301357E9</v>
      </c>
      <c r="D745" s="46"/>
      <c r="E745" s="46"/>
      <c r="F745" s="46"/>
      <c r="G745" s="46" t="s">
        <v>303</v>
      </c>
      <c r="H745" s="46" t="s">
        <v>701</v>
      </c>
      <c r="I745" s="46"/>
      <c r="J745" s="46"/>
      <c r="K745" s="46" t="str">
        <f>IFERROR(__xludf.DUMMYFUNCTION("if(A745="""","""",IF(G745="""",""Myn"",IF(REGEXMATCH(lower(G745),""mynn""),""Myn"",if(G745&lt;&gt;"""",""GEMTRE"",""""))))"),"Myn")</f>
        <v>Myn</v>
      </c>
      <c r="L745" s="46" t="s">
        <v>2000</v>
      </c>
      <c r="M745" s="48">
        <v>45255.460625</v>
      </c>
    </row>
    <row r="746">
      <c r="A746" s="47">
        <v>45251.67328699074</v>
      </c>
      <c r="B746" s="46" t="s">
        <v>1030</v>
      </c>
      <c r="C746" s="46">
        <v>9.82078754E9</v>
      </c>
      <c r="D746" s="46"/>
      <c r="E746" s="46" t="s">
        <v>227</v>
      </c>
      <c r="F746" s="46"/>
      <c r="G746" s="46" t="s">
        <v>303</v>
      </c>
      <c r="H746" s="46" t="s">
        <v>706</v>
      </c>
      <c r="I746" s="46"/>
      <c r="J746" s="46"/>
      <c r="K746" s="46" t="str">
        <f>IFERROR(__xludf.DUMMYFUNCTION("if(A746="""","""",IF(G746="""",""Myn"",IF(REGEXMATCH(lower(G746),""mynn""),""Myn"",if(G746&lt;&gt;"""",""GEMTRE"",""""))))"),"Myn")</f>
        <v>Myn</v>
      </c>
      <c r="L746" s="46" t="s">
        <v>2000</v>
      </c>
      <c r="M746" s="48">
        <v>45255.460625</v>
      </c>
    </row>
    <row r="747">
      <c r="A747" s="47">
        <v>45251.674320555554</v>
      </c>
      <c r="B747" s="46" t="s">
        <v>1031</v>
      </c>
      <c r="C747" s="46">
        <v>9.871443232E9</v>
      </c>
      <c r="D747" s="46"/>
      <c r="E747" s="46" t="s">
        <v>227</v>
      </c>
      <c r="F747" s="46"/>
      <c r="G747" s="46" t="s">
        <v>303</v>
      </c>
      <c r="H747" s="46" t="s">
        <v>706</v>
      </c>
      <c r="I747" s="46"/>
      <c r="J747" s="46"/>
      <c r="K747" s="46" t="str">
        <f>IFERROR(__xludf.DUMMYFUNCTION("if(A747="""","""",IF(G747="""",""Myn"",IF(REGEXMATCH(lower(G747),""mynn""),""Myn"",if(G747&lt;&gt;"""",""GEMTRE"",""""))))"),"Myn")</f>
        <v>Myn</v>
      </c>
      <c r="L747" s="46" t="s">
        <v>2000</v>
      </c>
      <c r="M747" s="48">
        <v>45255.460625</v>
      </c>
    </row>
    <row r="748">
      <c r="A748" s="47">
        <v>45251.67453333334</v>
      </c>
      <c r="B748" s="46" t="s">
        <v>1032</v>
      </c>
      <c r="C748" s="46">
        <v>7.599323399E9</v>
      </c>
      <c r="D748" s="46"/>
      <c r="E748" s="46"/>
      <c r="F748" s="46"/>
      <c r="G748" s="46" t="s">
        <v>303</v>
      </c>
      <c r="H748" s="46" t="s">
        <v>706</v>
      </c>
      <c r="I748" s="46"/>
      <c r="J748" s="46"/>
      <c r="K748" s="46" t="str">
        <f>IFERROR(__xludf.DUMMYFUNCTION("if(A748="""","""",IF(G748="""",""Myn"",IF(REGEXMATCH(lower(G748),""mynn""),""Myn"",if(G748&lt;&gt;"""",""GEMTRE"",""""))))"),"Myn")</f>
        <v>Myn</v>
      </c>
      <c r="L748" s="46" t="s">
        <v>2000</v>
      </c>
      <c r="M748" s="48">
        <v>45255.460625</v>
      </c>
    </row>
    <row r="749">
      <c r="A749" s="47">
        <v>45251.684082638894</v>
      </c>
      <c r="B749" s="46" t="s">
        <v>1028</v>
      </c>
      <c r="C749" s="46">
        <v>9.254603624E9</v>
      </c>
      <c r="D749" s="46"/>
      <c r="E749" s="46" t="s">
        <v>71</v>
      </c>
      <c r="F749" s="46"/>
      <c r="G749" s="46" t="s">
        <v>303</v>
      </c>
      <c r="H749" s="46" t="s">
        <v>706</v>
      </c>
      <c r="I749" s="46"/>
      <c r="J749" s="46"/>
      <c r="K749" s="46" t="str">
        <f>IFERROR(__xludf.DUMMYFUNCTION("if(A749="""","""",IF(G749="""",""Myn"",IF(REGEXMATCH(lower(G749),""mynn""),""Myn"",if(G749&lt;&gt;"""",""GEMTRE"",""""))))"),"Myn")</f>
        <v>Myn</v>
      </c>
      <c r="L749" s="46" t="s">
        <v>2000</v>
      </c>
      <c r="M749" s="48">
        <v>45255.460625</v>
      </c>
    </row>
    <row r="750">
      <c r="A750" s="47">
        <v>45251.69617465278</v>
      </c>
      <c r="B750" s="46" t="s">
        <v>1033</v>
      </c>
      <c r="C750" s="46">
        <v>9.958899294E9</v>
      </c>
      <c r="D750" s="46"/>
      <c r="E750" s="46"/>
      <c r="F750" s="46"/>
      <c r="G750" s="46" t="s">
        <v>303</v>
      </c>
      <c r="H750" s="46" t="s">
        <v>706</v>
      </c>
      <c r="I750" s="46"/>
      <c r="J750" s="46"/>
      <c r="K750" s="46" t="str">
        <f>IFERROR(__xludf.DUMMYFUNCTION("if(A750="""","""",IF(G750="""",""Myn"",IF(REGEXMATCH(lower(G750),""mynn""),""Myn"",if(G750&lt;&gt;"""",""GEMTRE"",""""))))"),"Myn")</f>
        <v>Myn</v>
      </c>
      <c r="L750" s="46" t="s">
        <v>2000</v>
      </c>
      <c r="M750" s="48">
        <v>45255.460625</v>
      </c>
    </row>
    <row r="751">
      <c r="A751" s="47">
        <v>45251.699340949075</v>
      </c>
      <c r="B751" s="46" t="s">
        <v>573</v>
      </c>
      <c r="C751" s="46">
        <v>8.700166943E9</v>
      </c>
      <c r="D751" s="46"/>
      <c r="E751" s="46" t="s">
        <v>79</v>
      </c>
      <c r="F751" s="46"/>
      <c r="G751" s="46" t="s">
        <v>303</v>
      </c>
      <c r="H751" s="46" t="s">
        <v>706</v>
      </c>
      <c r="I751" s="46"/>
      <c r="J751" s="46"/>
      <c r="K751" s="46" t="str">
        <f>IFERROR(__xludf.DUMMYFUNCTION("if(A751="""","""",IF(G751="""",""Myn"",IF(REGEXMATCH(lower(G751),""mynn""),""Myn"",if(G751&lt;&gt;"""",""GEMTRE"",""""))))"),"Myn")</f>
        <v>Myn</v>
      </c>
      <c r="L751" s="46" t="s">
        <v>2000</v>
      </c>
      <c r="M751" s="48">
        <v>45255.460625</v>
      </c>
    </row>
    <row r="752">
      <c r="A752" s="47">
        <v>45251.699963148145</v>
      </c>
      <c r="B752" s="46" t="s">
        <v>702</v>
      </c>
      <c r="C752" s="46">
        <v>9.891848378E9</v>
      </c>
      <c r="D752" s="46"/>
      <c r="E752" s="46"/>
      <c r="F752" s="46"/>
      <c r="G752" s="46" t="s">
        <v>303</v>
      </c>
      <c r="H752" s="46" t="s">
        <v>701</v>
      </c>
      <c r="I752" s="46"/>
      <c r="J752" s="46"/>
      <c r="K752" s="46" t="str">
        <f>IFERROR(__xludf.DUMMYFUNCTION("if(A752="""","""",IF(G752="""",""Myn"",IF(REGEXMATCH(lower(G752),""mynn""),""Myn"",if(G752&lt;&gt;"""",""GEMTRE"",""""))))"),"Myn")</f>
        <v>Myn</v>
      </c>
      <c r="L752" s="46" t="s">
        <v>2000</v>
      </c>
      <c r="M752" s="48">
        <v>45255.460625</v>
      </c>
    </row>
    <row r="753">
      <c r="A753" s="47">
        <v>45251.703505625</v>
      </c>
      <c r="B753" s="46" t="s">
        <v>1034</v>
      </c>
      <c r="C753" s="46">
        <v>9.89724067E9</v>
      </c>
      <c r="D753" s="46"/>
      <c r="E753" s="46"/>
      <c r="F753" s="46"/>
      <c r="G753" s="46" t="s">
        <v>303</v>
      </c>
      <c r="H753" s="46" t="s">
        <v>1035</v>
      </c>
      <c r="I753" s="46"/>
      <c r="J753" s="46"/>
      <c r="K753" s="46" t="str">
        <f>IFERROR(__xludf.DUMMYFUNCTION("if(A753="""","""",IF(G753="""",""Myn"",IF(REGEXMATCH(lower(G753),""mynn""),""Myn"",if(G753&lt;&gt;"""",""GEMTRE"",""""))))"),"Myn")</f>
        <v>Myn</v>
      </c>
      <c r="L753" s="46" t="s">
        <v>2000</v>
      </c>
      <c r="M753" s="48">
        <v>45255.460625</v>
      </c>
    </row>
    <row r="754">
      <c r="A754" s="47">
        <v>45251.704004907406</v>
      </c>
      <c r="B754" s="46" t="s">
        <v>1036</v>
      </c>
      <c r="C754" s="46">
        <v>9.810475416E9</v>
      </c>
      <c r="D754" s="46"/>
      <c r="E754" s="46"/>
      <c r="F754" s="46"/>
      <c r="G754" s="46" t="s">
        <v>303</v>
      </c>
      <c r="H754" s="46" t="s">
        <v>701</v>
      </c>
      <c r="I754" s="46"/>
      <c r="J754" s="46"/>
      <c r="K754" s="46" t="str">
        <f>IFERROR(__xludf.DUMMYFUNCTION("if(A754="""","""",IF(G754="""",""Myn"",IF(REGEXMATCH(lower(G754),""mynn""),""Myn"",if(G754&lt;&gt;"""",""GEMTRE"",""""))))"),"Myn")</f>
        <v>Myn</v>
      </c>
      <c r="L754" s="46" t="s">
        <v>2000</v>
      </c>
      <c r="M754" s="48">
        <v>45255.46063657408</v>
      </c>
    </row>
    <row r="755">
      <c r="A755" s="47">
        <v>45251.70403871528</v>
      </c>
      <c r="B755" s="46" t="s">
        <v>1037</v>
      </c>
      <c r="C755" s="46">
        <v>7.867863922E9</v>
      </c>
      <c r="D755" s="46"/>
      <c r="E755" s="46"/>
      <c r="F755" s="46"/>
      <c r="G755" s="46" t="s">
        <v>303</v>
      </c>
      <c r="H755" s="46" t="s">
        <v>701</v>
      </c>
      <c r="I755" s="46"/>
      <c r="J755" s="46"/>
      <c r="K755" s="46" t="str">
        <f>IFERROR(__xludf.DUMMYFUNCTION("if(A755="""","""",IF(G755="""",""Myn"",IF(REGEXMATCH(lower(G755),""mynn""),""Myn"",if(G755&lt;&gt;"""",""GEMTRE"",""""))))"),"Myn")</f>
        <v>Myn</v>
      </c>
      <c r="L755" s="46" t="s">
        <v>2000</v>
      </c>
      <c r="M755" s="48">
        <v>45255.46063657408</v>
      </c>
    </row>
    <row r="756">
      <c r="A756" s="47">
        <v>45251.706859618054</v>
      </c>
      <c r="B756" s="46" t="s">
        <v>1038</v>
      </c>
      <c r="C756" s="46">
        <v>9.837494154E9</v>
      </c>
      <c r="D756" s="46"/>
      <c r="E756" s="46"/>
      <c r="F756" s="46"/>
      <c r="G756" s="46" t="s">
        <v>303</v>
      </c>
      <c r="H756" s="46" t="s">
        <v>701</v>
      </c>
      <c r="I756" s="46"/>
      <c r="J756" s="46"/>
      <c r="K756" s="46" t="str">
        <f>IFERROR(__xludf.DUMMYFUNCTION("if(A756="""","""",IF(G756="""",""Myn"",IF(REGEXMATCH(lower(G756),""mynn""),""Myn"",if(G756&lt;&gt;"""",""GEMTRE"",""""))))"),"Myn")</f>
        <v>Myn</v>
      </c>
      <c r="L756" s="46" t="s">
        <v>2000</v>
      </c>
      <c r="M756" s="48">
        <v>45255.46063657408</v>
      </c>
    </row>
    <row r="757">
      <c r="A757" s="47">
        <v>45251.70793607639</v>
      </c>
      <c r="B757" s="46" t="s">
        <v>1039</v>
      </c>
      <c r="C757" s="46">
        <v>9.259266486E9</v>
      </c>
      <c r="D757" s="46"/>
      <c r="E757" s="46"/>
      <c r="F757" s="46"/>
      <c r="G757" s="46" t="s">
        <v>303</v>
      </c>
      <c r="H757" s="46" t="s">
        <v>701</v>
      </c>
      <c r="I757" s="46"/>
      <c r="J757" s="46"/>
      <c r="K757" s="46" t="str">
        <f>IFERROR(__xludf.DUMMYFUNCTION("if(A757="""","""",IF(G757="""",""Myn"",IF(REGEXMATCH(lower(G757),""mynn""),""Myn"",if(G757&lt;&gt;"""",""GEMTRE"",""""))))"),"Myn")</f>
        <v>Myn</v>
      </c>
      <c r="L757" s="46" t="s">
        <v>2000</v>
      </c>
      <c r="M757" s="48">
        <v>45255.46063657408</v>
      </c>
    </row>
    <row r="758">
      <c r="A758" s="47">
        <v>45251.70856857639</v>
      </c>
      <c r="B758" s="46" t="s">
        <v>1040</v>
      </c>
      <c r="C758" s="46">
        <v>9.811377734E9</v>
      </c>
      <c r="D758" s="46"/>
      <c r="E758" s="46"/>
      <c r="F758" s="46"/>
      <c r="G758" s="46" t="s">
        <v>303</v>
      </c>
      <c r="H758" s="46" t="s">
        <v>701</v>
      </c>
      <c r="I758" s="46"/>
      <c r="J758" s="46"/>
      <c r="K758" s="46" t="str">
        <f>IFERROR(__xludf.DUMMYFUNCTION("if(A758="""","""",IF(G758="""",""Myn"",IF(REGEXMATCH(lower(G758),""mynn""),""Myn"",if(G758&lt;&gt;"""",""GEMTRE"",""""))))"),"Myn")</f>
        <v>Myn</v>
      </c>
      <c r="L758" s="46" t="s">
        <v>2000</v>
      </c>
      <c r="M758" s="48">
        <v>45255.46063657408</v>
      </c>
    </row>
    <row r="759">
      <c r="A759" s="47">
        <v>45251.70904726852</v>
      </c>
      <c r="B759" s="46" t="s">
        <v>534</v>
      </c>
      <c r="C759" s="46">
        <v>7.827464273E9</v>
      </c>
      <c r="D759" s="46"/>
      <c r="E759" s="46"/>
      <c r="F759" s="46"/>
      <c r="G759" s="46" t="s">
        <v>303</v>
      </c>
      <c r="H759" s="46" t="s">
        <v>701</v>
      </c>
      <c r="I759" s="46"/>
      <c r="J759" s="46"/>
      <c r="K759" s="46" t="str">
        <f>IFERROR(__xludf.DUMMYFUNCTION("if(A759="""","""",IF(G759="""",""Myn"",IF(REGEXMATCH(lower(G759),""mynn""),""Myn"",if(G759&lt;&gt;"""",""GEMTRE"",""""))))"),"Myn")</f>
        <v>Myn</v>
      </c>
      <c r="L759" s="46" t="s">
        <v>2000</v>
      </c>
      <c r="M759" s="48">
        <v>45255.46063657408</v>
      </c>
    </row>
    <row r="760">
      <c r="A760" s="47">
        <v>45251.709481087964</v>
      </c>
      <c r="B760" s="46" t="s">
        <v>1041</v>
      </c>
      <c r="C760" s="46">
        <v>8.130573386E9</v>
      </c>
      <c r="D760" s="46"/>
      <c r="E760" s="46"/>
      <c r="F760" s="46"/>
      <c r="G760" s="46" t="s">
        <v>303</v>
      </c>
      <c r="H760" s="46" t="s">
        <v>701</v>
      </c>
      <c r="I760" s="46"/>
      <c r="J760" s="46"/>
      <c r="K760" s="46" t="str">
        <f>IFERROR(__xludf.DUMMYFUNCTION("if(A760="""","""",IF(G760="""",""Myn"",IF(REGEXMATCH(lower(G760),""mynn""),""Myn"",if(G760&lt;&gt;"""",""GEMTRE"",""""))))"),"Myn")</f>
        <v>Myn</v>
      </c>
      <c r="L760" s="46" t="s">
        <v>2000</v>
      </c>
      <c r="M760" s="48">
        <v>45255.46063657408</v>
      </c>
    </row>
    <row r="761">
      <c r="A761" s="47">
        <v>45251.709749629634</v>
      </c>
      <c r="B761" s="46" t="s">
        <v>1042</v>
      </c>
      <c r="C761" s="46">
        <v>9.953131628E9</v>
      </c>
      <c r="D761" s="46"/>
      <c r="E761" s="46"/>
      <c r="F761" s="46"/>
      <c r="G761" s="46" t="s">
        <v>303</v>
      </c>
      <c r="H761" s="46" t="s">
        <v>701</v>
      </c>
      <c r="I761" s="46"/>
      <c r="J761" s="46"/>
      <c r="K761" s="46" t="str">
        <f>IFERROR(__xludf.DUMMYFUNCTION("if(A761="""","""",IF(G761="""",""Myn"",IF(REGEXMATCH(lower(G761),""mynn""),""Myn"",if(G761&lt;&gt;"""",""GEMTRE"",""""))))"),"Myn")</f>
        <v>Myn</v>
      </c>
      <c r="L761" s="46" t="s">
        <v>2000</v>
      </c>
      <c r="M761" s="48">
        <v>45255.46063657408</v>
      </c>
    </row>
    <row r="762">
      <c r="A762" s="47">
        <v>45251.71071804398</v>
      </c>
      <c r="B762" s="46" t="s">
        <v>1043</v>
      </c>
      <c r="C762" s="46">
        <v>8.700481289E9</v>
      </c>
      <c r="D762" s="46"/>
      <c r="E762" s="46"/>
      <c r="F762" s="46"/>
      <c r="G762" s="46" t="s">
        <v>303</v>
      </c>
      <c r="H762" s="46" t="s">
        <v>701</v>
      </c>
      <c r="I762" s="46"/>
      <c r="J762" s="46"/>
      <c r="K762" s="46" t="str">
        <f>IFERROR(__xludf.DUMMYFUNCTION("if(A762="""","""",IF(G762="""",""Myn"",IF(REGEXMATCH(lower(G762),""mynn""),""Myn"",if(G762&lt;&gt;"""",""GEMTRE"",""""))))"),"Myn")</f>
        <v>Myn</v>
      </c>
      <c r="L762" s="46" t="s">
        <v>2000</v>
      </c>
      <c r="M762" s="48">
        <v>45255.46063657408</v>
      </c>
    </row>
    <row r="763">
      <c r="A763" s="47">
        <v>45251.71202416667</v>
      </c>
      <c r="B763" s="46" t="s">
        <v>1044</v>
      </c>
      <c r="C763" s="46">
        <v>9.91036172E9</v>
      </c>
      <c r="D763" s="46"/>
      <c r="E763" s="46"/>
      <c r="F763" s="46"/>
      <c r="G763" s="46" t="s">
        <v>303</v>
      </c>
      <c r="H763" s="46" t="s">
        <v>701</v>
      </c>
      <c r="I763" s="46"/>
      <c r="J763" s="46"/>
      <c r="K763" s="46" t="str">
        <f>IFERROR(__xludf.DUMMYFUNCTION("if(A763="""","""",IF(G763="""",""Myn"",IF(REGEXMATCH(lower(G763),""mynn""),""Myn"",if(G763&lt;&gt;"""",""GEMTRE"",""""))))"),"Myn")</f>
        <v>Myn</v>
      </c>
      <c r="L763" s="46" t="s">
        <v>2000</v>
      </c>
      <c r="M763" s="48">
        <v>45255.46063657408</v>
      </c>
    </row>
    <row r="764">
      <c r="A764" s="47">
        <v>45251.713271863424</v>
      </c>
      <c r="B764" s="46" t="s">
        <v>1045</v>
      </c>
      <c r="C764" s="46">
        <v>9.873009325E9</v>
      </c>
      <c r="D764" s="46"/>
      <c r="E764" s="46"/>
      <c r="F764" s="46"/>
      <c r="G764" s="46" t="s">
        <v>303</v>
      </c>
      <c r="H764" s="46" t="s">
        <v>701</v>
      </c>
      <c r="I764" s="46"/>
      <c r="J764" s="46"/>
      <c r="K764" s="46" t="str">
        <f>IFERROR(__xludf.DUMMYFUNCTION("if(A764="""","""",IF(G764="""",""Myn"",IF(REGEXMATCH(lower(G764),""mynn""),""Myn"",if(G764&lt;&gt;"""",""GEMTRE"",""""))))"),"Myn")</f>
        <v>Myn</v>
      </c>
      <c r="L764" s="46" t="s">
        <v>2000</v>
      </c>
      <c r="M764" s="48">
        <v>45255.46063657408</v>
      </c>
    </row>
    <row r="765">
      <c r="A765" s="47">
        <v>45251.714636516204</v>
      </c>
      <c r="B765" s="46" t="s">
        <v>1046</v>
      </c>
      <c r="C765" s="46">
        <v>9.81827868E9</v>
      </c>
      <c r="D765" s="46"/>
      <c r="E765" s="46"/>
      <c r="F765" s="46"/>
      <c r="G765" s="46" t="s">
        <v>303</v>
      </c>
      <c r="H765" s="46" t="s">
        <v>1035</v>
      </c>
      <c r="I765" s="46"/>
      <c r="J765" s="46"/>
      <c r="K765" s="46" t="str">
        <f>IFERROR(__xludf.DUMMYFUNCTION("if(A765="""","""",IF(G765="""",""Myn"",IF(REGEXMATCH(lower(G765),""mynn""),""Myn"",if(G765&lt;&gt;"""",""GEMTRE"",""""))))"),"Myn")</f>
        <v>Myn</v>
      </c>
      <c r="L765" s="46" t="s">
        <v>2000</v>
      </c>
      <c r="M765" s="48">
        <v>45255.46063657408</v>
      </c>
    </row>
    <row r="766">
      <c r="A766" s="47">
        <v>45251.71650738426</v>
      </c>
      <c r="B766" s="46" t="s">
        <v>1047</v>
      </c>
      <c r="C766" s="46">
        <v>8.532842941E9</v>
      </c>
      <c r="D766" s="46"/>
      <c r="E766" s="46"/>
      <c r="F766" s="46"/>
      <c r="G766" s="46" t="s">
        <v>303</v>
      </c>
      <c r="H766" s="46" t="s">
        <v>701</v>
      </c>
      <c r="I766" s="46"/>
      <c r="J766" s="46"/>
      <c r="K766" s="46" t="str">
        <f>IFERROR(__xludf.DUMMYFUNCTION("if(A766="""","""",IF(G766="""",""Myn"",IF(REGEXMATCH(lower(G766),""mynn""),""Myn"",if(G766&lt;&gt;"""",""GEMTRE"",""""))))"),"Myn")</f>
        <v>Myn</v>
      </c>
      <c r="L766" s="46" t="s">
        <v>2000</v>
      </c>
      <c r="M766" s="48">
        <v>45255.46063657408</v>
      </c>
    </row>
    <row r="767">
      <c r="A767" s="47">
        <v>45251.7166991088</v>
      </c>
      <c r="B767" s="46" t="s">
        <v>1048</v>
      </c>
      <c r="C767" s="46">
        <v>9.953295326E9</v>
      </c>
      <c r="D767" s="46"/>
      <c r="E767" s="46"/>
      <c r="F767" s="46"/>
      <c r="G767" s="46" t="s">
        <v>303</v>
      </c>
      <c r="H767" s="46" t="s">
        <v>701</v>
      </c>
      <c r="I767" s="46"/>
      <c r="J767" s="46"/>
      <c r="K767" s="46" t="str">
        <f>IFERROR(__xludf.DUMMYFUNCTION("if(A767="""","""",IF(G767="""",""Myn"",IF(REGEXMATCH(lower(G767),""mynn""),""Myn"",if(G767&lt;&gt;"""",""GEMTRE"",""""))))"),"Myn")</f>
        <v>Myn</v>
      </c>
      <c r="L767" s="46" t="s">
        <v>2000</v>
      </c>
      <c r="M767" s="48">
        <v>45255.46063657408</v>
      </c>
    </row>
    <row r="768">
      <c r="A768" s="47">
        <v>45251.71707236111</v>
      </c>
      <c r="B768" s="46" t="s">
        <v>1049</v>
      </c>
      <c r="C768" s="46">
        <v>9.313327555E9</v>
      </c>
      <c r="D768" s="46"/>
      <c r="E768" s="46" t="s">
        <v>79</v>
      </c>
      <c r="F768" s="46"/>
      <c r="G768" s="46" t="s">
        <v>303</v>
      </c>
      <c r="H768" s="46" t="s">
        <v>706</v>
      </c>
      <c r="I768" s="46"/>
      <c r="J768" s="46"/>
      <c r="K768" s="46" t="str">
        <f>IFERROR(__xludf.DUMMYFUNCTION("if(A768="""","""",IF(G768="""",""Myn"",IF(REGEXMATCH(lower(G768),""mynn""),""Myn"",if(G768&lt;&gt;"""",""GEMTRE"",""""))))"),"Myn")</f>
        <v>Myn</v>
      </c>
      <c r="L768" s="46" t="s">
        <v>2000</v>
      </c>
      <c r="M768" s="48">
        <v>45255.46063657408</v>
      </c>
    </row>
    <row r="769">
      <c r="A769" s="47">
        <v>45251.7196359838</v>
      </c>
      <c r="B769" s="46" t="s">
        <v>1050</v>
      </c>
      <c r="C769" s="46">
        <v>9.81893479E9</v>
      </c>
      <c r="D769" s="46"/>
      <c r="E769" s="46"/>
      <c r="F769" s="46"/>
      <c r="G769" s="46" t="s">
        <v>303</v>
      </c>
      <c r="H769" s="46" t="s">
        <v>701</v>
      </c>
      <c r="I769" s="46"/>
      <c r="J769" s="46"/>
      <c r="K769" s="46" t="str">
        <f>IFERROR(__xludf.DUMMYFUNCTION("if(A769="""","""",IF(G769="""",""Myn"",IF(REGEXMATCH(lower(G769),""mynn""),""Myn"",if(G769&lt;&gt;"""",""GEMTRE"",""""))))"),"Myn")</f>
        <v>Myn</v>
      </c>
      <c r="L769" s="46" t="s">
        <v>2000</v>
      </c>
      <c r="M769" s="48">
        <v>45255.46063657408</v>
      </c>
    </row>
    <row r="770">
      <c r="A770" s="47">
        <v>45251.719945034725</v>
      </c>
      <c r="B770" s="46" t="s">
        <v>1051</v>
      </c>
      <c r="C770" s="46">
        <v>8.851210573E9</v>
      </c>
      <c r="D770" s="46"/>
      <c r="E770" s="46"/>
      <c r="F770" s="46"/>
      <c r="G770" s="46" t="s">
        <v>303</v>
      </c>
      <c r="H770" s="46" t="s">
        <v>701</v>
      </c>
      <c r="I770" s="46"/>
      <c r="J770" s="46"/>
      <c r="K770" s="46" t="str">
        <f>IFERROR(__xludf.DUMMYFUNCTION("if(A770="""","""",IF(G770="""",""Myn"",IF(REGEXMATCH(lower(G770),""mynn""),""Myn"",if(G770&lt;&gt;"""",""GEMTRE"",""""))))"),"Myn")</f>
        <v>Myn</v>
      </c>
      <c r="L770" s="46" t="s">
        <v>2000</v>
      </c>
      <c r="M770" s="48">
        <v>45255.46063657408</v>
      </c>
    </row>
    <row r="771">
      <c r="A771" s="47">
        <v>45251.72048788195</v>
      </c>
      <c r="B771" s="46" t="s">
        <v>1052</v>
      </c>
      <c r="C771" s="46">
        <v>9.958204258E9</v>
      </c>
      <c r="D771" s="46"/>
      <c r="E771" s="46"/>
      <c r="F771" s="46"/>
      <c r="G771" s="46" t="s">
        <v>303</v>
      </c>
      <c r="H771" s="46" t="s">
        <v>701</v>
      </c>
      <c r="I771" s="46"/>
      <c r="J771" s="46"/>
      <c r="K771" s="46" t="str">
        <f>IFERROR(__xludf.DUMMYFUNCTION("if(A771="""","""",IF(G771="""",""Myn"",IF(REGEXMATCH(lower(G771),""mynn""),""Myn"",if(G771&lt;&gt;"""",""GEMTRE"",""""))))"),"Myn")</f>
        <v>Myn</v>
      </c>
      <c r="L771" s="46" t="s">
        <v>2000</v>
      </c>
      <c r="M771" s="48">
        <v>45255.46063657408</v>
      </c>
    </row>
    <row r="772">
      <c r="A772" s="47">
        <v>45251.721344606485</v>
      </c>
      <c r="B772" s="46" t="s">
        <v>1053</v>
      </c>
      <c r="C772" s="46">
        <v>9.78521872E9</v>
      </c>
      <c r="D772" s="46"/>
      <c r="E772" s="46" t="s">
        <v>26</v>
      </c>
      <c r="F772" s="46"/>
      <c r="G772" s="46" t="s">
        <v>303</v>
      </c>
      <c r="H772" s="46" t="s">
        <v>706</v>
      </c>
      <c r="I772" s="46"/>
      <c r="J772" s="46"/>
      <c r="K772" s="46" t="str">
        <f>IFERROR(__xludf.DUMMYFUNCTION("if(A772="""","""",IF(G772="""",""Myn"",IF(REGEXMATCH(lower(G772),""mynn""),""Myn"",if(G772&lt;&gt;"""",""GEMTRE"",""""))))"),"Myn")</f>
        <v>Myn</v>
      </c>
      <c r="L772" s="46" t="s">
        <v>2000</v>
      </c>
      <c r="M772" s="48">
        <v>45255.46063657408</v>
      </c>
    </row>
    <row r="773">
      <c r="A773" s="47">
        <v>45251.72174417824</v>
      </c>
      <c r="B773" s="46" t="s">
        <v>1054</v>
      </c>
      <c r="C773" s="46">
        <v>9.711226719E9</v>
      </c>
      <c r="D773" s="46"/>
      <c r="E773" s="46"/>
      <c r="F773" s="46"/>
      <c r="G773" s="46" t="s">
        <v>303</v>
      </c>
      <c r="H773" s="46" t="s">
        <v>701</v>
      </c>
      <c r="I773" s="46"/>
      <c r="J773" s="46"/>
      <c r="K773" s="46" t="str">
        <f>IFERROR(__xludf.DUMMYFUNCTION("if(A773="""","""",IF(G773="""",""Myn"",IF(REGEXMATCH(lower(G773),""mynn""),""Myn"",if(G773&lt;&gt;"""",""GEMTRE"",""""))))"),"Myn")</f>
        <v>Myn</v>
      </c>
      <c r="L773" s="46" t="s">
        <v>2000</v>
      </c>
      <c r="M773" s="48">
        <v>45255.46063657408</v>
      </c>
    </row>
    <row r="774">
      <c r="A774" s="47">
        <v>45251.72278030093</v>
      </c>
      <c r="B774" s="46" t="s">
        <v>1055</v>
      </c>
      <c r="C774" s="46">
        <v>9.868917674E9</v>
      </c>
      <c r="D774" s="46"/>
      <c r="E774" s="46" t="s">
        <v>227</v>
      </c>
      <c r="F774" s="46"/>
      <c r="G774" s="46" t="s">
        <v>303</v>
      </c>
      <c r="H774" s="46" t="s">
        <v>706</v>
      </c>
      <c r="I774" s="46"/>
      <c r="J774" s="46"/>
      <c r="K774" s="46" t="str">
        <f>IFERROR(__xludf.DUMMYFUNCTION("if(A774="""","""",IF(G774="""",""Myn"",IF(REGEXMATCH(lower(G774),""mynn""),""Myn"",if(G774&lt;&gt;"""",""GEMTRE"",""""))))"),"Myn")</f>
        <v>Myn</v>
      </c>
      <c r="L774" s="46" t="s">
        <v>2000</v>
      </c>
      <c r="M774" s="48">
        <v>45255.46063657408</v>
      </c>
    </row>
    <row r="775">
      <c r="A775" s="47">
        <v>45251.72293396991</v>
      </c>
      <c r="B775" s="46" t="s">
        <v>1056</v>
      </c>
      <c r="C775" s="46">
        <v>7.98818387E9</v>
      </c>
      <c r="D775" s="46"/>
      <c r="E775" s="46"/>
      <c r="F775" s="46"/>
      <c r="G775" s="46" t="s">
        <v>303</v>
      </c>
      <c r="H775" s="46" t="s">
        <v>701</v>
      </c>
      <c r="I775" s="46"/>
      <c r="J775" s="46"/>
      <c r="K775" s="46" t="str">
        <f>IFERROR(__xludf.DUMMYFUNCTION("if(A775="""","""",IF(G775="""",""Myn"",IF(REGEXMATCH(lower(G775),""mynn""),""Myn"",if(G775&lt;&gt;"""",""GEMTRE"",""""))))"),"Myn")</f>
        <v>Myn</v>
      </c>
      <c r="L775" s="46" t="s">
        <v>2000</v>
      </c>
      <c r="M775" s="48">
        <v>45255.46063657408</v>
      </c>
    </row>
    <row r="776">
      <c r="A776" s="47">
        <v>45251.72871203704</v>
      </c>
      <c r="B776" s="46" t="s">
        <v>1057</v>
      </c>
      <c r="C776" s="46">
        <v>7.678302111E9</v>
      </c>
      <c r="D776" s="46"/>
      <c r="E776" s="46"/>
      <c r="F776" s="46"/>
      <c r="G776" s="46" t="s">
        <v>303</v>
      </c>
      <c r="H776" s="46" t="s">
        <v>701</v>
      </c>
      <c r="I776" s="46"/>
      <c r="J776" s="46"/>
      <c r="K776" s="46" t="str">
        <f>IFERROR(__xludf.DUMMYFUNCTION("if(A776="""","""",IF(G776="""",""Myn"",IF(REGEXMATCH(lower(G776),""mynn""),""Myn"",if(G776&lt;&gt;"""",""GEMTRE"",""""))))"),"Myn")</f>
        <v>Myn</v>
      </c>
      <c r="L776" s="46" t="s">
        <v>2000</v>
      </c>
      <c r="M776" s="48">
        <v>45255.46063657408</v>
      </c>
    </row>
    <row r="777">
      <c r="A777" s="47">
        <v>45251.72907277777</v>
      </c>
      <c r="B777" s="46" t="s">
        <v>1058</v>
      </c>
      <c r="C777" s="46">
        <v>9.717047066E9</v>
      </c>
      <c r="D777" s="46"/>
      <c r="E777" s="46"/>
      <c r="F777" s="46"/>
      <c r="G777" s="46" t="s">
        <v>303</v>
      </c>
      <c r="H777" s="46" t="s">
        <v>701</v>
      </c>
      <c r="I777" s="46"/>
      <c r="J777" s="46"/>
      <c r="K777" s="46" t="str">
        <f>IFERROR(__xludf.DUMMYFUNCTION("if(A777="""","""",IF(G777="""",""Myn"",IF(REGEXMATCH(lower(G777),""mynn""),""Myn"",if(G777&lt;&gt;"""",""GEMTRE"",""""))))"),"Myn")</f>
        <v>Myn</v>
      </c>
      <c r="L777" s="46" t="s">
        <v>2000</v>
      </c>
      <c r="M777" s="48">
        <v>45255.46063657408</v>
      </c>
    </row>
    <row r="778">
      <c r="A778" s="47">
        <v>45251.729262175926</v>
      </c>
      <c r="B778" s="46" t="s">
        <v>1059</v>
      </c>
      <c r="C778" s="46">
        <v>9.810357152E9</v>
      </c>
      <c r="D778" s="46"/>
      <c r="E778" s="46" t="s">
        <v>769</v>
      </c>
      <c r="F778" s="46"/>
      <c r="G778" s="46" t="s">
        <v>303</v>
      </c>
      <c r="H778" s="46" t="s">
        <v>706</v>
      </c>
      <c r="I778" s="46"/>
      <c r="J778" s="46"/>
      <c r="K778" s="46" t="str">
        <f>IFERROR(__xludf.DUMMYFUNCTION("if(A778="""","""",IF(G778="""",""Myn"",IF(REGEXMATCH(lower(G778),""mynn""),""Myn"",if(G778&lt;&gt;"""",""GEMTRE"",""""))))"),"Myn")</f>
        <v>Myn</v>
      </c>
      <c r="L778" s="46" t="s">
        <v>2000</v>
      </c>
      <c r="M778" s="48">
        <v>45255.46063657408</v>
      </c>
    </row>
    <row r="779">
      <c r="A779" s="47">
        <v>45251.729363136576</v>
      </c>
      <c r="B779" s="46" t="s">
        <v>1060</v>
      </c>
      <c r="C779" s="46">
        <v>7.011100151E9</v>
      </c>
      <c r="D779" s="46"/>
      <c r="E779" s="46"/>
      <c r="F779" s="46"/>
      <c r="G779" s="46" t="s">
        <v>303</v>
      </c>
      <c r="H779" s="46" t="s">
        <v>701</v>
      </c>
      <c r="I779" s="46"/>
      <c r="J779" s="46"/>
      <c r="K779" s="46" t="str">
        <f>IFERROR(__xludf.DUMMYFUNCTION("if(A779="""","""",IF(G779="""",""Myn"",IF(REGEXMATCH(lower(G779),""mynn""),""Myn"",if(G779&lt;&gt;"""",""GEMTRE"",""""))))"),"Myn")</f>
        <v>Myn</v>
      </c>
      <c r="L779" s="46" t="s">
        <v>2000</v>
      </c>
      <c r="M779" s="48">
        <v>45255.46063657408</v>
      </c>
    </row>
    <row r="780">
      <c r="A780" s="47">
        <v>45251.73187054398</v>
      </c>
      <c r="B780" s="46" t="s">
        <v>1061</v>
      </c>
      <c r="C780" s="46">
        <v>9.911071738E9</v>
      </c>
      <c r="D780" s="46"/>
      <c r="E780" s="46" t="s">
        <v>227</v>
      </c>
      <c r="F780" s="46"/>
      <c r="G780" s="46" t="s">
        <v>303</v>
      </c>
      <c r="H780" s="46" t="s">
        <v>706</v>
      </c>
      <c r="I780" s="46"/>
      <c r="J780" s="46"/>
      <c r="K780" s="46" t="str">
        <f>IFERROR(__xludf.DUMMYFUNCTION("if(A780="""","""",IF(G780="""",""Myn"",IF(REGEXMATCH(lower(G780),""mynn""),""Myn"",if(G780&lt;&gt;"""",""GEMTRE"",""""))))"),"Myn")</f>
        <v>Myn</v>
      </c>
      <c r="L780" s="46" t="s">
        <v>2000</v>
      </c>
      <c r="M780" s="48">
        <v>45255.46063657408</v>
      </c>
    </row>
    <row r="781">
      <c r="A781" s="47">
        <v>45251.733613703705</v>
      </c>
      <c r="B781" s="46" t="s">
        <v>1062</v>
      </c>
      <c r="C781" s="46">
        <v>9.999778779E9</v>
      </c>
      <c r="D781" s="46"/>
      <c r="E781" s="46"/>
      <c r="F781" s="46"/>
      <c r="G781" s="46" t="s">
        <v>303</v>
      </c>
      <c r="H781" s="46" t="s">
        <v>701</v>
      </c>
      <c r="I781" s="46"/>
      <c r="J781" s="46"/>
      <c r="K781" s="46" t="str">
        <f>IFERROR(__xludf.DUMMYFUNCTION("if(A781="""","""",IF(G781="""",""Myn"",IF(REGEXMATCH(lower(G781),""mynn""),""Myn"",if(G781&lt;&gt;"""",""GEMTRE"",""""))))"),"Myn")</f>
        <v>Myn</v>
      </c>
      <c r="L781" s="46" t="s">
        <v>2000</v>
      </c>
      <c r="M781" s="48">
        <v>45255.46063657408</v>
      </c>
    </row>
    <row r="782">
      <c r="A782" s="47">
        <v>45251.73514690972</v>
      </c>
      <c r="B782" s="46" t="s">
        <v>1063</v>
      </c>
      <c r="C782" s="46">
        <v>8.076405075E9</v>
      </c>
      <c r="D782" s="46"/>
      <c r="E782" s="46"/>
      <c r="F782" s="46"/>
      <c r="G782" s="46" t="s">
        <v>303</v>
      </c>
      <c r="H782" s="46" t="s">
        <v>701</v>
      </c>
      <c r="I782" s="46"/>
      <c r="J782" s="46"/>
      <c r="K782" s="46" t="str">
        <f>IFERROR(__xludf.DUMMYFUNCTION("if(A782="""","""",IF(G782="""",""Myn"",IF(REGEXMATCH(lower(G782),""mynn""),""Myn"",if(G782&lt;&gt;"""",""GEMTRE"",""""))))"),"Myn")</f>
        <v>Myn</v>
      </c>
      <c r="L782" s="46" t="s">
        <v>2000</v>
      </c>
      <c r="M782" s="48">
        <v>45255.46063657408</v>
      </c>
    </row>
    <row r="783">
      <c r="A783" s="47">
        <v>45251.73589173611</v>
      </c>
      <c r="B783" s="46" t="s">
        <v>1064</v>
      </c>
      <c r="C783" s="46">
        <v>9.540715413E9</v>
      </c>
      <c r="D783" s="46"/>
      <c r="E783" s="46"/>
      <c r="F783" s="46"/>
      <c r="G783" s="46" t="s">
        <v>303</v>
      </c>
      <c r="H783" s="46" t="s">
        <v>701</v>
      </c>
      <c r="I783" s="46"/>
      <c r="J783" s="46"/>
      <c r="K783" s="46" t="str">
        <f>IFERROR(__xludf.DUMMYFUNCTION("if(A783="""","""",IF(G783="""",""Myn"",IF(REGEXMATCH(lower(G783),""mynn""),""Myn"",if(G783&lt;&gt;"""",""GEMTRE"",""""))))"),"Myn")</f>
        <v>Myn</v>
      </c>
      <c r="L783" s="46" t="s">
        <v>2000</v>
      </c>
      <c r="M783" s="48">
        <v>45255.46063657408</v>
      </c>
    </row>
    <row r="784">
      <c r="A784" s="47">
        <v>45251.73751195602</v>
      </c>
      <c r="B784" s="46" t="s">
        <v>1065</v>
      </c>
      <c r="C784" s="46">
        <v>9.87319521E9</v>
      </c>
      <c r="D784" s="46"/>
      <c r="E784" s="46"/>
      <c r="F784" s="46"/>
      <c r="G784" s="46" t="s">
        <v>303</v>
      </c>
      <c r="H784" s="46" t="s">
        <v>701</v>
      </c>
      <c r="I784" s="46"/>
      <c r="J784" s="46"/>
      <c r="K784" s="46" t="str">
        <f>IFERROR(__xludf.DUMMYFUNCTION("if(A784="""","""",IF(G784="""",""Myn"",IF(REGEXMATCH(lower(G784),""mynn""),""Myn"",if(G784&lt;&gt;"""",""GEMTRE"",""""))))"),"Myn")</f>
        <v>Myn</v>
      </c>
      <c r="L784" s="46" t="s">
        <v>2000</v>
      </c>
      <c r="M784" s="48">
        <v>45255.46063657408</v>
      </c>
    </row>
    <row r="785">
      <c r="A785" s="47">
        <v>45251.7377844213</v>
      </c>
      <c r="B785" s="46" t="s">
        <v>1066</v>
      </c>
      <c r="C785" s="46">
        <v>8.287384502E9</v>
      </c>
      <c r="D785" s="46"/>
      <c r="E785" s="46"/>
      <c r="F785" s="46"/>
      <c r="G785" s="46" t="s">
        <v>303</v>
      </c>
      <c r="H785" s="46" t="s">
        <v>701</v>
      </c>
      <c r="I785" s="46"/>
      <c r="J785" s="46"/>
      <c r="K785" s="46" t="str">
        <f>IFERROR(__xludf.DUMMYFUNCTION("if(A785="""","""",IF(G785="""",""Myn"",IF(REGEXMATCH(lower(G785),""mynn""),""Myn"",if(G785&lt;&gt;"""",""GEMTRE"",""""))))"),"Myn")</f>
        <v>Myn</v>
      </c>
      <c r="L785" s="46" t="s">
        <v>2000</v>
      </c>
      <c r="M785" s="48">
        <v>45255.46063657408</v>
      </c>
    </row>
    <row r="786">
      <c r="A786" s="47">
        <v>45251.741057673615</v>
      </c>
      <c r="B786" s="46" t="s">
        <v>1067</v>
      </c>
      <c r="C786" s="46">
        <v>8.920271919E9</v>
      </c>
      <c r="D786" s="46" t="s">
        <v>704</v>
      </c>
      <c r="E786" s="46" t="s">
        <v>1068</v>
      </c>
      <c r="F786" s="46"/>
      <c r="G786" s="46" t="s">
        <v>303</v>
      </c>
      <c r="H786" s="46" t="s">
        <v>706</v>
      </c>
      <c r="I786" s="46"/>
      <c r="J786" s="46"/>
      <c r="K786" s="46" t="str">
        <f>IFERROR(__xludf.DUMMYFUNCTION("if(A786="""","""",IF(G786="""",""Myn"",IF(REGEXMATCH(lower(G786),""mynn""),""Myn"",if(G786&lt;&gt;"""",""GEMTRE"",""""))))"),"Myn")</f>
        <v>Myn</v>
      </c>
      <c r="L786" s="46" t="s">
        <v>2000</v>
      </c>
      <c r="M786" s="48">
        <v>45255.46063657408</v>
      </c>
    </row>
    <row r="787">
      <c r="A787" s="47">
        <v>45251.74337270833</v>
      </c>
      <c r="B787" s="46" t="s">
        <v>1069</v>
      </c>
      <c r="C787" s="46">
        <v>9.898568358E9</v>
      </c>
      <c r="D787" s="46"/>
      <c r="E787" s="46"/>
      <c r="F787" s="46"/>
      <c r="G787" s="46" t="s">
        <v>303</v>
      </c>
      <c r="H787" s="46" t="s">
        <v>706</v>
      </c>
      <c r="I787" s="46"/>
      <c r="J787" s="46"/>
      <c r="K787" s="46" t="str">
        <f>IFERROR(__xludf.DUMMYFUNCTION("if(A787="""","""",IF(G787="""",""Myn"",IF(REGEXMATCH(lower(G787),""mynn""),""Myn"",if(G787&lt;&gt;"""",""GEMTRE"",""""))))"),"Myn")</f>
        <v>Myn</v>
      </c>
      <c r="L787" s="46" t="s">
        <v>2000</v>
      </c>
      <c r="M787" s="48">
        <v>45255.46063657408</v>
      </c>
    </row>
    <row r="788">
      <c r="A788" s="47">
        <v>45251.74557240741</v>
      </c>
      <c r="B788" s="46" t="s">
        <v>1070</v>
      </c>
      <c r="C788" s="46">
        <v>9.560356725E9</v>
      </c>
      <c r="D788" s="46"/>
      <c r="E788" s="46"/>
      <c r="F788" s="46"/>
      <c r="G788" s="46" t="s">
        <v>303</v>
      </c>
      <c r="H788" s="46" t="s">
        <v>701</v>
      </c>
      <c r="I788" s="46"/>
      <c r="J788" s="46"/>
      <c r="K788" s="46" t="str">
        <f>IFERROR(__xludf.DUMMYFUNCTION("if(A788="""","""",IF(G788="""",""Myn"",IF(REGEXMATCH(lower(G788),""mynn""),""Myn"",if(G788&lt;&gt;"""",""GEMTRE"",""""))))"),"Myn")</f>
        <v>Myn</v>
      </c>
      <c r="L788" s="46" t="s">
        <v>2000</v>
      </c>
      <c r="M788" s="48">
        <v>45255.46063657408</v>
      </c>
    </row>
    <row r="789">
      <c r="A789" s="47">
        <v>45251.74593244213</v>
      </c>
      <c r="B789" s="46" t="s">
        <v>1071</v>
      </c>
      <c r="C789" s="46"/>
      <c r="D789" s="46">
        <v>8.851558975E9</v>
      </c>
      <c r="E789" s="46"/>
      <c r="F789" s="46"/>
      <c r="G789" s="46" t="s">
        <v>303</v>
      </c>
      <c r="H789" s="46" t="s">
        <v>701</v>
      </c>
      <c r="I789" s="46"/>
      <c r="J789" s="46"/>
      <c r="K789" s="46" t="str">
        <f>IFERROR(__xludf.DUMMYFUNCTION("if(A789="""","""",IF(G789="""",""Myn"",IF(REGEXMATCH(lower(G789),""mynn""),""Myn"",if(G789&lt;&gt;"""",""GEMTRE"",""""))))"),"Myn")</f>
        <v>Myn</v>
      </c>
      <c r="L789" s="46" t="s">
        <v>2000</v>
      </c>
      <c r="M789" s="48">
        <v>45255.46063657408</v>
      </c>
    </row>
    <row r="790">
      <c r="A790" s="47">
        <v>45251.74651414352</v>
      </c>
      <c r="B790" s="46" t="s">
        <v>1072</v>
      </c>
      <c r="C790" s="46">
        <v>9.897292396E9</v>
      </c>
      <c r="D790" s="46"/>
      <c r="E790" s="46"/>
      <c r="F790" s="46"/>
      <c r="G790" s="46" t="s">
        <v>303</v>
      </c>
      <c r="H790" s="46" t="s">
        <v>701</v>
      </c>
      <c r="I790" s="46"/>
      <c r="J790" s="46"/>
      <c r="K790" s="46" t="str">
        <f>IFERROR(__xludf.DUMMYFUNCTION("if(A790="""","""",IF(G790="""",""Myn"",IF(REGEXMATCH(lower(G790),""mynn""),""Myn"",if(G790&lt;&gt;"""",""GEMTRE"",""""))))"),"Myn")</f>
        <v>Myn</v>
      </c>
      <c r="L790" s="46" t="s">
        <v>2000</v>
      </c>
      <c r="M790" s="48">
        <v>45255.46063657408</v>
      </c>
    </row>
    <row r="791">
      <c r="A791" s="47">
        <v>45251.75180096064</v>
      </c>
      <c r="B791" s="46" t="s">
        <v>1073</v>
      </c>
      <c r="C791" s="46">
        <v>9.810050886E9</v>
      </c>
      <c r="D791" s="46"/>
      <c r="E791" s="46"/>
      <c r="F791" s="46"/>
      <c r="G791" s="46" t="s">
        <v>303</v>
      </c>
      <c r="H791" s="46" t="s">
        <v>706</v>
      </c>
      <c r="I791" s="46"/>
      <c r="J791" s="46"/>
      <c r="K791" s="46" t="str">
        <f>IFERROR(__xludf.DUMMYFUNCTION("if(A791="""","""",IF(G791="""",""Myn"",IF(REGEXMATCH(lower(G791),""mynn""),""Myn"",if(G791&lt;&gt;"""",""GEMTRE"",""""))))"),"Myn")</f>
        <v>Myn</v>
      </c>
      <c r="L791" s="46" t="s">
        <v>2000</v>
      </c>
      <c r="M791" s="48">
        <v>45255.46063657408</v>
      </c>
    </row>
    <row r="792">
      <c r="A792" s="47">
        <v>45251.75291592593</v>
      </c>
      <c r="B792" s="46" t="s">
        <v>109</v>
      </c>
      <c r="C792" s="46">
        <v>9.650473808E9</v>
      </c>
      <c r="D792" s="46"/>
      <c r="E792" s="46"/>
      <c r="F792" s="46"/>
      <c r="G792" s="46" t="s">
        <v>303</v>
      </c>
      <c r="H792" s="46" t="s">
        <v>701</v>
      </c>
      <c r="I792" s="46"/>
      <c r="J792" s="46"/>
      <c r="K792" s="46" t="str">
        <f>IFERROR(__xludf.DUMMYFUNCTION("if(A792="""","""",IF(G792="""",""Myn"",IF(REGEXMATCH(lower(G792),""mynn""),""Myn"",if(G792&lt;&gt;"""",""GEMTRE"",""""))))"),"Myn")</f>
        <v>Myn</v>
      </c>
      <c r="L792" s="46" t="s">
        <v>2000</v>
      </c>
      <c r="M792" s="48">
        <v>45255.46063657408</v>
      </c>
    </row>
    <row r="793">
      <c r="A793" s="47">
        <v>45251.753357974536</v>
      </c>
      <c r="B793" s="46" t="s">
        <v>1074</v>
      </c>
      <c r="C793" s="46">
        <v>8.810455353E9</v>
      </c>
      <c r="D793" s="46"/>
      <c r="E793" s="46" t="s">
        <v>79</v>
      </c>
      <c r="F793" s="46"/>
      <c r="G793" s="46" t="s">
        <v>303</v>
      </c>
      <c r="H793" s="46" t="s">
        <v>706</v>
      </c>
      <c r="I793" s="46"/>
      <c r="J793" s="46"/>
      <c r="K793" s="46" t="str">
        <f>IFERROR(__xludf.DUMMYFUNCTION("if(A793="""","""",IF(G793="""",""Myn"",IF(REGEXMATCH(lower(G793),""mynn""),""Myn"",if(G793&lt;&gt;"""",""GEMTRE"",""""))))"),"Myn")</f>
        <v>Myn</v>
      </c>
      <c r="L793" s="46" t="s">
        <v>2000</v>
      </c>
      <c r="M793" s="48">
        <v>45255.46063657408</v>
      </c>
    </row>
    <row r="794">
      <c r="A794" s="47">
        <v>45251.754137627315</v>
      </c>
      <c r="B794" s="46" t="s">
        <v>1075</v>
      </c>
      <c r="C794" s="46">
        <v>8.287463205E9</v>
      </c>
      <c r="D794" s="46"/>
      <c r="E794" s="46" t="s">
        <v>79</v>
      </c>
      <c r="F794" s="46"/>
      <c r="G794" s="46" t="s">
        <v>303</v>
      </c>
      <c r="H794" s="46" t="s">
        <v>706</v>
      </c>
      <c r="I794" s="46"/>
      <c r="J794" s="46"/>
      <c r="K794" s="46" t="str">
        <f>IFERROR(__xludf.DUMMYFUNCTION("if(A794="""","""",IF(G794="""",""Myn"",IF(REGEXMATCH(lower(G794),""mynn""),""Myn"",if(G794&lt;&gt;"""",""GEMTRE"",""""))))"),"Myn")</f>
        <v>Myn</v>
      </c>
      <c r="L794" s="46" t="s">
        <v>2000</v>
      </c>
      <c r="M794" s="48">
        <v>45255.46063657408</v>
      </c>
    </row>
    <row r="795">
      <c r="A795" s="47">
        <v>45251.754642789354</v>
      </c>
      <c r="B795" s="46" t="s">
        <v>470</v>
      </c>
      <c r="C795" s="46">
        <v>8.882757533E9</v>
      </c>
      <c r="D795" s="46"/>
      <c r="E795" s="46"/>
      <c r="F795" s="46"/>
      <c r="G795" s="46" t="s">
        <v>303</v>
      </c>
      <c r="H795" s="46" t="s">
        <v>706</v>
      </c>
      <c r="I795" s="46"/>
      <c r="J795" s="46"/>
      <c r="K795" s="46" t="str">
        <f>IFERROR(__xludf.DUMMYFUNCTION("if(A795="""","""",IF(G795="""",""Myn"",IF(REGEXMATCH(lower(G795),""mynn""),""Myn"",if(G795&lt;&gt;"""",""GEMTRE"",""""))))"),"Myn")</f>
        <v>Myn</v>
      </c>
      <c r="L795" s="46" t="s">
        <v>2000</v>
      </c>
      <c r="M795" s="48">
        <v>45255.46063657408</v>
      </c>
    </row>
    <row r="796">
      <c r="A796" s="47">
        <v>45251.75525825231</v>
      </c>
      <c r="B796" s="46" t="s">
        <v>1076</v>
      </c>
      <c r="C796" s="46">
        <v>7.701992094E9</v>
      </c>
      <c r="D796" s="46" t="s">
        <v>1077</v>
      </c>
      <c r="E796" s="46"/>
      <c r="F796" s="46"/>
      <c r="G796" s="46" t="s">
        <v>303</v>
      </c>
      <c r="H796" s="46" t="s">
        <v>701</v>
      </c>
      <c r="I796" s="46"/>
      <c r="J796" s="46"/>
      <c r="K796" s="46" t="str">
        <f>IFERROR(__xludf.DUMMYFUNCTION("if(A796="""","""",IF(G796="""",""Myn"",IF(REGEXMATCH(lower(G796),""mynn""),""Myn"",if(G796&lt;&gt;"""",""GEMTRE"",""""))))"),"Myn")</f>
        <v>Myn</v>
      </c>
      <c r="L796" s="46" t="s">
        <v>2000</v>
      </c>
      <c r="M796" s="48">
        <v>45255.46063657408</v>
      </c>
    </row>
    <row r="797">
      <c r="A797" s="47">
        <v>45251.75527546296</v>
      </c>
      <c r="B797" s="46" t="s">
        <v>578</v>
      </c>
      <c r="C797" s="46">
        <v>7.302058607E9</v>
      </c>
      <c r="D797" s="46"/>
      <c r="E797" s="46"/>
      <c r="F797" s="46"/>
      <c r="G797" s="46" t="s">
        <v>303</v>
      </c>
      <c r="H797" s="46" t="s">
        <v>701</v>
      </c>
      <c r="I797" s="46"/>
      <c r="J797" s="46"/>
      <c r="K797" s="46" t="str">
        <f>IFERROR(__xludf.DUMMYFUNCTION("if(A797="""","""",IF(G797="""",""Myn"",IF(REGEXMATCH(lower(G797),""mynn""),""Myn"",if(G797&lt;&gt;"""",""GEMTRE"",""""))))"),"Myn")</f>
        <v>Myn</v>
      </c>
      <c r="L797" s="46" t="s">
        <v>2000</v>
      </c>
      <c r="M797" s="48">
        <v>45255.46063657408</v>
      </c>
    </row>
    <row r="798">
      <c r="A798" s="47">
        <v>45251.75636079861</v>
      </c>
      <c r="B798" s="46" t="s">
        <v>1078</v>
      </c>
      <c r="C798" s="46">
        <v>9.069383477E9</v>
      </c>
      <c r="D798" s="46"/>
      <c r="E798" s="46"/>
      <c r="F798" s="46"/>
      <c r="G798" s="46" t="s">
        <v>303</v>
      </c>
      <c r="H798" s="46" t="s">
        <v>701</v>
      </c>
      <c r="I798" s="46"/>
      <c r="J798" s="46"/>
      <c r="K798" s="46" t="str">
        <f>IFERROR(__xludf.DUMMYFUNCTION("if(A798="""","""",IF(G798="""",""Myn"",IF(REGEXMATCH(lower(G798),""mynn""),""Myn"",if(G798&lt;&gt;"""",""GEMTRE"",""""))))"),"Myn")</f>
        <v>Myn</v>
      </c>
      <c r="L798" s="46" t="s">
        <v>2000</v>
      </c>
      <c r="M798" s="48">
        <v>45255.46063657408</v>
      </c>
    </row>
    <row r="799">
      <c r="A799" s="47">
        <v>45251.7564790162</v>
      </c>
      <c r="B799" s="46" t="s">
        <v>1079</v>
      </c>
      <c r="C799" s="46">
        <v>8.285771333E9</v>
      </c>
      <c r="D799" s="46"/>
      <c r="E799" s="46"/>
      <c r="F799" s="46"/>
      <c r="G799" s="46" t="s">
        <v>303</v>
      </c>
      <c r="H799" s="46" t="s">
        <v>701</v>
      </c>
      <c r="I799" s="46"/>
      <c r="J799" s="46"/>
      <c r="K799" s="46" t="str">
        <f>IFERROR(__xludf.DUMMYFUNCTION("if(A799="""","""",IF(G799="""",""Myn"",IF(REGEXMATCH(lower(G799),""mynn""),""Myn"",if(G799&lt;&gt;"""",""GEMTRE"",""""))))"),"Myn")</f>
        <v>Myn</v>
      </c>
      <c r="L799" s="46" t="s">
        <v>2000</v>
      </c>
      <c r="M799" s="48">
        <v>45255.46063657408</v>
      </c>
    </row>
    <row r="800">
      <c r="A800" s="47">
        <v>45251.756756585644</v>
      </c>
      <c r="B800" s="46" t="s">
        <v>1080</v>
      </c>
      <c r="C800" s="46">
        <v>9.369861936E9</v>
      </c>
      <c r="D800" s="46"/>
      <c r="E800" s="46" t="s">
        <v>79</v>
      </c>
      <c r="F800" s="46"/>
      <c r="G800" s="46" t="s">
        <v>303</v>
      </c>
      <c r="H800" s="46" t="s">
        <v>706</v>
      </c>
      <c r="I800" s="46"/>
      <c r="J800" s="46"/>
      <c r="K800" s="46" t="str">
        <f>IFERROR(__xludf.DUMMYFUNCTION("if(A800="""","""",IF(G800="""",""Myn"",IF(REGEXMATCH(lower(G800),""mynn""),""Myn"",if(G800&lt;&gt;"""",""GEMTRE"",""""))))"),"Myn")</f>
        <v>Myn</v>
      </c>
      <c r="L800" s="46" t="s">
        <v>2000</v>
      </c>
      <c r="M800" s="48">
        <v>45255.46063657408</v>
      </c>
    </row>
    <row r="801">
      <c r="A801" s="47">
        <v>45251.75691725695</v>
      </c>
      <c r="B801" s="46" t="s">
        <v>1081</v>
      </c>
      <c r="C801" s="46">
        <v>8.373990865E9</v>
      </c>
      <c r="D801" s="46"/>
      <c r="E801" s="46"/>
      <c r="F801" s="46"/>
      <c r="G801" s="46" t="s">
        <v>303</v>
      </c>
      <c r="H801" s="46" t="s">
        <v>701</v>
      </c>
      <c r="I801" s="46"/>
      <c r="J801" s="46"/>
      <c r="K801" s="46" t="str">
        <f>IFERROR(__xludf.DUMMYFUNCTION("if(A801="""","""",IF(G801="""",""Myn"",IF(REGEXMATCH(lower(G801),""mynn""),""Myn"",if(G801&lt;&gt;"""",""GEMTRE"",""""))))"),"Myn")</f>
        <v>Myn</v>
      </c>
      <c r="L801" s="46" t="s">
        <v>2000</v>
      </c>
      <c r="M801" s="48">
        <v>45255.46063657408</v>
      </c>
    </row>
    <row r="802">
      <c r="A802" s="47">
        <v>45251.75747537037</v>
      </c>
      <c r="B802" s="46" t="s">
        <v>1082</v>
      </c>
      <c r="C802" s="46">
        <v>9.81107104E9</v>
      </c>
      <c r="D802" s="46"/>
      <c r="E802" s="46" t="s">
        <v>1083</v>
      </c>
      <c r="F802" s="46"/>
      <c r="G802" s="46" t="s">
        <v>303</v>
      </c>
      <c r="H802" s="46" t="s">
        <v>706</v>
      </c>
      <c r="I802" s="46"/>
      <c r="J802" s="46"/>
      <c r="K802" s="46" t="str">
        <f>IFERROR(__xludf.DUMMYFUNCTION("if(A802="""","""",IF(G802="""",""Myn"",IF(REGEXMATCH(lower(G802),""mynn""),""Myn"",if(G802&lt;&gt;"""",""GEMTRE"",""""))))"),"Myn")</f>
        <v>Myn</v>
      </c>
      <c r="L802" s="46" t="s">
        <v>2000</v>
      </c>
      <c r="M802" s="48">
        <v>45255.46063657408</v>
      </c>
    </row>
    <row r="803">
      <c r="A803" s="47">
        <v>45251.7578035301</v>
      </c>
      <c r="B803" s="46" t="s">
        <v>1084</v>
      </c>
      <c r="C803" s="46">
        <v>7.827420999E9</v>
      </c>
      <c r="D803" s="46"/>
      <c r="E803" s="46"/>
      <c r="F803" s="46"/>
      <c r="G803" s="46" t="s">
        <v>303</v>
      </c>
      <c r="H803" s="46" t="s">
        <v>701</v>
      </c>
      <c r="I803" s="46"/>
      <c r="J803" s="46"/>
      <c r="K803" s="46" t="str">
        <f>IFERROR(__xludf.DUMMYFUNCTION("if(A803="""","""",IF(G803="""",""Myn"",IF(REGEXMATCH(lower(G803),""mynn""),""Myn"",if(G803&lt;&gt;"""",""GEMTRE"",""""))))"),"Myn")</f>
        <v>Myn</v>
      </c>
      <c r="L803" s="46" t="s">
        <v>2000</v>
      </c>
      <c r="M803" s="48">
        <v>45255.46063657408</v>
      </c>
    </row>
    <row r="804">
      <c r="A804" s="47">
        <v>45251.75788770833</v>
      </c>
      <c r="B804" s="46" t="s">
        <v>1085</v>
      </c>
      <c r="C804" s="46">
        <v>8.178369552E9</v>
      </c>
      <c r="D804" s="46"/>
      <c r="E804" s="46"/>
      <c r="F804" s="46"/>
      <c r="G804" s="46" t="s">
        <v>303</v>
      </c>
      <c r="H804" s="46" t="s">
        <v>701</v>
      </c>
      <c r="I804" s="46"/>
      <c r="J804" s="46"/>
      <c r="K804" s="46" t="str">
        <f>IFERROR(__xludf.DUMMYFUNCTION("if(A804="""","""",IF(G804="""",""Myn"",IF(REGEXMATCH(lower(G804),""mynn""),""Myn"",if(G804&lt;&gt;"""",""GEMTRE"",""""))))"),"Myn")</f>
        <v>Myn</v>
      </c>
      <c r="L804" s="46" t="s">
        <v>2000</v>
      </c>
      <c r="M804" s="48">
        <v>45255.46063657408</v>
      </c>
    </row>
    <row r="805">
      <c r="A805" s="47">
        <v>45251.75901052084</v>
      </c>
      <c r="B805" s="46" t="s">
        <v>1086</v>
      </c>
      <c r="C805" s="46">
        <v>8.882673359E9</v>
      </c>
      <c r="D805" s="46"/>
      <c r="E805" s="46"/>
      <c r="F805" s="46"/>
      <c r="G805" s="46" t="s">
        <v>303</v>
      </c>
      <c r="H805" s="46" t="s">
        <v>701</v>
      </c>
      <c r="I805" s="46"/>
      <c r="J805" s="46"/>
      <c r="K805" s="46" t="str">
        <f>IFERROR(__xludf.DUMMYFUNCTION("if(A805="""","""",IF(G805="""",""Myn"",IF(REGEXMATCH(lower(G805),""mynn""),""Myn"",if(G805&lt;&gt;"""",""GEMTRE"",""""))))"),"Myn")</f>
        <v>Myn</v>
      </c>
      <c r="L805" s="46" t="s">
        <v>2000</v>
      </c>
      <c r="M805" s="48">
        <v>45255.46063657408</v>
      </c>
    </row>
    <row r="806">
      <c r="A806" s="47">
        <v>45251.75979217593</v>
      </c>
      <c r="B806" s="46" t="s">
        <v>1087</v>
      </c>
      <c r="C806" s="46">
        <v>8.802259205E9</v>
      </c>
      <c r="D806" s="46"/>
      <c r="E806" s="46" t="s">
        <v>79</v>
      </c>
      <c r="F806" s="46"/>
      <c r="G806" s="46" t="s">
        <v>303</v>
      </c>
      <c r="H806" s="46" t="s">
        <v>706</v>
      </c>
      <c r="I806" s="46"/>
      <c r="J806" s="46"/>
      <c r="K806" s="46" t="str">
        <f>IFERROR(__xludf.DUMMYFUNCTION("if(A806="""","""",IF(G806="""",""Myn"",IF(REGEXMATCH(lower(G806),""mynn""),""Myn"",if(G806&lt;&gt;"""",""GEMTRE"",""""))))"),"Myn")</f>
        <v>Myn</v>
      </c>
      <c r="L806" s="46" t="s">
        <v>2000</v>
      </c>
      <c r="M806" s="48">
        <v>45255.46063657408</v>
      </c>
    </row>
    <row r="807">
      <c r="A807" s="47">
        <v>45251.76613146991</v>
      </c>
      <c r="B807" s="46" t="s">
        <v>802</v>
      </c>
      <c r="C807" s="46">
        <v>9.416013958E9</v>
      </c>
      <c r="D807" s="46"/>
      <c r="E807" s="46" t="s">
        <v>918</v>
      </c>
      <c r="F807" s="46"/>
      <c r="G807" s="46" t="s">
        <v>303</v>
      </c>
      <c r="H807" s="46" t="s">
        <v>701</v>
      </c>
      <c r="I807" s="46"/>
      <c r="J807" s="46"/>
      <c r="K807" s="46" t="str">
        <f>IFERROR(__xludf.DUMMYFUNCTION("if(A807="""","""",IF(G807="""",""Myn"",IF(REGEXMATCH(lower(G807),""mynn""),""Myn"",if(G807&lt;&gt;"""",""GEMTRE"",""""))))"),"Myn")</f>
        <v>Myn</v>
      </c>
      <c r="L807" s="46" t="s">
        <v>2000</v>
      </c>
      <c r="M807" s="48">
        <v>45255.46063657408</v>
      </c>
    </row>
    <row r="808">
      <c r="A808" s="47">
        <v>45251.76668929398</v>
      </c>
      <c r="B808" s="46" t="s">
        <v>916</v>
      </c>
      <c r="C808" s="46">
        <v>9.818122775E9</v>
      </c>
      <c r="D808" s="46"/>
      <c r="E808" s="46"/>
      <c r="F808" s="46"/>
      <c r="G808" s="46" t="s">
        <v>303</v>
      </c>
      <c r="H808" s="46" t="s">
        <v>701</v>
      </c>
      <c r="I808" s="46"/>
      <c r="J808" s="46"/>
      <c r="K808" s="46" t="str">
        <f>IFERROR(__xludf.DUMMYFUNCTION("if(A808="""","""",IF(G808="""",""Myn"",IF(REGEXMATCH(lower(G808),""mynn""),""Myn"",if(G808&lt;&gt;"""",""GEMTRE"",""""))))"),"Myn")</f>
        <v>Myn</v>
      </c>
      <c r="L808" s="46" t="s">
        <v>2000</v>
      </c>
      <c r="M808" s="48">
        <v>45255.46063657408</v>
      </c>
    </row>
    <row r="809">
      <c r="A809" s="47">
        <v>45251.77132280092</v>
      </c>
      <c r="B809" s="46" t="s">
        <v>1088</v>
      </c>
      <c r="C809" s="46">
        <v>9.910947361E9</v>
      </c>
      <c r="D809" s="46"/>
      <c r="E809" s="46" t="s">
        <v>1089</v>
      </c>
      <c r="F809" s="46"/>
      <c r="G809" s="46" t="s">
        <v>303</v>
      </c>
      <c r="H809" s="46" t="s">
        <v>706</v>
      </c>
      <c r="I809" s="46"/>
      <c r="J809" s="46"/>
      <c r="K809" s="46" t="str">
        <f>IFERROR(__xludf.DUMMYFUNCTION("if(A809="""","""",IF(G809="""",""Myn"",IF(REGEXMATCH(lower(G809),""mynn""),""Myn"",if(G809&lt;&gt;"""",""GEMTRE"",""""))))"),"Myn")</f>
        <v>Myn</v>
      </c>
      <c r="L809" s="46" t="s">
        <v>2000</v>
      </c>
      <c r="M809" s="48">
        <v>45255.46063657408</v>
      </c>
    </row>
    <row r="810">
      <c r="A810" s="47">
        <v>45251.77296512731</v>
      </c>
      <c r="B810" s="46" t="s">
        <v>392</v>
      </c>
      <c r="C810" s="46">
        <v>9.718419266E9</v>
      </c>
      <c r="D810" s="46"/>
      <c r="E810" s="46"/>
      <c r="F810" s="46"/>
      <c r="G810" s="46" t="s">
        <v>303</v>
      </c>
      <c r="H810" s="46" t="s">
        <v>1035</v>
      </c>
      <c r="I810" s="46"/>
      <c r="J810" s="46"/>
      <c r="K810" s="46" t="str">
        <f>IFERROR(__xludf.DUMMYFUNCTION("if(A810="""","""",IF(G810="""",""Myn"",IF(REGEXMATCH(lower(G810),""mynn""),""Myn"",if(G810&lt;&gt;"""",""GEMTRE"",""""))))"),"Myn")</f>
        <v>Myn</v>
      </c>
      <c r="L810" s="46" t="s">
        <v>2000</v>
      </c>
      <c r="M810" s="48">
        <v>45255.46063657408</v>
      </c>
    </row>
    <row r="811">
      <c r="A811" s="47">
        <v>45251.77618424769</v>
      </c>
      <c r="B811" s="46" t="s">
        <v>1090</v>
      </c>
      <c r="C811" s="46">
        <v>7.906432313E9</v>
      </c>
      <c r="D811" s="46"/>
      <c r="E811" s="46"/>
      <c r="F811" s="46"/>
      <c r="G811" s="46" t="s">
        <v>303</v>
      </c>
      <c r="H811" s="46" t="s">
        <v>701</v>
      </c>
      <c r="I811" s="46"/>
      <c r="J811" s="46"/>
      <c r="K811" s="46" t="str">
        <f>IFERROR(__xludf.DUMMYFUNCTION("if(A811="""","""",IF(G811="""",""Myn"",IF(REGEXMATCH(lower(G811),""mynn""),""Myn"",if(G811&lt;&gt;"""",""GEMTRE"",""""))))"),"Myn")</f>
        <v>Myn</v>
      </c>
      <c r="L811" s="46" t="s">
        <v>2000</v>
      </c>
      <c r="M811" s="48">
        <v>45255.46063657408</v>
      </c>
    </row>
    <row r="812">
      <c r="A812" s="47">
        <v>45251.777739178244</v>
      </c>
      <c r="B812" s="46" t="s">
        <v>1091</v>
      </c>
      <c r="C812" s="46">
        <v>9.65066964E9</v>
      </c>
      <c r="D812" s="46" t="s">
        <v>1092</v>
      </c>
      <c r="E812" s="46"/>
      <c r="F812" s="46"/>
      <c r="G812" s="46" t="s">
        <v>303</v>
      </c>
      <c r="H812" s="46" t="s">
        <v>701</v>
      </c>
      <c r="I812" s="46"/>
      <c r="J812" s="46"/>
      <c r="K812" s="46" t="str">
        <f>IFERROR(__xludf.DUMMYFUNCTION("if(A812="""","""",IF(G812="""",""Myn"",IF(REGEXMATCH(lower(G812),""mynn""),""Myn"",if(G812&lt;&gt;"""",""GEMTRE"",""""))))"),"Myn")</f>
        <v>Myn</v>
      </c>
      <c r="L812" s="46" t="s">
        <v>2000</v>
      </c>
      <c r="M812" s="48">
        <v>45255.46063657408</v>
      </c>
    </row>
    <row r="813">
      <c r="A813" s="47">
        <v>45251.777756157404</v>
      </c>
      <c r="B813" s="46" t="s">
        <v>1093</v>
      </c>
      <c r="C813" s="46">
        <v>7.290997342E9</v>
      </c>
      <c r="D813" s="46"/>
      <c r="E813" s="46"/>
      <c r="F813" s="46"/>
      <c r="G813" s="46" t="s">
        <v>303</v>
      </c>
      <c r="H813" s="46" t="s">
        <v>701</v>
      </c>
      <c r="I813" s="46"/>
      <c r="J813" s="46"/>
      <c r="K813" s="46" t="str">
        <f>IFERROR(__xludf.DUMMYFUNCTION("if(A813="""","""",IF(G813="""",""Myn"",IF(REGEXMATCH(lower(G813),""mynn""),""Myn"",if(G813&lt;&gt;"""",""GEMTRE"",""""))))"),"Myn")</f>
        <v>Myn</v>
      </c>
      <c r="L813" s="46" t="s">
        <v>2000</v>
      </c>
      <c r="M813" s="48">
        <v>45255.46063657408</v>
      </c>
    </row>
    <row r="814">
      <c r="A814" s="47">
        <v>45251.7779984838</v>
      </c>
      <c r="B814" s="46" t="s">
        <v>1094</v>
      </c>
      <c r="C814" s="46">
        <v>9.899200949E9</v>
      </c>
      <c r="D814" s="46"/>
      <c r="E814" s="46"/>
      <c r="F814" s="46"/>
      <c r="G814" s="46" t="s">
        <v>303</v>
      </c>
      <c r="H814" s="46" t="s">
        <v>701</v>
      </c>
      <c r="I814" s="46"/>
      <c r="J814" s="46"/>
      <c r="K814" s="46" t="str">
        <f>IFERROR(__xludf.DUMMYFUNCTION("if(A814="""","""",IF(G814="""",""Myn"",IF(REGEXMATCH(lower(G814),""mynn""),""Myn"",if(G814&lt;&gt;"""",""GEMTRE"",""""))))"),"Myn")</f>
        <v>Myn</v>
      </c>
      <c r="L814" s="46" t="s">
        <v>2000</v>
      </c>
      <c r="M814" s="48">
        <v>45255.46063657408</v>
      </c>
    </row>
    <row r="815">
      <c r="A815" s="47">
        <v>45251.778205625</v>
      </c>
      <c r="B815" s="46" t="s">
        <v>1095</v>
      </c>
      <c r="C815" s="46">
        <v>9.891644849E9</v>
      </c>
      <c r="D815" s="46"/>
      <c r="E815" s="46"/>
      <c r="F815" s="46"/>
      <c r="G815" s="46" t="s">
        <v>303</v>
      </c>
      <c r="H815" s="46" t="s">
        <v>701</v>
      </c>
      <c r="I815" s="46"/>
      <c r="J815" s="46"/>
      <c r="K815" s="46" t="str">
        <f>IFERROR(__xludf.DUMMYFUNCTION("if(A815="""","""",IF(G815="""",""Myn"",IF(REGEXMATCH(lower(G815),""mynn""),""Myn"",if(G815&lt;&gt;"""",""GEMTRE"",""""))))"),"Myn")</f>
        <v>Myn</v>
      </c>
      <c r="L815" s="46" t="s">
        <v>2000</v>
      </c>
      <c r="M815" s="48">
        <v>45255.46063657408</v>
      </c>
    </row>
    <row r="816">
      <c r="A816" s="47">
        <v>45251.77855905093</v>
      </c>
      <c r="B816" s="46" t="s">
        <v>1096</v>
      </c>
      <c r="C816" s="46">
        <v>9.873683662E9</v>
      </c>
      <c r="D816" s="46"/>
      <c r="E816" s="46"/>
      <c r="F816" s="46"/>
      <c r="G816" s="46" t="s">
        <v>303</v>
      </c>
      <c r="H816" s="46" t="s">
        <v>701</v>
      </c>
      <c r="I816" s="46"/>
      <c r="J816" s="46"/>
      <c r="K816" s="46" t="str">
        <f>IFERROR(__xludf.DUMMYFUNCTION("if(A816="""","""",IF(G816="""",""Myn"",IF(REGEXMATCH(lower(G816),""mynn""),""Myn"",if(G816&lt;&gt;"""",""GEMTRE"",""""))))"),"Myn")</f>
        <v>Myn</v>
      </c>
      <c r="L816" s="46" t="s">
        <v>2000</v>
      </c>
      <c r="M816" s="48">
        <v>45255.46063657408</v>
      </c>
    </row>
    <row r="817">
      <c r="A817" s="47">
        <v>45251.77877671296</v>
      </c>
      <c r="B817" s="46" t="s">
        <v>1097</v>
      </c>
      <c r="C817" s="46">
        <v>8.383057583E9</v>
      </c>
      <c r="D817" s="46"/>
      <c r="E817" s="46"/>
      <c r="F817" s="46"/>
      <c r="G817" s="46" t="s">
        <v>303</v>
      </c>
      <c r="H817" s="46" t="s">
        <v>701</v>
      </c>
      <c r="I817" s="46"/>
      <c r="J817" s="46"/>
      <c r="K817" s="46" t="str">
        <f>IFERROR(__xludf.DUMMYFUNCTION("if(A817="""","""",IF(G817="""",""Myn"",IF(REGEXMATCH(lower(G817),""mynn""),""Myn"",if(G817&lt;&gt;"""",""GEMTRE"",""""))))"),"Myn")</f>
        <v>Myn</v>
      </c>
      <c r="L817" s="46" t="s">
        <v>2000</v>
      </c>
      <c r="M817" s="48">
        <v>45255.46063657408</v>
      </c>
    </row>
    <row r="818">
      <c r="A818" s="47">
        <v>45251.77897265046</v>
      </c>
      <c r="B818" s="46" t="s">
        <v>1098</v>
      </c>
      <c r="C818" s="46">
        <v>9.999036034E9</v>
      </c>
      <c r="D818" s="46"/>
      <c r="E818" s="46"/>
      <c r="F818" s="46"/>
      <c r="G818" s="46" t="s">
        <v>303</v>
      </c>
      <c r="H818" s="46" t="s">
        <v>701</v>
      </c>
      <c r="I818" s="46"/>
      <c r="J818" s="46"/>
      <c r="K818" s="46" t="str">
        <f>IFERROR(__xludf.DUMMYFUNCTION("if(A818="""","""",IF(G818="""",""Myn"",IF(REGEXMATCH(lower(G818),""mynn""),""Myn"",if(G818&lt;&gt;"""",""GEMTRE"",""""))))"),"Myn")</f>
        <v>Myn</v>
      </c>
      <c r="L818" s="46" t="s">
        <v>2000</v>
      </c>
      <c r="M818" s="48">
        <v>45255.46063657408</v>
      </c>
    </row>
    <row r="819">
      <c r="A819" s="47">
        <v>45251.77914960648</v>
      </c>
      <c r="B819" s="46" t="s">
        <v>1099</v>
      </c>
      <c r="C819" s="46">
        <v>9.873474943E9</v>
      </c>
      <c r="D819" s="46"/>
      <c r="E819" s="46" t="s">
        <v>227</v>
      </c>
      <c r="F819" s="46"/>
      <c r="G819" s="46" t="s">
        <v>303</v>
      </c>
      <c r="H819" s="46" t="s">
        <v>706</v>
      </c>
      <c r="I819" s="46"/>
      <c r="J819" s="46"/>
      <c r="K819" s="46" t="str">
        <f>IFERROR(__xludf.DUMMYFUNCTION("if(A819="""","""",IF(G819="""",""Myn"",IF(REGEXMATCH(lower(G819),""mynn""),""Myn"",if(G819&lt;&gt;"""",""GEMTRE"",""""))))"),"Myn")</f>
        <v>Myn</v>
      </c>
      <c r="L819" s="46" t="s">
        <v>2000</v>
      </c>
      <c r="M819" s="48">
        <v>45255.46063657408</v>
      </c>
    </row>
    <row r="820">
      <c r="A820" s="47">
        <v>45251.77938385417</v>
      </c>
      <c r="B820" s="46" t="s">
        <v>1100</v>
      </c>
      <c r="C820" s="46">
        <v>7.04896335E9</v>
      </c>
      <c r="D820" s="46"/>
      <c r="E820" s="46" t="s">
        <v>1101</v>
      </c>
      <c r="F820" s="46"/>
      <c r="G820" s="46" t="s">
        <v>303</v>
      </c>
      <c r="H820" s="46" t="s">
        <v>706</v>
      </c>
      <c r="I820" s="46"/>
      <c r="J820" s="46"/>
      <c r="K820" s="46" t="str">
        <f>IFERROR(__xludf.DUMMYFUNCTION("if(A820="""","""",IF(G820="""",""Myn"",IF(REGEXMATCH(lower(G820),""mynn""),""Myn"",if(G820&lt;&gt;"""",""GEMTRE"",""""))))"),"Myn")</f>
        <v>Myn</v>
      </c>
      <c r="L820" s="46" t="s">
        <v>2000</v>
      </c>
      <c r="M820" s="48">
        <v>45255.46063657408</v>
      </c>
    </row>
    <row r="821">
      <c r="A821" s="47">
        <v>45251.7795265625</v>
      </c>
      <c r="B821" s="46" t="s">
        <v>1102</v>
      </c>
      <c r="C821" s="46">
        <v>9.654402411E9</v>
      </c>
      <c r="D821" s="46"/>
      <c r="E821" s="46"/>
      <c r="F821" s="46"/>
      <c r="G821" s="46" t="s">
        <v>303</v>
      </c>
      <c r="H821" s="46" t="s">
        <v>701</v>
      </c>
      <c r="I821" s="46"/>
      <c r="J821" s="46"/>
      <c r="K821" s="46" t="str">
        <f>IFERROR(__xludf.DUMMYFUNCTION("if(A821="""","""",IF(G821="""",""Myn"",IF(REGEXMATCH(lower(G821),""mynn""),""Myn"",if(G821&lt;&gt;"""",""GEMTRE"",""""))))"),"Myn")</f>
        <v>Myn</v>
      </c>
      <c r="L821" s="46" t="s">
        <v>2000</v>
      </c>
      <c r="M821" s="48">
        <v>45255.46063657408</v>
      </c>
    </row>
    <row r="822">
      <c r="A822" s="47">
        <v>45251.77962155093</v>
      </c>
      <c r="B822" s="46" t="s">
        <v>1103</v>
      </c>
      <c r="C822" s="46">
        <v>9.899541532E9</v>
      </c>
      <c r="D822" s="46"/>
      <c r="E822" s="46"/>
      <c r="F822" s="46"/>
      <c r="G822" s="46" t="s">
        <v>303</v>
      </c>
      <c r="H822" s="46" t="s">
        <v>701</v>
      </c>
      <c r="I822" s="46"/>
      <c r="J822" s="46"/>
      <c r="K822" s="46" t="str">
        <f>IFERROR(__xludf.DUMMYFUNCTION("if(A822="""","""",IF(G822="""",""Myn"",IF(REGEXMATCH(lower(G822),""mynn""),""Myn"",if(G822&lt;&gt;"""",""GEMTRE"",""""))))"),"Myn")</f>
        <v>Myn</v>
      </c>
      <c r="L822" s="46" t="s">
        <v>2000</v>
      </c>
      <c r="M822" s="48">
        <v>45255.46063657408</v>
      </c>
    </row>
    <row r="823">
      <c r="A823" s="47">
        <v>45251.78027803241</v>
      </c>
      <c r="B823" s="46" t="s">
        <v>1104</v>
      </c>
      <c r="C823" s="46">
        <v>7.260976163E9</v>
      </c>
      <c r="D823" s="46"/>
      <c r="E823" s="46"/>
      <c r="F823" s="46"/>
      <c r="G823" s="46" t="s">
        <v>303</v>
      </c>
      <c r="H823" s="46" t="s">
        <v>701</v>
      </c>
      <c r="I823" s="46"/>
      <c r="J823" s="46"/>
      <c r="K823" s="46" t="str">
        <f>IFERROR(__xludf.DUMMYFUNCTION("if(A823="""","""",IF(G823="""",""Myn"",IF(REGEXMATCH(lower(G823),""mynn""),""Myn"",if(G823&lt;&gt;"""",""GEMTRE"",""""))))"),"Myn")</f>
        <v>Myn</v>
      </c>
      <c r="L823" s="46" t="s">
        <v>2000</v>
      </c>
      <c r="M823" s="48">
        <v>45255.46063657408</v>
      </c>
    </row>
    <row r="824">
      <c r="A824" s="47">
        <v>45251.78337247686</v>
      </c>
      <c r="B824" s="46" t="s">
        <v>1105</v>
      </c>
      <c r="C824" s="46">
        <v>9.21059666E9</v>
      </c>
      <c r="D824" s="46"/>
      <c r="E824" s="46"/>
      <c r="F824" s="46"/>
      <c r="G824" s="46" t="s">
        <v>303</v>
      </c>
      <c r="H824" s="46" t="s">
        <v>701</v>
      </c>
      <c r="I824" s="46"/>
      <c r="J824" s="46"/>
      <c r="K824" s="46" t="str">
        <f>IFERROR(__xludf.DUMMYFUNCTION("if(A824="""","""",IF(G824="""",""Myn"",IF(REGEXMATCH(lower(G824),""mynn""),""Myn"",if(G824&lt;&gt;"""",""GEMTRE"",""""))))"),"Myn")</f>
        <v>Myn</v>
      </c>
      <c r="L824" s="46" t="s">
        <v>2000</v>
      </c>
      <c r="M824" s="48">
        <v>45255.46063657408</v>
      </c>
    </row>
    <row r="825">
      <c r="A825" s="47">
        <v>45251.784461655094</v>
      </c>
      <c r="B825" s="46" t="s">
        <v>1106</v>
      </c>
      <c r="C825" s="46">
        <v>8.287261371E9</v>
      </c>
      <c r="D825" s="46"/>
      <c r="E825" s="46"/>
      <c r="F825" s="46"/>
      <c r="G825" s="46" t="s">
        <v>303</v>
      </c>
      <c r="H825" s="46" t="s">
        <v>701</v>
      </c>
      <c r="I825" s="46"/>
      <c r="J825" s="46"/>
      <c r="K825" s="46" t="str">
        <f>IFERROR(__xludf.DUMMYFUNCTION("if(A825="""","""",IF(G825="""",""Myn"",IF(REGEXMATCH(lower(G825),""mynn""),""Myn"",if(G825&lt;&gt;"""",""GEMTRE"",""""))))"),"Myn")</f>
        <v>Myn</v>
      </c>
      <c r="L825" s="46" t="s">
        <v>2000</v>
      </c>
      <c r="M825" s="48">
        <v>45255.46063657408</v>
      </c>
    </row>
    <row r="826">
      <c r="A826" s="47">
        <v>45251.78498835648</v>
      </c>
      <c r="B826" s="46" t="s">
        <v>400</v>
      </c>
      <c r="C826" s="46">
        <v>9.871470631E9</v>
      </c>
      <c r="D826" s="46"/>
      <c r="E826" s="46"/>
      <c r="F826" s="46"/>
      <c r="G826" s="46" t="s">
        <v>303</v>
      </c>
      <c r="H826" s="46" t="s">
        <v>701</v>
      </c>
      <c r="I826" s="46"/>
      <c r="J826" s="46"/>
      <c r="K826" s="46" t="str">
        <f>IFERROR(__xludf.DUMMYFUNCTION("if(A826="""","""",IF(G826="""",""Myn"",IF(REGEXMATCH(lower(G826),""mynn""),""Myn"",if(G826&lt;&gt;"""",""GEMTRE"",""""))))"),"Myn")</f>
        <v>Myn</v>
      </c>
      <c r="L826" s="46" t="s">
        <v>2000</v>
      </c>
      <c r="M826" s="48">
        <v>45255.46063657408</v>
      </c>
    </row>
    <row r="827">
      <c r="A827" s="47">
        <v>45251.79168488426</v>
      </c>
      <c r="B827" s="46" t="s">
        <v>1107</v>
      </c>
      <c r="C827" s="46">
        <v>9.953199193E9</v>
      </c>
      <c r="D827" s="46"/>
      <c r="E827" s="46" t="s">
        <v>21</v>
      </c>
      <c r="F827" s="46"/>
      <c r="G827" s="46" t="s">
        <v>303</v>
      </c>
      <c r="H827" s="46" t="s">
        <v>701</v>
      </c>
      <c r="I827" s="46"/>
      <c r="J827" s="46"/>
      <c r="K827" s="46" t="str">
        <f>IFERROR(__xludf.DUMMYFUNCTION("if(A827="""","""",IF(G827="""",""Myn"",IF(REGEXMATCH(lower(G827),""mynn""),""Myn"",if(G827&lt;&gt;"""",""GEMTRE"",""""))))"),"Myn")</f>
        <v>Myn</v>
      </c>
      <c r="L827" s="46" t="s">
        <v>2000</v>
      </c>
      <c r="M827" s="48">
        <v>45255.46063657408</v>
      </c>
    </row>
    <row r="828">
      <c r="A828" s="47">
        <v>45251.79625510417</v>
      </c>
      <c r="B828" s="46" t="s">
        <v>1108</v>
      </c>
      <c r="C828" s="46">
        <v>9.760899169E9</v>
      </c>
      <c r="D828" s="46"/>
      <c r="E828" s="46"/>
      <c r="F828" s="46"/>
      <c r="G828" s="46" t="s">
        <v>303</v>
      </c>
      <c r="H828" s="46" t="s">
        <v>1035</v>
      </c>
      <c r="I828" s="46"/>
      <c r="J828" s="46"/>
      <c r="K828" s="46" t="str">
        <f>IFERROR(__xludf.DUMMYFUNCTION("if(A828="""","""",IF(G828="""",""Myn"",IF(REGEXMATCH(lower(G828),""mynn""),""Myn"",if(G828&lt;&gt;"""",""GEMTRE"",""""))))"),"Myn")</f>
        <v>Myn</v>
      </c>
      <c r="L828" s="46" t="s">
        <v>2000</v>
      </c>
      <c r="M828" s="48">
        <v>45255.46063657408</v>
      </c>
    </row>
    <row r="829">
      <c r="A829" s="47">
        <v>45252.46236928241</v>
      </c>
      <c r="B829" s="46" t="s">
        <v>1109</v>
      </c>
      <c r="C829" s="46">
        <v>9.334491365E9</v>
      </c>
      <c r="D829" s="46"/>
      <c r="E829" s="46" t="s">
        <v>1110</v>
      </c>
      <c r="F829" s="46"/>
      <c r="G829" s="46" t="s">
        <v>303</v>
      </c>
      <c r="H829" s="46" t="s">
        <v>1035</v>
      </c>
      <c r="I829" s="46"/>
      <c r="J829" s="46"/>
      <c r="K829" s="46" t="str">
        <f>IFERROR(__xludf.DUMMYFUNCTION("if(A829="""","""",IF(G829="""",""Myn"",IF(REGEXMATCH(lower(G829),""mynn""),""Myn"",if(G829&lt;&gt;"""",""GEMTRE"",""""))))"),"Myn")</f>
        <v>Myn</v>
      </c>
      <c r="L829" s="46" t="s">
        <v>2000</v>
      </c>
      <c r="M829" s="48">
        <v>45255.46063657408</v>
      </c>
    </row>
    <row r="830">
      <c r="A830" s="47">
        <v>45252.492667094906</v>
      </c>
      <c r="B830" s="46" t="s">
        <v>1111</v>
      </c>
      <c r="C830" s="46">
        <v>9.812755443E9</v>
      </c>
      <c r="D830" s="46" t="s">
        <v>1112</v>
      </c>
      <c r="E830" s="46" t="s">
        <v>1113</v>
      </c>
      <c r="F830" s="46"/>
      <c r="G830" s="46" t="s">
        <v>303</v>
      </c>
      <c r="H830" s="46" t="s">
        <v>701</v>
      </c>
      <c r="I830" s="46"/>
      <c r="J830" s="46"/>
      <c r="K830" s="46" t="str">
        <f>IFERROR(__xludf.DUMMYFUNCTION("if(A830="""","""",IF(G830="""",""Myn"",IF(REGEXMATCH(lower(G830),""mynn""),""Myn"",if(G830&lt;&gt;"""",""GEMTRE"",""""))))"),"Myn")</f>
        <v>Myn</v>
      </c>
      <c r="L830" s="46" t="s">
        <v>2000</v>
      </c>
      <c r="M830" s="48">
        <v>45255.46063657408</v>
      </c>
    </row>
    <row r="831">
      <c r="A831" s="47">
        <v>45252.51460322917</v>
      </c>
      <c r="B831" s="46" t="s">
        <v>1114</v>
      </c>
      <c r="C831" s="46">
        <v>9.999788252E9</v>
      </c>
      <c r="D831" s="46"/>
      <c r="E831" s="46" t="s">
        <v>15</v>
      </c>
      <c r="F831" s="46"/>
      <c r="G831" s="46" t="s">
        <v>303</v>
      </c>
      <c r="H831" s="46" t="s">
        <v>701</v>
      </c>
      <c r="I831" s="46"/>
      <c r="J831" s="46"/>
      <c r="K831" s="46" t="str">
        <f>IFERROR(__xludf.DUMMYFUNCTION("if(A831="""","""",IF(G831="""",""Myn"",IF(REGEXMATCH(lower(G831),""mynn""),""Myn"",if(G831&lt;&gt;"""",""GEMTRE"",""""))))"),"Myn")</f>
        <v>Myn</v>
      </c>
      <c r="L831" s="46" t="s">
        <v>2000</v>
      </c>
      <c r="M831" s="48">
        <v>45255.46063657408</v>
      </c>
    </row>
    <row r="832">
      <c r="A832" s="47">
        <v>45252.51600444445</v>
      </c>
      <c r="B832" s="46" t="s">
        <v>1115</v>
      </c>
      <c r="C832" s="46">
        <v>9.873734443E9</v>
      </c>
      <c r="D832" s="46"/>
      <c r="E832" s="46"/>
      <c r="F832" s="46"/>
      <c r="G832" s="46" t="s">
        <v>303</v>
      </c>
      <c r="H832" s="46" t="s">
        <v>701</v>
      </c>
      <c r="I832" s="46"/>
      <c r="J832" s="46"/>
      <c r="K832" s="46" t="str">
        <f>IFERROR(__xludf.DUMMYFUNCTION("if(A832="""","""",IF(G832="""",""Myn"",IF(REGEXMATCH(lower(G832),""mynn""),""Myn"",if(G832&lt;&gt;"""",""GEMTRE"",""""))))"),"Myn")</f>
        <v>Myn</v>
      </c>
      <c r="L832" s="46" t="s">
        <v>2000</v>
      </c>
      <c r="M832" s="48">
        <v>45255.46063657408</v>
      </c>
    </row>
    <row r="833">
      <c r="A833" s="47">
        <v>45252.516580497686</v>
      </c>
      <c r="B833" s="46" t="s">
        <v>1116</v>
      </c>
      <c r="C833" s="46">
        <v>9.876471095E9</v>
      </c>
      <c r="D833" s="46"/>
      <c r="E833" s="46"/>
      <c r="F833" s="46"/>
      <c r="G833" s="46" t="s">
        <v>303</v>
      </c>
      <c r="H833" s="46" t="s">
        <v>701</v>
      </c>
      <c r="I833" s="46"/>
      <c r="J833" s="46"/>
      <c r="K833" s="46" t="str">
        <f>IFERROR(__xludf.DUMMYFUNCTION("if(A833="""","""",IF(G833="""",""Myn"",IF(REGEXMATCH(lower(G833),""mynn""),""Myn"",if(G833&lt;&gt;"""",""GEMTRE"",""""))))"),"Myn")</f>
        <v>Myn</v>
      </c>
      <c r="L833" s="46" t="s">
        <v>2000</v>
      </c>
      <c r="M833" s="48">
        <v>45255.46063657408</v>
      </c>
    </row>
    <row r="834">
      <c r="A834" s="47">
        <v>45252.51684378472</v>
      </c>
      <c r="B834" s="46" t="s">
        <v>1117</v>
      </c>
      <c r="C834" s="46">
        <v>9.871778443E9</v>
      </c>
      <c r="D834" s="46"/>
      <c r="E834" s="46" t="s">
        <v>1118</v>
      </c>
      <c r="F834" s="46"/>
      <c r="G834" s="46" t="s">
        <v>303</v>
      </c>
      <c r="H834" s="46" t="s">
        <v>701</v>
      </c>
      <c r="I834" s="46"/>
      <c r="J834" s="46"/>
      <c r="K834" s="46" t="str">
        <f>IFERROR(__xludf.DUMMYFUNCTION("if(A834="""","""",IF(G834="""",""Myn"",IF(REGEXMATCH(lower(G834),""mynn""),""Myn"",if(G834&lt;&gt;"""",""GEMTRE"",""""))))"),"Myn")</f>
        <v>Myn</v>
      </c>
      <c r="L834" s="46" t="s">
        <v>2000</v>
      </c>
      <c r="M834" s="48">
        <v>45255.46063657408</v>
      </c>
    </row>
    <row r="835">
      <c r="A835" s="47">
        <v>45252.51750457176</v>
      </c>
      <c r="B835" s="46" t="s">
        <v>1119</v>
      </c>
      <c r="C835" s="46">
        <v>9.810100011E9</v>
      </c>
      <c r="D835" s="46"/>
      <c r="E835" s="46"/>
      <c r="F835" s="46"/>
      <c r="G835" s="46" t="s">
        <v>303</v>
      </c>
      <c r="H835" s="46" t="s">
        <v>701</v>
      </c>
      <c r="I835" s="46"/>
      <c r="J835" s="46"/>
      <c r="K835" s="46" t="str">
        <f>IFERROR(__xludf.DUMMYFUNCTION("if(A835="""","""",IF(G835="""",""Myn"",IF(REGEXMATCH(lower(G835),""mynn""),""Myn"",if(G835&lt;&gt;"""",""GEMTRE"",""""))))"),"Myn")</f>
        <v>Myn</v>
      </c>
      <c r="L835" s="46" t="s">
        <v>2000</v>
      </c>
      <c r="M835" s="48">
        <v>45255.46063657408</v>
      </c>
    </row>
    <row r="836">
      <c r="A836" s="47">
        <v>45252.517966087966</v>
      </c>
      <c r="B836" s="46" t="s">
        <v>604</v>
      </c>
      <c r="C836" s="46">
        <v>9.810100011E9</v>
      </c>
      <c r="D836" s="46"/>
      <c r="E836" s="46"/>
      <c r="F836" s="46"/>
      <c r="G836" s="46" t="s">
        <v>303</v>
      </c>
      <c r="H836" s="46" t="s">
        <v>701</v>
      </c>
      <c r="I836" s="46"/>
      <c r="J836" s="46"/>
      <c r="K836" s="46" t="str">
        <f>IFERROR(__xludf.DUMMYFUNCTION("if(A836="""","""",IF(G836="""",""Myn"",IF(REGEXMATCH(lower(G836),""mynn""),""Myn"",if(G836&lt;&gt;"""",""GEMTRE"",""""))))"),"Myn")</f>
        <v>Myn</v>
      </c>
      <c r="L836" s="46" t="s">
        <v>2000</v>
      </c>
      <c r="M836" s="48">
        <v>45255.46063657408</v>
      </c>
    </row>
    <row r="837">
      <c r="A837" s="47">
        <v>45252.52148623843</v>
      </c>
      <c r="B837" s="46" t="s">
        <v>1120</v>
      </c>
      <c r="C837" s="46">
        <v>9.899164197E9</v>
      </c>
      <c r="D837" s="46"/>
      <c r="E837" s="46" t="s">
        <v>79</v>
      </c>
      <c r="F837" s="46"/>
      <c r="G837" s="46" t="s">
        <v>303</v>
      </c>
      <c r="H837" s="46" t="s">
        <v>706</v>
      </c>
      <c r="I837" s="46"/>
      <c r="J837" s="46"/>
      <c r="K837" s="46" t="str">
        <f>IFERROR(__xludf.DUMMYFUNCTION("if(A837="""","""",IF(G837="""",""Myn"",IF(REGEXMATCH(lower(G837),""mynn""),""Myn"",if(G837&lt;&gt;"""",""GEMTRE"",""""))))"),"Myn")</f>
        <v>Myn</v>
      </c>
      <c r="L837" s="46" t="s">
        <v>2000</v>
      </c>
      <c r="M837" s="48">
        <v>45255.46063657408</v>
      </c>
    </row>
    <row r="838">
      <c r="A838" s="47">
        <v>45252.52174869213</v>
      </c>
      <c r="B838" s="46" t="s">
        <v>1121</v>
      </c>
      <c r="C838" s="46">
        <v>9.870353772E9</v>
      </c>
      <c r="D838" s="46"/>
      <c r="E838" s="46"/>
      <c r="F838" s="46"/>
      <c r="G838" s="46" t="s">
        <v>303</v>
      </c>
      <c r="H838" s="46" t="s">
        <v>701</v>
      </c>
      <c r="I838" s="46"/>
      <c r="J838" s="46"/>
      <c r="K838" s="46" t="str">
        <f>IFERROR(__xludf.DUMMYFUNCTION("if(A838="""","""",IF(G838="""",""Myn"",IF(REGEXMATCH(lower(G838),""mynn""),""Myn"",if(G838&lt;&gt;"""",""GEMTRE"",""""))))"),"Myn")</f>
        <v>Myn</v>
      </c>
      <c r="L838" s="46" t="s">
        <v>2000</v>
      </c>
      <c r="M838" s="48">
        <v>45255.46063657408</v>
      </c>
    </row>
    <row r="839">
      <c r="A839" s="47">
        <v>45252.523162094905</v>
      </c>
      <c r="B839" s="46" t="s">
        <v>1122</v>
      </c>
      <c r="C839" s="46">
        <v>9.91065195E9</v>
      </c>
      <c r="D839" s="46"/>
      <c r="E839" s="46" t="s">
        <v>26</v>
      </c>
      <c r="F839" s="46"/>
      <c r="G839" s="46" t="s">
        <v>303</v>
      </c>
      <c r="H839" s="46" t="s">
        <v>706</v>
      </c>
      <c r="I839" s="46"/>
      <c r="J839" s="46"/>
      <c r="K839" s="46" t="str">
        <f>IFERROR(__xludf.DUMMYFUNCTION("if(A839="""","""",IF(G839="""",""Myn"",IF(REGEXMATCH(lower(G839),""mynn""),""Myn"",if(G839&lt;&gt;"""",""GEMTRE"",""""))))"),"Myn")</f>
        <v>Myn</v>
      </c>
      <c r="L839" s="46" t="s">
        <v>2000</v>
      </c>
      <c r="M839" s="48">
        <v>45255.46063657408</v>
      </c>
    </row>
    <row r="840">
      <c r="A840" s="47">
        <v>45252.523218877315</v>
      </c>
      <c r="B840" s="46" t="s">
        <v>628</v>
      </c>
      <c r="C840" s="46">
        <v>9.953567385E9</v>
      </c>
      <c r="D840" s="46"/>
      <c r="E840" s="46" t="s">
        <v>769</v>
      </c>
      <c r="F840" s="46"/>
      <c r="G840" s="46" t="s">
        <v>303</v>
      </c>
      <c r="H840" s="46" t="s">
        <v>706</v>
      </c>
      <c r="I840" s="46"/>
      <c r="J840" s="46"/>
      <c r="K840" s="46" t="str">
        <f>IFERROR(__xludf.DUMMYFUNCTION("if(A840="""","""",IF(G840="""",""Myn"",IF(REGEXMATCH(lower(G840),""mynn""),""Myn"",if(G840&lt;&gt;"""",""GEMTRE"",""""))))"),"Myn")</f>
        <v>Myn</v>
      </c>
      <c r="L840" s="46" t="s">
        <v>2000</v>
      </c>
      <c r="M840" s="48">
        <v>45255.46063657408</v>
      </c>
    </row>
    <row r="841">
      <c r="A841" s="47">
        <v>45252.53069868055</v>
      </c>
      <c r="B841" s="46" t="s">
        <v>1123</v>
      </c>
      <c r="C841" s="46">
        <v>9.654845992E9</v>
      </c>
      <c r="D841" s="46"/>
      <c r="E841" s="46" t="s">
        <v>143</v>
      </c>
      <c r="F841" s="46"/>
      <c r="G841" s="46" t="s">
        <v>303</v>
      </c>
      <c r="H841" s="46" t="s">
        <v>706</v>
      </c>
      <c r="I841" s="46"/>
      <c r="J841" s="46"/>
      <c r="K841" s="46" t="str">
        <f>IFERROR(__xludf.DUMMYFUNCTION("if(A841="""","""",IF(G841="""",""Myn"",IF(REGEXMATCH(lower(G841),""mynn""),""Myn"",if(G841&lt;&gt;"""",""GEMTRE"",""""))))"),"Myn")</f>
        <v>Myn</v>
      </c>
      <c r="L841" s="46" t="s">
        <v>2000</v>
      </c>
      <c r="M841" s="48">
        <v>45255.46063657408</v>
      </c>
    </row>
    <row r="842">
      <c r="A842" s="47">
        <v>45252.53229916666</v>
      </c>
      <c r="B842" s="46" t="s">
        <v>1124</v>
      </c>
      <c r="C842" s="46">
        <v>7.011746025E9</v>
      </c>
      <c r="D842" s="46"/>
      <c r="E842" s="46"/>
      <c r="F842" s="46"/>
      <c r="G842" s="46" t="s">
        <v>303</v>
      </c>
      <c r="H842" s="46" t="s">
        <v>701</v>
      </c>
      <c r="I842" s="46"/>
      <c r="J842" s="46"/>
      <c r="K842" s="46" t="str">
        <f>IFERROR(__xludf.DUMMYFUNCTION("if(A842="""","""",IF(G842="""",""Myn"",IF(REGEXMATCH(lower(G842),""mynn""),""Myn"",if(G842&lt;&gt;"""",""GEMTRE"",""""))))"),"Myn")</f>
        <v>Myn</v>
      </c>
      <c r="L842" s="46" t="s">
        <v>2000</v>
      </c>
      <c r="M842" s="48">
        <v>45255.46063657408</v>
      </c>
    </row>
    <row r="843">
      <c r="A843" s="47">
        <v>45252.532488784724</v>
      </c>
      <c r="B843" s="46" t="s">
        <v>1125</v>
      </c>
      <c r="C843" s="46">
        <v>8.700529227E9</v>
      </c>
      <c r="D843" s="46"/>
      <c r="E843" s="46" t="s">
        <v>1126</v>
      </c>
      <c r="F843" s="46"/>
      <c r="G843" s="46" t="s">
        <v>303</v>
      </c>
      <c r="H843" s="46" t="s">
        <v>706</v>
      </c>
      <c r="I843" s="46"/>
      <c r="J843" s="46"/>
      <c r="K843" s="46" t="str">
        <f>IFERROR(__xludf.DUMMYFUNCTION("if(A843="""","""",IF(G843="""",""Myn"",IF(REGEXMATCH(lower(G843),""mynn""),""Myn"",if(G843&lt;&gt;"""",""GEMTRE"",""""))))"),"Myn")</f>
        <v>Myn</v>
      </c>
      <c r="L843" s="46" t="s">
        <v>2000</v>
      </c>
      <c r="M843" s="48">
        <v>45255.46063657408</v>
      </c>
    </row>
    <row r="844">
      <c r="A844" s="47">
        <v>45252.53256885416</v>
      </c>
      <c r="B844" s="46" t="s">
        <v>1100</v>
      </c>
      <c r="C844" s="46">
        <v>9.711975062E9</v>
      </c>
      <c r="D844" s="46"/>
      <c r="E844" s="46"/>
      <c r="F844" s="46"/>
      <c r="G844" s="46" t="s">
        <v>303</v>
      </c>
      <c r="H844" s="46" t="s">
        <v>701</v>
      </c>
      <c r="I844" s="46"/>
      <c r="J844" s="46"/>
      <c r="K844" s="46" t="str">
        <f>IFERROR(__xludf.DUMMYFUNCTION("if(A844="""","""",IF(G844="""",""Myn"",IF(REGEXMATCH(lower(G844),""mynn""),""Myn"",if(G844&lt;&gt;"""",""GEMTRE"",""""))))"),"Myn")</f>
        <v>Myn</v>
      </c>
      <c r="L844" s="46" t="s">
        <v>2000</v>
      </c>
      <c r="M844" s="48">
        <v>45255.46063657408</v>
      </c>
    </row>
    <row r="845">
      <c r="A845" s="47">
        <v>45252.5328062037</v>
      </c>
      <c r="B845" s="46" t="s">
        <v>1127</v>
      </c>
      <c r="C845" s="46">
        <v>9.716767457E9</v>
      </c>
      <c r="D845" s="46"/>
      <c r="E845" s="46"/>
      <c r="F845" s="46"/>
      <c r="G845" s="46" t="s">
        <v>303</v>
      </c>
      <c r="H845" s="46" t="s">
        <v>701</v>
      </c>
      <c r="I845" s="46"/>
      <c r="J845" s="46"/>
      <c r="K845" s="46" t="str">
        <f>IFERROR(__xludf.DUMMYFUNCTION("if(A845="""","""",IF(G845="""",""Myn"",IF(REGEXMATCH(lower(G845),""mynn""),""Myn"",if(G845&lt;&gt;"""",""GEMTRE"",""""))))"),"Myn")</f>
        <v>Myn</v>
      </c>
      <c r="L845" s="46" t="s">
        <v>2000</v>
      </c>
      <c r="M845" s="48">
        <v>45255.46063657408</v>
      </c>
    </row>
    <row r="846">
      <c r="A846" s="47">
        <v>45252.539855613424</v>
      </c>
      <c r="B846" s="46" t="s">
        <v>1128</v>
      </c>
      <c r="C846" s="46">
        <v>9.671962626E9</v>
      </c>
      <c r="D846" s="46"/>
      <c r="E846" s="46"/>
      <c r="F846" s="46"/>
      <c r="G846" s="46" t="s">
        <v>303</v>
      </c>
      <c r="H846" s="46" t="s">
        <v>701</v>
      </c>
      <c r="I846" s="46"/>
      <c r="J846" s="46"/>
      <c r="K846" s="46" t="str">
        <f>IFERROR(__xludf.DUMMYFUNCTION("if(A846="""","""",IF(G846="""",""Myn"",IF(REGEXMATCH(lower(G846),""mynn""),""Myn"",if(G846&lt;&gt;"""",""GEMTRE"",""""))))"),"Myn")</f>
        <v>Myn</v>
      </c>
      <c r="L846" s="46" t="s">
        <v>2000</v>
      </c>
      <c r="M846" s="48">
        <v>45255.46063657408</v>
      </c>
    </row>
    <row r="847">
      <c r="A847" s="47">
        <v>45252.54133184028</v>
      </c>
      <c r="B847" s="46" t="s">
        <v>35</v>
      </c>
      <c r="C847" s="46">
        <v>9.831677954E9</v>
      </c>
      <c r="D847" s="46"/>
      <c r="E847" s="46" t="s">
        <v>1129</v>
      </c>
      <c r="F847" s="46"/>
      <c r="G847" s="46" t="s">
        <v>303</v>
      </c>
      <c r="H847" s="46" t="s">
        <v>706</v>
      </c>
      <c r="I847" s="46"/>
      <c r="J847" s="46"/>
      <c r="K847" s="46" t="str">
        <f>IFERROR(__xludf.DUMMYFUNCTION("if(A847="""","""",IF(G847="""",""Myn"",IF(REGEXMATCH(lower(G847),""mynn""),""Myn"",if(G847&lt;&gt;"""",""GEMTRE"",""""))))"),"Myn")</f>
        <v>Myn</v>
      </c>
      <c r="L847" s="46" t="s">
        <v>2000</v>
      </c>
      <c r="M847" s="48">
        <v>45255.46063657408</v>
      </c>
    </row>
    <row r="848">
      <c r="A848" s="47">
        <v>45252.54161601852</v>
      </c>
      <c r="B848" s="46" t="s">
        <v>219</v>
      </c>
      <c r="C848" s="46">
        <v>9.91022025E9</v>
      </c>
      <c r="D848" s="46"/>
      <c r="E848" s="46"/>
      <c r="F848" s="46"/>
      <c r="G848" s="46" t="s">
        <v>303</v>
      </c>
      <c r="H848" s="46" t="s">
        <v>701</v>
      </c>
      <c r="I848" s="46"/>
      <c r="J848" s="46"/>
      <c r="K848" s="46" t="str">
        <f>IFERROR(__xludf.DUMMYFUNCTION("if(A848="""","""",IF(G848="""",""Myn"",IF(REGEXMATCH(lower(G848),""mynn""),""Myn"",if(G848&lt;&gt;"""",""GEMTRE"",""""))))"),"Myn")</f>
        <v>Myn</v>
      </c>
      <c r="L848" s="46" t="s">
        <v>2000</v>
      </c>
      <c r="M848" s="48">
        <v>45255.46063657408</v>
      </c>
    </row>
    <row r="849">
      <c r="A849" s="47">
        <v>45252.5418909375</v>
      </c>
      <c r="B849" s="46" t="s">
        <v>1130</v>
      </c>
      <c r="C849" s="46">
        <v>9.540010515E9</v>
      </c>
      <c r="D849" s="46"/>
      <c r="E849" s="46"/>
      <c r="F849" s="46"/>
      <c r="G849" s="46" t="s">
        <v>303</v>
      </c>
      <c r="H849" s="46" t="s">
        <v>701</v>
      </c>
      <c r="I849" s="46"/>
      <c r="J849" s="46"/>
      <c r="K849" s="46" t="str">
        <f>IFERROR(__xludf.DUMMYFUNCTION("if(A849="""","""",IF(G849="""",""Myn"",IF(REGEXMATCH(lower(G849),""mynn""),""Myn"",if(G849&lt;&gt;"""",""GEMTRE"",""""))))"),"Myn")</f>
        <v>Myn</v>
      </c>
      <c r="L849" s="46" t="s">
        <v>2000</v>
      </c>
      <c r="M849" s="48">
        <v>45255.46063657408</v>
      </c>
    </row>
    <row r="850">
      <c r="A850" s="47">
        <v>45252.544304675925</v>
      </c>
      <c r="B850" s="46" t="s">
        <v>1131</v>
      </c>
      <c r="C850" s="46">
        <v>9.811531764E9</v>
      </c>
      <c r="D850" s="46"/>
      <c r="E850" s="46" t="s">
        <v>227</v>
      </c>
      <c r="F850" s="46"/>
      <c r="G850" s="46" t="s">
        <v>303</v>
      </c>
      <c r="H850" s="46" t="s">
        <v>706</v>
      </c>
      <c r="I850" s="46"/>
      <c r="J850" s="46"/>
      <c r="K850" s="46" t="str">
        <f>IFERROR(__xludf.DUMMYFUNCTION("if(A850="""","""",IF(G850="""",""Myn"",IF(REGEXMATCH(lower(G850),""mynn""),""Myn"",if(G850&lt;&gt;"""",""GEMTRE"",""""))))"),"Myn")</f>
        <v>Myn</v>
      </c>
      <c r="L850" s="46" t="s">
        <v>2000</v>
      </c>
      <c r="M850" s="48">
        <v>45255.46063657408</v>
      </c>
    </row>
    <row r="851">
      <c r="A851" s="47">
        <v>45252.54498831018</v>
      </c>
      <c r="B851" s="46" t="s">
        <v>1132</v>
      </c>
      <c r="C851" s="46">
        <v>9.818434782E9</v>
      </c>
      <c r="D851" s="46"/>
      <c r="E851" s="46"/>
      <c r="F851" s="46"/>
      <c r="G851" s="46" t="s">
        <v>303</v>
      </c>
      <c r="H851" s="46" t="s">
        <v>701</v>
      </c>
      <c r="I851" s="46"/>
      <c r="J851" s="46"/>
      <c r="K851" s="46" t="str">
        <f>IFERROR(__xludf.DUMMYFUNCTION("if(A851="""","""",IF(G851="""",""Myn"",IF(REGEXMATCH(lower(G851),""mynn""),""Myn"",if(G851&lt;&gt;"""",""GEMTRE"",""""))))"),"Myn")</f>
        <v>Myn</v>
      </c>
      <c r="L851" s="46" t="s">
        <v>2000</v>
      </c>
      <c r="M851" s="48">
        <v>45255.46063657408</v>
      </c>
    </row>
    <row r="852">
      <c r="A852" s="47">
        <v>45252.5463590625</v>
      </c>
      <c r="B852" s="46" t="s">
        <v>1133</v>
      </c>
      <c r="C852" s="46">
        <v>9.814477776E9</v>
      </c>
      <c r="D852" s="46"/>
      <c r="E852" s="46" t="s">
        <v>227</v>
      </c>
      <c r="F852" s="46"/>
      <c r="G852" s="46" t="s">
        <v>303</v>
      </c>
      <c r="H852" s="46" t="s">
        <v>706</v>
      </c>
      <c r="I852" s="46"/>
      <c r="J852" s="46"/>
      <c r="K852" s="46" t="str">
        <f>IFERROR(__xludf.DUMMYFUNCTION("if(A852="""","""",IF(G852="""",""Myn"",IF(REGEXMATCH(lower(G852),""mynn""),""Myn"",if(G852&lt;&gt;"""",""GEMTRE"",""""))))"),"Myn")</f>
        <v>Myn</v>
      </c>
      <c r="L852" s="46" t="s">
        <v>2000</v>
      </c>
      <c r="M852" s="48">
        <v>45255.46063657408</v>
      </c>
    </row>
    <row r="853">
      <c r="A853" s="47">
        <v>45252.548112766206</v>
      </c>
      <c r="B853" s="46" t="s">
        <v>1134</v>
      </c>
      <c r="C853" s="46">
        <v>9.350195244E9</v>
      </c>
      <c r="D853" s="46"/>
      <c r="E853" s="46" t="s">
        <v>227</v>
      </c>
      <c r="F853" s="46"/>
      <c r="G853" s="46" t="s">
        <v>303</v>
      </c>
      <c r="H853" s="46" t="s">
        <v>706</v>
      </c>
      <c r="I853" s="46"/>
      <c r="J853" s="46"/>
      <c r="K853" s="46" t="str">
        <f>IFERROR(__xludf.DUMMYFUNCTION("if(A853="""","""",IF(G853="""",""Myn"",IF(REGEXMATCH(lower(G853),""mynn""),""Myn"",if(G853&lt;&gt;"""",""GEMTRE"",""""))))"),"Myn")</f>
        <v>Myn</v>
      </c>
      <c r="L853" s="46" t="s">
        <v>2000</v>
      </c>
      <c r="M853" s="48">
        <v>45255.46063657408</v>
      </c>
    </row>
    <row r="854">
      <c r="A854" s="47">
        <v>45252.54925196759</v>
      </c>
      <c r="B854" s="46" t="s">
        <v>1135</v>
      </c>
      <c r="C854" s="46">
        <v>7.011177425E9</v>
      </c>
      <c r="D854" s="46"/>
      <c r="E854" s="46"/>
      <c r="F854" s="46"/>
      <c r="G854" s="46" t="s">
        <v>303</v>
      </c>
      <c r="H854" s="46" t="s">
        <v>701</v>
      </c>
      <c r="I854" s="46"/>
      <c r="J854" s="46"/>
      <c r="K854" s="46" t="str">
        <f>IFERROR(__xludf.DUMMYFUNCTION("if(A854="""","""",IF(G854="""",""Myn"",IF(REGEXMATCH(lower(G854),""mynn""),""Myn"",if(G854&lt;&gt;"""",""GEMTRE"",""""))))"),"Myn")</f>
        <v>Myn</v>
      </c>
      <c r="L854" s="46" t="s">
        <v>2000</v>
      </c>
      <c r="M854" s="48">
        <v>45255.46063657408</v>
      </c>
    </row>
    <row r="855">
      <c r="A855" s="47">
        <v>45252.54971738426</v>
      </c>
      <c r="B855" s="46" t="s">
        <v>1136</v>
      </c>
      <c r="C855" s="46">
        <v>9.810296558E9</v>
      </c>
      <c r="D855" s="46"/>
      <c r="E855" s="46"/>
      <c r="F855" s="46"/>
      <c r="G855" s="46" t="s">
        <v>303</v>
      </c>
      <c r="H855" s="46" t="s">
        <v>701</v>
      </c>
      <c r="I855" s="46"/>
      <c r="J855" s="46"/>
      <c r="K855" s="46" t="str">
        <f>IFERROR(__xludf.DUMMYFUNCTION("if(A855="""","""",IF(G855="""",""Myn"",IF(REGEXMATCH(lower(G855),""mynn""),""Myn"",if(G855&lt;&gt;"""",""GEMTRE"",""""))))"),"Myn")</f>
        <v>Myn</v>
      </c>
      <c r="L855" s="46" t="s">
        <v>2000</v>
      </c>
      <c r="M855" s="48">
        <v>45255.46063657408</v>
      </c>
    </row>
    <row r="856">
      <c r="A856" s="47">
        <v>45252.550954375</v>
      </c>
      <c r="B856" s="46" t="s">
        <v>1137</v>
      </c>
      <c r="C856" s="46">
        <v>8.851981625E9</v>
      </c>
      <c r="D856" s="46"/>
      <c r="E856" s="46"/>
      <c r="F856" s="46"/>
      <c r="G856" s="46" t="s">
        <v>303</v>
      </c>
      <c r="H856" s="46" t="s">
        <v>701</v>
      </c>
      <c r="I856" s="46"/>
      <c r="J856" s="46"/>
      <c r="K856" s="46" t="str">
        <f>IFERROR(__xludf.DUMMYFUNCTION("if(A856="""","""",IF(G856="""",""Myn"",IF(REGEXMATCH(lower(G856),""mynn""),""Myn"",if(G856&lt;&gt;"""",""GEMTRE"",""""))))"),"Myn")</f>
        <v>Myn</v>
      </c>
      <c r="L856" s="46" t="s">
        <v>2000</v>
      </c>
      <c r="M856" s="48">
        <v>45255.46063657408</v>
      </c>
    </row>
    <row r="857">
      <c r="A857" s="47">
        <v>45252.55112282408</v>
      </c>
      <c r="B857" s="46" t="s">
        <v>1138</v>
      </c>
      <c r="C857" s="46">
        <v>8.700521475E9</v>
      </c>
      <c r="D857" s="46"/>
      <c r="E857" s="46" t="s">
        <v>1139</v>
      </c>
      <c r="F857" s="46"/>
      <c r="G857" s="46" t="s">
        <v>303</v>
      </c>
      <c r="H857" s="46" t="s">
        <v>706</v>
      </c>
      <c r="I857" s="46"/>
      <c r="J857" s="46"/>
      <c r="K857" s="46" t="str">
        <f>IFERROR(__xludf.DUMMYFUNCTION("if(A857="""","""",IF(G857="""",""Myn"",IF(REGEXMATCH(lower(G857),""mynn""),""Myn"",if(G857&lt;&gt;"""",""GEMTRE"",""""))))"),"Myn")</f>
        <v>Myn</v>
      </c>
      <c r="L857" s="46" t="s">
        <v>2000</v>
      </c>
      <c r="M857" s="48">
        <v>45255.46063657408</v>
      </c>
    </row>
    <row r="858">
      <c r="A858" s="47">
        <v>45252.55162896991</v>
      </c>
      <c r="B858" s="46" t="s">
        <v>1140</v>
      </c>
      <c r="C858" s="46">
        <v>9.95830166E9</v>
      </c>
      <c r="D858" s="46"/>
      <c r="E858" s="46"/>
      <c r="F858" s="46"/>
      <c r="G858" s="46" t="s">
        <v>303</v>
      </c>
      <c r="H858" s="46" t="s">
        <v>701</v>
      </c>
      <c r="I858" s="46"/>
      <c r="J858" s="46"/>
      <c r="K858" s="46" t="str">
        <f>IFERROR(__xludf.DUMMYFUNCTION("if(A858="""","""",IF(G858="""",""Myn"",IF(REGEXMATCH(lower(G858),""mynn""),""Myn"",if(G858&lt;&gt;"""",""GEMTRE"",""""))))"),"Myn")</f>
        <v>Myn</v>
      </c>
      <c r="L858" s="46" t="s">
        <v>2000</v>
      </c>
      <c r="M858" s="48">
        <v>45255.46063657408</v>
      </c>
    </row>
    <row r="859">
      <c r="A859" s="47">
        <v>45252.5528359375</v>
      </c>
      <c r="B859" s="46" t="s">
        <v>1141</v>
      </c>
      <c r="C859" s="46">
        <v>7.982438635E9</v>
      </c>
      <c r="D859" s="46"/>
      <c r="E859" s="46"/>
      <c r="F859" s="46"/>
      <c r="G859" s="46" t="s">
        <v>303</v>
      </c>
      <c r="H859" s="46" t="s">
        <v>701</v>
      </c>
      <c r="I859" s="46"/>
      <c r="J859" s="46"/>
      <c r="K859" s="46" t="str">
        <f>IFERROR(__xludf.DUMMYFUNCTION("if(A859="""","""",IF(G859="""",""Myn"",IF(REGEXMATCH(lower(G859),""mynn""),""Myn"",if(G859&lt;&gt;"""",""GEMTRE"",""""))))"),"Myn")</f>
        <v>Myn</v>
      </c>
      <c r="L859" s="46" t="s">
        <v>2000</v>
      </c>
      <c r="M859" s="48">
        <v>45255.46063657408</v>
      </c>
    </row>
    <row r="860">
      <c r="A860" s="47">
        <v>45252.55535393518</v>
      </c>
      <c r="B860" s="46" t="s">
        <v>771</v>
      </c>
      <c r="C860" s="46">
        <v>8.286514444E9</v>
      </c>
      <c r="D860" s="46"/>
      <c r="E860" s="46"/>
      <c r="F860" s="46"/>
      <c r="G860" s="46" t="s">
        <v>303</v>
      </c>
      <c r="H860" s="46" t="s">
        <v>701</v>
      </c>
      <c r="I860" s="46"/>
      <c r="J860" s="46"/>
      <c r="K860" s="46" t="str">
        <f>IFERROR(__xludf.DUMMYFUNCTION("if(A860="""","""",IF(G860="""",""Myn"",IF(REGEXMATCH(lower(G860),""mynn""),""Myn"",if(G860&lt;&gt;"""",""GEMTRE"",""""))))"),"Myn")</f>
        <v>Myn</v>
      </c>
      <c r="L860" s="46" t="s">
        <v>2000</v>
      </c>
      <c r="M860" s="48">
        <v>45255.46063657408</v>
      </c>
    </row>
    <row r="861">
      <c r="A861" s="47">
        <v>45252.55560453703</v>
      </c>
      <c r="B861" s="46" t="s">
        <v>1142</v>
      </c>
      <c r="C861" s="46">
        <v>9.891071575E9</v>
      </c>
      <c r="D861" s="46"/>
      <c r="E861" s="46"/>
      <c r="F861" s="46"/>
      <c r="G861" s="46" t="s">
        <v>303</v>
      </c>
      <c r="H861" s="46" t="s">
        <v>701</v>
      </c>
      <c r="I861" s="46"/>
      <c r="J861" s="46"/>
      <c r="K861" s="46" t="str">
        <f>IFERROR(__xludf.DUMMYFUNCTION("if(A861="""","""",IF(G861="""",""Myn"",IF(REGEXMATCH(lower(G861),""mynn""),""Myn"",if(G861&lt;&gt;"""",""GEMTRE"",""""))))"),"Myn")</f>
        <v>Myn</v>
      </c>
      <c r="L861" s="46" t="s">
        <v>2000</v>
      </c>
      <c r="M861" s="48">
        <v>45255.46063657408</v>
      </c>
    </row>
    <row r="862">
      <c r="A862" s="47">
        <v>45252.55563633102</v>
      </c>
      <c r="B862" s="46" t="s">
        <v>1143</v>
      </c>
      <c r="C862" s="46">
        <v>9.877256193E9</v>
      </c>
      <c r="D862" s="46"/>
      <c r="E862" s="46"/>
      <c r="F862" s="46"/>
      <c r="G862" s="46" t="s">
        <v>303</v>
      </c>
      <c r="H862" s="46" t="s">
        <v>701</v>
      </c>
      <c r="I862" s="46"/>
      <c r="J862" s="46"/>
      <c r="K862" s="46" t="str">
        <f>IFERROR(__xludf.DUMMYFUNCTION("if(A862="""","""",IF(G862="""",""Myn"",IF(REGEXMATCH(lower(G862),""mynn""),""Myn"",if(G862&lt;&gt;"""",""GEMTRE"",""""))))"),"Myn")</f>
        <v>Myn</v>
      </c>
      <c r="L862" s="46" t="s">
        <v>2000</v>
      </c>
      <c r="M862" s="48">
        <v>45255.46063657408</v>
      </c>
    </row>
    <row r="863">
      <c r="A863" s="47">
        <v>45252.55633572917</v>
      </c>
      <c r="B863" s="46" t="s">
        <v>1144</v>
      </c>
      <c r="C863" s="46">
        <v>7.986864579E9</v>
      </c>
      <c r="D863" s="46"/>
      <c r="E863" s="46"/>
      <c r="F863" s="46"/>
      <c r="G863" s="46" t="s">
        <v>303</v>
      </c>
      <c r="H863" s="46" t="s">
        <v>701</v>
      </c>
      <c r="I863" s="46"/>
      <c r="J863" s="46"/>
      <c r="K863" s="46" t="str">
        <f>IFERROR(__xludf.DUMMYFUNCTION("if(A863="""","""",IF(G863="""",""Myn"",IF(REGEXMATCH(lower(G863),""mynn""),""Myn"",if(G863&lt;&gt;"""",""GEMTRE"",""""))))"),"Myn")</f>
        <v>Myn</v>
      </c>
      <c r="L863" s="46" t="s">
        <v>2000</v>
      </c>
      <c r="M863" s="48">
        <v>45255.46063657408</v>
      </c>
    </row>
    <row r="864">
      <c r="A864" s="47">
        <v>45252.557829537036</v>
      </c>
      <c r="B864" s="46" t="s">
        <v>1145</v>
      </c>
      <c r="C864" s="46">
        <v>9.528893869E9</v>
      </c>
      <c r="D864" s="46"/>
      <c r="E864" s="46"/>
      <c r="F864" s="46"/>
      <c r="G864" s="46" t="s">
        <v>303</v>
      </c>
      <c r="H864" s="46" t="s">
        <v>701</v>
      </c>
      <c r="I864" s="46"/>
      <c r="J864" s="46"/>
      <c r="K864" s="46" t="str">
        <f>IFERROR(__xludf.DUMMYFUNCTION("if(A864="""","""",IF(G864="""",""Myn"",IF(REGEXMATCH(lower(G864),""mynn""),""Myn"",if(G864&lt;&gt;"""",""GEMTRE"",""""))))"),"Myn")</f>
        <v>Myn</v>
      </c>
      <c r="L864" s="46" t="s">
        <v>2000</v>
      </c>
      <c r="M864" s="48">
        <v>45255.46063657408</v>
      </c>
    </row>
    <row r="865">
      <c r="A865" s="47">
        <v>45252.55796303241</v>
      </c>
      <c r="B865" s="46" t="s">
        <v>1146</v>
      </c>
      <c r="C865" s="46">
        <v>8.439299415E9</v>
      </c>
      <c r="D865" s="46"/>
      <c r="E865" s="46"/>
      <c r="F865" s="46"/>
      <c r="G865" s="46" t="s">
        <v>303</v>
      </c>
      <c r="H865" s="46" t="s">
        <v>701</v>
      </c>
      <c r="I865" s="46"/>
      <c r="J865" s="46"/>
      <c r="K865" s="46" t="str">
        <f>IFERROR(__xludf.DUMMYFUNCTION("if(A865="""","""",IF(G865="""",""Myn"",IF(REGEXMATCH(lower(G865),""mynn""),""Myn"",if(G865&lt;&gt;"""",""GEMTRE"",""""))))"),"Myn")</f>
        <v>Myn</v>
      </c>
      <c r="L865" s="46" t="s">
        <v>2000</v>
      </c>
      <c r="M865" s="48">
        <v>45255.46063657408</v>
      </c>
    </row>
    <row r="866">
      <c r="A866" s="47">
        <v>45252.55809835649</v>
      </c>
      <c r="B866" s="46" t="s">
        <v>708</v>
      </c>
      <c r="C866" s="46">
        <v>8.445131465E9</v>
      </c>
      <c r="D866" s="46"/>
      <c r="E866" s="46"/>
      <c r="F866" s="46"/>
      <c r="G866" s="46" t="s">
        <v>303</v>
      </c>
      <c r="H866" s="46" t="s">
        <v>701</v>
      </c>
      <c r="I866" s="46"/>
      <c r="J866" s="46"/>
      <c r="K866" s="46" t="str">
        <f>IFERROR(__xludf.DUMMYFUNCTION("if(A866="""","""",IF(G866="""",""Myn"",IF(REGEXMATCH(lower(G866),""mynn""),""Myn"",if(G866&lt;&gt;"""",""GEMTRE"",""""))))"),"Myn")</f>
        <v>Myn</v>
      </c>
      <c r="L866" s="46" t="s">
        <v>2000</v>
      </c>
      <c r="M866" s="48">
        <v>45255.46063657408</v>
      </c>
    </row>
    <row r="867">
      <c r="A867" s="47">
        <v>45252.558374687505</v>
      </c>
      <c r="B867" s="46" t="s">
        <v>1147</v>
      </c>
      <c r="C867" s="46">
        <v>7.078132156E9</v>
      </c>
      <c r="D867" s="46"/>
      <c r="E867" s="46"/>
      <c r="F867" s="46"/>
      <c r="G867" s="46" t="s">
        <v>303</v>
      </c>
      <c r="H867" s="46" t="s">
        <v>701</v>
      </c>
      <c r="I867" s="46"/>
      <c r="J867" s="46"/>
      <c r="K867" s="46" t="str">
        <f>IFERROR(__xludf.DUMMYFUNCTION("if(A867="""","""",IF(G867="""",""Myn"",IF(REGEXMATCH(lower(G867),""mynn""),""Myn"",if(G867&lt;&gt;"""",""GEMTRE"",""""))))"),"Myn")</f>
        <v>Myn</v>
      </c>
      <c r="L867" s="46" t="s">
        <v>2000</v>
      </c>
      <c r="M867" s="48">
        <v>45255.460648148146</v>
      </c>
    </row>
    <row r="868">
      <c r="A868" s="47">
        <v>45252.56010486111</v>
      </c>
      <c r="B868" s="46" t="s">
        <v>1100</v>
      </c>
      <c r="C868" s="46">
        <v>9.811513211E9</v>
      </c>
      <c r="D868" s="46"/>
      <c r="E868" s="46" t="s">
        <v>1139</v>
      </c>
      <c r="F868" s="46"/>
      <c r="G868" s="46" t="s">
        <v>303</v>
      </c>
      <c r="H868" s="46" t="s">
        <v>706</v>
      </c>
      <c r="I868" s="46"/>
      <c r="J868" s="46"/>
      <c r="K868" s="46" t="str">
        <f>IFERROR(__xludf.DUMMYFUNCTION("if(A868="""","""",IF(G868="""",""Myn"",IF(REGEXMATCH(lower(G868),""mynn""),""Myn"",if(G868&lt;&gt;"""",""GEMTRE"",""""))))"),"Myn")</f>
        <v>Myn</v>
      </c>
      <c r="L868" s="46" t="s">
        <v>2000</v>
      </c>
      <c r="M868" s="48">
        <v>45255.460648148146</v>
      </c>
    </row>
    <row r="869">
      <c r="A869" s="47">
        <v>45252.56023053241</v>
      </c>
      <c r="B869" s="46" t="s">
        <v>1148</v>
      </c>
      <c r="C869" s="46">
        <v>9.620007757E9</v>
      </c>
      <c r="D869" s="46"/>
      <c r="E869" s="46"/>
      <c r="F869" s="46"/>
      <c r="G869" s="46" t="s">
        <v>303</v>
      </c>
      <c r="H869" s="46" t="s">
        <v>701</v>
      </c>
      <c r="I869" s="46"/>
      <c r="J869" s="46"/>
      <c r="K869" s="46" t="str">
        <f>IFERROR(__xludf.DUMMYFUNCTION("if(A869="""","""",IF(G869="""",""Myn"",IF(REGEXMATCH(lower(G869),""mynn""),""Myn"",if(G869&lt;&gt;"""",""GEMTRE"",""""))))"),"Myn")</f>
        <v>Myn</v>
      </c>
      <c r="L869" s="46" t="s">
        <v>2000</v>
      </c>
      <c r="M869" s="48">
        <v>45255.460648148146</v>
      </c>
    </row>
    <row r="870">
      <c r="A870" s="47">
        <v>45252.56079846065</v>
      </c>
      <c r="B870" s="46" t="s">
        <v>1149</v>
      </c>
      <c r="C870" s="46">
        <v>9.990652611E9</v>
      </c>
      <c r="D870" s="46"/>
      <c r="E870" s="46"/>
      <c r="F870" s="46"/>
      <c r="G870" s="46" t="s">
        <v>303</v>
      </c>
      <c r="H870" s="46" t="s">
        <v>701</v>
      </c>
      <c r="I870" s="46"/>
      <c r="J870" s="46"/>
      <c r="K870" s="46" t="str">
        <f>IFERROR(__xludf.DUMMYFUNCTION("if(A870="""","""",IF(G870="""",""Myn"",IF(REGEXMATCH(lower(G870),""mynn""),""Myn"",if(G870&lt;&gt;"""",""GEMTRE"",""""))))"),"Myn")</f>
        <v>Myn</v>
      </c>
      <c r="L870" s="46" t="s">
        <v>2000</v>
      </c>
      <c r="M870" s="48">
        <v>45255.460648148146</v>
      </c>
    </row>
    <row r="871">
      <c r="A871" s="47">
        <v>45252.565515173614</v>
      </c>
      <c r="B871" s="46" t="s">
        <v>1150</v>
      </c>
      <c r="C871" s="46">
        <v>9.990563278E9</v>
      </c>
      <c r="D871" s="46"/>
      <c r="E871" s="46"/>
      <c r="F871" s="46"/>
      <c r="G871" s="46" t="s">
        <v>303</v>
      </c>
      <c r="H871" s="46" t="s">
        <v>701</v>
      </c>
      <c r="I871" s="46"/>
      <c r="J871" s="46"/>
      <c r="K871" s="46" t="str">
        <f>IFERROR(__xludf.DUMMYFUNCTION("if(A871="""","""",IF(G871="""",""Myn"",IF(REGEXMATCH(lower(G871),""mynn""),""Myn"",if(G871&lt;&gt;"""",""GEMTRE"",""""))))"),"Myn")</f>
        <v>Myn</v>
      </c>
      <c r="L871" s="46" t="s">
        <v>2000</v>
      </c>
      <c r="M871" s="48">
        <v>45255.460648148146</v>
      </c>
    </row>
    <row r="872">
      <c r="A872" s="47">
        <v>45252.56586461805</v>
      </c>
      <c r="B872" s="46" t="s">
        <v>1151</v>
      </c>
      <c r="C872" s="46">
        <v>9.818894957E9</v>
      </c>
      <c r="D872" s="46"/>
      <c r="E872" s="46"/>
      <c r="F872" s="46"/>
      <c r="G872" s="46" t="s">
        <v>303</v>
      </c>
      <c r="H872" s="46" t="s">
        <v>722</v>
      </c>
      <c r="I872" s="46"/>
      <c r="J872" s="46"/>
      <c r="K872" s="46" t="str">
        <f>IFERROR(__xludf.DUMMYFUNCTION("if(A872="""","""",IF(G872="""",""Myn"",IF(REGEXMATCH(lower(G872),""mynn""),""Myn"",if(G872&lt;&gt;"""",""GEMTRE"",""""))))"),"Myn")</f>
        <v>Myn</v>
      </c>
      <c r="L872" s="46" t="s">
        <v>2000</v>
      </c>
      <c r="M872" s="48">
        <v>45255.460648148146</v>
      </c>
    </row>
    <row r="873">
      <c r="A873" s="47">
        <v>45252.57008287037</v>
      </c>
      <c r="B873" s="46" t="s">
        <v>1152</v>
      </c>
      <c r="C873" s="46">
        <v>8.8025E9</v>
      </c>
      <c r="D873" s="46" t="s">
        <v>1153</v>
      </c>
      <c r="E873" s="46" t="s">
        <v>1154</v>
      </c>
      <c r="F873" s="46"/>
      <c r="G873" s="46" t="s">
        <v>303</v>
      </c>
      <c r="H873" s="46" t="s">
        <v>706</v>
      </c>
      <c r="I873" s="46"/>
      <c r="J873" s="46"/>
      <c r="K873" s="46" t="str">
        <f>IFERROR(__xludf.DUMMYFUNCTION("if(A873="""","""",IF(G873="""",""Myn"",IF(REGEXMATCH(lower(G873),""mynn""),""Myn"",if(G873&lt;&gt;"""",""GEMTRE"",""""))))"),"Myn")</f>
        <v>Myn</v>
      </c>
      <c r="L873" s="46" t="s">
        <v>2000</v>
      </c>
      <c r="M873" s="48">
        <v>45255.460648148146</v>
      </c>
    </row>
    <row r="874">
      <c r="A874" s="47">
        <v>45252.574711203706</v>
      </c>
      <c r="B874" s="46" t="s">
        <v>812</v>
      </c>
      <c r="C874" s="46">
        <v>9.928914801E9</v>
      </c>
      <c r="D874" s="46"/>
      <c r="E874" s="46"/>
      <c r="F874" s="46"/>
      <c r="G874" s="46" t="s">
        <v>303</v>
      </c>
      <c r="H874" s="46" t="s">
        <v>701</v>
      </c>
      <c r="I874" s="46"/>
      <c r="J874" s="46"/>
      <c r="K874" s="46" t="str">
        <f>IFERROR(__xludf.DUMMYFUNCTION("if(A874="""","""",IF(G874="""",""Myn"",IF(REGEXMATCH(lower(G874),""mynn""),""Myn"",if(G874&lt;&gt;"""",""GEMTRE"",""""))))"),"Myn")</f>
        <v>Myn</v>
      </c>
      <c r="L874" s="46" t="s">
        <v>2000</v>
      </c>
      <c r="M874" s="48">
        <v>45255.460648148146</v>
      </c>
    </row>
    <row r="875">
      <c r="A875" s="47">
        <v>45252.57850346065</v>
      </c>
      <c r="B875" s="46" t="s">
        <v>1155</v>
      </c>
      <c r="C875" s="46">
        <v>7.078462239E9</v>
      </c>
      <c r="D875" s="46"/>
      <c r="E875" s="46"/>
      <c r="F875" s="46"/>
      <c r="G875" s="46" t="s">
        <v>303</v>
      </c>
      <c r="H875" s="46" t="s">
        <v>701</v>
      </c>
      <c r="I875" s="46"/>
      <c r="J875" s="46"/>
      <c r="K875" s="46" t="str">
        <f>IFERROR(__xludf.DUMMYFUNCTION("if(A875="""","""",IF(G875="""",""Myn"",IF(REGEXMATCH(lower(G875),""mynn""),""Myn"",if(G875&lt;&gt;"""",""GEMTRE"",""""))))"),"Myn")</f>
        <v>Myn</v>
      </c>
      <c r="L875" s="46" t="s">
        <v>2000</v>
      </c>
      <c r="M875" s="48">
        <v>45255.460648148146</v>
      </c>
    </row>
    <row r="876">
      <c r="A876" s="47">
        <v>45252.57897512731</v>
      </c>
      <c r="B876" s="46" t="s">
        <v>1156</v>
      </c>
      <c r="C876" s="46">
        <v>9.810216E9</v>
      </c>
      <c r="D876" s="46"/>
      <c r="E876" s="46"/>
      <c r="F876" s="46"/>
      <c r="G876" s="46" t="s">
        <v>303</v>
      </c>
      <c r="H876" s="46" t="s">
        <v>701</v>
      </c>
      <c r="I876" s="46"/>
      <c r="J876" s="46"/>
      <c r="K876" s="46" t="str">
        <f>IFERROR(__xludf.DUMMYFUNCTION("if(A876="""","""",IF(G876="""",""Myn"",IF(REGEXMATCH(lower(G876),""mynn""),""Myn"",if(G876&lt;&gt;"""",""GEMTRE"",""""))))"),"Myn")</f>
        <v>Myn</v>
      </c>
      <c r="L876" s="46" t="s">
        <v>2000</v>
      </c>
      <c r="M876" s="48">
        <v>45255.460648148146</v>
      </c>
    </row>
    <row r="877">
      <c r="A877" s="47">
        <v>45252.57925763889</v>
      </c>
      <c r="B877" s="46" t="s">
        <v>534</v>
      </c>
      <c r="C877" s="46">
        <v>9.891109797E9</v>
      </c>
      <c r="D877" s="46"/>
      <c r="E877" s="46"/>
      <c r="F877" s="46"/>
      <c r="G877" s="46" t="s">
        <v>303</v>
      </c>
      <c r="H877" s="46" t="s">
        <v>701</v>
      </c>
      <c r="I877" s="46"/>
      <c r="J877" s="46"/>
      <c r="K877" s="46" t="str">
        <f>IFERROR(__xludf.DUMMYFUNCTION("if(A877="""","""",IF(G877="""",""Myn"",IF(REGEXMATCH(lower(G877),""mynn""),""Myn"",if(G877&lt;&gt;"""",""GEMTRE"",""""))))"),"Myn")</f>
        <v>Myn</v>
      </c>
      <c r="L877" s="46" t="s">
        <v>2000</v>
      </c>
      <c r="M877" s="48">
        <v>45255.460648148146</v>
      </c>
    </row>
    <row r="878">
      <c r="A878" s="47">
        <v>45252.57952810185</v>
      </c>
      <c r="B878" s="46" t="s">
        <v>1157</v>
      </c>
      <c r="C878" s="46">
        <v>9.971850039E9</v>
      </c>
      <c r="D878" s="46"/>
      <c r="E878" s="46"/>
      <c r="F878" s="46"/>
      <c r="G878" s="46" t="s">
        <v>303</v>
      </c>
      <c r="H878" s="46" t="s">
        <v>701</v>
      </c>
      <c r="I878" s="46"/>
      <c r="J878" s="46"/>
      <c r="K878" s="46" t="str">
        <f>IFERROR(__xludf.DUMMYFUNCTION("if(A878="""","""",IF(G878="""",""Myn"",IF(REGEXMATCH(lower(G878),""mynn""),""Myn"",if(G878&lt;&gt;"""",""GEMTRE"",""""))))"),"Myn")</f>
        <v>Myn</v>
      </c>
      <c r="L878" s="46" t="s">
        <v>2000</v>
      </c>
      <c r="M878" s="48">
        <v>45255.460648148146</v>
      </c>
    </row>
    <row r="879">
      <c r="A879" s="47">
        <v>45252.58201780093</v>
      </c>
      <c r="B879" s="46" t="s">
        <v>1158</v>
      </c>
      <c r="C879" s="46">
        <v>9.953093456E9</v>
      </c>
      <c r="D879" s="46"/>
      <c r="E879" s="46" t="s">
        <v>79</v>
      </c>
      <c r="F879" s="46"/>
      <c r="G879" s="46" t="s">
        <v>303</v>
      </c>
      <c r="H879" s="46" t="s">
        <v>706</v>
      </c>
      <c r="I879" s="46"/>
      <c r="J879" s="46"/>
      <c r="K879" s="46" t="str">
        <f>IFERROR(__xludf.DUMMYFUNCTION("if(A879="""","""",IF(G879="""",""Myn"",IF(REGEXMATCH(lower(G879),""mynn""),""Myn"",if(G879&lt;&gt;"""",""GEMTRE"",""""))))"),"Myn")</f>
        <v>Myn</v>
      </c>
      <c r="L879" s="46" t="s">
        <v>2000</v>
      </c>
      <c r="M879" s="48">
        <v>45255.460648148146</v>
      </c>
    </row>
    <row r="880">
      <c r="A880" s="47">
        <v>45252.583975601854</v>
      </c>
      <c r="B880" s="46" t="s">
        <v>1159</v>
      </c>
      <c r="C880" s="46">
        <v>9.990178259E9</v>
      </c>
      <c r="D880" s="46"/>
      <c r="E880" s="46"/>
      <c r="F880" s="46"/>
      <c r="G880" s="46" t="s">
        <v>303</v>
      </c>
      <c r="H880" s="46" t="s">
        <v>701</v>
      </c>
      <c r="I880" s="46"/>
      <c r="J880" s="46"/>
      <c r="K880" s="46" t="str">
        <f>IFERROR(__xludf.DUMMYFUNCTION("if(A880="""","""",IF(G880="""",""Myn"",IF(REGEXMATCH(lower(G880),""mynn""),""Myn"",if(G880&lt;&gt;"""",""GEMTRE"",""""))))"),"Myn")</f>
        <v>Myn</v>
      </c>
      <c r="L880" s="46" t="s">
        <v>2000</v>
      </c>
      <c r="M880" s="48">
        <v>45255.460648148146</v>
      </c>
    </row>
    <row r="881">
      <c r="A881" s="47">
        <v>45252.589364224536</v>
      </c>
      <c r="B881" s="46" t="s">
        <v>1160</v>
      </c>
      <c r="C881" s="46">
        <v>9.958568875E9</v>
      </c>
      <c r="D881" s="46"/>
      <c r="E881" s="46" t="s">
        <v>79</v>
      </c>
      <c r="F881" s="46"/>
      <c r="G881" s="46" t="s">
        <v>303</v>
      </c>
      <c r="H881" s="46" t="s">
        <v>706</v>
      </c>
      <c r="I881" s="46"/>
      <c r="J881" s="46"/>
      <c r="K881" s="46" t="str">
        <f>IFERROR(__xludf.DUMMYFUNCTION("if(A881="""","""",IF(G881="""",""Myn"",IF(REGEXMATCH(lower(G881),""mynn""),""Myn"",if(G881&lt;&gt;"""",""GEMTRE"",""""))))"),"Myn")</f>
        <v>Myn</v>
      </c>
      <c r="L881" s="46" t="s">
        <v>2000</v>
      </c>
      <c r="M881" s="48">
        <v>45255.460648148146</v>
      </c>
    </row>
    <row r="882">
      <c r="A882" s="47">
        <v>45252.59480011574</v>
      </c>
      <c r="B882" s="46" t="s">
        <v>1161</v>
      </c>
      <c r="C882" s="46">
        <v>9.99950897E9</v>
      </c>
      <c r="D882" s="46"/>
      <c r="E882" s="46" t="s">
        <v>79</v>
      </c>
      <c r="F882" s="46"/>
      <c r="G882" s="46" t="s">
        <v>303</v>
      </c>
      <c r="H882" s="46" t="s">
        <v>706</v>
      </c>
      <c r="I882" s="46"/>
      <c r="J882" s="46"/>
      <c r="K882" s="46" t="str">
        <f>IFERROR(__xludf.DUMMYFUNCTION("if(A882="""","""",IF(G882="""",""Myn"",IF(REGEXMATCH(lower(G882),""mynn""),""Myn"",if(G882&lt;&gt;"""",""GEMTRE"",""""))))"),"Myn")</f>
        <v>Myn</v>
      </c>
      <c r="L882" s="46" t="s">
        <v>2000</v>
      </c>
      <c r="M882" s="48">
        <v>45255.460648148146</v>
      </c>
    </row>
    <row r="883">
      <c r="A883" s="47">
        <v>45252.59601603009</v>
      </c>
      <c r="B883" s="46" t="s">
        <v>390</v>
      </c>
      <c r="C883" s="46">
        <v>9.910330327E9</v>
      </c>
      <c r="D883" s="46"/>
      <c r="E883" s="46"/>
      <c r="F883" s="46"/>
      <c r="G883" s="46" t="s">
        <v>303</v>
      </c>
      <c r="H883" s="46" t="s">
        <v>701</v>
      </c>
      <c r="I883" s="46"/>
      <c r="J883" s="46"/>
      <c r="K883" s="46" t="str">
        <f>IFERROR(__xludf.DUMMYFUNCTION("if(A883="""","""",IF(G883="""",""Myn"",IF(REGEXMATCH(lower(G883),""mynn""),""Myn"",if(G883&lt;&gt;"""",""GEMTRE"",""""))))"),"Myn")</f>
        <v>Myn</v>
      </c>
      <c r="L883" s="46" t="s">
        <v>2000</v>
      </c>
      <c r="M883" s="48">
        <v>45255.460648148146</v>
      </c>
    </row>
    <row r="884">
      <c r="A884" s="47">
        <v>45252.598803518515</v>
      </c>
      <c r="B884" s="46" t="s">
        <v>1162</v>
      </c>
      <c r="C884" s="46">
        <v>9.891377909E9</v>
      </c>
      <c r="D884" s="46"/>
      <c r="E884" s="46"/>
      <c r="F884" s="46"/>
      <c r="G884" s="46" t="s">
        <v>303</v>
      </c>
      <c r="H884" s="46" t="s">
        <v>701</v>
      </c>
      <c r="I884" s="46"/>
      <c r="J884" s="46"/>
      <c r="K884" s="46" t="str">
        <f>IFERROR(__xludf.DUMMYFUNCTION("if(A884="""","""",IF(G884="""",""Myn"",IF(REGEXMATCH(lower(G884),""mynn""),""Myn"",if(G884&lt;&gt;"""",""GEMTRE"",""""))))"),"Myn")</f>
        <v>Myn</v>
      </c>
      <c r="L884" s="46" t="s">
        <v>2000</v>
      </c>
      <c r="M884" s="48">
        <v>45255.460648148146</v>
      </c>
    </row>
    <row r="885">
      <c r="A885" s="47">
        <v>45252.59998018519</v>
      </c>
      <c r="B885" s="46" t="s">
        <v>1163</v>
      </c>
      <c r="C885" s="46">
        <v>9.717283223E9</v>
      </c>
      <c r="D885" s="46"/>
      <c r="E885" s="46"/>
      <c r="F885" s="46"/>
      <c r="G885" s="46" t="s">
        <v>303</v>
      </c>
      <c r="H885" s="46" t="s">
        <v>701</v>
      </c>
      <c r="I885" s="46"/>
      <c r="J885" s="46"/>
      <c r="K885" s="46" t="str">
        <f>IFERROR(__xludf.DUMMYFUNCTION("if(A885="""","""",IF(G885="""",""Myn"",IF(REGEXMATCH(lower(G885),""mynn""),""Myn"",if(G885&lt;&gt;"""",""GEMTRE"",""""))))"),"Myn")</f>
        <v>Myn</v>
      </c>
      <c r="L885" s="46" t="s">
        <v>2000</v>
      </c>
      <c r="M885" s="48">
        <v>45255.460648148146</v>
      </c>
    </row>
    <row r="886">
      <c r="A886" s="47">
        <v>45252.601372453704</v>
      </c>
      <c r="B886" s="46" t="s">
        <v>1164</v>
      </c>
      <c r="C886" s="46">
        <v>9.999607257E9</v>
      </c>
      <c r="D886" s="46"/>
      <c r="E886" s="46"/>
      <c r="F886" s="46"/>
      <c r="G886" s="46" t="s">
        <v>303</v>
      </c>
      <c r="H886" s="46" t="s">
        <v>701</v>
      </c>
      <c r="I886" s="46"/>
      <c r="J886" s="46"/>
      <c r="K886" s="46" t="str">
        <f>IFERROR(__xludf.DUMMYFUNCTION("if(A886="""","""",IF(G886="""",""Myn"",IF(REGEXMATCH(lower(G886),""mynn""),""Myn"",if(G886&lt;&gt;"""",""GEMTRE"",""""))))"),"Myn")</f>
        <v>Myn</v>
      </c>
      <c r="L886" s="46" t="s">
        <v>2000</v>
      </c>
      <c r="M886" s="48">
        <v>45255.460648148146</v>
      </c>
    </row>
    <row r="887">
      <c r="A887" s="47">
        <v>45252.601963796296</v>
      </c>
      <c r="B887" s="46" t="s">
        <v>1165</v>
      </c>
      <c r="C887" s="46">
        <v>9.873606005E9</v>
      </c>
      <c r="D887" s="46"/>
      <c r="E887" s="46"/>
      <c r="F887" s="46"/>
      <c r="G887" s="46" t="s">
        <v>303</v>
      </c>
      <c r="H887" s="46" t="s">
        <v>701</v>
      </c>
      <c r="I887" s="46"/>
      <c r="J887" s="46"/>
      <c r="K887" s="46" t="str">
        <f>IFERROR(__xludf.DUMMYFUNCTION("if(A887="""","""",IF(G887="""",""Myn"",IF(REGEXMATCH(lower(G887),""mynn""),""Myn"",if(G887&lt;&gt;"""",""GEMTRE"",""""))))"),"Myn")</f>
        <v>Myn</v>
      </c>
      <c r="L887" s="46" t="s">
        <v>2000</v>
      </c>
      <c r="M887" s="48">
        <v>45255.460648148146</v>
      </c>
    </row>
    <row r="888">
      <c r="A888" s="47">
        <v>45252.601971076394</v>
      </c>
      <c r="B888" s="46" t="s">
        <v>1166</v>
      </c>
      <c r="C888" s="46">
        <v>9.971424028E9</v>
      </c>
      <c r="D888" s="46"/>
      <c r="E888" s="46"/>
      <c r="F888" s="46"/>
      <c r="G888" s="46" t="s">
        <v>303</v>
      </c>
      <c r="H888" s="46" t="s">
        <v>701</v>
      </c>
      <c r="I888" s="46"/>
      <c r="J888" s="46"/>
      <c r="K888" s="46" t="str">
        <f>IFERROR(__xludf.DUMMYFUNCTION("if(A888="""","""",IF(G888="""",""Myn"",IF(REGEXMATCH(lower(G888),""mynn""),""Myn"",if(G888&lt;&gt;"""",""GEMTRE"",""""))))"),"Myn")</f>
        <v>Myn</v>
      </c>
      <c r="L888" s="46" t="s">
        <v>2000</v>
      </c>
      <c r="M888" s="48">
        <v>45255.460648148146</v>
      </c>
    </row>
    <row r="889">
      <c r="A889" s="47">
        <v>45252.605448055554</v>
      </c>
      <c r="B889" s="46" t="s">
        <v>1167</v>
      </c>
      <c r="C889" s="46">
        <v>9.643857045E9</v>
      </c>
      <c r="D889" s="46"/>
      <c r="E889" s="46" t="s">
        <v>918</v>
      </c>
      <c r="F889" s="49" t="s">
        <v>1168</v>
      </c>
      <c r="G889" s="46" t="s">
        <v>303</v>
      </c>
      <c r="H889" s="46" t="s">
        <v>706</v>
      </c>
      <c r="I889" s="46"/>
      <c r="J889" s="46"/>
      <c r="K889" s="46" t="str">
        <f>IFERROR(__xludf.DUMMYFUNCTION("if(A889="""","""",IF(G889="""",""Myn"",IF(REGEXMATCH(lower(G889),""mynn""),""Myn"",if(G889&lt;&gt;"""",""GEMTRE"",""""))))"),"Myn")</f>
        <v>Myn</v>
      </c>
      <c r="L889" s="46" t="s">
        <v>2000</v>
      </c>
      <c r="M889" s="48">
        <v>45255.460648148146</v>
      </c>
    </row>
    <row r="890">
      <c r="A890" s="47">
        <v>45252.6170290625</v>
      </c>
      <c r="B890" s="46" t="s">
        <v>1169</v>
      </c>
      <c r="C890" s="46">
        <v>8.006431791E9</v>
      </c>
      <c r="D890" s="46"/>
      <c r="E890" s="46" t="s">
        <v>227</v>
      </c>
      <c r="F890" s="46"/>
      <c r="G890" s="46" t="s">
        <v>303</v>
      </c>
      <c r="H890" s="46" t="s">
        <v>706</v>
      </c>
      <c r="I890" s="46"/>
      <c r="J890" s="46"/>
      <c r="K890" s="46" t="str">
        <f>IFERROR(__xludf.DUMMYFUNCTION("if(A890="""","""",IF(G890="""",""Myn"",IF(REGEXMATCH(lower(G890),""mynn""),""Myn"",if(G890&lt;&gt;"""",""GEMTRE"",""""))))"),"Myn")</f>
        <v>Myn</v>
      </c>
      <c r="L890" s="46" t="s">
        <v>2000</v>
      </c>
      <c r="M890" s="48">
        <v>45255.460648148146</v>
      </c>
    </row>
    <row r="891">
      <c r="A891" s="47">
        <v>45252.617349039356</v>
      </c>
      <c r="B891" s="46" t="s">
        <v>1170</v>
      </c>
      <c r="C891" s="46">
        <v>9.773579821E9</v>
      </c>
      <c r="D891" s="46"/>
      <c r="E891" s="46" t="s">
        <v>227</v>
      </c>
      <c r="F891" s="46"/>
      <c r="G891" s="46" t="s">
        <v>303</v>
      </c>
      <c r="H891" s="46" t="s">
        <v>706</v>
      </c>
      <c r="I891" s="46"/>
      <c r="J891" s="46"/>
      <c r="K891" s="46" t="str">
        <f>IFERROR(__xludf.DUMMYFUNCTION("if(A891="""","""",IF(G891="""",""Myn"",IF(REGEXMATCH(lower(G891),""mynn""),""Myn"",if(G891&lt;&gt;"""",""GEMTRE"",""""))))"),"Myn")</f>
        <v>Myn</v>
      </c>
      <c r="L891" s="46" t="s">
        <v>2000</v>
      </c>
      <c r="M891" s="48">
        <v>45255.460648148146</v>
      </c>
    </row>
    <row r="892">
      <c r="A892" s="47">
        <v>45252.617998738424</v>
      </c>
      <c r="B892" s="46" t="s">
        <v>1171</v>
      </c>
      <c r="C892" s="46">
        <v>8.826365121E9</v>
      </c>
      <c r="D892" s="46"/>
      <c r="E892" s="46"/>
      <c r="F892" s="46"/>
      <c r="G892" s="46" t="s">
        <v>303</v>
      </c>
      <c r="H892" s="46" t="s">
        <v>701</v>
      </c>
      <c r="I892" s="46"/>
      <c r="J892" s="46"/>
      <c r="K892" s="46" t="str">
        <f>IFERROR(__xludf.DUMMYFUNCTION("if(A892="""","""",IF(G892="""",""Myn"",IF(REGEXMATCH(lower(G892),""mynn""),""Myn"",if(G892&lt;&gt;"""",""GEMTRE"",""""))))"),"Myn")</f>
        <v>Myn</v>
      </c>
      <c r="L892" s="46" t="s">
        <v>2000</v>
      </c>
      <c r="M892" s="48">
        <v>45255.460648148146</v>
      </c>
    </row>
    <row r="893">
      <c r="A893" s="47">
        <v>45252.61830834491</v>
      </c>
      <c r="B893" s="46" t="s">
        <v>628</v>
      </c>
      <c r="C893" s="46">
        <v>8.800118624E9</v>
      </c>
      <c r="D893" s="46"/>
      <c r="E893" s="46"/>
      <c r="F893" s="46"/>
      <c r="G893" s="46" t="s">
        <v>303</v>
      </c>
      <c r="H893" s="46" t="s">
        <v>701</v>
      </c>
      <c r="I893" s="46"/>
      <c r="J893" s="46"/>
      <c r="K893" s="46" t="str">
        <f>IFERROR(__xludf.DUMMYFUNCTION("if(A893="""","""",IF(G893="""",""Myn"",IF(REGEXMATCH(lower(G893),""mynn""),""Myn"",if(G893&lt;&gt;"""",""GEMTRE"",""""))))"),"Myn")</f>
        <v>Myn</v>
      </c>
      <c r="L893" s="46" t="s">
        <v>2000</v>
      </c>
      <c r="M893" s="48">
        <v>45255.460648148146</v>
      </c>
    </row>
    <row r="894">
      <c r="A894" s="47">
        <v>45252.619498263884</v>
      </c>
      <c r="B894" s="46" t="s">
        <v>110</v>
      </c>
      <c r="C894" s="46">
        <v>9.6433123E9</v>
      </c>
      <c r="D894" s="46"/>
      <c r="E894" s="46"/>
      <c r="F894" s="46"/>
      <c r="G894" s="46" t="s">
        <v>303</v>
      </c>
      <c r="H894" s="46" t="s">
        <v>701</v>
      </c>
      <c r="I894" s="46"/>
      <c r="J894" s="46"/>
      <c r="K894" s="46" t="str">
        <f>IFERROR(__xludf.DUMMYFUNCTION("if(A894="""","""",IF(G894="""",""Myn"",IF(REGEXMATCH(lower(G894),""mynn""),""Myn"",if(G894&lt;&gt;"""",""GEMTRE"",""""))))"),"Myn")</f>
        <v>Myn</v>
      </c>
      <c r="L894" s="46" t="s">
        <v>2000</v>
      </c>
      <c r="M894" s="48">
        <v>45255.460648148146</v>
      </c>
    </row>
    <row r="895">
      <c r="A895" s="47">
        <v>45252.620131400465</v>
      </c>
      <c r="B895" s="46" t="s">
        <v>1172</v>
      </c>
      <c r="C895" s="46">
        <v>9.643039713E9</v>
      </c>
      <c r="D895" s="46"/>
      <c r="E895" s="46"/>
      <c r="F895" s="46"/>
      <c r="G895" s="46" t="s">
        <v>303</v>
      </c>
      <c r="H895" s="46" t="s">
        <v>701</v>
      </c>
      <c r="I895" s="46"/>
      <c r="J895" s="46"/>
      <c r="K895" s="46" t="str">
        <f>IFERROR(__xludf.DUMMYFUNCTION("if(A895="""","""",IF(G895="""",""Myn"",IF(REGEXMATCH(lower(G895),""mynn""),""Myn"",if(G895&lt;&gt;"""",""GEMTRE"",""""))))"),"Myn")</f>
        <v>Myn</v>
      </c>
      <c r="L895" s="46" t="s">
        <v>2000</v>
      </c>
      <c r="M895" s="48">
        <v>45255.460648148146</v>
      </c>
    </row>
    <row r="896">
      <c r="A896" s="47">
        <v>45252.62639446759</v>
      </c>
      <c r="B896" s="46" t="s">
        <v>1173</v>
      </c>
      <c r="C896" s="46">
        <v>8.700001755E9</v>
      </c>
      <c r="D896" s="46"/>
      <c r="E896" s="46"/>
      <c r="F896" s="46"/>
      <c r="G896" s="46" t="s">
        <v>303</v>
      </c>
      <c r="H896" s="46" t="s">
        <v>701</v>
      </c>
      <c r="I896" s="46"/>
      <c r="J896" s="46"/>
      <c r="K896" s="46" t="str">
        <f>IFERROR(__xludf.DUMMYFUNCTION("if(A896="""","""",IF(G896="""",""Myn"",IF(REGEXMATCH(lower(G896),""mynn""),""Myn"",if(G896&lt;&gt;"""",""GEMTRE"",""""))))"),"Myn")</f>
        <v>Myn</v>
      </c>
      <c r="L896" s="46" t="s">
        <v>2000</v>
      </c>
      <c r="M896" s="48">
        <v>45255.460648148146</v>
      </c>
    </row>
    <row r="897">
      <c r="A897" s="47">
        <v>45252.63035605324</v>
      </c>
      <c r="B897" s="46" t="s">
        <v>1174</v>
      </c>
      <c r="C897" s="46">
        <v>9.456074818E9</v>
      </c>
      <c r="D897" s="46"/>
      <c r="E897" s="46" t="s">
        <v>227</v>
      </c>
      <c r="F897" s="46"/>
      <c r="G897" s="46" t="s">
        <v>303</v>
      </c>
      <c r="H897" s="46" t="s">
        <v>706</v>
      </c>
      <c r="I897" s="46"/>
      <c r="J897" s="46"/>
      <c r="K897" s="46" t="str">
        <f>IFERROR(__xludf.DUMMYFUNCTION("if(A897="""","""",IF(G897="""",""Myn"",IF(REGEXMATCH(lower(G897),""mynn""),""Myn"",if(G897&lt;&gt;"""",""GEMTRE"",""""))))"),"Myn")</f>
        <v>Myn</v>
      </c>
      <c r="L897" s="46" t="s">
        <v>2000</v>
      </c>
      <c r="M897" s="48">
        <v>45255.460648148146</v>
      </c>
    </row>
    <row r="898">
      <c r="A898" s="47">
        <v>45252.63157061343</v>
      </c>
      <c r="B898" s="46" t="s">
        <v>1175</v>
      </c>
      <c r="C898" s="46">
        <v>9.409021428E9</v>
      </c>
      <c r="D898" s="46"/>
      <c r="E898" s="46" t="s">
        <v>227</v>
      </c>
      <c r="F898" s="46"/>
      <c r="G898" s="46" t="s">
        <v>303</v>
      </c>
      <c r="H898" s="46" t="s">
        <v>706</v>
      </c>
      <c r="I898" s="46"/>
      <c r="J898" s="46"/>
      <c r="K898" s="46" t="str">
        <f>IFERROR(__xludf.DUMMYFUNCTION("if(A898="""","""",IF(G898="""",""Myn"",IF(REGEXMATCH(lower(G898),""mynn""),""Myn"",if(G898&lt;&gt;"""",""GEMTRE"",""""))))"),"Myn")</f>
        <v>Myn</v>
      </c>
      <c r="L898" s="46" t="s">
        <v>2000</v>
      </c>
      <c r="M898" s="48">
        <v>45255.460648148146</v>
      </c>
    </row>
    <row r="899">
      <c r="A899" s="47">
        <v>45252.63537787037</v>
      </c>
      <c r="B899" s="46" t="s">
        <v>1176</v>
      </c>
      <c r="C899" s="46">
        <v>9.311556679E9</v>
      </c>
      <c r="D899" s="46"/>
      <c r="E899" s="46" t="s">
        <v>227</v>
      </c>
      <c r="F899" s="46"/>
      <c r="G899" s="46" t="s">
        <v>303</v>
      </c>
      <c r="H899" s="46" t="s">
        <v>706</v>
      </c>
      <c r="I899" s="46"/>
      <c r="J899" s="46"/>
      <c r="K899" s="46" t="str">
        <f>IFERROR(__xludf.DUMMYFUNCTION("if(A899="""","""",IF(G899="""",""Myn"",IF(REGEXMATCH(lower(G899),""mynn""),""Myn"",if(G899&lt;&gt;"""",""GEMTRE"",""""))))"),"Myn")</f>
        <v>Myn</v>
      </c>
      <c r="L899" s="46" t="s">
        <v>2000</v>
      </c>
      <c r="M899" s="48">
        <v>45255.460648148146</v>
      </c>
    </row>
    <row r="900">
      <c r="A900" s="47">
        <v>45252.63704920139</v>
      </c>
      <c r="B900" s="46" t="s">
        <v>1177</v>
      </c>
      <c r="C900" s="46">
        <v>9.711134431E9</v>
      </c>
      <c r="D900" s="46"/>
      <c r="E900" s="46" t="s">
        <v>79</v>
      </c>
      <c r="F900" s="46"/>
      <c r="G900" s="46" t="s">
        <v>303</v>
      </c>
      <c r="H900" s="46" t="s">
        <v>706</v>
      </c>
      <c r="I900" s="46"/>
      <c r="J900" s="46"/>
      <c r="K900" s="46" t="str">
        <f>IFERROR(__xludf.DUMMYFUNCTION("if(A900="""","""",IF(G900="""",""Myn"",IF(REGEXMATCH(lower(G900),""mynn""),""Myn"",if(G900&lt;&gt;"""",""GEMTRE"",""""))))"),"Myn")</f>
        <v>Myn</v>
      </c>
      <c r="L900" s="46" t="s">
        <v>2000</v>
      </c>
      <c r="M900" s="48">
        <v>45255.460648148146</v>
      </c>
    </row>
    <row r="901">
      <c r="A901" s="47">
        <v>45252.64177120371</v>
      </c>
      <c r="B901" s="46" t="s">
        <v>1178</v>
      </c>
      <c r="C901" s="46">
        <v>8.920518074E9</v>
      </c>
      <c r="D901" s="46"/>
      <c r="E901" s="46" t="s">
        <v>71</v>
      </c>
      <c r="F901" s="46"/>
      <c r="G901" s="46" t="s">
        <v>303</v>
      </c>
      <c r="H901" s="46" t="s">
        <v>706</v>
      </c>
      <c r="I901" s="46"/>
      <c r="J901" s="46"/>
      <c r="K901" s="46" t="str">
        <f>IFERROR(__xludf.DUMMYFUNCTION("if(A901="""","""",IF(G901="""",""Myn"",IF(REGEXMATCH(lower(G901),""mynn""),""Myn"",if(G901&lt;&gt;"""",""GEMTRE"",""""))))"),"Myn")</f>
        <v>Myn</v>
      </c>
      <c r="L901" s="46" t="s">
        <v>2000</v>
      </c>
      <c r="M901" s="48">
        <v>45255.460648148146</v>
      </c>
    </row>
    <row r="902">
      <c r="A902" s="47">
        <v>45252.64383542824</v>
      </c>
      <c r="B902" s="46" t="s">
        <v>1138</v>
      </c>
      <c r="C902" s="46">
        <v>7.988502833E9</v>
      </c>
      <c r="D902" s="46"/>
      <c r="E902" s="46" t="s">
        <v>227</v>
      </c>
      <c r="F902" s="46"/>
      <c r="G902" s="46" t="s">
        <v>303</v>
      </c>
      <c r="H902" s="46" t="s">
        <v>706</v>
      </c>
      <c r="I902" s="46"/>
      <c r="J902" s="46"/>
      <c r="K902" s="46" t="str">
        <f>IFERROR(__xludf.DUMMYFUNCTION("if(A902="""","""",IF(G902="""",""Myn"",IF(REGEXMATCH(lower(G902),""mynn""),""Myn"",if(G902&lt;&gt;"""",""GEMTRE"",""""))))"),"Myn")</f>
        <v>Myn</v>
      </c>
      <c r="L902" s="46" t="s">
        <v>2000</v>
      </c>
      <c r="M902" s="48">
        <v>45255.460648148146</v>
      </c>
    </row>
    <row r="903">
      <c r="A903" s="47">
        <v>45252.64404306713</v>
      </c>
      <c r="B903" s="46" t="s">
        <v>1179</v>
      </c>
      <c r="C903" s="46">
        <v>9.67140055E9</v>
      </c>
      <c r="D903" s="46"/>
      <c r="E903" s="46"/>
      <c r="F903" s="46"/>
      <c r="G903" s="46" t="s">
        <v>303</v>
      </c>
      <c r="H903" s="46" t="s">
        <v>701</v>
      </c>
      <c r="I903" s="46"/>
      <c r="J903" s="46"/>
      <c r="K903" s="46" t="str">
        <f>IFERROR(__xludf.DUMMYFUNCTION("if(A903="""","""",IF(G903="""",""Myn"",IF(REGEXMATCH(lower(G903),""mynn""),""Myn"",if(G903&lt;&gt;"""",""GEMTRE"",""""))))"),"Myn")</f>
        <v>Myn</v>
      </c>
      <c r="L903" s="46" t="s">
        <v>2000</v>
      </c>
      <c r="M903" s="48">
        <v>45255.460648148146</v>
      </c>
    </row>
    <row r="904">
      <c r="A904" s="47">
        <v>45252.64526651621</v>
      </c>
      <c r="B904" s="46" t="s">
        <v>1180</v>
      </c>
      <c r="C904" s="46">
        <v>9.910544189E9</v>
      </c>
      <c r="D904" s="46"/>
      <c r="E904" s="46" t="s">
        <v>79</v>
      </c>
      <c r="F904" s="46"/>
      <c r="G904" s="46" t="s">
        <v>303</v>
      </c>
      <c r="H904" s="46" t="s">
        <v>706</v>
      </c>
      <c r="I904" s="46"/>
      <c r="J904" s="46"/>
      <c r="K904" s="46" t="str">
        <f>IFERROR(__xludf.DUMMYFUNCTION("if(A904="""","""",IF(G904="""",""Myn"",IF(REGEXMATCH(lower(G904),""mynn""),""Myn"",if(G904&lt;&gt;"""",""GEMTRE"",""""))))"),"Myn")</f>
        <v>Myn</v>
      </c>
      <c r="L904" s="46" t="s">
        <v>2000</v>
      </c>
      <c r="M904" s="48">
        <v>45255.460648148146</v>
      </c>
    </row>
    <row r="905">
      <c r="A905" s="47">
        <v>45252.64775108796</v>
      </c>
      <c r="B905" s="46" t="s">
        <v>1181</v>
      </c>
      <c r="C905" s="46">
        <v>9.968240521E9</v>
      </c>
      <c r="D905" s="46"/>
      <c r="E905" s="46"/>
      <c r="F905" s="46"/>
      <c r="G905" s="46" t="s">
        <v>303</v>
      </c>
      <c r="H905" s="46" t="s">
        <v>701</v>
      </c>
      <c r="I905" s="46"/>
      <c r="J905" s="46"/>
      <c r="K905" s="46" t="str">
        <f>IFERROR(__xludf.DUMMYFUNCTION("if(A905="""","""",IF(G905="""",""Myn"",IF(REGEXMATCH(lower(G905),""mynn""),""Myn"",if(G905&lt;&gt;"""",""GEMTRE"",""""))))"),"Myn")</f>
        <v>Myn</v>
      </c>
      <c r="L905" s="46" t="s">
        <v>2000</v>
      </c>
      <c r="M905" s="48">
        <v>45255.460648148146</v>
      </c>
    </row>
    <row r="906">
      <c r="A906" s="47">
        <v>45252.649718298606</v>
      </c>
      <c r="B906" s="46" t="s">
        <v>1182</v>
      </c>
      <c r="C906" s="46">
        <v>9.811137281E9</v>
      </c>
      <c r="D906" s="46"/>
      <c r="E906" s="46"/>
      <c r="F906" s="46"/>
      <c r="G906" s="46" t="s">
        <v>303</v>
      </c>
      <c r="H906" s="46" t="s">
        <v>701</v>
      </c>
      <c r="I906" s="46"/>
      <c r="J906" s="46"/>
      <c r="K906" s="46" t="str">
        <f>IFERROR(__xludf.DUMMYFUNCTION("if(A906="""","""",IF(G906="""",""Myn"",IF(REGEXMATCH(lower(G906),""mynn""),""Myn"",if(G906&lt;&gt;"""",""GEMTRE"",""""))))"),"Myn")</f>
        <v>Myn</v>
      </c>
      <c r="L906" s="46" t="s">
        <v>2000</v>
      </c>
      <c r="M906" s="48">
        <v>45255.460648148146</v>
      </c>
    </row>
    <row r="907">
      <c r="A907" s="47">
        <v>45252.65095984953</v>
      </c>
      <c r="B907" s="46" t="s">
        <v>1183</v>
      </c>
      <c r="C907" s="46">
        <v>9.8101473E9</v>
      </c>
      <c r="D907" s="46"/>
      <c r="E907" s="46"/>
      <c r="F907" s="46"/>
      <c r="G907" s="46" t="s">
        <v>289</v>
      </c>
      <c r="H907" s="46" t="s">
        <v>701</v>
      </c>
      <c r="I907" s="46"/>
      <c r="J907" s="46"/>
      <c r="K907" s="46" t="str">
        <f>IFERROR(__xludf.DUMMYFUNCTION("if(A907="""","""",IF(G907="""",""Myn"",IF(REGEXMATCH(lower(G907),""mynn""),""Myn"",if(G907&lt;&gt;"""",""GEMTRE"",""""))))"),"GEMTRE")</f>
        <v>GEMTRE</v>
      </c>
      <c r="L907" s="46" t="s">
        <v>2001</v>
      </c>
      <c r="M907" s="48">
        <v>45255.460648148146</v>
      </c>
    </row>
    <row r="908">
      <c r="A908" s="47">
        <v>45252.6516122801</v>
      </c>
      <c r="B908" s="46" t="s">
        <v>1184</v>
      </c>
      <c r="C908" s="46">
        <v>9.868429229E9</v>
      </c>
      <c r="D908" s="46"/>
      <c r="E908" s="46" t="s">
        <v>1185</v>
      </c>
      <c r="F908" s="46"/>
      <c r="G908" s="46" t="s">
        <v>289</v>
      </c>
      <c r="H908" s="46" t="s">
        <v>706</v>
      </c>
      <c r="I908" s="46"/>
      <c r="J908" s="46"/>
      <c r="K908" s="46" t="str">
        <f>IFERROR(__xludf.DUMMYFUNCTION("if(A908="""","""",IF(G908="""",""Myn"",IF(REGEXMATCH(lower(G908),""mynn""),""Myn"",if(G908&lt;&gt;"""",""GEMTRE"",""""))))"),"GEMTRE")</f>
        <v>GEMTRE</v>
      </c>
      <c r="L908" s="46" t="s">
        <v>2001</v>
      </c>
      <c r="M908" s="48">
        <v>45255.460648148146</v>
      </c>
    </row>
    <row r="909">
      <c r="A909" s="47">
        <v>45252.65219173611</v>
      </c>
      <c r="B909" s="46" t="s">
        <v>1186</v>
      </c>
      <c r="C909" s="46">
        <v>9.540325879E9</v>
      </c>
      <c r="D909" s="46"/>
      <c r="E909" s="46" t="s">
        <v>1187</v>
      </c>
      <c r="F909" s="46"/>
      <c r="G909" s="46" t="s">
        <v>289</v>
      </c>
      <c r="H909" s="46" t="s">
        <v>706</v>
      </c>
      <c r="I909" s="46"/>
      <c r="J909" s="46"/>
      <c r="K909" s="46" t="str">
        <f>IFERROR(__xludf.DUMMYFUNCTION("if(A909="""","""",IF(G909="""",""Myn"",IF(REGEXMATCH(lower(G909),""mynn""),""Myn"",if(G909&lt;&gt;"""",""GEMTRE"",""""))))"),"GEMTRE")</f>
        <v>GEMTRE</v>
      </c>
      <c r="L909" s="46" t="s">
        <v>2001</v>
      </c>
      <c r="M909" s="48">
        <v>45255.460648148146</v>
      </c>
    </row>
    <row r="910">
      <c r="A910" s="47">
        <v>45252.652824502315</v>
      </c>
      <c r="B910" s="46" t="s">
        <v>1188</v>
      </c>
      <c r="C910" s="46">
        <v>9.418008764E9</v>
      </c>
      <c r="D910" s="46"/>
      <c r="E910" s="46" t="s">
        <v>1189</v>
      </c>
      <c r="F910" s="46"/>
      <c r="G910" s="46" t="s">
        <v>289</v>
      </c>
      <c r="H910" s="46" t="s">
        <v>706</v>
      </c>
      <c r="I910" s="46"/>
      <c r="J910" s="46"/>
      <c r="K910" s="46" t="str">
        <f>IFERROR(__xludf.DUMMYFUNCTION("if(A910="""","""",IF(G910="""",""Myn"",IF(REGEXMATCH(lower(G910),""mynn""),""Myn"",if(G910&lt;&gt;"""",""GEMTRE"",""""))))"),"GEMTRE")</f>
        <v>GEMTRE</v>
      </c>
      <c r="L910" s="46" t="s">
        <v>2001</v>
      </c>
      <c r="M910" s="48">
        <v>45255.460648148146</v>
      </c>
    </row>
    <row r="911">
      <c r="A911" s="47">
        <v>45252.65329015046</v>
      </c>
      <c r="B911" s="46" t="s">
        <v>1100</v>
      </c>
      <c r="C911" s="46">
        <v>9.810712114E9</v>
      </c>
      <c r="D911" s="46"/>
      <c r="E911" s="46" t="s">
        <v>837</v>
      </c>
      <c r="F911" s="46"/>
      <c r="G911" s="46" t="s">
        <v>303</v>
      </c>
      <c r="H911" s="46" t="s">
        <v>706</v>
      </c>
      <c r="I911" s="46"/>
      <c r="J911" s="46"/>
      <c r="K911" s="46" t="str">
        <f>IFERROR(__xludf.DUMMYFUNCTION("if(A911="""","""",IF(G911="""",""Myn"",IF(REGEXMATCH(lower(G911),""mynn""),""Myn"",if(G911&lt;&gt;"""",""GEMTRE"",""""))))"),"Myn")</f>
        <v>Myn</v>
      </c>
      <c r="L911" s="46" t="s">
        <v>2000</v>
      </c>
      <c r="M911" s="48">
        <v>45255.460648148146</v>
      </c>
    </row>
    <row r="912">
      <c r="A912" s="47">
        <v>45252.65332394676</v>
      </c>
      <c r="B912" s="46" t="s">
        <v>1190</v>
      </c>
      <c r="C912" s="46">
        <v>9.873325101E9</v>
      </c>
      <c r="D912" s="46"/>
      <c r="E912" s="46"/>
      <c r="F912" s="46"/>
      <c r="G912" s="46" t="s">
        <v>289</v>
      </c>
      <c r="H912" s="46" t="s">
        <v>701</v>
      </c>
      <c r="I912" s="46"/>
      <c r="J912" s="46"/>
      <c r="K912" s="46" t="str">
        <f>IFERROR(__xludf.DUMMYFUNCTION("if(A912="""","""",IF(G912="""",""Myn"",IF(REGEXMATCH(lower(G912),""mynn""),""Myn"",if(G912&lt;&gt;"""",""GEMTRE"",""""))))"),"GEMTRE")</f>
        <v>GEMTRE</v>
      </c>
      <c r="L912" s="46" t="s">
        <v>2001</v>
      </c>
      <c r="M912" s="48">
        <v>45255.460648148146</v>
      </c>
    </row>
    <row r="913">
      <c r="A913" s="47">
        <v>45252.65386349537</v>
      </c>
      <c r="B913" s="46" t="s">
        <v>1191</v>
      </c>
      <c r="C913" s="46">
        <v>8.750101322E9</v>
      </c>
      <c r="D913" s="46"/>
      <c r="E913" s="46" t="s">
        <v>1192</v>
      </c>
      <c r="F913" s="46"/>
      <c r="G913" s="46" t="s">
        <v>289</v>
      </c>
      <c r="H913" s="46" t="s">
        <v>706</v>
      </c>
      <c r="I913" s="46"/>
      <c r="J913" s="46"/>
      <c r="K913" s="46" t="str">
        <f>IFERROR(__xludf.DUMMYFUNCTION("if(A913="""","""",IF(G913="""",""Myn"",IF(REGEXMATCH(lower(G913),""mynn""),""Myn"",if(G913&lt;&gt;"""",""GEMTRE"",""""))))"),"GEMTRE")</f>
        <v>GEMTRE</v>
      </c>
      <c r="L913" s="46" t="s">
        <v>2001</v>
      </c>
      <c r="M913" s="48">
        <v>45255.460648148146</v>
      </c>
    </row>
    <row r="914">
      <c r="A914" s="47">
        <v>45252.65457126158</v>
      </c>
      <c r="B914" s="46" t="s">
        <v>1193</v>
      </c>
      <c r="C914" s="46">
        <v>7.011884242E9</v>
      </c>
      <c r="D914" s="46"/>
      <c r="E914" s="46" t="s">
        <v>1194</v>
      </c>
      <c r="F914" s="46"/>
      <c r="G914" s="46" t="s">
        <v>289</v>
      </c>
      <c r="H914" s="46" t="s">
        <v>706</v>
      </c>
      <c r="I914" s="46"/>
      <c r="J914" s="46"/>
      <c r="K914" s="46" t="str">
        <f>IFERROR(__xludf.DUMMYFUNCTION("if(A914="""","""",IF(G914="""",""Myn"",IF(REGEXMATCH(lower(G914),""mynn""),""Myn"",if(G914&lt;&gt;"""",""GEMTRE"",""""))))"),"GEMTRE")</f>
        <v>GEMTRE</v>
      </c>
      <c r="L914" s="46" t="s">
        <v>2001</v>
      </c>
      <c r="M914" s="48">
        <v>45255.460648148146</v>
      </c>
    </row>
    <row r="915">
      <c r="A915" s="47">
        <v>45252.654574189815</v>
      </c>
      <c r="B915" s="46" t="s">
        <v>1195</v>
      </c>
      <c r="C915" s="46">
        <v>9.87391383E9</v>
      </c>
      <c r="D915" s="46"/>
      <c r="E915" s="46"/>
      <c r="F915" s="46"/>
      <c r="G915" s="46" t="s">
        <v>303</v>
      </c>
      <c r="H915" s="46" t="s">
        <v>701</v>
      </c>
      <c r="I915" s="46"/>
      <c r="J915" s="46"/>
      <c r="K915" s="46" t="str">
        <f>IFERROR(__xludf.DUMMYFUNCTION("if(A915="""","""",IF(G915="""",""Myn"",IF(REGEXMATCH(lower(G915),""mynn""),""Myn"",if(G915&lt;&gt;"""",""GEMTRE"",""""))))"),"Myn")</f>
        <v>Myn</v>
      </c>
      <c r="L915" s="46" t="s">
        <v>2000</v>
      </c>
      <c r="M915" s="48">
        <v>45255.460648148146</v>
      </c>
    </row>
    <row r="916">
      <c r="A916" s="47">
        <v>45252.654935150465</v>
      </c>
      <c r="B916" s="46" t="s">
        <v>1196</v>
      </c>
      <c r="C916" s="46">
        <v>8.920986407E9</v>
      </c>
      <c r="D916" s="46"/>
      <c r="E916" s="46"/>
      <c r="F916" s="46"/>
      <c r="G916" s="46" t="s">
        <v>289</v>
      </c>
      <c r="H916" s="46" t="s">
        <v>701</v>
      </c>
      <c r="I916" s="46"/>
      <c r="J916" s="46"/>
      <c r="K916" s="46" t="str">
        <f>IFERROR(__xludf.DUMMYFUNCTION("if(A916="""","""",IF(G916="""",""Myn"",IF(REGEXMATCH(lower(G916),""mynn""),""Myn"",if(G916&lt;&gt;"""",""GEMTRE"",""""))))"),"GEMTRE")</f>
        <v>GEMTRE</v>
      </c>
      <c r="L916" s="46" t="s">
        <v>2001</v>
      </c>
      <c r="M916" s="48">
        <v>45255.460648148146</v>
      </c>
    </row>
    <row r="917">
      <c r="A917" s="47">
        <v>45252.65573730324</v>
      </c>
      <c r="B917" s="46" t="s">
        <v>1197</v>
      </c>
      <c r="C917" s="46">
        <v>7.551194993E9</v>
      </c>
      <c r="D917" s="46"/>
      <c r="E917" s="46" t="s">
        <v>1185</v>
      </c>
      <c r="F917" s="46"/>
      <c r="G917" s="46" t="s">
        <v>289</v>
      </c>
      <c r="H917" s="46" t="s">
        <v>706</v>
      </c>
      <c r="I917" s="46"/>
      <c r="J917" s="46"/>
      <c r="K917" s="46" t="str">
        <f>IFERROR(__xludf.DUMMYFUNCTION("if(A917="""","""",IF(G917="""",""Myn"",IF(REGEXMATCH(lower(G917),""mynn""),""Myn"",if(G917&lt;&gt;"""",""GEMTRE"",""""))))"),"GEMTRE")</f>
        <v>GEMTRE</v>
      </c>
      <c r="L917" s="46" t="s">
        <v>2001</v>
      </c>
      <c r="M917" s="48">
        <v>45255.460648148146</v>
      </c>
    </row>
    <row r="918">
      <c r="A918" s="47">
        <v>45252.65618024305</v>
      </c>
      <c r="B918" s="46" t="s">
        <v>1198</v>
      </c>
      <c r="C918" s="46">
        <v>9.71833954E9</v>
      </c>
      <c r="D918" s="46"/>
      <c r="E918" s="46"/>
      <c r="F918" s="46"/>
      <c r="G918" s="46" t="s">
        <v>289</v>
      </c>
      <c r="H918" s="46" t="s">
        <v>706</v>
      </c>
      <c r="I918" s="46"/>
      <c r="J918" s="46"/>
      <c r="K918" s="46" t="str">
        <f>IFERROR(__xludf.DUMMYFUNCTION("if(A918="""","""",IF(G918="""",""Myn"",IF(REGEXMATCH(lower(G918),""mynn""),""Myn"",if(G918&lt;&gt;"""",""GEMTRE"",""""))))"),"GEMTRE")</f>
        <v>GEMTRE</v>
      </c>
      <c r="L918" s="46" t="s">
        <v>2001</v>
      </c>
      <c r="M918" s="48">
        <v>45255.460648148146</v>
      </c>
    </row>
    <row r="919">
      <c r="A919" s="47">
        <v>45252.65710384259</v>
      </c>
      <c r="B919" s="46" t="s">
        <v>1199</v>
      </c>
      <c r="C919" s="46">
        <v>9.650509732E9</v>
      </c>
      <c r="D919" s="46"/>
      <c r="E919" s="46" t="s">
        <v>1200</v>
      </c>
      <c r="F919" s="46"/>
      <c r="G919" s="46" t="s">
        <v>289</v>
      </c>
      <c r="H919" s="46" t="s">
        <v>706</v>
      </c>
      <c r="I919" s="46"/>
      <c r="J919" s="46"/>
      <c r="K919" s="46" t="str">
        <f>IFERROR(__xludf.DUMMYFUNCTION("if(A919="""","""",IF(G919="""",""Myn"",IF(REGEXMATCH(lower(G919),""mynn""),""Myn"",if(G919&lt;&gt;"""",""GEMTRE"",""""))))"),"GEMTRE")</f>
        <v>GEMTRE</v>
      </c>
      <c r="L919" s="46" t="s">
        <v>2001</v>
      </c>
      <c r="M919" s="48">
        <v>45255.460648148146</v>
      </c>
    </row>
    <row r="920">
      <c r="A920" s="47">
        <v>45252.657777835644</v>
      </c>
      <c r="B920" s="46" t="s">
        <v>1201</v>
      </c>
      <c r="C920" s="46">
        <v>9.999085204E9</v>
      </c>
      <c r="D920" s="46"/>
      <c r="E920" s="46" t="s">
        <v>1202</v>
      </c>
      <c r="F920" s="46"/>
      <c r="G920" s="46" t="s">
        <v>289</v>
      </c>
      <c r="H920" s="46" t="s">
        <v>706</v>
      </c>
      <c r="I920" s="46"/>
      <c r="J920" s="46"/>
      <c r="K920" s="46" t="str">
        <f>IFERROR(__xludf.DUMMYFUNCTION("if(A920="""","""",IF(G920="""",""Myn"",IF(REGEXMATCH(lower(G920),""mynn""),""Myn"",if(G920&lt;&gt;"""",""GEMTRE"",""""))))"),"GEMTRE")</f>
        <v>GEMTRE</v>
      </c>
      <c r="L920" s="46" t="s">
        <v>2001</v>
      </c>
      <c r="M920" s="48">
        <v>45255.460648148146</v>
      </c>
    </row>
    <row r="921">
      <c r="A921" s="47">
        <v>45252.658341608796</v>
      </c>
      <c r="B921" s="46" t="s">
        <v>1203</v>
      </c>
      <c r="C921" s="46">
        <v>8.81041629E9</v>
      </c>
      <c r="D921" s="46"/>
      <c r="E921" s="46" t="s">
        <v>1204</v>
      </c>
      <c r="F921" s="46"/>
      <c r="G921" s="46" t="s">
        <v>289</v>
      </c>
      <c r="H921" s="46" t="s">
        <v>706</v>
      </c>
      <c r="I921" s="46"/>
      <c r="J921" s="46"/>
      <c r="K921" s="46" t="str">
        <f>IFERROR(__xludf.DUMMYFUNCTION("if(A921="""","""",IF(G921="""",""Myn"",IF(REGEXMATCH(lower(G921),""mynn""),""Myn"",if(G921&lt;&gt;"""",""GEMTRE"",""""))))"),"GEMTRE")</f>
        <v>GEMTRE</v>
      </c>
      <c r="L921" s="46" t="s">
        <v>2001</v>
      </c>
      <c r="M921" s="48">
        <v>45255.460648148146</v>
      </c>
    </row>
    <row r="922">
      <c r="A922" s="47">
        <v>45252.658930578706</v>
      </c>
      <c r="B922" s="46" t="s">
        <v>1205</v>
      </c>
      <c r="C922" s="46">
        <v>8.920688834E9</v>
      </c>
      <c r="D922" s="46"/>
      <c r="E922" s="46"/>
      <c r="F922" s="46"/>
      <c r="G922" s="46" t="s">
        <v>289</v>
      </c>
      <c r="H922" s="46" t="s">
        <v>701</v>
      </c>
      <c r="I922" s="46"/>
      <c r="J922" s="46"/>
      <c r="K922" s="46" t="str">
        <f>IFERROR(__xludf.DUMMYFUNCTION("if(A922="""","""",IF(G922="""",""Myn"",IF(REGEXMATCH(lower(G922),""mynn""),""Myn"",if(G922&lt;&gt;"""",""GEMTRE"",""""))))"),"GEMTRE")</f>
        <v>GEMTRE</v>
      </c>
      <c r="L922" s="46" t="s">
        <v>2001</v>
      </c>
      <c r="M922" s="48">
        <v>45255.460648148146</v>
      </c>
    </row>
    <row r="923">
      <c r="A923" s="47">
        <v>45252.65968149305</v>
      </c>
      <c r="B923" s="46" t="s">
        <v>1206</v>
      </c>
      <c r="C923" s="46">
        <v>7.042168871E9</v>
      </c>
      <c r="D923" s="46"/>
      <c r="E923" s="46" t="s">
        <v>1207</v>
      </c>
      <c r="F923" s="46"/>
      <c r="G923" s="46" t="s">
        <v>289</v>
      </c>
      <c r="H923" s="46" t="s">
        <v>706</v>
      </c>
      <c r="I923" s="46"/>
      <c r="J923" s="46"/>
      <c r="K923" s="46" t="str">
        <f>IFERROR(__xludf.DUMMYFUNCTION("if(A923="""","""",IF(G923="""",""Myn"",IF(REGEXMATCH(lower(G923),""mynn""),""Myn"",if(G923&lt;&gt;"""",""GEMTRE"",""""))))"),"GEMTRE")</f>
        <v>GEMTRE</v>
      </c>
      <c r="L923" s="46" t="s">
        <v>2001</v>
      </c>
      <c r="M923" s="48">
        <v>45255.460648148146</v>
      </c>
    </row>
    <row r="924">
      <c r="A924" s="47">
        <v>45252.66277087963</v>
      </c>
      <c r="B924" s="46" t="s">
        <v>1208</v>
      </c>
      <c r="C924" s="46">
        <v>9.971414243E9</v>
      </c>
      <c r="D924" s="46"/>
      <c r="E924" s="46" t="s">
        <v>1209</v>
      </c>
      <c r="F924" s="46"/>
      <c r="G924" s="46" t="s">
        <v>289</v>
      </c>
      <c r="H924" s="46" t="s">
        <v>706</v>
      </c>
      <c r="I924" s="46"/>
      <c r="J924" s="46"/>
      <c r="K924" s="46" t="str">
        <f>IFERROR(__xludf.DUMMYFUNCTION("if(A924="""","""",IF(G924="""",""Myn"",IF(REGEXMATCH(lower(G924),""mynn""),""Myn"",if(G924&lt;&gt;"""",""GEMTRE"",""""))))"),"GEMTRE")</f>
        <v>GEMTRE</v>
      </c>
      <c r="L924" s="46" t="s">
        <v>2001</v>
      </c>
      <c r="M924" s="48">
        <v>45255.460648148146</v>
      </c>
    </row>
    <row r="925">
      <c r="A925" s="47">
        <v>45252.66315277778</v>
      </c>
      <c r="B925" s="46" t="s">
        <v>1166</v>
      </c>
      <c r="C925" s="46">
        <v>9.873736362E9</v>
      </c>
      <c r="D925" s="46"/>
      <c r="E925" s="46" t="s">
        <v>1210</v>
      </c>
      <c r="F925" s="46"/>
      <c r="G925" s="46" t="s">
        <v>289</v>
      </c>
      <c r="H925" s="46" t="s">
        <v>706</v>
      </c>
      <c r="I925" s="46"/>
      <c r="J925" s="46"/>
      <c r="K925" s="46" t="str">
        <f>IFERROR(__xludf.DUMMYFUNCTION("if(A925="""","""",IF(G925="""",""Myn"",IF(REGEXMATCH(lower(G925),""mynn""),""Myn"",if(G925&lt;&gt;"""",""GEMTRE"",""""))))"),"GEMTRE")</f>
        <v>GEMTRE</v>
      </c>
      <c r="L925" s="46" t="s">
        <v>2001</v>
      </c>
      <c r="M925" s="48">
        <v>45255.460648148146</v>
      </c>
    </row>
    <row r="926">
      <c r="A926" s="47">
        <v>45252.663662719904</v>
      </c>
      <c r="B926" s="46" t="s">
        <v>1211</v>
      </c>
      <c r="C926" s="46">
        <v>9.711269061E9</v>
      </c>
      <c r="D926" s="46"/>
      <c r="E926" s="46" t="s">
        <v>1212</v>
      </c>
      <c r="F926" s="46"/>
      <c r="G926" s="46" t="s">
        <v>289</v>
      </c>
      <c r="H926" s="46" t="s">
        <v>706</v>
      </c>
      <c r="I926" s="46"/>
      <c r="J926" s="46"/>
      <c r="K926" s="46" t="str">
        <f>IFERROR(__xludf.DUMMYFUNCTION("if(A926="""","""",IF(G926="""",""Myn"",IF(REGEXMATCH(lower(G926),""mynn""),""Myn"",if(G926&lt;&gt;"""",""GEMTRE"",""""))))"),"GEMTRE")</f>
        <v>GEMTRE</v>
      </c>
      <c r="L926" s="46" t="s">
        <v>2001</v>
      </c>
      <c r="M926" s="48">
        <v>45255.460648148146</v>
      </c>
    </row>
    <row r="927">
      <c r="A927" s="47">
        <v>45252.66393995371</v>
      </c>
      <c r="B927" s="46" t="s">
        <v>655</v>
      </c>
      <c r="C927" s="46">
        <v>8.130107044E9</v>
      </c>
      <c r="D927" s="46"/>
      <c r="E927" s="46"/>
      <c r="F927" s="46"/>
      <c r="G927" s="46" t="s">
        <v>303</v>
      </c>
      <c r="H927" s="46" t="s">
        <v>701</v>
      </c>
      <c r="I927" s="46"/>
      <c r="J927" s="46"/>
      <c r="K927" s="46" t="str">
        <f>IFERROR(__xludf.DUMMYFUNCTION("if(A927="""","""",IF(G927="""",""Myn"",IF(REGEXMATCH(lower(G927),""mynn""),""Myn"",if(G927&lt;&gt;"""",""GEMTRE"",""""))))"),"Myn")</f>
        <v>Myn</v>
      </c>
      <c r="L927" s="46" t="s">
        <v>2000</v>
      </c>
      <c r="M927" s="48">
        <v>45255.460648148146</v>
      </c>
    </row>
    <row r="928">
      <c r="A928" s="47">
        <v>45252.66406542824</v>
      </c>
      <c r="B928" s="46" t="s">
        <v>1213</v>
      </c>
      <c r="C928" s="46">
        <v>9.166085159E9</v>
      </c>
      <c r="D928" s="46"/>
      <c r="E928" s="46"/>
      <c r="F928" s="46"/>
      <c r="G928" s="46" t="s">
        <v>303</v>
      </c>
      <c r="H928" s="46" t="s">
        <v>701</v>
      </c>
      <c r="I928" s="46"/>
      <c r="J928" s="46"/>
      <c r="K928" s="46" t="str">
        <f>IFERROR(__xludf.DUMMYFUNCTION("if(A928="""","""",IF(G928="""",""Myn"",IF(REGEXMATCH(lower(G928),""mynn""),""Myn"",if(G928&lt;&gt;"""",""GEMTRE"",""""))))"),"Myn")</f>
        <v>Myn</v>
      </c>
      <c r="L928" s="46" t="s">
        <v>2000</v>
      </c>
      <c r="M928" s="48">
        <v>45255.460648148146</v>
      </c>
    </row>
    <row r="929">
      <c r="A929" s="47">
        <v>45252.66420197916</v>
      </c>
      <c r="B929" s="46" t="s">
        <v>1214</v>
      </c>
      <c r="C929" s="46">
        <v>8.287455411E9</v>
      </c>
      <c r="D929" s="46"/>
      <c r="E929" s="46" t="s">
        <v>1189</v>
      </c>
      <c r="F929" s="46"/>
      <c r="G929" s="46" t="s">
        <v>289</v>
      </c>
      <c r="H929" s="46" t="s">
        <v>706</v>
      </c>
      <c r="I929" s="46"/>
      <c r="J929" s="46"/>
      <c r="K929" s="46" t="str">
        <f>IFERROR(__xludf.DUMMYFUNCTION("if(A929="""","""",IF(G929="""",""Myn"",IF(REGEXMATCH(lower(G929),""mynn""),""Myn"",if(G929&lt;&gt;"""",""GEMTRE"",""""))))"),"GEMTRE")</f>
        <v>GEMTRE</v>
      </c>
      <c r="L929" s="46" t="s">
        <v>2001</v>
      </c>
      <c r="M929" s="48">
        <v>45255.460648148146</v>
      </c>
    </row>
    <row r="930">
      <c r="A930" s="47">
        <v>45252.66484725694</v>
      </c>
      <c r="B930" s="46" t="s">
        <v>1215</v>
      </c>
      <c r="C930" s="46">
        <v>9.667845298E9</v>
      </c>
      <c r="D930" s="46"/>
      <c r="E930" s="46" t="s">
        <v>1185</v>
      </c>
      <c r="F930" s="46"/>
      <c r="G930" s="46" t="s">
        <v>289</v>
      </c>
      <c r="H930" s="46" t="s">
        <v>706</v>
      </c>
      <c r="I930" s="46"/>
      <c r="J930" s="46"/>
      <c r="K930" s="46" t="str">
        <f>IFERROR(__xludf.DUMMYFUNCTION("if(A930="""","""",IF(G930="""",""Myn"",IF(REGEXMATCH(lower(G930),""mynn""),""Myn"",if(G930&lt;&gt;"""",""GEMTRE"",""""))))"),"GEMTRE")</f>
        <v>GEMTRE</v>
      </c>
      <c r="L930" s="46" t="s">
        <v>2001</v>
      </c>
      <c r="M930" s="48">
        <v>45255.460648148146</v>
      </c>
    </row>
    <row r="931">
      <c r="A931" s="47">
        <v>45252.66703510417</v>
      </c>
      <c r="B931" s="46" t="s">
        <v>1216</v>
      </c>
      <c r="C931" s="46">
        <v>9.871489556E9</v>
      </c>
      <c r="D931" s="46"/>
      <c r="E931" s="46" t="s">
        <v>1217</v>
      </c>
      <c r="F931" s="46"/>
      <c r="G931" s="46" t="s">
        <v>289</v>
      </c>
      <c r="H931" s="46" t="s">
        <v>706</v>
      </c>
      <c r="I931" s="46"/>
      <c r="J931" s="46"/>
      <c r="K931" s="46" t="str">
        <f>IFERROR(__xludf.DUMMYFUNCTION("if(A931="""","""",IF(G931="""",""Myn"",IF(REGEXMATCH(lower(G931),""mynn""),""Myn"",if(G931&lt;&gt;"""",""GEMTRE"",""""))))"),"GEMTRE")</f>
        <v>GEMTRE</v>
      </c>
      <c r="L931" s="46" t="s">
        <v>2001</v>
      </c>
      <c r="M931" s="48">
        <v>45255.460648148146</v>
      </c>
    </row>
    <row r="932">
      <c r="A932" s="47">
        <v>45252.66735037037</v>
      </c>
      <c r="B932" s="46" t="s">
        <v>1218</v>
      </c>
      <c r="C932" s="46">
        <v>7.011044741E9</v>
      </c>
      <c r="D932" s="46"/>
      <c r="E932" s="46"/>
      <c r="F932" s="46"/>
      <c r="G932" s="46" t="s">
        <v>303</v>
      </c>
      <c r="H932" s="46" t="s">
        <v>701</v>
      </c>
      <c r="I932" s="46"/>
      <c r="J932" s="46"/>
      <c r="K932" s="46" t="str">
        <f>IFERROR(__xludf.DUMMYFUNCTION("if(A932="""","""",IF(G932="""",""Myn"",IF(REGEXMATCH(lower(G932),""mynn""),""Myn"",if(G932&lt;&gt;"""",""GEMTRE"",""""))))"),"Myn")</f>
        <v>Myn</v>
      </c>
      <c r="L932" s="46" t="s">
        <v>2000</v>
      </c>
      <c r="M932" s="48">
        <v>45255.460648148146</v>
      </c>
    </row>
    <row r="933">
      <c r="A933" s="47">
        <v>45252.669757361116</v>
      </c>
      <c r="B933" s="46" t="s">
        <v>1219</v>
      </c>
      <c r="C933" s="46">
        <v>9.87303439E9</v>
      </c>
      <c r="D933" s="46"/>
      <c r="E933" s="46" t="s">
        <v>1220</v>
      </c>
      <c r="F933" s="46"/>
      <c r="G933" s="46" t="s">
        <v>303</v>
      </c>
      <c r="H933" s="46" t="s">
        <v>706</v>
      </c>
      <c r="I933" s="46"/>
      <c r="J933" s="46"/>
      <c r="K933" s="46" t="str">
        <f>IFERROR(__xludf.DUMMYFUNCTION("if(A933="""","""",IF(G933="""",""Myn"",IF(REGEXMATCH(lower(G933),""mynn""),""Myn"",if(G933&lt;&gt;"""",""GEMTRE"",""""))))"),"Myn")</f>
        <v>Myn</v>
      </c>
      <c r="L933" s="46" t="s">
        <v>2000</v>
      </c>
      <c r="M933" s="48">
        <v>45255.460648148146</v>
      </c>
    </row>
    <row r="934">
      <c r="A934" s="47">
        <v>45252.670389756946</v>
      </c>
      <c r="B934" s="46" t="s">
        <v>1221</v>
      </c>
      <c r="C934" s="46">
        <v>9.458727872E9</v>
      </c>
      <c r="D934" s="46"/>
      <c r="E934" s="46"/>
      <c r="F934" s="46"/>
      <c r="G934" s="46" t="s">
        <v>303</v>
      </c>
      <c r="H934" s="46" t="s">
        <v>701</v>
      </c>
      <c r="I934" s="46"/>
      <c r="J934" s="46"/>
      <c r="K934" s="46" t="str">
        <f>IFERROR(__xludf.DUMMYFUNCTION("if(A934="""","""",IF(G934="""",""Myn"",IF(REGEXMATCH(lower(G934),""mynn""),""Myn"",if(G934&lt;&gt;"""",""GEMTRE"",""""))))"),"Myn")</f>
        <v>Myn</v>
      </c>
      <c r="L934" s="46" t="s">
        <v>2000</v>
      </c>
      <c r="M934" s="48">
        <v>45255.460648148146</v>
      </c>
    </row>
    <row r="935">
      <c r="A935" s="47">
        <v>45252.67151946759</v>
      </c>
      <c r="B935" s="46" t="s">
        <v>1222</v>
      </c>
      <c r="C935" s="46">
        <v>9.812289365E9</v>
      </c>
      <c r="D935" s="46"/>
      <c r="E935" s="46" t="s">
        <v>1223</v>
      </c>
      <c r="F935" s="46"/>
      <c r="G935" s="46" t="s">
        <v>289</v>
      </c>
      <c r="H935" s="46" t="s">
        <v>706</v>
      </c>
      <c r="I935" s="46"/>
      <c r="J935" s="46"/>
      <c r="K935" s="46" t="str">
        <f>IFERROR(__xludf.DUMMYFUNCTION("if(A935="""","""",IF(G935="""",""Myn"",IF(REGEXMATCH(lower(G935),""mynn""),""Myn"",if(G935&lt;&gt;"""",""GEMTRE"",""""))))"),"GEMTRE")</f>
        <v>GEMTRE</v>
      </c>
      <c r="L935" s="46" t="s">
        <v>2001</v>
      </c>
      <c r="M935" s="48">
        <v>45255.460648148146</v>
      </c>
    </row>
    <row r="936">
      <c r="A936" s="47">
        <v>45252.67182195601</v>
      </c>
      <c r="B936" s="46" t="s">
        <v>1224</v>
      </c>
      <c r="C936" s="46">
        <v>7.351541273E9</v>
      </c>
      <c r="D936" s="46"/>
      <c r="E936" s="46"/>
      <c r="F936" s="46"/>
      <c r="G936" s="46" t="s">
        <v>303</v>
      </c>
      <c r="H936" s="46" t="s">
        <v>701</v>
      </c>
      <c r="I936" s="46"/>
      <c r="J936" s="46"/>
      <c r="K936" s="46" t="str">
        <f>IFERROR(__xludf.DUMMYFUNCTION("if(A936="""","""",IF(G936="""",""Myn"",IF(REGEXMATCH(lower(G936),""mynn""),""Myn"",if(G936&lt;&gt;"""",""GEMTRE"",""""))))"),"Myn")</f>
        <v>Myn</v>
      </c>
      <c r="L936" s="46" t="s">
        <v>2000</v>
      </c>
      <c r="M936" s="48">
        <v>45255.460648148146</v>
      </c>
    </row>
    <row r="937">
      <c r="A937" s="47">
        <v>45252.67193805556</v>
      </c>
      <c r="B937" s="46" t="s">
        <v>1225</v>
      </c>
      <c r="C937" s="46">
        <v>9.891766693E9</v>
      </c>
      <c r="D937" s="46"/>
      <c r="E937" s="46" t="s">
        <v>1226</v>
      </c>
      <c r="F937" s="46"/>
      <c r="G937" s="46" t="s">
        <v>289</v>
      </c>
      <c r="H937" s="46" t="s">
        <v>706</v>
      </c>
      <c r="I937" s="46"/>
      <c r="J937" s="46"/>
      <c r="K937" s="46" t="str">
        <f>IFERROR(__xludf.DUMMYFUNCTION("if(A937="""","""",IF(G937="""",""Myn"",IF(REGEXMATCH(lower(G937),""mynn""),""Myn"",if(G937&lt;&gt;"""",""GEMTRE"",""""))))"),"GEMTRE")</f>
        <v>GEMTRE</v>
      </c>
      <c r="L937" s="46" t="s">
        <v>2001</v>
      </c>
      <c r="M937" s="48">
        <v>45255.460648148146</v>
      </c>
    </row>
    <row r="938">
      <c r="A938" s="47">
        <v>45252.672225532406</v>
      </c>
      <c r="B938" s="46" t="s">
        <v>1227</v>
      </c>
      <c r="C938" s="46">
        <v>9.568680868E9</v>
      </c>
      <c r="D938" s="46"/>
      <c r="E938" s="46"/>
      <c r="F938" s="46"/>
      <c r="G938" s="46" t="s">
        <v>303</v>
      </c>
      <c r="H938" s="46" t="s">
        <v>701</v>
      </c>
      <c r="I938" s="46"/>
      <c r="J938" s="46"/>
      <c r="K938" s="46" t="str">
        <f>IFERROR(__xludf.DUMMYFUNCTION("if(A938="""","""",IF(G938="""",""Myn"",IF(REGEXMATCH(lower(G938),""mynn""),""Myn"",if(G938&lt;&gt;"""",""GEMTRE"",""""))))"),"Myn")</f>
        <v>Myn</v>
      </c>
      <c r="L938" s="46" t="s">
        <v>2000</v>
      </c>
      <c r="M938" s="48">
        <v>45255.460648148146</v>
      </c>
    </row>
    <row r="939">
      <c r="A939" s="47">
        <v>45252.67245585648</v>
      </c>
      <c r="B939" s="46" t="s">
        <v>1228</v>
      </c>
      <c r="C939" s="46">
        <v>9.210171008E9</v>
      </c>
      <c r="D939" s="46"/>
      <c r="E939" s="46"/>
      <c r="F939" s="46"/>
      <c r="G939" s="46" t="s">
        <v>289</v>
      </c>
      <c r="H939" s="46" t="s">
        <v>701</v>
      </c>
      <c r="I939" s="46"/>
      <c r="J939" s="46"/>
      <c r="K939" s="46" t="str">
        <f>IFERROR(__xludf.DUMMYFUNCTION("if(A939="""","""",IF(G939="""",""Myn"",IF(REGEXMATCH(lower(G939),""mynn""),""Myn"",if(G939&lt;&gt;"""",""GEMTRE"",""""))))"),"GEMTRE")</f>
        <v>GEMTRE</v>
      </c>
      <c r="L939" s="46" t="s">
        <v>2001</v>
      </c>
      <c r="M939" s="48">
        <v>45255.460648148146</v>
      </c>
    </row>
    <row r="940">
      <c r="A940" s="47">
        <v>45252.673324375</v>
      </c>
      <c r="B940" s="46" t="s">
        <v>1229</v>
      </c>
      <c r="C940" s="46">
        <v>9.990368279E9</v>
      </c>
      <c r="D940" s="46"/>
      <c r="E940" s="46" t="s">
        <v>1230</v>
      </c>
      <c r="F940" s="46"/>
      <c r="G940" s="46" t="s">
        <v>289</v>
      </c>
      <c r="H940" s="46" t="s">
        <v>706</v>
      </c>
      <c r="I940" s="46"/>
      <c r="J940" s="46"/>
      <c r="K940" s="46" t="str">
        <f>IFERROR(__xludf.DUMMYFUNCTION("if(A940="""","""",IF(G940="""",""Myn"",IF(REGEXMATCH(lower(G940),""mynn""),""Myn"",if(G940&lt;&gt;"""",""GEMTRE"",""""))))"),"GEMTRE")</f>
        <v>GEMTRE</v>
      </c>
      <c r="L940" s="46" t="s">
        <v>2001</v>
      </c>
      <c r="M940" s="48">
        <v>45255.460648148146</v>
      </c>
    </row>
    <row r="941">
      <c r="A941" s="47">
        <v>45252.67350158565</v>
      </c>
      <c r="B941" s="46" t="s">
        <v>1231</v>
      </c>
      <c r="C941" s="46">
        <v>9.810935927E9</v>
      </c>
      <c r="D941" s="46"/>
      <c r="E941" s="46"/>
      <c r="F941" s="46"/>
      <c r="G941" s="46" t="s">
        <v>303</v>
      </c>
      <c r="H941" s="46" t="s">
        <v>706</v>
      </c>
      <c r="I941" s="46"/>
      <c r="J941" s="46"/>
      <c r="K941" s="46" t="str">
        <f>IFERROR(__xludf.DUMMYFUNCTION("if(A941="""","""",IF(G941="""",""Myn"",IF(REGEXMATCH(lower(G941),""mynn""),""Myn"",if(G941&lt;&gt;"""",""GEMTRE"",""""))))"),"Myn")</f>
        <v>Myn</v>
      </c>
      <c r="L941" s="46" t="s">
        <v>2000</v>
      </c>
      <c r="M941" s="48">
        <v>45255.460648148146</v>
      </c>
    </row>
    <row r="942">
      <c r="A942" s="47">
        <v>45252.674128645835</v>
      </c>
      <c r="B942" s="46" t="s">
        <v>1232</v>
      </c>
      <c r="C942" s="46">
        <v>8.595753278E9</v>
      </c>
      <c r="D942" s="46"/>
      <c r="E942" s="46" t="s">
        <v>1233</v>
      </c>
      <c r="F942" s="46"/>
      <c r="G942" s="46" t="s">
        <v>289</v>
      </c>
      <c r="H942" s="46" t="s">
        <v>706</v>
      </c>
      <c r="I942" s="46"/>
      <c r="J942" s="46"/>
      <c r="K942" s="46" t="str">
        <f>IFERROR(__xludf.DUMMYFUNCTION("if(A942="""","""",IF(G942="""",""Myn"",IF(REGEXMATCH(lower(G942),""mynn""),""Myn"",if(G942&lt;&gt;"""",""GEMTRE"",""""))))"),"GEMTRE")</f>
        <v>GEMTRE</v>
      </c>
      <c r="L942" s="46" t="s">
        <v>2001</v>
      </c>
      <c r="M942" s="48">
        <v>45255.460648148146</v>
      </c>
    </row>
    <row r="943">
      <c r="A943" s="47">
        <v>45252.67476613426</v>
      </c>
      <c r="B943" s="46" t="s">
        <v>1234</v>
      </c>
      <c r="C943" s="46">
        <v>9.8101015E9</v>
      </c>
      <c r="D943" s="46"/>
      <c r="E943" s="46" t="s">
        <v>1235</v>
      </c>
      <c r="F943" s="46"/>
      <c r="G943" s="46" t="s">
        <v>289</v>
      </c>
      <c r="H943" s="46" t="s">
        <v>706</v>
      </c>
      <c r="I943" s="46"/>
      <c r="J943" s="46"/>
      <c r="K943" s="46" t="str">
        <f>IFERROR(__xludf.DUMMYFUNCTION("if(A943="""","""",IF(G943="""",""Myn"",IF(REGEXMATCH(lower(G943),""mynn""),""Myn"",if(G943&lt;&gt;"""",""GEMTRE"",""""))))"),"GEMTRE")</f>
        <v>GEMTRE</v>
      </c>
      <c r="L943" s="46" t="s">
        <v>2001</v>
      </c>
      <c r="M943" s="48">
        <v>45255.460648148146</v>
      </c>
    </row>
    <row r="944">
      <c r="A944" s="47">
        <v>45252.67516458333</v>
      </c>
      <c r="B944" s="46" t="s">
        <v>1236</v>
      </c>
      <c r="C944" s="46">
        <v>9.890309889E9</v>
      </c>
      <c r="D944" s="46"/>
      <c r="E944" s="46" t="s">
        <v>1237</v>
      </c>
      <c r="F944" s="46"/>
      <c r="G944" s="46" t="s">
        <v>289</v>
      </c>
      <c r="H944" s="46" t="s">
        <v>706</v>
      </c>
      <c r="I944" s="46"/>
      <c r="J944" s="46"/>
      <c r="K944" s="46" t="str">
        <f>IFERROR(__xludf.DUMMYFUNCTION("if(A944="""","""",IF(G944="""",""Myn"",IF(REGEXMATCH(lower(G944),""mynn""),""Myn"",if(G944&lt;&gt;"""",""GEMTRE"",""""))))"),"GEMTRE")</f>
        <v>GEMTRE</v>
      </c>
      <c r="L944" s="46" t="s">
        <v>2001</v>
      </c>
      <c r="M944" s="48">
        <v>45255.460648148146</v>
      </c>
    </row>
    <row r="945">
      <c r="A945" s="47">
        <v>45252.67685722222</v>
      </c>
      <c r="B945" s="46" t="s">
        <v>1238</v>
      </c>
      <c r="C945" s="46">
        <v>9.653878566E9</v>
      </c>
      <c r="D945" s="46"/>
      <c r="E945" s="46" t="s">
        <v>1189</v>
      </c>
      <c r="F945" s="46"/>
      <c r="G945" s="46" t="s">
        <v>289</v>
      </c>
      <c r="H945" s="46" t="s">
        <v>706</v>
      </c>
      <c r="I945" s="46"/>
      <c r="J945" s="46"/>
      <c r="K945" s="46" t="str">
        <f>IFERROR(__xludf.DUMMYFUNCTION("if(A945="""","""",IF(G945="""",""Myn"",IF(REGEXMATCH(lower(G945),""mynn""),""Myn"",if(G945&lt;&gt;"""",""GEMTRE"",""""))))"),"GEMTRE")</f>
        <v>GEMTRE</v>
      </c>
      <c r="L945" s="46" t="s">
        <v>2001</v>
      </c>
      <c r="M945" s="48">
        <v>45255.460648148146</v>
      </c>
    </row>
    <row r="946">
      <c r="A946" s="47">
        <v>45252.6772705787</v>
      </c>
      <c r="B946" s="46" t="s">
        <v>1239</v>
      </c>
      <c r="C946" s="46">
        <v>9.654501325E9</v>
      </c>
      <c r="D946" s="46"/>
      <c r="E946" s="46" t="s">
        <v>1240</v>
      </c>
      <c r="F946" s="46"/>
      <c r="G946" s="46" t="s">
        <v>289</v>
      </c>
      <c r="H946" s="46" t="s">
        <v>706</v>
      </c>
      <c r="I946" s="46"/>
      <c r="J946" s="46"/>
      <c r="K946" s="46" t="str">
        <f>IFERROR(__xludf.DUMMYFUNCTION("if(A946="""","""",IF(G946="""",""Myn"",IF(REGEXMATCH(lower(G946),""mynn""),""Myn"",if(G946&lt;&gt;"""",""GEMTRE"",""""))))"),"GEMTRE")</f>
        <v>GEMTRE</v>
      </c>
      <c r="L946" s="46" t="s">
        <v>2001</v>
      </c>
      <c r="M946" s="48">
        <v>45255.460648148146</v>
      </c>
    </row>
    <row r="947">
      <c r="A947" s="47">
        <v>45252.67782921296</v>
      </c>
      <c r="B947" s="46" t="s">
        <v>1241</v>
      </c>
      <c r="C947" s="46">
        <v>9.718687757E9</v>
      </c>
      <c r="D947" s="46"/>
      <c r="E947" s="46" t="s">
        <v>1242</v>
      </c>
      <c r="F947" s="46"/>
      <c r="G947" s="46" t="s">
        <v>289</v>
      </c>
      <c r="H947" s="46" t="s">
        <v>706</v>
      </c>
      <c r="I947" s="46"/>
      <c r="J947" s="46"/>
      <c r="K947" s="46" t="str">
        <f>IFERROR(__xludf.DUMMYFUNCTION("if(A947="""","""",IF(G947="""",""Myn"",IF(REGEXMATCH(lower(G947),""mynn""),""Myn"",if(G947&lt;&gt;"""",""GEMTRE"",""""))))"),"GEMTRE")</f>
        <v>GEMTRE</v>
      </c>
      <c r="L947" s="46" t="s">
        <v>2001</v>
      </c>
      <c r="M947" s="48">
        <v>45255.460648148146</v>
      </c>
    </row>
    <row r="948">
      <c r="A948" s="47">
        <v>45252.678424722224</v>
      </c>
      <c r="B948" s="46" t="s">
        <v>1243</v>
      </c>
      <c r="C948" s="46">
        <v>9.864051679E9</v>
      </c>
      <c r="D948" s="46"/>
      <c r="E948" s="46"/>
      <c r="F948" s="46"/>
      <c r="G948" s="46" t="s">
        <v>289</v>
      </c>
      <c r="H948" s="46" t="s">
        <v>706</v>
      </c>
      <c r="I948" s="46"/>
      <c r="J948" s="46"/>
      <c r="K948" s="46" t="str">
        <f>IFERROR(__xludf.DUMMYFUNCTION("if(A948="""","""",IF(G948="""",""Myn"",IF(REGEXMATCH(lower(G948),""mynn""),""Myn"",if(G948&lt;&gt;"""",""GEMTRE"",""""))))"),"GEMTRE")</f>
        <v>GEMTRE</v>
      </c>
      <c r="L948" s="46" t="s">
        <v>2001</v>
      </c>
      <c r="M948" s="48">
        <v>45255.460648148146</v>
      </c>
    </row>
    <row r="949">
      <c r="A949" s="47">
        <v>45252.67889429398</v>
      </c>
      <c r="B949" s="46" t="s">
        <v>1244</v>
      </c>
      <c r="C949" s="46">
        <v>9.818747108E9</v>
      </c>
      <c r="D949" s="46"/>
      <c r="E949" s="46" t="s">
        <v>1245</v>
      </c>
      <c r="F949" s="46"/>
      <c r="G949" s="46" t="s">
        <v>289</v>
      </c>
      <c r="H949" s="46" t="s">
        <v>706</v>
      </c>
      <c r="I949" s="46"/>
      <c r="J949" s="46"/>
      <c r="K949" s="46" t="str">
        <f>IFERROR(__xludf.DUMMYFUNCTION("if(A949="""","""",IF(G949="""",""Myn"",IF(REGEXMATCH(lower(G949),""mynn""),""Myn"",if(G949&lt;&gt;"""",""GEMTRE"",""""))))"),"GEMTRE")</f>
        <v>GEMTRE</v>
      </c>
      <c r="L949" s="46" t="s">
        <v>2001</v>
      </c>
      <c r="M949" s="48">
        <v>45255.460648148146</v>
      </c>
    </row>
    <row r="950">
      <c r="A950" s="47">
        <v>45252.67932778935</v>
      </c>
      <c r="B950" s="46" t="s">
        <v>1246</v>
      </c>
      <c r="C950" s="46">
        <v>9.650422828E9</v>
      </c>
      <c r="D950" s="46"/>
      <c r="E950" s="46"/>
      <c r="F950" s="46"/>
      <c r="G950" s="46" t="s">
        <v>289</v>
      </c>
      <c r="H950" s="46" t="s">
        <v>701</v>
      </c>
      <c r="I950" s="46"/>
      <c r="J950" s="46"/>
      <c r="K950" s="46" t="str">
        <f>IFERROR(__xludf.DUMMYFUNCTION("if(A950="""","""",IF(G950="""",""Myn"",IF(REGEXMATCH(lower(G950),""mynn""),""Myn"",if(G950&lt;&gt;"""",""GEMTRE"",""""))))"),"GEMTRE")</f>
        <v>GEMTRE</v>
      </c>
      <c r="L950" s="46" t="s">
        <v>2001</v>
      </c>
      <c r="M950" s="48">
        <v>45255.460648148146</v>
      </c>
    </row>
    <row r="951">
      <c r="A951" s="47">
        <v>45252.67982777778</v>
      </c>
      <c r="B951" s="46" t="s">
        <v>1247</v>
      </c>
      <c r="C951" s="46">
        <v>9.911659963E9</v>
      </c>
      <c r="D951" s="46"/>
      <c r="E951" s="46" t="s">
        <v>15</v>
      </c>
      <c r="F951" s="46"/>
      <c r="G951" s="46" t="s">
        <v>303</v>
      </c>
      <c r="H951" s="46" t="s">
        <v>706</v>
      </c>
      <c r="I951" s="46"/>
      <c r="J951" s="46"/>
      <c r="K951" s="46" t="str">
        <f>IFERROR(__xludf.DUMMYFUNCTION("if(A951="""","""",IF(G951="""",""Myn"",IF(REGEXMATCH(lower(G951),""mynn""),""Myn"",if(G951&lt;&gt;"""",""GEMTRE"",""""))))"),"Myn")</f>
        <v>Myn</v>
      </c>
      <c r="L951" s="46" t="s">
        <v>2000</v>
      </c>
      <c r="M951" s="48">
        <v>45255.460648148146</v>
      </c>
    </row>
    <row r="952">
      <c r="A952" s="47">
        <v>45252.679866226856</v>
      </c>
      <c r="B952" s="46" t="s">
        <v>834</v>
      </c>
      <c r="C952" s="46">
        <v>9.891910994E9</v>
      </c>
      <c r="D952" s="46"/>
      <c r="E952" s="46" t="s">
        <v>1189</v>
      </c>
      <c r="F952" s="46"/>
      <c r="G952" s="46" t="s">
        <v>289</v>
      </c>
      <c r="H952" s="46" t="s">
        <v>706</v>
      </c>
      <c r="I952" s="46"/>
      <c r="J952" s="46"/>
      <c r="K952" s="46" t="str">
        <f>IFERROR(__xludf.DUMMYFUNCTION("if(A952="""","""",IF(G952="""",""Myn"",IF(REGEXMATCH(lower(G952),""mynn""),""Myn"",if(G952&lt;&gt;"""",""GEMTRE"",""""))))"),"GEMTRE")</f>
        <v>GEMTRE</v>
      </c>
      <c r="L952" s="46" t="s">
        <v>2001</v>
      </c>
      <c r="M952" s="48">
        <v>45255.460648148146</v>
      </c>
    </row>
    <row r="953">
      <c r="A953" s="47">
        <v>45252.6803575</v>
      </c>
      <c r="B953" s="46" t="s">
        <v>1248</v>
      </c>
      <c r="C953" s="46">
        <v>7.042434392E9</v>
      </c>
      <c r="D953" s="46"/>
      <c r="E953" s="46" t="s">
        <v>1209</v>
      </c>
      <c r="F953" s="46"/>
      <c r="G953" s="46" t="s">
        <v>289</v>
      </c>
      <c r="H953" s="46" t="s">
        <v>706</v>
      </c>
      <c r="I953" s="46"/>
      <c r="J953" s="46"/>
      <c r="K953" s="46" t="str">
        <f>IFERROR(__xludf.DUMMYFUNCTION("if(A953="""","""",IF(G953="""",""Myn"",IF(REGEXMATCH(lower(G953),""mynn""),""Myn"",if(G953&lt;&gt;"""",""GEMTRE"",""""))))"),"GEMTRE")</f>
        <v>GEMTRE</v>
      </c>
      <c r="L953" s="46" t="s">
        <v>2001</v>
      </c>
      <c r="M953" s="48">
        <v>45255.460648148146</v>
      </c>
    </row>
    <row r="954">
      <c r="A954" s="47">
        <v>45252.68102423611</v>
      </c>
      <c r="B954" s="46" t="s">
        <v>1249</v>
      </c>
      <c r="C954" s="46">
        <v>9.528151409E9</v>
      </c>
      <c r="D954" s="46"/>
      <c r="E954" s="46"/>
      <c r="F954" s="46"/>
      <c r="G954" s="46" t="s">
        <v>289</v>
      </c>
      <c r="H954" s="46" t="s">
        <v>701</v>
      </c>
      <c r="I954" s="46"/>
      <c r="J954" s="46"/>
      <c r="K954" s="46" t="str">
        <f>IFERROR(__xludf.DUMMYFUNCTION("if(A954="""","""",IF(G954="""",""Myn"",IF(REGEXMATCH(lower(G954),""mynn""),""Myn"",if(G954&lt;&gt;"""",""GEMTRE"",""""))))"),"GEMTRE")</f>
        <v>GEMTRE</v>
      </c>
      <c r="L954" s="46" t="s">
        <v>2001</v>
      </c>
      <c r="M954" s="48">
        <v>45255.460648148146</v>
      </c>
    </row>
    <row r="955">
      <c r="A955" s="47">
        <v>45252.6813025</v>
      </c>
      <c r="B955" s="46" t="s">
        <v>1224</v>
      </c>
      <c r="C955" s="46">
        <v>8.800875071E9</v>
      </c>
      <c r="D955" s="46"/>
      <c r="E955" s="46"/>
      <c r="F955" s="46"/>
      <c r="G955" s="46" t="s">
        <v>303</v>
      </c>
      <c r="H955" s="46" t="s">
        <v>701</v>
      </c>
      <c r="I955" s="46"/>
      <c r="J955" s="46"/>
      <c r="K955" s="46" t="str">
        <f>IFERROR(__xludf.DUMMYFUNCTION("if(A955="""","""",IF(G955="""",""Myn"",IF(REGEXMATCH(lower(G955),""mynn""),""Myn"",if(G955&lt;&gt;"""",""GEMTRE"",""""))))"),"Myn")</f>
        <v>Myn</v>
      </c>
      <c r="L955" s="46" t="s">
        <v>2000</v>
      </c>
      <c r="M955" s="48">
        <v>45255.460648148146</v>
      </c>
    </row>
    <row r="956">
      <c r="A956" s="47">
        <v>45252.68158116898</v>
      </c>
      <c r="B956" s="46" t="s">
        <v>1250</v>
      </c>
      <c r="C956" s="46">
        <v>9.310171263E9</v>
      </c>
      <c r="D956" s="46"/>
      <c r="E956" s="46"/>
      <c r="F956" s="46"/>
      <c r="G956" s="46" t="s">
        <v>303</v>
      </c>
      <c r="H956" s="46" t="s">
        <v>701</v>
      </c>
      <c r="I956" s="46"/>
      <c r="J956" s="46"/>
      <c r="K956" s="46" t="str">
        <f>IFERROR(__xludf.DUMMYFUNCTION("if(A956="""","""",IF(G956="""",""Myn"",IF(REGEXMATCH(lower(G956),""mynn""),""Myn"",if(G956&lt;&gt;"""",""GEMTRE"",""""))))"),"Myn")</f>
        <v>Myn</v>
      </c>
      <c r="L956" s="46" t="s">
        <v>2000</v>
      </c>
      <c r="M956" s="48">
        <v>45255.460648148146</v>
      </c>
    </row>
    <row r="957">
      <c r="A957" s="47">
        <v>45252.68170710648</v>
      </c>
      <c r="B957" s="46" t="s">
        <v>1251</v>
      </c>
      <c r="C957" s="46">
        <v>9.811671448E9</v>
      </c>
      <c r="D957" s="46"/>
      <c r="E957" s="46" t="s">
        <v>1252</v>
      </c>
      <c r="F957" s="46"/>
      <c r="G957" s="46" t="s">
        <v>289</v>
      </c>
      <c r="H957" s="46" t="s">
        <v>706</v>
      </c>
      <c r="I957" s="46"/>
      <c r="J957" s="46"/>
      <c r="K957" s="46" t="str">
        <f>IFERROR(__xludf.DUMMYFUNCTION("if(A957="""","""",IF(G957="""",""Myn"",IF(REGEXMATCH(lower(G957),""mynn""),""Myn"",if(G957&lt;&gt;"""",""GEMTRE"",""""))))"),"GEMTRE")</f>
        <v>GEMTRE</v>
      </c>
      <c r="L957" s="46" t="s">
        <v>2001</v>
      </c>
      <c r="M957" s="48">
        <v>45255.460648148146</v>
      </c>
    </row>
    <row r="958">
      <c r="A958" s="47">
        <v>45252.68183667824</v>
      </c>
      <c r="B958" s="46" t="s">
        <v>1253</v>
      </c>
      <c r="C958" s="46">
        <v>9.717679138E9</v>
      </c>
      <c r="D958" s="46"/>
      <c r="E958" s="46"/>
      <c r="F958" s="46"/>
      <c r="G958" s="46" t="s">
        <v>303</v>
      </c>
      <c r="H958" s="46" t="s">
        <v>701</v>
      </c>
      <c r="I958" s="46"/>
      <c r="J958" s="46"/>
      <c r="K958" s="46" t="str">
        <f>IFERROR(__xludf.DUMMYFUNCTION("if(A958="""","""",IF(G958="""",""Myn"",IF(REGEXMATCH(lower(G958),""mynn""),""Myn"",if(G958&lt;&gt;"""",""GEMTRE"",""""))))"),"Myn")</f>
        <v>Myn</v>
      </c>
      <c r="L958" s="46" t="s">
        <v>2000</v>
      </c>
      <c r="M958" s="48">
        <v>45255.460648148146</v>
      </c>
    </row>
    <row r="959">
      <c r="A959" s="47">
        <v>45252.68215346065</v>
      </c>
      <c r="B959" s="46" t="s">
        <v>1254</v>
      </c>
      <c r="C959" s="46">
        <v>9.061E9</v>
      </c>
      <c r="D959" s="46"/>
      <c r="E959" s="46" t="s">
        <v>1255</v>
      </c>
      <c r="F959" s="46"/>
      <c r="G959" s="46" t="s">
        <v>289</v>
      </c>
      <c r="H959" s="46" t="s">
        <v>706</v>
      </c>
      <c r="I959" s="46"/>
      <c r="J959" s="46"/>
      <c r="K959" s="46" t="str">
        <f>IFERROR(__xludf.DUMMYFUNCTION("if(A959="""","""",IF(G959="""",""Myn"",IF(REGEXMATCH(lower(G959),""mynn""),""Myn"",if(G959&lt;&gt;"""",""GEMTRE"",""""))))"),"GEMTRE")</f>
        <v>GEMTRE</v>
      </c>
      <c r="L959" s="46" t="s">
        <v>2001</v>
      </c>
      <c r="M959" s="48">
        <v>45255.460648148146</v>
      </c>
    </row>
    <row r="960">
      <c r="A960" s="47">
        <v>45252.682783842596</v>
      </c>
      <c r="B960" s="46" t="s">
        <v>1256</v>
      </c>
      <c r="C960" s="46">
        <v>8.920428023E9</v>
      </c>
      <c r="D960" s="46"/>
      <c r="E960" s="46"/>
      <c r="F960" s="46"/>
      <c r="G960" s="46" t="s">
        <v>289</v>
      </c>
      <c r="H960" s="46" t="s">
        <v>701</v>
      </c>
      <c r="I960" s="46"/>
      <c r="J960" s="46"/>
      <c r="K960" s="46" t="str">
        <f>IFERROR(__xludf.DUMMYFUNCTION("if(A960="""","""",IF(G960="""",""Myn"",IF(REGEXMATCH(lower(G960),""mynn""),""Myn"",if(G960&lt;&gt;"""",""GEMTRE"",""""))))"),"GEMTRE")</f>
        <v>GEMTRE</v>
      </c>
      <c r="L960" s="46" t="s">
        <v>2001</v>
      </c>
      <c r="M960" s="48">
        <v>45255.46065972222</v>
      </c>
    </row>
    <row r="961">
      <c r="A961" s="47">
        <v>45252.68282019676</v>
      </c>
      <c r="B961" s="46" t="s">
        <v>1257</v>
      </c>
      <c r="C961" s="46">
        <v>9.8992725E9</v>
      </c>
      <c r="D961" s="46"/>
      <c r="E961" s="46"/>
      <c r="F961" s="46"/>
      <c r="G961" s="46" t="s">
        <v>303</v>
      </c>
      <c r="H961" s="46" t="s">
        <v>701</v>
      </c>
      <c r="I961" s="46"/>
      <c r="J961" s="46"/>
      <c r="K961" s="46" t="str">
        <f>IFERROR(__xludf.DUMMYFUNCTION("if(A961="""","""",IF(G961="""",""Myn"",IF(REGEXMATCH(lower(G961),""mynn""),""Myn"",if(G961&lt;&gt;"""",""GEMTRE"",""""))))"),"Myn")</f>
        <v>Myn</v>
      </c>
      <c r="L961" s="46" t="s">
        <v>2000</v>
      </c>
      <c r="M961" s="48">
        <v>45255.46065972222</v>
      </c>
    </row>
    <row r="962">
      <c r="A962" s="47">
        <v>45252.68297565972</v>
      </c>
      <c r="B962" s="46" t="s">
        <v>1258</v>
      </c>
      <c r="C962" s="46">
        <v>8.88287004E9</v>
      </c>
      <c r="D962" s="46"/>
      <c r="E962" s="46" t="s">
        <v>1259</v>
      </c>
      <c r="F962" s="46"/>
      <c r="G962" s="46" t="s">
        <v>303</v>
      </c>
      <c r="H962" s="46" t="s">
        <v>706</v>
      </c>
      <c r="I962" s="46"/>
      <c r="J962" s="46"/>
      <c r="K962" s="46" t="str">
        <f>IFERROR(__xludf.DUMMYFUNCTION("if(A962="""","""",IF(G962="""",""Myn"",IF(REGEXMATCH(lower(G962),""mynn""),""Myn"",if(G962&lt;&gt;"""",""GEMTRE"",""""))))"),"Myn")</f>
        <v>Myn</v>
      </c>
      <c r="L962" s="46" t="s">
        <v>2000</v>
      </c>
      <c r="M962" s="48">
        <v>45255.46065972222</v>
      </c>
    </row>
    <row r="963">
      <c r="A963" s="47">
        <v>45252.68322314815</v>
      </c>
      <c r="B963" s="46" t="s">
        <v>507</v>
      </c>
      <c r="C963" s="46">
        <v>6.396554396E9</v>
      </c>
      <c r="D963" s="46"/>
      <c r="E963" s="46"/>
      <c r="F963" s="46"/>
      <c r="G963" s="46" t="s">
        <v>289</v>
      </c>
      <c r="H963" s="46" t="s">
        <v>701</v>
      </c>
      <c r="I963" s="46"/>
      <c r="J963" s="46"/>
      <c r="K963" s="46" t="str">
        <f>IFERROR(__xludf.DUMMYFUNCTION("if(A963="""","""",IF(G963="""",""Myn"",IF(REGEXMATCH(lower(G963),""mynn""),""Myn"",if(G963&lt;&gt;"""",""GEMTRE"",""""))))"),"GEMTRE")</f>
        <v>GEMTRE</v>
      </c>
      <c r="L963" s="46" t="s">
        <v>2001</v>
      </c>
      <c r="M963" s="48">
        <v>45255.46065972222</v>
      </c>
    </row>
    <row r="964">
      <c r="A964" s="47">
        <v>45252.68360128472</v>
      </c>
      <c r="B964" s="46" t="s">
        <v>1260</v>
      </c>
      <c r="C964" s="46">
        <v>7.50399586E9</v>
      </c>
      <c r="D964" s="46"/>
      <c r="E964" s="46"/>
      <c r="F964" s="46"/>
      <c r="G964" s="46" t="s">
        <v>289</v>
      </c>
      <c r="H964" s="46" t="s">
        <v>701</v>
      </c>
      <c r="I964" s="46"/>
      <c r="J964" s="46"/>
      <c r="K964" s="46" t="str">
        <f>IFERROR(__xludf.DUMMYFUNCTION("if(A964="""","""",IF(G964="""",""Myn"",IF(REGEXMATCH(lower(G964),""mynn""),""Myn"",if(G964&lt;&gt;"""",""GEMTRE"",""""))))"),"GEMTRE")</f>
        <v>GEMTRE</v>
      </c>
      <c r="L964" s="46" t="s">
        <v>2001</v>
      </c>
      <c r="M964" s="48">
        <v>45255.46065972222</v>
      </c>
    </row>
    <row r="965">
      <c r="A965" s="47">
        <v>45252.683959166665</v>
      </c>
      <c r="B965" s="46" t="s">
        <v>1261</v>
      </c>
      <c r="C965" s="46">
        <v>9.810418182E9</v>
      </c>
      <c r="D965" s="46"/>
      <c r="E965" s="46"/>
      <c r="F965" s="46"/>
      <c r="G965" s="46" t="s">
        <v>289</v>
      </c>
      <c r="H965" s="46" t="s">
        <v>701</v>
      </c>
      <c r="I965" s="46"/>
      <c r="J965" s="46"/>
      <c r="K965" s="46" t="str">
        <f>IFERROR(__xludf.DUMMYFUNCTION("if(A965="""","""",IF(G965="""",""Myn"",IF(REGEXMATCH(lower(G965),""mynn""),""Myn"",if(G965&lt;&gt;"""",""GEMTRE"",""""))))"),"GEMTRE")</f>
        <v>GEMTRE</v>
      </c>
      <c r="L965" s="46" t="s">
        <v>2001</v>
      </c>
      <c r="M965" s="48">
        <v>45255.46065972222</v>
      </c>
    </row>
    <row r="966">
      <c r="A966" s="47">
        <v>45252.684324594906</v>
      </c>
      <c r="B966" s="46" t="s">
        <v>1262</v>
      </c>
      <c r="C966" s="46">
        <v>7.42860708E9</v>
      </c>
      <c r="D966" s="46"/>
      <c r="E966" s="46" t="s">
        <v>1263</v>
      </c>
      <c r="F966" s="46"/>
      <c r="G966" s="46" t="s">
        <v>289</v>
      </c>
      <c r="H966" s="46" t="s">
        <v>706</v>
      </c>
      <c r="I966" s="46"/>
      <c r="J966" s="46"/>
      <c r="K966" s="46" t="str">
        <f>IFERROR(__xludf.DUMMYFUNCTION("if(A966="""","""",IF(G966="""",""Myn"",IF(REGEXMATCH(lower(G966),""mynn""),""Myn"",if(G966&lt;&gt;"""",""GEMTRE"",""""))))"),"GEMTRE")</f>
        <v>GEMTRE</v>
      </c>
      <c r="L966" s="46" t="s">
        <v>2001</v>
      </c>
      <c r="M966" s="48">
        <v>45255.46065972222</v>
      </c>
    </row>
    <row r="967">
      <c r="A967" s="47">
        <v>45252.68562001157</v>
      </c>
      <c r="B967" s="46" t="s">
        <v>1264</v>
      </c>
      <c r="C967" s="46">
        <v>9.971145791E9</v>
      </c>
      <c r="D967" s="46"/>
      <c r="E967" s="46"/>
      <c r="F967" s="46"/>
      <c r="G967" s="46" t="s">
        <v>289</v>
      </c>
      <c r="H967" s="46" t="s">
        <v>701</v>
      </c>
      <c r="I967" s="46"/>
      <c r="J967" s="46"/>
      <c r="K967" s="46" t="str">
        <f>IFERROR(__xludf.DUMMYFUNCTION("if(A967="""","""",IF(G967="""",""Myn"",IF(REGEXMATCH(lower(G967),""mynn""),""Myn"",if(G967&lt;&gt;"""",""GEMTRE"",""""))))"),"GEMTRE")</f>
        <v>GEMTRE</v>
      </c>
      <c r="L967" s="46" t="s">
        <v>2001</v>
      </c>
      <c r="M967" s="48">
        <v>45255.46065972222</v>
      </c>
    </row>
    <row r="968">
      <c r="A968" s="47">
        <v>45252.68604101852</v>
      </c>
      <c r="B968" s="46" t="s">
        <v>1265</v>
      </c>
      <c r="C968" s="46">
        <v>7.500462222E9</v>
      </c>
      <c r="D968" s="46"/>
      <c r="E968" s="46" t="s">
        <v>1266</v>
      </c>
      <c r="F968" s="46"/>
      <c r="G968" s="46" t="s">
        <v>289</v>
      </c>
      <c r="H968" s="46" t="s">
        <v>706</v>
      </c>
      <c r="I968" s="46"/>
      <c r="J968" s="46"/>
      <c r="K968" s="46" t="str">
        <f>IFERROR(__xludf.DUMMYFUNCTION("if(A968="""","""",IF(G968="""",""Myn"",IF(REGEXMATCH(lower(G968),""mynn""),""Myn"",if(G968&lt;&gt;"""",""GEMTRE"",""""))))"),"GEMTRE")</f>
        <v>GEMTRE</v>
      </c>
      <c r="L968" s="46" t="s">
        <v>2001</v>
      </c>
      <c r="M968" s="48">
        <v>45255.46065972222</v>
      </c>
    </row>
    <row r="969">
      <c r="A969" s="47">
        <v>45252.686659259256</v>
      </c>
      <c r="B969" s="46" t="s">
        <v>1267</v>
      </c>
      <c r="C969" s="46">
        <v>9.818780835E9</v>
      </c>
      <c r="D969" s="46"/>
      <c r="E969" s="46" t="s">
        <v>1268</v>
      </c>
      <c r="F969" s="46"/>
      <c r="G969" s="46" t="s">
        <v>289</v>
      </c>
      <c r="H969" s="46" t="s">
        <v>706</v>
      </c>
      <c r="I969" s="46"/>
      <c r="J969" s="46"/>
      <c r="K969" s="46" t="str">
        <f>IFERROR(__xludf.DUMMYFUNCTION("if(A969="""","""",IF(G969="""",""Myn"",IF(REGEXMATCH(lower(G969),""mynn""),""Myn"",if(G969&lt;&gt;"""",""GEMTRE"",""""))))"),"GEMTRE")</f>
        <v>GEMTRE</v>
      </c>
      <c r="L969" s="46" t="s">
        <v>2001</v>
      </c>
      <c r="M969" s="48">
        <v>45255.46065972222</v>
      </c>
    </row>
    <row r="970">
      <c r="A970" s="47">
        <v>45252.687231655094</v>
      </c>
      <c r="B970" s="46" t="s">
        <v>1269</v>
      </c>
      <c r="C970" s="46">
        <v>9.654322234E9</v>
      </c>
      <c r="D970" s="46"/>
      <c r="E970" s="46" t="s">
        <v>1270</v>
      </c>
      <c r="F970" s="46"/>
      <c r="G970" s="46" t="s">
        <v>289</v>
      </c>
      <c r="H970" s="46" t="s">
        <v>706</v>
      </c>
      <c r="I970" s="46"/>
      <c r="J970" s="46"/>
      <c r="K970" s="46" t="str">
        <f>IFERROR(__xludf.DUMMYFUNCTION("if(A970="""","""",IF(G970="""",""Myn"",IF(REGEXMATCH(lower(G970),""mynn""),""Myn"",if(G970&lt;&gt;"""",""GEMTRE"",""""))))"),"GEMTRE")</f>
        <v>GEMTRE</v>
      </c>
      <c r="L970" s="46" t="s">
        <v>2001</v>
      </c>
      <c r="M970" s="48">
        <v>45255.46065972222</v>
      </c>
    </row>
    <row r="971">
      <c r="A971" s="47">
        <v>45252.68777767361</v>
      </c>
      <c r="B971" s="46" t="s">
        <v>1271</v>
      </c>
      <c r="C971" s="46">
        <v>9.669120277E9</v>
      </c>
      <c r="D971" s="46"/>
      <c r="E971" s="46" t="s">
        <v>1272</v>
      </c>
      <c r="F971" s="46"/>
      <c r="G971" s="46" t="s">
        <v>289</v>
      </c>
      <c r="H971" s="46" t="s">
        <v>706</v>
      </c>
      <c r="I971" s="46"/>
      <c r="J971" s="46"/>
      <c r="K971" s="46" t="str">
        <f>IFERROR(__xludf.DUMMYFUNCTION("if(A971="""","""",IF(G971="""",""Myn"",IF(REGEXMATCH(lower(G971),""mynn""),""Myn"",if(G971&lt;&gt;"""",""GEMTRE"",""""))))"),"GEMTRE")</f>
        <v>GEMTRE</v>
      </c>
      <c r="L971" s="46" t="s">
        <v>2001</v>
      </c>
      <c r="M971" s="48">
        <v>45255.46065972222</v>
      </c>
    </row>
    <row r="972">
      <c r="A972" s="47">
        <v>45252.68847761574</v>
      </c>
      <c r="B972" s="46" t="s">
        <v>1273</v>
      </c>
      <c r="C972" s="46">
        <v>9.899568355E9</v>
      </c>
      <c r="D972" s="46"/>
      <c r="E972" s="46" t="s">
        <v>1274</v>
      </c>
      <c r="F972" s="46"/>
      <c r="G972" s="46" t="s">
        <v>289</v>
      </c>
      <c r="H972" s="46" t="s">
        <v>706</v>
      </c>
      <c r="I972" s="46"/>
      <c r="J972" s="46"/>
      <c r="K972" s="46" t="str">
        <f>IFERROR(__xludf.DUMMYFUNCTION("if(A972="""","""",IF(G972="""",""Myn"",IF(REGEXMATCH(lower(G972),""mynn""),""Myn"",if(G972&lt;&gt;"""",""GEMTRE"",""""))))"),"GEMTRE")</f>
        <v>GEMTRE</v>
      </c>
      <c r="L972" s="46" t="s">
        <v>2001</v>
      </c>
      <c r="M972" s="48">
        <v>45255.46065972222</v>
      </c>
    </row>
    <row r="973">
      <c r="A973" s="47">
        <v>45252.689380185184</v>
      </c>
      <c r="B973" s="46" t="s">
        <v>1275</v>
      </c>
      <c r="C973" s="46">
        <v>8.527547816E9</v>
      </c>
      <c r="D973" s="46"/>
      <c r="E973" s="46" t="s">
        <v>1276</v>
      </c>
      <c r="F973" s="46"/>
      <c r="G973" s="46" t="s">
        <v>289</v>
      </c>
      <c r="H973" s="46" t="s">
        <v>706</v>
      </c>
      <c r="I973" s="46"/>
      <c r="J973" s="46"/>
      <c r="K973" s="46" t="str">
        <f>IFERROR(__xludf.DUMMYFUNCTION("if(A973="""","""",IF(G973="""",""Myn"",IF(REGEXMATCH(lower(G973),""mynn""),""Myn"",if(G973&lt;&gt;"""",""GEMTRE"",""""))))"),"GEMTRE")</f>
        <v>GEMTRE</v>
      </c>
      <c r="L973" s="46" t="s">
        <v>2001</v>
      </c>
      <c r="M973" s="48">
        <v>45255.46065972222</v>
      </c>
    </row>
    <row r="974">
      <c r="A974" s="47">
        <v>45252.69006569445</v>
      </c>
      <c r="B974" s="46" t="s">
        <v>1277</v>
      </c>
      <c r="C974" s="46">
        <v>9.25047211E9</v>
      </c>
      <c r="D974" s="46"/>
      <c r="E974" s="46"/>
      <c r="F974" s="46"/>
      <c r="G974" s="46" t="s">
        <v>289</v>
      </c>
      <c r="H974" s="46" t="s">
        <v>701</v>
      </c>
      <c r="I974" s="46"/>
      <c r="J974" s="46"/>
      <c r="K974" s="46" t="str">
        <f>IFERROR(__xludf.DUMMYFUNCTION("if(A974="""","""",IF(G974="""",""Myn"",IF(REGEXMATCH(lower(G974),""mynn""),""Myn"",if(G974&lt;&gt;"""",""GEMTRE"",""""))))"),"GEMTRE")</f>
        <v>GEMTRE</v>
      </c>
      <c r="L974" s="46" t="s">
        <v>2001</v>
      </c>
      <c r="M974" s="48">
        <v>45255.46065972222</v>
      </c>
    </row>
    <row r="975">
      <c r="A975" s="47">
        <v>45252.690386180555</v>
      </c>
      <c r="B975" s="46" t="s">
        <v>1278</v>
      </c>
      <c r="C975" s="46">
        <v>9.818780835E9</v>
      </c>
      <c r="D975" s="46"/>
      <c r="E975" s="46"/>
      <c r="F975" s="46"/>
      <c r="G975" s="46" t="s">
        <v>289</v>
      </c>
      <c r="H975" s="46" t="s">
        <v>701</v>
      </c>
      <c r="I975" s="46"/>
      <c r="J975" s="46"/>
      <c r="K975" s="46" t="str">
        <f>IFERROR(__xludf.DUMMYFUNCTION("if(A975="""","""",IF(G975="""",""Myn"",IF(REGEXMATCH(lower(G975),""mynn""),""Myn"",if(G975&lt;&gt;"""",""GEMTRE"",""""))))"),"GEMTRE")</f>
        <v>GEMTRE</v>
      </c>
      <c r="L975" s="46" t="s">
        <v>2001</v>
      </c>
      <c r="M975" s="48">
        <v>45255.46065972222</v>
      </c>
    </row>
    <row r="976">
      <c r="A976" s="47">
        <v>45252.69072813657</v>
      </c>
      <c r="B976" s="46" t="s">
        <v>1279</v>
      </c>
      <c r="C976" s="46">
        <v>9.411320007E9</v>
      </c>
      <c r="D976" s="46"/>
      <c r="E976" s="46"/>
      <c r="F976" s="46"/>
      <c r="G976" s="46" t="s">
        <v>289</v>
      </c>
      <c r="H976" s="46" t="s">
        <v>701</v>
      </c>
      <c r="I976" s="46"/>
      <c r="J976" s="46"/>
      <c r="K976" s="46" t="str">
        <f>IFERROR(__xludf.DUMMYFUNCTION("if(A976="""","""",IF(G976="""",""Myn"",IF(REGEXMATCH(lower(G976),""mynn""),""Myn"",if(G976&lt;&gt;"""",""GEMTRE"",""""))))"),"GEMTRE")</f>
        <v>GEMTRE</v>
      </c>
      <c r="L976" s="46" t="s">
        <v>2001</v>
      </c>
      <c r="M976" s="48">
        <v>45255.46065972222</v>
      </c>
    </row>
    <row r="977">
      <c r="A977" s="47">
        <v>45252.69109039352</v>
      </c>
      <c r="B977" s="46" t="s">
        <v>1280</v>
      </c>
      <c r="C977" s="46">
        <v>9.958899294E9</v>
      </c>
      <c r="D977" s="46"/>
      <c r="E977" s="46"/>
      <c r="F977" s="46"/>
      <c r="G977" s="46" t="s">
        <v>289</v>
      </c>
      <c r="H977" s="46" t="s">
        <v>701</v>
      </c>
      <c r="I977" s="46"/>
      <c r="J977" s="46"/>
      <c r="K977" s="46" t="str">
        <f>IFERROR(__xludf.DUMMYFUNCTION("if(A977="""","""",IF(G977="""",""Myn"",IF(REGEXMATCH(lower(G977),""mynn""),""Myn"",if(G977&lt;&gt;"""",""GEMTRE"",""""))))"),"GEMTRE")</f>
        <v>GEMTRE</v>
      </c>
      <c r="L977" s="46" t="s">
        <v>2001</v>
      </c>
      <c r="M977" s="48">
        <v>45255.46065972222</v>
      </c>
    </row>
    <row r="978">
      <c r="A978" s="47">
        <v>45252.691437789355</v>
      </c>
      <c r="B978" s="46" t="s">
        <v>604</v>
      </c>
      <c r="C978" s="46">
        <v>9.810887869E9</v>
      </c>
      <c r="D978" s="46"/>
      <c r="E978" s="46"/>
      <c r="F978" s="46"/>
      <c r="G978" s="46" t="s">
        <v>289</v>
      </c>
      <c r="H978" s="46" t="s">
        <v>701</v>
      </c>
      <c r="I978" s="46"/>
      <c r="J978" s="46"/>
      <c r="K978" s="46" t="str">
        <f>IFERROR(__xludf.DUMMYFUNCTION("if(A978="""","""",IF(G978="""",""Myn"",IF(REGEXMATCH(lower(G978),""mynn""),""Myn"",if(G978&lt;&gt;"""",""GEMTRE"",""""))))"),"GEMTRE")</f>
        <v>GEMTRE</v>
      </c>
      <c r="L978" s="46" t="s">
        <v>2001</v>
      </c>
      <c r="M978" s="48">
        <v>45255.46065972222</v>
      </c>
    </row>
    <row r="979">
      <c r="A979" s="47">
        <v>45252.69272668981</v>
      </c>
      <c r="B979" s="46" t="s">
        <v>1281</v>
      </c>
      <c r="C979" s="46">
        <v>9.810050996E9</v>
      </c>
      <c r="D979" s="46"/>
      <c r="E979" s="46"/>
      <c r="F979" s="46"/>
      <c r="G979" s="46" t="s">
        <v>289</v>
      </c>
      <c r="H979" s="46" t="s">
        <v>701</v>
      </c>
      <c r="I979" s="46"/>
      <c r="J979" s="46"/>
      <c r="K979" s="46" t="str">
        <f>IFERROR(__xludf.DUMMYFUNCTION("if(A979="""","""",IF(G979="""",""Myn"",IF(REGEXMATCH(lower(G979),""mynn""),""Myn"",if(G979&lt;&gt;"""",""GEMTRE"",""""))))"),"GEMTRE")</f>
        <v>GEMTRE</v>
      </c>
      <c r="L979" s="46" t="s">
        <v>2001</v>
      </c>
      <c r="M979" s="48">
        <v>45255.46065972222</v>
      </c>
    </row>
    <row r="980">
      <c r="A980" s="47">
        <v>45252.69303252315</v>
      </c>
      <c r="B980" s="46" t="s">
        <v>548</v>
      </c>
      <c r="C980" s="46">
        <v>9.811788615E9</v>
      </c>
      <c r="D980" s="46"/>
      <c r="E980" s="46"/>
      <c r="F980" s="46"/>
      <c r="G980" s="46" t="s">
        <v>289</v>
      </c>
      <c r="H980" s="46" t="s">
        <v>701</v>
      </c>
      <c r="I980" s="46"/>
      <c r="J980" s="46"/>
      <c r="K980" s="46" t="str">
        <f>IFERROR(__xludf.DUMMYFUNCTION("if(A980="""","""",IF(G980="""",""Myn"",IF(REGEXMATCH(lower(G980),""mynn""),""Myn"",if(G980&lt;&gt;"""",""GEMTRE"",""""))))"),"GEMTRE")</f>
        <v>GEMTRE</v>
      </c>
      <c r="L980" s="46" t="s">
        <v>2001</v>
      </c>
      <c r="M980" s="48">
        <v>45255.46065972222</v>
      </c>
    </row>
    <row r="981">
      <c r="A981" s="47">
        <v>45252.693340300924</v>
      </c>
      <c r="B981" s="46" t="s">
        <v>1282</v>
      </c>
      <c r="C981" s="46">
        <v>9.911269709E9</v>
      </c>
      <c r="D981" s="46"/>
      <c r="E981" s="46"/>
      <c r="F981" s="46"/>
      <c r="G981" s="46" t="s">
        <v>289</v>
      </c>
      <c r="H981" s="46" t="s">
        <v>701</v>
      </c>
      <c r="I981" s="46"/>
      <c r="J981" s="46"/>
      <c r="K981" s="46" t="str">
        <f>IFERROR(__xludf.DUMMYFUNCTION("if(A981="""","""",IF(G981="""",""Myn"",IF(REGEXMATCH(lower(G981),""mynn""),""Myn"",if(G981&lt;&gt;"""",""GEMTRE"",""""))))"),"GEMTRE")</f>
        <v>GEMTRE</v>
      </c>
      <c r="L981" s="46" t="s">
        <v>2001</v>
      </c>
      <c r="M981" s="48">
        <v>45255.46065972222</v>
      </c>
    </row>
    <row r="982">
      <c r="A982" s="47">
        <v>45252.693796203705</v>
      </c>
      <c r="B982" s="46" t="s">
        <v>1283</v>
      </c>
      <c r="C982" s="46">
        <v>8.595042093E9</v>
      </c>
      <c r="D982" s="46"/>
      <c r="E982" s="46"/>
      <c r="F982" s="46"/>
      <c r="G982" s="46" t="s">
        <v>289</v>
      </c>
      <c r="H982" s="46" t="s">
        <v>701</v>
      </c>
      <c r="I982" s="46"/>
      <c r="J982" s="46"/>
      <c r="K982" s="46" t="str">
        <f>IFERROR(__xludf.DUMMYFUNCTION("if(A982="""","""",IF(G982="""",""Myn"",IF(REGEXMATCH(lower(G982),""mynn""),""Myn"",if(G982&lt;&gt;"""",""GEMTRE"",""""))))"),"GEMTRE")</f>
        <v>GEMTRE</v>
      </c>
      <c r="L982" s="46" t="s">
        <v>2001</v>
      </c>
      <c r="M982" s="48">
        <v>45255.46065972222</v>
      </c>
    </row>
    <row r="983">
      <c r="A983" s="47">
        <v>45252.6942322338</v>
      </c>
      <c r="B983" s="46" t="s">
        <v>1284</v>
      </c>
      <c r="C983" s="46">
        <v>9.971145791E9</v>
      </c>
      <c r="D983" s="46"/>
      <c r="E983" s="46"/>
      <c r="F983" s="46"/>
      <c r="G983" s="46" t="s">
        <v>289</v>
      </c>
      <c r="H983" s="46" t="s">
        <v>701</v>
      </c>
      <c r="I983" s="46"/>
      <c r="J983" s="46"/>
      <c r="K983" s="46" t="str">
        <f>IFERROR(__xludf.DUMMYFUNCTION("if(A983="""","""",IF(G983="""",""Myn"",IF(REGEXMATCH(lower(G983),""mynn""),""Myn"",if(G983&lt;&gt;"""",""GEMTRE"",""""))))"),"GEMTRE")</f>
        <v>GEMTRE</v>
      </c>
      <c r="L983" s="46" t="s">
        <v>2001</v>
      </c>
      <c r="M983" s="48">
        <v>45255.46065972222</v>
      </c>
    </row>
    <row r="984">
      <c r="A984" s="47">
        <v>45252.694458275466</v>
      </c>
      <c r="B984" s="46" t="s">
        <v>1285</v>
      </c>
      <c r="C984" s="46">
        <v>9.582336531E9</v>
      </c>
      <c r="D984" s="46"/>
      <c r="E984" s="46"/>
      <c r="F984" s="46"/>
      <c r="G984" s="46" t="s">
        <v>303</v>
      </c>
      <c r="H984" s="46" t="s">
        <v>701</v>
      </c>
      <c r="I984" s="46"/>
      <c r="J984" s="46"/>
      <c r="K984" s="46" t="str">
        <f>IFERROR(__xludf.DUMMYFUNCTION("if(A984="""","""",IF(G984="""",""Myn"",IF(REGEXMATCH(lower(G984),""mynn""),""Myn"",if(G984&lt;&gt;"""",""GEMTRE"",""""))))"),"Myn")</f>
        <v>Myn</v>
      </c>
      <c r="L984" s="46" t="s">
        <v>2000</v>
      </c>
      <c r="M984" s="48">
        <v>45255.46065972222</v>
      </c>
    </row>
    <row r="985">
      <c r="A985" s="47">
        <v>45252.69454513889</v>
      </c>
      <c r="B985" s="46" t="s">
        <v>1286</v>
      </c>
      <c r="C985" s="46">
        <v>9.213380962E9</v>
      </c>
      <c r="D985" s="46"/>
      <c r="E985" s="46"/>
      <c r="F985" s="46"/>
      <c r="G985" s="46" t="s">
        <v>289</v>
      </c>
      <c r="H985" s="46" t="s">
        <v>701</v>
      </c>
      <c r="I985" s="46"/>
      <c r="J985" s="46"/>
      <c r="K985" s="46" t="str">
        <f>IFERROR(__xludf.DUMMYFUNCTION("if(A985="""","""",IF(G985="""",""Myn"",IF(REGEXMATCH(lower(G985),""mynn""),""Myn"",if(G985&lt;&gt;"""",""GEMTRE"",""""))))"),"GEMTRE")</f>
        <v>GEMTRE</v>
      </c>
      <c r="L985" s="46" t="s">
        <v>2001</v>
      </c>
      <c r="M985" s="48">
        <v>45255.46065972222</v>
      </c>
    </row>
    <row r="986">
      <c r="A986" s="47">
        <v>45252.694927847224</v>
      </c>
      <c r="B986" s="46" t="s">
        <v>1287</v>
      </c>
      <c r="C986" s="46">
        <v>8.587095043E9</v>
      </c>
      <c r="D986" s="46"/>
      <c r="E986" s="46"/>
      <c r="F986" s="46"/>
      <c r="G986" s="46" t="s">
        <v>303</v>
      </c>
      <c r="H986" s="46" t="s">
        <v>701</v>
      </c>
      <c r="I986" s="46"/>
      <c r="J986" s="46"/>
      <c r="K986" s="46" t="str">
        <f>IFERROR(__xludf.DUMMYFUNCTION("if(A986="""","""",IF(G986="""",""Myn"",IF(REGEXMATCH(lower(G986),""mynn""),""Myn"",if(G986&lt;&gt;"""",""GEMTRE"",""""))))"),"Myn")</f>
        <v>Myn</v>
      </c>
      <c r="L986" s="46" t="s">
        <v>2000</v>
      </c>
      <c r="M986" s="48">
        <v>45255.46065972222</v>
      </c>
    </row>
    <row r="987">
      <c r="A987" s="47">
        <v>45252.69594925926</v>
      </c>
      <c r="B987" s="46" t="s">
        <v>1288</v>
      </c>
      <c r="C987" s="46">
        <v>7.703881613E9</v>
      </c>
      <c r="D987" s="46"/>
      <c r="E987" s="46"/>
      <c r="F987" s="46"/>
      <c r="G987" s="46" t="s">
        <v>289</v>
      </c>
      <c r="H987" s="46" t="s">
        <v>701</v>
      </c>
      <c r="I987" s="46"/>
      <c r="J987" s="46"/>
      <c r="K987" s="46" t="str">
        <f>IFERROR(__xludf.DUMMYFUNCTION("if(A987="""","""",IF(G987="""",""Myn"",IF(REGEXMATCH(lower(G987),""mynn""),""Myn"",if(G987&lt;&gt;"""",""GEMTRE"",""""))))"),"GEMTRE")</f>
        <v>GEMTRE</v>
      </c>
      <c r="L987" s="46" t="s">
        <v>2001</v>
      </c>
      <c r="M987" s="48">
        <v>45255.46065972222</v>
      </c>
    </row>
    <row r="988">
      <c r="A988" s="47">
        <v>45252.6971253588</v>
      </c>
      <c r="B988" s="46" t="s">
        <v>1289</v>
      </c>
      <c r="C988" s="46">
        <v>8.452788288E9</v>
      </c>
      <c r="D988" s="46"/>
      <c r="E988" s="46" t="s">
        <v>1290</v>
      </c>
      <c r="F988" s="46"/>
      <c r="G988" s="46" t="s">
        <v>289</v>
      </c>
      <c r="H988" s="46" t="s">
        <v>706</v>
      </c>
      <c r="I988" s="46"/>
      <c r="J988" s="46"/>
      <c r="K988" s="46" t="str">
        <f>IFERROR(__xludf.DUMMYFUNCTION("if(A988="""","""",IF(G988="""",""Myn"",IF(REGEXMATCH(lower(G988),""mynn""),""Myn"",if(G988&lt;&gt;"""",""GEMTRE"",""""))))"),"GEMTRE")</f>
        <v>GEMTRE</v>
      </c>
      <c r="L988" s="46" t="s">
        <v>2001</v>
      </c>
      <c r="M988" s="48">
        <v>45255.46065972222</v>
      </c>
    </row>
    <row r="989">
      <c r="A989" s="47">
        <v>45252.69771466435</v>
      </c>
      <c r="B989" s="46" t="s">
        <v>1291</v>
      </c>
      <c r="C989" s="46">
        <v>9.9025E9</v>
      </c>
      <c r="D989" s="46"/>
      <c r="E989" s="46" t="s">
        <v>1255</v>
      </c>
      <c r="F989" s="46"/>
      <c r="G989" s="46" t="s">
        <v>289</v>
      </c>
      <c r="H989" s="46" t="s">
        <v>706</v>
      </c>
      <c r="I989" s="46"/>
      <c r="J989" s="46"/>
      <c r="K989" s="46" t="str">
        <f>IFERROR(__xludf.DUMMYFUNCTION("if(A989="""","""",IF(G989="""",""Myn"",IF(REGEXMATCH(lower(G989),""mynn""),""Myn"",if(G989&lt;&gt;"""",""GEMTRE"",""""))))"),"GEMTRE")</f>
        <v>GEMTRE</v>
      </c>
      <c r="L989" s="46" t="s">
        <v>2001</v>
      </c>
      <c r="M989" s="48">
        <v>45255.46065972222</v>
      </c>
    </row>
    <row r="990">
      <c r="A990" s="47">
        <v>45252.69839239583</v>
      </c>
      <c r="B990" s="46" t="s">
        <v>1292</v>
      </c>
      <c r="C990" s="46">
        <v>9.416001087E9</v>
      </c>
      <c r="D990" s="46"/>
      <c r="E990" s="46"/>
      <c r="F990" s="46"/>
      <c r="G990" s="46" t="s">
        <v>303</v>
      </c>
      <c r="H990" s="46" t="s">
        <v>706</v>
      </c>
      <c r="I990" s="46"/>
      <c r="J990" s="46"/>
      <c r="K990" s="46" t="str">
        <f>IFERROR(__xludf.DUMMYFUNCTION("if(A990="""","""",IF(G990="""",""Myn"",IF(REGEXMATCH(lower(G990),""mynn""),""Myn"",if(G990&lt;&gt;"""",""GEMTRE"",""""))))"),"Myn")</f>
        <v>Myn</v>
      </c>
      <c r="L990" s="46" t="s">
        <v>2000</v>
      </c>
      <c r="M990" s="48">
        <v>45255.46065972222</v>
      </c>
    </row>
    <row r="991">
      <c r="A991" s="47">
        <v>45252.698639803246</v>
      </c>
      <c r="B991" s="46" t="s">
        <v>1293</v>
      </c>
      <c r="C991" s="46">
        <v>9.622214428E9</v>
      </c>
      <c r="D991" s="46"/>
      <c r="E991" s="46" t="s">
        <v>1294</v>
      </c>
      <c r="F991" s="46"/>
      <c r="G991" s="46" t="s">
        <v>289</v>
      </c>
      <c r="H991" s="46" t="s">
        <v>706</v>
      </c>
      <c r="I991" s="46"/>
      <c r="J991" s="46"/>
      <c r="K991" s="46" t="str">
        <f>IFERROR(__xludf.DUMMYFUNCTION("if(A991="""","""",IF(G991="""",""Myn"",IF(REGEXMATCH(lower(G991),""mynn""),""Myn"",if(G991&lt;&gt;"""",""GEMTRE"",""""))))"),"GEMTRE")</f>
        <v>GEMTRE</v>
      </c>
      <c r="L991" s="46" t="s">
        <v>2001</v>
      </c>
      <c r="M991" s="48">
        <v>45255.46065972222</v>
      </c>
    </row>
    <row r="992">
      <c r="A992" s="47">
        <v>45252.69883405093</v>
      </c>
      <c r="B992" s="46" t="s">
        <v>477</v>
      </c>
      <c r="C992" s="46">
        <v>9.560627105E9</v>
      </c>
      <c r="D992" s="46"/>
      <c r="E992" s="46" t="s">
        <v>227</v>
      </c>
      <c r="F992" s="46"/>
      <c r="G992" s="46" t="s">
        <v>303</v>
      </c>
      <c r="H992" s="46" t="s">
        <v>706</v>
      </c>
      <c r="I992" s="46"/>
      <c r="J992" s="46"/>
      <c r="K992" s="46" t="str">
        <f>IFERROR(__xludf.DUMMYFUNCTION("if(A992="""","""",IF(G992="""",""Myn"",IF(REGEXMATCH(lower(G992),""mynn""),""Myn"",if(G992&lt;&gt;"""",""GEMTRE"",""""))))"),"Myn")</f>
        <v>Myn</v>
      </c>
      <c r="L992" s="46" t="s">
        <v>2000</v>
      </c>
      <c r="M992" s="48">
        <v>45255.46065972222</v>
      </c>
    </row>
    <row r="993">
      <c r="A993" s="47">
        <v>45252.698895706024</v>
      </c>
      <c r="B993" s="46" t="s">
        <v>1295</v>
      </c>
      <c r="C993" s="46">
        <v>9.896098378E9</v>
      </c>
      <c r="D993" s="46"/>
      <c r="E993" s="46"/>
      <c r="F993" s="46"/>
      <c r="G993" s="46" t="s">
        <v>303</v>
      </c>
      <c r="H993" s="46" t="s">
        <v>701</v>
      </c>
      <c r="I993" s="46"/>
      <c r="J993" s="46"/>
      <c r="K993" s="46" t="str">
        <f>IFERROR(__xludf.DUMMYFUNCTION("if(A993="""","""",IF(G993="""",""Myn"",IF(REGEXMATCH(lower(G993),""mynn""),""Myn"",if(G993&lt;&gt;"""",""GEMTRE"",""""))))"),"Myn")</f>
        <v>Myn</v>
      </c>
      <c r="L993" s="46" t="s">
        <v>2000</v>
      </c>
      <c r="M993" s="48">
        <v>45255.46065972222</v>
      </c>
    </row>
    <row r="994">
      <c r="A994" s="47">
        <v>45252.69927866898</v>
      </c>
      <c r="B994" s="46" t="s">
        <v>1296</v>
      </c>
      <c r="C994" s="46">
        <v>9.711947445E9</v>
      </c>
      <c r="D994" s="46"/>
      <c r="E994" s="46" t="s">
        <v>1297</v>
      </c>
      <c r="F994" s="46"/>
      <c r="G994" s="46" t="s">
        <v>289</v>
      </c>
      <c r="H994" s="46" t="s">
        <v>706</v>
      </c>
      <c r="I994" s="46"/>
      <c r="J994" s="46"/>
      <c r="K994" s="46" t="str">
        <f>IFERROR(__xludf.DUMMYFUNCTION("if(A994="""","""",IF(G994="""",""Myn"",IF(REGEXMATCH(lower(G994),""mynn""),""Myn"",if(G994&lt;&gt;"""",""GEMTRE"",""""))))"),"GEMTRE")</f>
        <v>GEMTRE</v>
      </c>
      <c r="L994" s="46" t="s">
        <v>2001</v>
      </c>
      <c r="M994" s="48">
        <v>45255.46065972222</v>
      </c>
    </row>
    <row r="995">
      <c r="A995" s="47">
        <v>45252.70024295139</v>
      </c>
      <c r="B995" s="46" t="s">
        <v>1087</v>
      </c>
      <c r="C995" s="46">
        <v>9.013296384E9</v>
      </c>
      <c r="D995" s="46"/>
      <c r="E995" s="46"/>
      <c r="F995" s="46"/>
      <c r="G995" s="46" t="s">
        <v>303</v>
      </c>
      <c r="H995" s="46" t="s">
        <v>701</v>
      </c>
      <c r="I995" s="46"/>
      <c r="J995" s="46"/>
      <c r="K995" s="46" t="str">
        <f>IFERROR(__xludf.DUMMYFUNCTION("if(A995="""","""",IF(G995="""",""Myn"",IF(REGEXMATCH(lower(G995),""mynn""),""Myn"",if(G995&lt;&gt;"""",""GEMTRE"",""""))))"),"Myn")</f>
        <v>Myn</v>
      </c>
      <c r="L995" s="46" t="s">
        <v>2000</v>
      </c>
      <c r="M995" s="48">
        <v>45255.46065972222</v>
      </c>
    </row>
    <row r="996">
      <c r="A996" s="47">
        <v>45252.70442969908</v>
      </c>
      <c r="B996" s="46" t="s">
        <v>1298</v>
      </c>
      <c r="C996" s="46">
        <v>8.447431386E9</v>
      </c>
      <c r="D996" s="46"/>
      <c r="E996" s="46"/>
      <c r="F996" s="46"/>
      <c r="G996" s="46" t="s">
        <v>303</v>
      </c>
      <c r="H996" s="46" t="s">
        <v>701</v>
      </c>
      <c r="I996" s="46"/>
      <c r="J996" s="46"/>
      <c r="K996" s="46" t="str">
        <f>IFERROR(__xludf.DUMMYFUNCTION("if(A996="""","""",IF(G996="""",""Myn"",IF(REGEXMATCH(lower(G996),""mynn""),""Myn"",if(G996&lt;&gt;"""",""GEMTRE"",""""))))"),"Myn")</f>
        <v>Myn</v>
      </c>
      <c r="L996" s="46" t="s">
        <v>2000</v>
      </c>
      <c r="M996" s="48">
        <v>45255.46065972222</v>
      </c>
    </row>
    <row r="997">
      <c r="A997" s="47">
        <v>45252.71118215278</v>
      </c>
      <c r="B997" s="46" t="s">
        <v>1299</v>
      </c>
      <c r="C997" s="46">
        <v>8.826566266E9</v>
      </c>
      <c r="D997" s="46"/>
      <c r="E997" s="46"/>
      <c r="F997" s="46"/>
      <c r="G997" s="46" t="s">
        <v>303</v>
      </c>
      <c r="H997" s="46" t="s">
        <v>701</v>
      </c>
      <c r="I997" s="46"/>
      <c r="J997" s="46"/>
      <c r="K997" s="46" t="str">
        <f>IFERROR(__xludf.DUMMYFUNCTION("if(A997="""","""",IF(G997="""",""Myn"",IF(REGEXMATCH(lower(G997),""mynn""),""Myn"",if(G997&lt;&gt;"""",""GEMTRE"",""""))))"),"Myn")</f>
        <v>Myn</v>
      </c>
      <c r="L997" s="46" t="s">
        <v>2000</v>
      </c>
      <c r="M997" s="48">
        <v>45255.46065972222</v>
      </c>
    </row>
    <row r="998">
      <c r="A998" s="47">
        <v>45252.711287303246</v>
      </c>
      <c r="B998" s="46" t="s">
        <v>1300</v>
      </c>
      <c r="C998" s="46">
        <v>7.683086454E9</v>
      </c>
      <c r="D998" s="46"/>
      <c r="E998" s="46" t="s">
        <v>1255</v>
      </c>
      <c r="F998" s="46"/>
      <c r="G998" s="46" t="s">
        <v>289</v>
      </c>
      <c r="H998" s="46" t="s">
        <v>706</v>
      </c>
      <c r="I998" s="46"/>
      <c r="J998" s="46"/>
      <c r="K998" s="46" t="str">
        <f>IFERROR(__xludf.DUMMYFUNCTION("if(A998="""","""",IF(G998="""",""Myn"",IF(REGEXMATCH(lower(G998),""mynn""),""Myn"",if(G998&lt;&gt;"""",""GEMTRE"",""""))))"),"GEMTRE")</f>
        <v>GEMTRE</v>
      </c>
      <c r="L998" s="46" t="s">
        <v>2001</v>
      </c>
      <c r="M998" s="48">
        <v>45255.46065972222</v>
      </c>
    </row>
    <row r="999">
      <c r="A999" s="47">
        <v>45252.71164358796</v>
      </c>
      <c r="B999" s="46" t="s">
        <v>1301</v>
      </c>
      <c r="C999" s="46">
        <v>9.315157034E9</v>
      </c>
      <c r="D999" s="46"/>
      <c r="E999" s="46"/>
      <c r="F999" s="46"/>
      <c r="G999" s="46" t="s">
        <v>303</v>
      </c>
      <c r="H999" s="46" t="s">
        <v>701</v>
      </c>
      <c r="I999" s="46"/>
      <c r="J999" s="46"/>
      <c r="K999" s="46" t="str">
        <f>IFERROR(__xludf.DUMMYFUNCTION("if(A999="""","""",IF(G999="""",""Myn"",IF(REGEXMATCH(lower(G999),""mynn""),""Myn"",if(G999&lt;&gt;"""",""GEMTRE"",""""))))"),"Myn")</f>
        <v>Myn</v>
      </c>
      <c r="L999" s="46" t="s">
        <v>2000</v>
      </c>
      <c r="M999" s="48">
        <v>45255.46065972222</v>
      </c>
    </row>
    <row r="1000">
      <c r="A1000" s="47">
        <v>45252.71171766204</v>
      </c>
      <c r="B1000" s="46" t="s">
        <v>1302</v>
      </c>
      <c r="C1000" s="46">
        <v>9.654114393E9</v>
      </c>
      <c r="D1000" s="46"/>
      <c r="E1000" s="46" t="s">
        <v>1303</v>
      </c>
      <c r="F1000" s="46"/>
      <c r="G1000" s="46" t="s">
        <v>289</v>
      </c>
      <c r="H1000" s="46" t="s">
        <v>706</v>
      </c>
      <c r="I1000" s="46"/>
      <c r="J1000" s="46"/>
      <c r="K1000" s="46" t="str">
        <f>IFERROR(__xludf.DUMMYFUNCTION("if(A1000="""","""",IF(G1000="""",""Myn"",IF(REGEXMATCH(lower(G1000),""mynn""),""Myn"",if(G1000&lt;&gt;"""",""GEMTRE"",""""))))"),"GEMTRE")</f>
        <v>GEMTRE</v>
      </c>
      <c r="L1000" s="46" t="s">
        <v>2001</v>
      </c>
      <c r="M1000" s="48">
        <v>45255.46065972222</v>
      </c>
    </row>
    <row r="1001">
      <c r="A1001" s="47">
        <v>45252.71209611111</v>
      </c>
      <c r="B1001" s="46" t="s">
        <v>1304</v>
      </c>
      <c r="C1001" s="46">
        <v>9.711269061E9</v>
      </c>
      <c r="D1001" s="46"/>
      <c r="E1001" s="46" t="s">
        <v>1209</v>
      </c>
      <c r="F1001" s="46"/>
      <c r="G1001" s="46" t="s">
        <v>289</v>
      </c>
      <c r="H1001" s="46" t="s">
        <v>706</v>
      </c>
      <c r="I1001" s="46"/>
      <c r="J1001" s="46"/>
      <c r="K1001" s="46" t="str">
        <f>IFERROR(__xludf.DUMMYFUNCTION("if(A1001="""","""",IF(G1001="""",""Myn"",IF(REGEXMATCH(lower(G1001),""mynn""),""Myn"",if(G1001&lt;&gt;"""",""GEMTRE"",""""))))"),"GEMTRE")</f>
        <v>GEMTRE</v>
      </c>
      <c r="L1001" s="46" t="s">
        <v>2001</v>
      </c>
      <c r="M1001" s="48">
        <v>45255.46065972222</v>
      </c>
    </row>
    <row r="1002">
      <c r="A1002" s="47">
        <v>45252.712134444446</v>
      </c>
      <c r="B1002" s="46" t="s">
        <v>1305</v>
      </c>
      <c r="C1002" s="46">
        <v>9.650839779E9</v>
      </c>
      <c r="D1002" s="46"/>
      <c r="E1002" s="46" t="s">
        <v>71</v>
      </c>
      <c r="F1002" s="46"/>
      <c r="G1002" s="46" t="s">
        <v>303</v>
      </c>
      <c r="H1002" s="46" t="s">
        <v>706</v>
      </c>
      <c r="I1002" s="46"/>
      <c r="J1002" s="46"/>
      <c r="K1002" s="46" t="str">
        <f>IFERROR(__xludf.DUMMYFUNCTION("if(A1002="""","""",IF(G1002="""",""Myn"",IF(REGEXMATCH(lower(G1002),""mynn""),""Myn"",if(G1002&lt;&gt;"""",""GEMTRE"",""""))))"),"Myn")</f>
        <v>Myn</v>
      </c>
      <c r="L1002" s="46" t="s">
        <v>2000</v>
      </c>
      <c r="M1002" s="48">
        <v>45255.46065972222</v>
      </c>
    </row>
    <row r="1003">
      <c r="A1003" s="47">
        <v>45252.7125053125</v>
      </c>
      <c r="B1003" s="46" t="s">
        <v>1137</v>
      </c>
      <c r="C1003" s="46">
        <v>9.911565272E9</v>
      </c>
      <c r="D1003" s="46"/>
      <c r="E1003" s="46" t="s">
        <v>1306</v>
      </c>
      <c r="F1003" s="46"/>
      <c r="G1003" s="46" t="s">
        <v>289</v>
      </c>
      <c r="H1003" s="46" t="s">
        <v>706</v>
      </c>
      <c r="I1003" s="46"/>
      <c r="J1003" s="46"/>
      <c r="K1003" s="46" t="str">
        <f>IFERROR(__xludf.DUMMYFUNCTION("if(A1003="""","""",IF(G1003="""",""Myn"",IF(REGEXMATCH(lower(G1003),""mynn""),""Myn"",if(G1003&lt;&gt;"""",""GEMTRE"",""""))))"),"GEMTRE")</f>
        <v>GEMTRE</v>
      </c>
      <c r="L1003" s="46" t="s">
        <v>2001</v>
      </c>
      <c r="M1003" s="48">
        <v>45255.46065972222</v>
      </c>
    </row>
    <row r="1004">
      <c r="A1004" s="47">
        <v>45252.712509143515</v>
      </c>
      <c r="B1004" s="46" t="s">
        <v>1307</v>
      </c>
      <c r="C1004" s="46">
        <v>9.999794698E9</v>
      </c>
      <c r="D1004" s="46"/>
      <c r="E1004" s="46"/>
      <c r="F1004" s="46"/>
      <c r="G1004" s="46" t="s">
        <v>303</v>
      </c>
      <c r="H1004" s="46" t="s">
        <v>701</v>
      </c>
      <c r="I1004" s="46"/>
      <c r="J1004" s="46"/>
      <c r="K1004" s="46" t="str">
        <f>IFERROR(__xludf.DUMMYFUNCTION("if(A1004="""","""",IF(G1004="""",""Myn"",IF(REGEXMATCH(lower(G1004),""mynn""),""Myn"",if(G1004&lt;&gt;"""",""GEMTRE"",""""))))"),"Myn")</f>
        <v>Myn</v>
      </c>
      <c r="L1004" s="46" t="s">
        <v>2000</v>
      </c>
      <c r="M1004" s="48">
        <v>45255.46065972222</v>
      </c>
    </row>
    <row r="1005">
      <c r="A1005" s="47">
        <v>45252.71341300926</v>
      </c>
      <c r="B1005" s="46" t="s">
        <v>1308</v>
      </c>
      <c r="C1005" s="46">
        <v>9.868921333E9</v>
      </c>
      <c r="D1005" s="46"/>
      <c r="E1005" s="46" t="s">
        <v>1309</v>
      </c>
      <c r="F1005" s="46"/>
      <c r="G1005" s="46" t="s">
        <v>289</v>
      </c>
      <c r="H1005" s="46" t="s">
        <v>706</v>
      </c>
      <c r="I1005" s="46"/>
      <c r="J1005" s="46"/>
      <c r="K1005" s="46" t="str">
        <f>IFERROR(__xludf.DUMMYFUNCTION("if(A1005="""","""",IF(G1005="""",""Myn"",IF(REGEXMATCH(lower(G1005),""mynn""),""Myn"",if(G1005&lt;&gt;"""",""GEMTRE"",""""))))"),"GEMTRE")</f>
        <v>GEMTRE</v>
      </c>
      <c r="L1005" s="46" t="s">
        <v>2001</v>
      </c>
      <c r="M1005" s="48">
        <v>45255.46065972222</v>
      </c>
    </row>
    <row r="1006">
      <c r="A1006" s="47">
        <v>45252.71389728009</v>
      </c>
      <c r="B1006" s="46" t="s">
        <v>1310</v>
      </c>
      <c r="C1006" s="46">
        <v>7.424890104E9</v>
      </c>
      <c r="D1006" s="46"/>
      <c r="E1006" s="46"/>
      <c r="F1006" s="46"/>
      <c r="G1006" s="46" t="s">
        <v>303</v>
      </c>
      <c r="H1006" s="46" t="s">
        <v>701</v>
      </c>
      <c r="I1006" s="46"/>
      <c r="J1006" s="46"/>
      <c r="K1006" s="46" t="str">
        <f>IFERROR(__xludf.DUMMYFUNCTION("if(A1006="""","""",IF(G1006="""",""Myn"",IF(REGEXMATCH(lower(G1006),""mynn""),""Myn"",if(G1006&lt;&gt;"""",""GEMTRE"",""""))))"),"Myn")</f>
        <v>Myn</v>
      </c>
      <c r="L1006" s="46" t="s">
        <v>2000</v>
      </c>
      <c r="M1006" s="48">
        <v>45255.46065972222</v>
      </c>
    </row>
    <row r="1007">
      <c r="A1007" s="47">
        <v>45252.7141609838</v>
      </c>
      <c r="B1007" s="46" t="s">
        <v>1182</v>
      </c>
      <c r="C1007" s="46">
        <v>9.810296558E9</v>
      </c>
      <c r="D1007" s="46"/>
      <c r="E1007" s="46" t="s">
        <v>1311</v>
      </c>
      <c r="F1007" s="46"/>
      <c r="G1007" s="46" t="s">
        <v>289</v>
      </c>
      <c r="H1007" s="46" t="s">
        <v>706</v>
      </c>
      <c r="I1007" s="46"/>
      <c r="J1007" s="46"/>
      <c r="K1007" s="46" t="str">
        <f>IFERROR(__xludf.DUMMYFUNCTION("if(A1007="""","""",IF(G1007="""",""Myn"",IF(REGEXMATCH(lower(G1007),""mynn""),""Myn"",if(G1007&lt;&gt;"""",""GEMTRE"",""""))))"),"GEMTRE")</f>
        <v>GEMTRE</v>
      </c>
      <c r="L1007" s="46" t="s">
        <v>2001</v>
      </c>
      <c r="M1007" s="48">
        <v>45255.46065972222</v>
      </c>
    </row>
    <row r="1008">
      <c r="A1008" s="47">
        <v>45252.714245243056</v>
      </c>
      <c r="B1008" s="46" t="s">
        <v>427</v>
      </c>
      <c r="C1008" s="46">
        <v>9.560195376E9</v>
      </c>
      <c r="D1008" s="46"/>
      <c r="E1008" s="46"/>
      <c r="F1008" s="46"/>
      <c r="G1008" s="46" t="s">
        <v>303</v>
      </c>
      <c r="H1008" s="46" t="s">
        <v>701</v>
      </c>
      <c r="I1008" s="46"/>
      <c r="J1008" s="46"/>
      <c r="K1008" s="46" t="str">
        <f>IFERROR(__xludf.DUMMYFUNCTION("if(A1008="""","""",IF(G1008="""",""Myn"",IF(REGEXMATCH(lower(G1008),""mynn""),""Myn"",if(G1008&lt;&gt;"""",""GEMTRE"",""""))))"),"Myn")</f>
        <v>Myn</v>
      </c>
      <c r="L1008" s="46" t="s">
        <v>2000</v>
      </c>
      <c r="M1008" s="48">
        <v>45255.46065972222</v>
      </c>
    </row>
    <row r="1009">
      <c r="A1009" s="47">
        <v>45252.71458201389</v>
      </c>
      <c r="B1009" s="46" t="s">
        <v>1312</v>
      </c>
      <c r="C1009" s="46">
        <v>7.986913568E9</v>
      </c>
      <c r="D1009" s="46"/>
      <c r="E1009" s="46" t="s">
        <v>1263</v>
      </c>
      <c r="F1009" s="46"/>
      <c r="G1009" s="46" t="s">
        <v>289</v>
      </c>
      <c r="H1009" s="46" t="s">
        <v>706</v>
      </c>
      <c r="I1009" s="46"/>
      <c r="J1009" s="46"/>
      <c r="K1009" s="46" t="str">
        <f>IFERROR(__xludf.DUMMYFUNCTION("if(A1009="""","""",IF(G1009="""",""Myn"",IF(REGEXMATCH(lower(G1009),""mynn""),""Myn"",if(G1009&lt;&gt;"""",""GEMTRE"",""""))))"),"GEMTRE")</f>
        <v>GEMTRE</v>
      </c>
      <c r="L1009" s="46" t="s">
        <v>2001</v>
      </c>
      <c r="M1009" s="48">
        <v>45255.46065972222</v>
      </c>
    </row>
    <row r="1010">
      <c r="A1010" s="47">
        <v>45252.714681909725</v>
      </c>
      <c r="B1010" s="46" t="s">
        <v>1313</v>
      </c>
      <c r="C1010" s="46">
        <v>9.079148378E9</v>
      </c>
      <c r="D1010" s="46"/>
      <c r="E1010" s="46"/>
      <c r="F1010" s="46"/>
      <c r="G1010" s="46" t="s">
        <v>303</v>
      </c>
      <c r="H1010" s="46" t="s">
        <v>701</v>
      </c>
      <c r="I1010" s="46"/>
      <c r="J1010" s="46"/>
      <c r="K1010" s="46" t="str">
        <f>IFERROR(__xludf.DUMMYFUNCTION("if(A1010="""","""",IF(G1010="""",""Myn"",IF(REGEXMATCH(lower(G1010),""mynn""),""Myn"",if(G1010&lt;&gt;"""",""GEMTRE"",""""))))"),"Myn")</f>
        <v>Myn</v>
      </c>
      <c r="L1010" s="46" t="s">
        <v>2000</v>
      </c>
      <c r="M1010" s="48">
        <v>45255.46065972222</v>
      </c>
    </row>
    <row r="1011">
      <c r="A1011" s="47">
        <v>45252.714893171295</v>
      </c>
      <c r="B1011" s="46" t="s">
        <v>1314</v>
      </c>
      <c r="C1011" s="46">
        <v>9.810477199E9</v>
      </c>
      <c r="D1011" s="46"/>
      <c r="E1011" s="46"/>
      <c r="F1011" s="46"/>
      <c r="G1011" s="46" t="s">
        <v>289</v>
      </c>
      <c r="H1011" s="46" t="s">
        <v>701</v>
      </c>
      <c r="I1011" s="46"/>
      <c r="J1011" s="46"/>
      <c r="K1011" s="46" t="str">
        <f>IFERROR(__xludf.DUMMYFUNCTION("if(A1011="""","""",IF(G1011="""",""Myn"",IF(REGEXMATCH(lower(G1011),""mynn""),""Myn"",if(G1011&lt;&gt;"""",""GEMTRE"",""""))))"),"GEMTRE")</f>
        <v>GEMTRE</v>
      </c>
      <c r="L1011" s="46" t="s">
        <v>2001</v>
      </c>
      <c r="M1011" s="48">
        <v>45255.46065972222</v>
      </c>
    </row>
    <row r="1012">
      <c r="A1012" s="47">
        <v>45252.71542811343</v>
      </c>
      <c r="B1012" s="46" t="s">
        <v>1315</v>
      </c>
      <c r="C1012" s="46">
        <v>9.711343316E9</v>
      </c>
      <c r="D1012" s="46"/>
      <c r="E1012" s="46"/>
      <c r="F1012" s="46"/>
      <c r="G1012" s="46" t="s">
        <v>303</v>
      </c>
      <c r="H1012" s="46" t="s">
        <v>1035</v>
      </c>
      <c r="I1012" s="46"/>
      <c r="J1012" s="46"/>
      <c r="K1012" s="46" t="str">
        <f>IFERROR(__xludf.DUMMYFUNCTION("if(A1012="""","""",IF(G1012="""",""Myn"",IF(REGEXMATCH(lower(G1012),""mynn""),""Myn"",if(G1012&lt;&gt;"""",""GEMTRE"",""""))))"),"Myn")</f>
        <v>Myn</v>
      </c>
      <c r="L1012" s="46" t="s">
        <v>2000</v>
      </c>
      <c r="M1012" s="48">
        <v>45255.46065972222</v>
      </c>
    </row>
    <row r="1013">
      <c r="A1013" s="47">
        <v>45252.71569135417</v>
      </c>
      <c r="B1013" s="46" t="s">
        <v>1316</v>
      </c>
      <c r="C1013" s="46">
        <v>9.654209028E9</v>
      </c>
      <c r="D1013" s="46"/>
      <c r="E1013" s="46"/>
      <c r="F1013" s="46"/>
      <c r="G1013" s="46" t="s">
        <v>289</v>
      </c>
      <c r="H1013" s="46" t="s">
        <v>701</v>
      </c>
      <c r="I1013" s="46"/>
      <c r="J1013" s="46"/>
      <c r="K1013" s="46" t="str">
        <f>IFERROR(__xludf.DUMMYFUNCTION("if(A1013="""","""",IF(G1013="""",""Myn"",IF(REGEXMATCH(lower(G1013),""mynn""),""Myn"",if(G1013&lt;&gt;"""",""GEMTRE"",""""))))"),"GEMTRE")</f>
        <v>GEMTRE</v>
      </c>
      <c r="L1013" s="46" t="s">
        <v>2001</v>
      </c>
      <c r="M1013" s="48">
        <v>45255.46065972222</v>
      </c>
    </row>
    <row r="1014">
      <c r="A1014" s="47">
        <v>45252.71595081019</v>
      </c>
      <c r="B1014" s="46" t="s">
        <v>659</v>
      </c>
      <c r="C1014" s="46">
        <v>7.06585968E9</v>
      </c>
      <c r="D1014" s="46"/>
      <c r="E1014" s="46"/>
      <c r="F1014" s="46"/>
      <c r="G1014" s="46" t="s">
        <v>303</v>
      </c>
      <c r="H1014" s="46" t="s">
        <v>701</v>
      </c>
      <c r="I1014" s="46"/>
      <c r="J1014" s="46"/>
      <c r="K1014" s="46" t="str">
        <f>IFERROR(__xludf.DUMMYFUNCTION("if(A1014="""","""",IF(G1014="""",""Myn"",IF(REGEXMATCH(lower(G1014),""mynn""),""Myn"",if(G1014&lt;&gt;"""",""GEMTRE"",""""))))"),"Myn")</f>
        <v>Myn</v>
      </c>
      <c r="L1014" s="46" t="s">
        <v>2000</v>
      </c>
      <c r="M1014" s="48">
        <v>45255.46065972222</v>
      </c>
    </row>
    <row r="1015">
      <c r="A1015" s="47">
        <v>45252.71612557871</v>
      </c>
      <c r="B1015" s="46" t="s">
        <v>1317</v>
      </c>
      <c r="C1015" s="46">
        <v>8.010604606E9</v>
      </c>
      <c r="D1015" s="46"/>
      <c r="E1015" s="46" t="s">
        <v>1318</v>
      </c>
      <c r="F1015" s="46"/>
      <c r="G1015" s="46" t="s">
        <v>289</v>
      </c>
      <c r="H1015" s="46" t="s">
        <v>706</v>
      </c>
      <c r="I1015" s="46"/>
      <c r="J1015" s="46"/>
      <c r="K1015" s="46" t="str">
        <f>IFERROR(__xludf.DUMMYFUNCTION("if(A1015="""","""",IF(G1015="""",""Myn"",IF(REGEXMATCH(lower(G1015),""mynn""),""Myn"",if(G1015&lt;&gt;"""",""GEMTRE"",""""))))"),"GEMTRE")</f>
        <v>GEMTRE</v>
      </c>
      <c r="L1015" s="46" t="s">
        <v>2001</v>
      </c>
      <c r="M1015" s="48">
        <v>45255.46065972222</v>
      </c>
    </row>
    <row r="1016">
      <c r="A1016" s="47">
        <v>45252.716863229165</v>
      </c>
      <c r="B1016" s="46" t="s">
        <v>1319</v>
      </c>
      <c r="C1016" s="46">
        <v>9.654601971E9</v>
      </c>
      <c r="D1016" s="46"/>
      <c r="E1016" s="46"/>
      <c r="F1016" s="46"/>
      <c r="G1016" s="46" t="s">
        <v>303</v>
      </c>
      <c r="H1016" s="46" t="s">
        <v>701</v>
      </c>
      <c r="I1016" s="46"/>
      <c r="J1016" s="46"/>
      <c r="K1016" s="46" t="str">
        <f>IFERROR(__xludf.DUMMYFUNCTION("if(A1016="""","""",IF(G1016="""",""Myn"",IF(REGEXMATCH(lower(G1016),""mynn""),""Myn"",if(G1016&lt;&gt;"""",""GEMTRE"",""""))))"),"Myn")</f>
        <v>Myn</v>
      </c>
      <c r="L1016" s="46" t="s">
        <v>2000</v>
      </c>
      <c r="M1016" s="48">
        <v>45255.46065972222</v>
      </c>
    </row>
    <row r="1017">
      <c r="A1017" s="47">
        <v>45252.717973032406</v>
      </c>
      <c r="B1017" s="46" t="s">
        <v>229</v>
      </c>
      <c r="C1017" s="46">
        <v>9.353218769E9</v>
      </c>
      <c r="D1017" s="46"/>
      <c r="E1017" s="46"/>
      <c r="F1017" s="46"/>
      <c r="G1017" s="46" t="s">
        <v>303</v>
      </c>
      <c r="H1017" s="46" t="s">
        <v>701</v>
      </c>
      <c r="I1017" s="46"/>
      <c r="J1017" s="46"/>
      <c r="K1017" s="46" t="str">
        <f>IFERROR(__xludf.DUMMYFUNCTION("if(A1017="""","""",IF(G1017="""",""Myn"",IF(REGEXMATCH(lower(G1017),""mynn""),""Myn"",if(G1017&lt;&gt;"""",""GEMTRE"",""""))))"),"Myn")</f>
        <v>Myn</v>
      </c>
      <c r="L1017" s="46" t="s">
        <v>2000</v>
      </c>
      <c r="M1017" s="48">
        <v>45255.46065972222</v>
      </c>
    </row>
    <row r="1018">
      <c r="A1018" s="47">
        <v>45252.718293576385</v>
      </c>
      <c r="B1018" s="46" t="s">
        <v>1320</v>
      </c>
      <c r="C1018" s="46">
        <v>9.900829318E9</v>
      </c>
      <c r="D1018" s="46"/>
      <c r="E1018" s="46"/>
      <c r="F1018" s="46"/>
      <c r="G1018" s="46" t="s">
        <v>303</v>
      </c>
      <c r="H1018" s="46" t="s">
        <v>701</v>
      </c>
      <c r="I1018" s="46"/>
      <c r="J1018" s="46"/>
      <c r="K1018" s="46" t="str">
        <f>IFERROR(__xludf.DUMMYFUNCTION("if(A1018="""","""",IF(G1018="""",""Myn"",IF(REGEXMATCH(lower(G1018),""mynn""),""Myn"",if(G1018&lt;&gt;"""",""GEMTRE"",""""))))"),"Myn")</f>
        <v>Myn</v>
      </c>
      <c r="L1018" s="46" t="s">
        <v>2000</v>
      </c>
      <c r="M1018" s="48">
        <v>45255.46065972222</v>
      </c>
    </row>
    <row r="1019">
      <c r="A1019" s="47">
        <v>45252.71854469908</v>
      </c>
      <c r="B1019" s="46" t="s">
        <v>1321</v>
      </c>
      <c r="C1019" s="46">
        <v>8.375980739E9</v>
      </c>
      <c r="D1019" s="46"/>
      <c r="E1019" s="46" t="s">
        <v>1322</v>
      </c>
      <c r="F1019" s="46"/>
      <c r="G1019" s="46" t="s">
        <v>289</v>
      </c>
      <c r="H1019" s="46" t="s">
        <v>706</v>
      </c>
      <c r="I1019" s="46"/>
      <c r="J1019" s="46"/>
      <c r="K1019" s="46" t="str">
        <f>IFERROR(__xludf.DUMMYFUNCTION("if(A1019="""","""",IF(G1019="""",""Myn"",IF(REGEXMATCH(lower(G1019),""mynn""),""Myn"",if(G1019&lt;&gt;"""",""GEMTRE"",""""))))"),"GEMTRE")</f>
        <v>GEMTRE</v>
      </c>
      <c r="L1019" s="46" t="s">
        <v>2001</v>
      </c>
      <c r="M1019" s="48">
        <v>45255.46065972222</v>
      </c>
    </row>
    <row r="1020">
      <c r="A1020" s="47">
        <v>45252.718577164356</v>
      </c>
      <c r="B1020" s="46" t="s">
        <v>1323</v>
      </c>
      <c r="C1020" s="46">
        <v>8.237433062E9</v>
      </c>
      <c r="D1020" s="46"/>
      <c r="E1020" s="46"/>
      <c r="F1020" s="46"/>
      <c r="G1020" s="46" t="s">
        <v>303</v>
      </c>
      <c r="H1020" s="46" t="s">
        <v>701</v>
      </c>
      <c r="I1020" s="46"/>
      <c r="J1020" s="46"/>
      <c r="K1020" s="46" t="str">
        <f>IFERROR(__xludf.DUMMYFUNCTION("if(A1020="""","""",IF(G1020="""",""Myn"",IF(REGEXMATCH(lower(G1020),""mynn""),""Myn"",if(G1020&lt;&gt;"""",""GEMTRE"",""""))))"),"Myn")</f>
        <v>Myn</v>
      </c>
      <c r="L1020" s="46" t="s">
        <v>2000</v>
      </c>
      <c r="M1020" s="48">
        <v>45255.46065972222</v>
      </c>
    </row>
    <row r="1021">
      <c r="A1021" s="47">
        <v>45252.71888678241</v>
      </c>
      <c r="B1021" s="46" t="s">
        <v>1324</v>
      </c>
      <c r="C1021" s="46">
        <v>9.717948003E9</v>
      </c>
      <c r="D1021" s="46"/>
      <c r="E1021" s="46" t="s">
        <v>1325</v>
      </c>
      <c r="F1021" s="46"/>
      <c r="G1021" s="46" t="s">
        <v>289</v>
      </c>
      <c r="H1021" s="46" t="s">
        <v>706</v>
      </c>
      <c r="I1021" s="46"/>
      <c r="J1021" s="46"/>
      <c r="K1021" s="46" t="str">
        <f>IFERROR(__xludf.DUMMYFUNCTION("if(A1021="""","""",IF(G1021="""",""Myn"",IF(REGEXMATCH(lower(G1021),""mynn""),""Myn"",if(G1021&lt;&gt;"""",""GEMTRE"",""""))))"),"GEMTRE")</f>
        <v>GEMTRE</v>
      </c>
      <c r="L1021" s="46" t="s">
        <v>2001</v>
      </c>
      <c r="M1021" s="48">
        <v>45255.46065972222</v>
      </c>
    </row>
    <row r="1022">
      <c r="A1022" s="47">
        <v>45252.71922085648</v>
      </c>
      <c r="B1022" s="46" t="s">
        <v>1326</v>
      </c>
      <c r="C1022" s="46">
        <v>9.717243668E9</v>
      </c>
      <c r="D1022" s="46"/>
      <c r="E1022" s="46"/>
      <c r="F1022" s="46"/>
      <c r="G1022" s="46" t="s">
        <v>303</v>
      </c>
      <c r="H1022" s="46" t="s">
        <v>706</v>
      </c>
      <c r="I1022" s="46"/>
      <c r="J1022" s="46"/>
      <c r="K1022" s="46" t="str">
        <f>IFERROR(__xludf.DUMMYFUNCTION("if(A1022="""","""",IF(G1022="""",""Myn"",IF(REGEXMATCH(lower(G1022),""mynn""),""Myn"",if(G1022&lt;&gt;"""",""GEMTRE"",""""))))"),"Myn")</f>
        <v>Myn</v>
      </c>
      <c r="L1022" s="46" t="s">
        <v>2000</v>
      </c>
      <c r="M1022" s="48">
        <v>45255.46065972222</v>
      </c>
    </row>
    <row r="1023">
      <c r="A1023" s="47">
        <v>45252.7193090162</v>
      </c>
      <c r="B1023" s="46" t="s">
        <v>1327</v>
      </c>
      <c r="C1023" s="46">
        <v>7.7038744E9</v>
      </c>
      <c r="D1023" s="46"/>
      <c r="E1023" s="46" t="s">
        <v>1328</v>
      </c>
      <c r="F1023" s="46"/>
      <c r="G1023" s="46" t="s">
        <v>289</v>
      </c>
      <c r="H1023" s="46" t="s">
        <v>706</v>
      </c>
      <c r="I1023" s="46"/>
      <c r="J1023" s="46"/>
      <c r="K1023" s="46" t="str">
        <f>IFERROR(__xludf.DUMMYFUNCTION("if(A1023="""","""",IF(G1023="""",""Myn"",IF(REGEXMATCH(lower(G1023),""mynn""),""Myn"",if(G1023&lt;&gt;"""",""GEMTRE"",""""))))"),"GEMTRE")</f>
        <v>GEMTRE</v>
      </c>
      <c r="L1023" s="46" t="s">
        <v>2001</v>
      </c>
      <c r="M1023" s="48">
        <v>45255.46065972222</v>
      </c>
    </row>
    <row r="1024">
      <c r="A1024" s="47">
        <v>45252.7199684375</v>
      </c>
      <c r="B1024" s="46" t="s">
        <v>1329</v>
      </c>
      <c r="C1024" s="46">
        <v>9.210151917E9</v>
      </c>
      <c r="D1024" s="46"/>
      <c r="E1024" s="46" t="s">
        <v>1189</v>
      </c>
      <c r="F1024" s="46"/>
      <c r="G1024" s="46" t="s">
        <v>289</v>
      </c>
      <c r="H1024" s="46" t="s">
        <v>706</v>
      </c>
      <c r="I1024" s="46"/>
      <c r="J1024" s="46"/>
      <c r="K1024" s="46" t="str">
        <f>IFERROR(__xludf.DUMMYFUNCTION("if(A1024="""","""",IF(G1024="""",""Myn"",IF(REGEXMATCH(lower(G1024),""mynn""),""Myn"",if(G1024&lt;&gt;"""",""GEMTRE"",""""))))"),"GEMTRE")</f>
        <v>GEMTRE</v>
      </c>
      <c r="L1024" s="46" t="s">
        <v>2001</v>
      </c>
      <c r="M1024" s="48">
        <v>45255.46065972222</v>
      </c>
    </row>
    <row r="1025">
      <c r="A1025" s="47">
        <v>45252.72039870371</v>
      </c>
      <c r="B1025" s="46" t="s">
        <v>1330</v>
      </c>
      <c r="C1025" s="46">
        <v>9.311017876E9</v>
      </c>
      <c r="D1025" s="46"/>
      <c r="E1025" s="46"/>
      <c r="F1025" s="46"/>
      <c r="G1025" s="46" t="s">
        <v>303</v>
      </c>
      <c r="H1025" s="46" t="s">
        <v>701</v>
      </c>
      <c r="I1025" s="46"/>
      <c r="J1025" s="46"/>
      <c r="K1025" s="46" t="str">
        <f>IFERROR(__xludf.DUMMYFUNCTION("if(A1025="""","""",IF(G1025="""",""Myn"",IF(REGEXMATCH(lower(G1025),""mynn""),""Myn"",if(G1025&lt;&gt;"""",""GEMTRE"",""""))))"),"Myn")</f>
        <v>Myn</v>
      </c>
      <c r="L1025" s="46" t="s">
        <v>2000</v>
      </c>
      <c r="M1025" s="48">
        <v>45255.46065972222</v>
      </c>
    </row>
    <row r="1026">
      <c r="A1026" s="47">
        <v>45252.72040902778</v>
      </c>
      <c r="B1026" s="46" t="s">
        <v>287</v>
      </c>
      <c r="C1026" s="46">
        <v>9.896137076E9</v>
      </c>
      <c r="D1026" s="46"/>
      <c r="E1026" s="46" t="s">
        <v>1209</v>
      </c>
      <c r="F1026" s="46"/>
      <c r="G1026" s="46" t="s">
        <v>289</v>
      </c>
      <c r="H1026" s="46" t="s">
        <v>706</v>
      </c>
      <c r="I1026" s="46"/>
      <c r="J1026" s="46"/>
      <c r="K1026" s="46" t="str">
        <f>IFERROR(__xludf.DUMMYFUNCTION("if(A1026="""","""",IF(G1026="""",""Myn"",IF(REGEXMATCH(lower(G1026),""mynn""),""Myn"",if(G1026&lt;&gt;"""",""GEMTRE"",""""))))"),"GEMTRE")</f>
        <v>GEMTRE</v>
      </c>
      <c r="L1026" s="46" t="s">
        <v>2001</v>
      </c>
      <c r="M1026" s="48">
        <v>45255.46065972222</v>
      </c>
    </row>
    <row r="1027">
      <c r="A1027" s="47">
        <v>45252.720514768516</v>
      </c>
      <c r="B1027" s="46" t="s">
        <v>1331</v>
      </c>
      <c r="C1027" s="46">
        <v>9.760100216E9</v>
      </c>
      <c r="D1027" s="46"/>
      <c r="E1027" s="46" t="s">
        <v>227</v>
      </c>
      <c r="F1027" s="46"/>
      <c r="G1027" s="46" t="s">
        <v>303</v>
      </c>
      <c r="H1027" s="46" t="s">
        <v>706</v>
      </c>
      <c r="I1027" s="46"/>
      <c r="J1027" s="46"/>
      <c r="K1027" s="46" t="str">
        <f>IFERROR(__xludf.DUMMYFUNCTION("if(A1027="""","""",IF(G1027="""",""Myn"",IF(REGEXMATCH(lower(G1027),""mynn""),""Myn"",if(G1027&lt;&gt;"""",""GEMTRE"",""""))))"),"Myn")</f>
        <v>Myn</v>
      </c>
      <c r="L1027" s="46" t="s">
        <v>2000</v>
      </c>
      <c r="M1027" s="48">
        <v>45255.46065972222</v>
      </c>
    </row>
    <row r="1028">
      <c r="A1028" s="47">
        <v>45252.721010925925</v>
      </c>
      <c r="B1028" s="46" t="s">
        <v>1332</v>
      </c>
      <c r="C1028" s="46">
        <v>9.3160776E9</v>
      </c>
      <c r="D1028" s="46"/>
      <c r="E1028" s="46"/>
      <c r="F1028" s="46"/>
      <c r="G1028" s="46" t="s">
        <v>289</v>
      </c>
      <c r="H1028" s="46" t="s">
        <v>701</v>
      </c>
      <c r="I1028" s="46"/>
      <c r="J1028" s="46"/>
      <c r="K1028" s="46" t="str">
        <f>IFERROR(__xludf.DUMMYFUNCTION("if(A1028="""","""",IF(G1028="""",""Myn"",IF(REGEXMATCH(lower(G1028),""mynn""),""Myn"",if(G1028&lt;&gt;"""",""GEMTRE"",""""))))"),"GEMTRE")</f>
        <v>GEMTRE</v>
      </c>
      <c r="L1028" s="46" t="s">
        <v>2001</v>
      </c>
      <c r="M1028" s="48">
        <v>45255.46065972222</v>
      </c>
    </row>
    <row r="1029">
      <c r="A1029" s="47">
        <v>45252.721413946754</v>
      </c>
      <c r="B1029" s="46" t="s">
        <v>1333</v>
      </c>
      <c r="C1029" s="46">
        <v>8.810420399E9</v>
      </c>
      <c r="D1029" s="46"/>
      <c r="E1029" s="46" t="s">
        <v>1192</v>
      </c>
      <c r="F1029" s="46"/>
      <c r="G1029" s="46" t="s">
        <v>289</v>
      </c>
      <c r="H1029" s="46" t="s">
        <v>706</v>
      </c>
      <c r="I1029" s="46"/>
      <c r="J1029" s="46"/>
      <c r="K1029" s="46" t="str">
        <f>IFERROR(__xludf.DUMMYFUNCTION("if(A1029="""","""",IF(G1029="""",""Myn"",IF(REGEXMATCH(lower(G1029),""mynn""),""Myn"",if(G1029&lt;&gt;"""",""GEMTRE"",""""))))"),"GEMTRE")</f>
        <v>GEMTRE</v>
      </c>
      <c r="L1029" s="46" t="s">
        <v>2001</v>
      </c>
      <c r="M1029" s="48">
        <v>45255.46065972222</v>
      </c>
    </row>
    <row r="1030">
      <c r="A1030" s="47">
        <v>45252.72238530093</v>
      </c>
      <c r="B1030" s="46" t="s">
        <v>1334</v>
      </c>
      <c r="C1030" s="46">
        <v>7.892952788E9</v>
      </c>
      <c r="D1030" s="46"/>
      <c r="E1030" s="46"/>
      <c r="F1030" s="46"/>
      <c r="G1030" s="46" t="s">
        <v>303</v>
      </c>
      <c r="H1030" s="46" t="s">
        <v>701</v>
      </c>
      <c r="I1030" s="46"/>
      <c r="J1030" s="46"/>
      <c r="K1030" s="46" t="str">
        <f>IFERROR(__xludf.DUMMYFUNCTION("if(A1030="""","""",IF(G1030="""",""Myn"",IF(REGEXMATCH(lower(G1030),""mynn""),""Myn"",if(G1030&lt;&gt;"""",""GEMTRE"",""""))))"),"Myn")</f>
        <v>Myn</v>
      </c>
      <c r="L1030" s="46" t="s">
        <v>2000</v>
      </c>
      <c r="M1030" s="48">
        <v>45255.46065972222</v>
      </c>
    </row>
    <row r="1031">
      <c r="A1031" s="47">
        <v>45252.72382035879</v>
      </c>
      <c r="B1031" s="46" t="s">
        <v>1335</v>
      </c>
      <c r="C1031" s="46">
        <v>9.818412116E9</v>
      </c>
      <c r="D1031" s="46"/>
      <c r="E1031" s="46"/>
      <c r="F1031" s="46"/>
      <c r="G1031" s="46" t="s">
        <v>303</v>
      </c>
      <c r="H1031" s="46" t="s">
        <v>701</v>
      </c>
      <c r="I1031" s="46"/>
      <c r="J1031" s="46"/>
      <c r="K1031" s="46" t="str">
        <f>IFERROR(__xludf.DUMMYFUNCTION("if(A1031="""","""",IF(G1031="""",""Myn"",IF(REGEXMATCH(lower(G1031),""mynn""),""Myn"",if(G1031&lt;&gt;"""",""GEMTRE"",""""))))"),"Myn")</f>
        <v>Myn</v>
      </c>
      <c r="L1031" s="46" t="s">
        <v>2000</v>
      </c>
      <c r="M1031" s="48">
        <v>45255.46065972222</v>
      </c>
    </row>
    <row r="1032">
      <c r="A1032" s="47">
        <v>45252.72538184028</v>
      </c>
      <c r="B1032" s="46" t="s">
        <v>1336</v>
      </c>
      <c r="C1032" s="46">
        <v>7.678522847E9</v>
      </c>
      <c r="D1032" s="46"/>
      <c r="E1032" s="46"/>
      <c r="F1032" s="46"/>
      <c r="G1032" s="46" t="s">
        <v>303</v>
      </c>
      <c r="H1032" s="46" t="s">
        <v>701</v>
      </c>
      <c r="I1032" s="46"/>
      <c r="J1032" s="46"/>
      <c r="K1032" s="46" t="str">
        <f>IFERROR(__xludf.DUMMYFUNCTION("if(A1032="""","""",IF(G1032="""",""Myn"",IF(REGEXMATCH(lower(G1032),""mynn""),""Myn"",if(G1032&lt;&gt;"""",""GEMTRE"",""""))))"),"Myn")</f>
        <v>Myn</v>
      </c>
      <c r="L1032" s="46" t="s">
        <v>2000</v>
      </c>
      <c r="M1032" s="48">
        <v>45255.46065972222</v>
      </c>
    </row>
    <row r="1033">
      <c r="A1033" s="47">
        <v>45252.72561893519</v>
      </c>
      <c r="B1033" s="46" t="s">
        <v>1337</v>
      </c>
      <c r="C1033" s="46">
        <v>9.211528861E9</v>
      </c>
      <c r="D1033" s="46"/>
      <c r="E1033" s="46"/>
      <c r="F1033" s="46"/>
      <c r="G1033" s="46" t="s">
        <v>303</v>
      </c>
      <c r="H1033" s="46" t="s">
        <v>701</v>
      </c>
      <c r="I1033" s="46"/>
      <c r="J1033" s="46"/>
      <c r="K1033" s="46" t="str">
        <f>IFERROR(__xludf.DUMMYFUNCTION("if(A1033="""","""",IF(G1033="""",""Myn"",IF(REGEXMATCH(lower(G1033),""mynn""),""Myn"",if(G1033&lt;&gt;"""",""GEMTRE"",""""))))"),"Myn")</f>
        <v>Myn</v>
      </c>
      <c r="L1033" s="46" t="s">
        <v>2000</v>
      </c>
      <c r="M1033" s="48">
        <v>45255.46065972222</v>
      </c>
    </row>
    <row r="1034">
      <c r="A1034" s="47">
        <v>45252.72763060185</v>
      </c>
      <c r="B1034" s="46" t="s">
        <v>1338</v>
      </c>
      <c r="C1034" s="46">
        <v>9.871185853E9</v>
      </c>
      <c r="D1034" s="46"/>
      <c r="E1034" s="46"/>
      <c r="F1034" s="46"/>
      <c r="G1034" s="46" t="s">
        <v>303</v>
      </c>
      <c r="H1034" s="46" t="s">
        <v>701</v>
      </c>
      <c r="I1034" s="46"/>
      <c r="J1034" s="46"/>
      <c r="K1034" s="46" t="str">
        <f>IFERROR(__xludf.DUMMYFUNCTION("if(A1034="""","""",IF(G1034="""",""Myn"",IF(REGEXMATCH(lower(G1034),""mynn""),""Myn"",if(G1034&lt;&gt;"""",""GEMTRE"",""""))))"),"Myn")</f>
        <v>Myn</v>
      </c>
      <c r="L1034" s="46" t="s">
        <v>2000</v>
      </c>
      <c r="M1034" s="48">
        <v>45255.46065972222</v>
      </c>
    </row>
    <row r="1035">
      <c r="A1035" s="47">
        <v>45252.72827403936</v>
      </c>
      <c r="B1035" s="46" t="s">
        <v>1224</v>
      </c>
      <c r="C1035" s="46">
        <v>9.971765E9</v>
      </c>
      <c r="D1035" s="46"/>
      <c r="E1035" s="46"/>
      <c r="F1035" s="46"/>
      <c r="G1035" s="46" t="s">
        <v>303</v>
      </c>
      <c r="H1035" s="46" t="s">
        <v>701</v>
      </c>
      <c r="I1035" s="46"/>
      <c r="J1035" s="46"/>
      <c r="K1035" s="46" t="str">
        <f>IFERROR(__xludf.DUMMYFUNCTION("if(A1035="""","""",IF(G1035="""",""Myn"",IF(REGEXMATCH(lower(G1035),""mynn""),""Myn"",if(G1035&lt;&gt;"""",""GEMTRE"",""""))))"),"Myn")</f>
        <v>Myn</v>
      </c>
      <c r="L1035" s="46" t="s">
        <v>2000</v>
      </c>
      <c r="M1035" s="48">
        <v>45255.46065972222</v>
      </c>
    </row>
    <row r="1036">
      <c r="A1036" s="47">
        <v>45252.732615960645</v>
      </c>
      <c r="B1036" s="46" t="s">
        <v>1339</v>
      </c>
      <c r="C1036" s="46">
        <v>9.711473428E9</v>
      </c>
      <c r="D1036" s="46"/>
      <c r="E1036" s="46"/>
      <c r="F1036" s="46"/>
      <c r="G1036" s="46" t="s">
        <v>303</v>
      </c>
      <c r="H1036" s="46" t="s">
        <v>701</v>
      </c>
      <c r="I1036" s="46"/>
      <c r="J1036" s="46"/>
      <c r="K1036" s="46" t="str">
        <f>IFERROR(__xludf.DUMMYFUNCTION("if(A1036="""","""",IF(G1036="""",""Myn"",IF(REGEXMATCH(lower(G1036),""mynn""),""Myn"",if(G1036&lt;&gt;"""",""GEMTRE"",""""))))"),"Myn")</f>
        <v>Myn</v>
      </c>
      <c r="L1036" s="46" t="s">
        <v>2000</v>
      </c>
      <c r="M1036" s="48">
        <v>45255.4606712963</v>
      </c>
    </row>
    <row r="1037">
      <c r="A1037" s="47">
        <v>45252.73377143519</v>
      </c>
      <c r="B1037" s="46" t="s">
        <v>1340</v>
      </c>
      <c r="C1037" s="46">
        <v>9.21226268E9</v>
      </c>
      <c r="D1037" s="46"/>
      <c r="E1037" s="46"/>
      <c r="F1037" s="46"/>
      <c r="G1037" s="46" t="s">
        <v>303</v>
      </c>
      <c r="H1037" s="46" t="s">
        <v>701</v>
      </c>
      <c r="I1037" s="46"/>
      <c r="J1037" s="46"/>
      <c r="K1037" s="46" t="str">
        <f>IFERROR(__xludf.DUMMYFUNCTION("if(A1037="""","""",IF(G1037="""",""Myn"",IF(REGEXMATCH(lower(G1037),""mynn""),""Myn"",if(G1037&lt;&gt;"""",""GEMTRE"",""""))))"),"Myn")</f>
        <v>Myn</v>
      </c>
      <c r="L1037" s="46" t="s">
        <v>2000</v>
      </c>
      <c r="M1037" s="48">
        <v>45255.4606712963</v>
      </c>
    </row>
    <row r="1038">
      <c r="A1038" s="47">
        <v>45252.7340155787</v>
      </c>
      <c r="B1038" s="46" t="s">
        <v>1341</v>
      </c>
      <c r="C1038" s="46">
        <v>9.268881696E9</v>
      </c>
      <c r="D1038" s="46"/>
      <c r="E1038" s="46"/>
      <c r="F1038" s="46"/>
      <c r="G1038" s="46" t="s">
        <v>303</v>
      </c>
      <c r="H1038" s="46" t="s">
        <v>701</v>
      </c>
      <c r="I1038" s="46"/>
      <c r="J1038" s="46"/>
      <c r="K1038" s="46" t="str">
        <f>IFERROR(__xludf.DUMMYFUNCTION("if(A1038="""","""",IF(G1038="""",""Myn"",IF(REGEXMATCH(lower(G1038),""mynn""),""Myn"",if(G1038&lt;&gt;"""",""GEMTRE"",""""))))"),"Myn")</f>
        <v>Myn</v>
      </c>
      <c r="L1038" s="46" t="s">
        <v>2000</v>
      </c>
      <c r="M1038" s="48">
        <v>45255.4606712963</v>
      </c>
    </row>
    <row r="1039">
      <c r="A1039" s="47">
        <v>45252.73582027778</v>
      </c>
      <c r="B1039" s="46" t="s">
        <v>1342</v>
      </c>
      <c r="C1039" s="46">
        <v>9.21169973E9</v>
      </c>
      <c r="D1039" s="46"/>
      <c r="E1039" s="46"/>
      <c r="F1039" s="46"/>
      <c r="G1039" s="46" t="s">
        <v>303</v>
      </c>
      <c r="H1039" s="46" t="s">
        <v>706</v>
      </c>
      <c r="I1039" s="46"/>
      <c r="J1039" s="46"/>
      <c r="K1039" s="46" t="str">
        <f>IFERROR(__xludf.DUMMYFUNCTION("if(A1039="""","""",IF(G1039="""",""Myn"",IF(REGEXMATCH(lower(G1039),""mynn""),""Myn"",if(G1039&lt;&gt;"""",""GEMTRE"",""""))))"),"Myn")</f>
        <v>Myn</v>
      </c>
      <c r="L1039" s="46" t="s">
        <v>2000</v>
      </c>
      <c r="M1039" s="48">
        <v>45255.4606712963</v>
      </c>
    </row>
    <row r="1040">
      <c r="A1040" s="47">
        <v>45252.73755194445</v>
      </c>
      <c r="B1040" s="46" t="s">
        <v>1343</v>
      </c>
      <c r="C1040" s="46">
        <v>6.39553042E9</v>
      </c>
      <c r="D1040" s="46"/>
      <c r="E1040" s="46"/>
      <c r="F1040" s="46"/>
      <c r="G1040" s="46" t="s">
        <v>303</v>
      </c>
      <c r="H1040" s="46" t="s">
        <v>701</v>
      </c>
      <c r="I1040" s="46"/>
      <c r="J1040" s="46"/>
      <c r="K1040" s="46" t="str">
        <f>IFERROR(__xludf.DUMMYFUNCTION("if(A1040="""","""",IF(G1040="""",""Myn"",IF(REGEXMATCH(lower(G1040),""mynn""),""Myn"",if(G1040&lt;&gt;"""",""GEMTRE"",""""))))"),"Myn")</f>
        <v>Myn</v>
      </c>
      <c r="L1040" s="46" t="s">
        <v>2000</v>
      </c>
      <c r="M1040" s="48">
        <v>45255.4606712963</v>
      </c>
    </row>
    <row r="1041">
      <c r="A1041" s="47">
        <v>45252.74424712963</v>
      </c>
      <c r="B1041" s="46" t="s">
        <v>1344</v>
      </c>
      <c r="C1041" s="46">
        <v>7.906727502E9</v>
      </c>
      <c r="D1041" s="46"/>
      <c r="E1041" s="46"/>
      <c r="F1041" s="46"/>
      <c r="G1041" s="46" t="s">
        <v>303</v>
      </c>
      <c r="H1041" s="46" t="s">
        <v>701</v>
      </c>
      <c r="I1041" s="46"/>
      <c r="J1041" s="46"/>
      <c r="K1041" s="46" t="str">
        <f>IFERROR(__xludf.DUMMYFUNCTION("if(A1041="""","""",IF(G1041="""",""Myn"",IF(REGEXMATCH(lower(G1041),""mynn""),""Myn"",if(G1041&lt;&gt;"""",""GEMTRE"",""""))))"),"Myn")</f>
        <v>Myn</v>
      </c>
      <c r="L1041" s="46" t="s">
        <v>2000</v>
      </c>
      <c r="M1041" s="48">
        <v>45255.4606712963</v>
      </c>
    </row>
    <row r="1042">
      <c r="A1042" s="47">
        <v>45252.74889337963</v>
      </c>
      <c r="B1042" s="46" t="s">
        <v>1345</v>
      </c>
      <c r="C1042" s="46">
        <v>9.7118017E9</v>
      </c>
      <c r="D1042" s="46"/>
      <c r="E1042" s="46"/>
      <c r="F1042" s="46"/>
      <c r="G1042" s="46" t="s">
        <v>303</v>
      </c>
      <c r="H1042" s="46" t="s">
        <v>706</v>
      </c>
      <c r="I1042" s="46"/>
      <c r="J1042" s="46"/>
      <c r="K1042" s="46" t="str">
        <f>IFERROR(__xludf.DUMMYFUNCTION("if(A1042="""","""",IF(G1042="""",""Myn"",IF(REGEXMATCH(lower(G1042),""mynn""),""Myn"",if(G1042&lt;&gt;"""",""GEMTRE"",""""))))"),"Myn")</f>
        <v>Myn</v>
      </c>
      <c r="L1042" s="46" t="s">
        <v>2000</v>
      </c>
      <c r="M1042" s="48">
        <v>45255.4606712963</v>
      </c>
    </row>
    <row r="1043">
      <c r="A1043" s="47">
        <v>45252.74902870371</v>
      </c>
      <c r="B1043" s="46" t="s">
        <v>1346</v>
      </c>
      <c r="C1043" s="46">
        <v>9.315177088E9</v>
      </c>
      <c r="D1043" s="46"/>
      <c r="E1043" s="46"/>
      <c r="F1043" s="46"/>
      <c r="G1043" s="46" t="s">
        <v>303</v>
      </c>
      <c r="H1043" s="46" t="s">
        <v>701</v>
      </c>
      <c r="I1043" s="46"/>
      <c r="J1043" s="46"/>
      <c r="K1043" s="46" t="str">
        <f>IFERROR(__xludf.DUMMYFUNCTION("if(A1043="""","""",IF(G1043="""",""Myn"",IF(REGEXMATCH(lower(G1043),""mynn""),""Myn"",if(G1043&lt;&gt;"""",""GEMTRE"",""""))))"),"Myn")</f>
        <v>Myn</v>
      </c>
      <c r="L1043" s="46" t="s">
        <v>2000</v>
      </c>
      <c r="M1043" s="48">
        <v>45255.4606712963</v>
      </c>
    </row>
    <row r="1044">
      <c r="A1044" s="47">
        <v>45252.75414148148</v>
      </c>
      <c r="B1044" s="46" t="s">
        <v>1347</v>
      </c>
      <c r="C1044" s="46">
        <v>9.971439003E9</v>
      </c>
      <c r="D1044" s="46"/>
      <c r="E1044" s="46"/>
      <c r="F1044" s="46"/>
      <c r="G1044" s="46" t="s">
        <v>303</v>
      </c>
      <c r="H1044" s="46" t="s">
        <v>722</v>
      </c>
      <c r="I1044" s="46"/>
      <c r="J1044" s="46"/>
      <c r="K1044" s="46" t="str">
        <f>IFERROR(__xludf.DUMMYFUNCTION("if(A1044="""","""",IF(G1044="""",""Myn"",IF(REGEXMATCH(lower(G1044),""mynn""),""Myn"",if(G1044&lt;&gt;"""",""GEMTRE"",""""))))"),"Myn")</f>
        <v>Myn</v>
      </c>
      <c r="L1044" s="46" t="s">
        <v>2000</v>
      </c>
      <c r="M1044" s="48">
        <v>45255.4606712963</v>
      </c>
    </row>
    <row r="1045">
      <c r="A1045" s="47">
        <v>45252.7730440625</v>
      </c>
      <c r="B1045" s="46" t="s">
        <v>1348</v>
      </c>
      <c r="C1045" s="46">
        <v>8.383050576E9</v>
      </c>
      <c r="D1045" s="46"/>
      <c r="E1045" s="46"/>
      <c r="F1045" s="46"/>
      <c r="G1045" s="46" t="s">
        <v>303</v>
      </c>
      <c r="H1045" s="46" t="s">
        <v>701</v>
      </c>
      <c r="I1045" s="46"/>
      <c r="J1045" s="46"/>
      <c r="K1045" s="46" t="str">
        <f>IFERROR(__xludf.DUMMYFUNCTION("if(A1045="""","""",IF(G1045="""",""Myn"",IF(REGEXMATCH(lower(G1045),""mynn""),""Myn"",if(G1045&lt;&gt;"""",""GEMTRE"",""""))))"),"Myn")</f>
        <v>Myn</v>
      </c>
      <c r="L1045" s="46" t="s">
        <v>2000</v>
      </c>
      <c r="M1045" s="48">
        <v>45255.4606712963</v>
      </c>
    </row>
    <row r="1046">
      <c r="A1046" s="47">
        <v>45252.775520243056</v>
      </c>
      <c r="B1046" s="46" t="s">
        <v>1349</v>
      </c>
      <c r="C1046" s="46">
        <v>9.03492461E9</v>
      </c>
      <c r="D1046" s="46"/>
      <c r="E1046" s="46"/>
      <c r="F1046" s="46"/>
      <c r="G1046" s="46" t="s">
        <v>303</v>
      </c>
      <c r="H1046" s="46" t="s">
        <v>701</v>
      </c>
      <c r="I1046" s="46"/>
      <c r="J1046" s="46"/>
      <c r="K1046" s="46" t="str">
        <f>IFERROR(__xludf.DUMMYFUNCTION("if(A1046="""","""",IF(G1046="""",""Myn"",IF(REGEXMATCH(lower(G1046),""mynn""),""Myn"",if(G1046&lt;&gt;"""",""GEMTRE"",""""))))"),"Myn")</f>
        <v>Myn</v>
      </c>
      <c r="L1046" s="46" t="s">
        <v>2000</v>
      </c>
      <c r="M1046" s="48">
        <v>45255.4606712963</v>
      </c>
    </row>
    <row r="1047">
      <c r="A1047" s="47">
        <v>45252.7810972338</v>
      </c>
      <c r="B1047" s="46" t="s">
        <v>1350</v>
      </c>
      <c r="C1047" s="46">
        <v>9.999630318E9</v>
      </c>
      <c r="D1047" s="46"/>
      <c r="E1047" s="46" t="s">
        <v>1351</v>
      </c>
      <c r="F1047" s="46"/>
      <c r="G1047" s="46" t="s">
        <v>303</v>
      </c>
      <c r="H1047" s="46" t="s">
        <v>706</v>
      </c>
      <c r="I1047" s="46"/>
      <c r="J1047" s="46"/>
      <c r="K1047" s="46" t="str">
        <f>IFERROR(__xludf.DUMMYFUNCTION("if(A1047="""","""",IF(G1047="""",""Myn"",IF(REGEXMATCH(lower(G1047),""mynn""),""Myn"",if(G1047&lt;&gt;"""",""GEMTRE"",""""))))"),"Myn")</f>
        <v>Myn</v>
      </c>
      <c r="L1047" s="46" t="s">
        <v>2000</v>
      </c>
      <c r="M1047" s="48">
        <v>45255.4606712963</v>
      </c>
    </row>
    <row r="1048">
      <c r="A1048" s="47">
        <v>45252.78251655093</v>
      </c>
      <c r="B1048" s="46" t="s">
        <v>1352</v>
      </c>
      <c r="C1048" s="46">
        <v>9.899965739E9</v>
      </c>
      <c r="D1048" s="46"/>
      <c r="E1048" s="46"/>
      <c r="F1048" s="46"/>
      <c r="G1048" s="46" t="s">
        <v>303</v>
      </c>
      <c r="H1048" s="46" t="s">
        <v>701</v>
      </c>
      <c r="I1048" s="46"/>
      <c r="J1048" s="46"/>
      <c r="K1048" s="46" t="str">
        <f>IFERROR(__xludf.DUMMYFUNCTION("if(A1048="""","""",IF(G1048="""",""Myn"",IF(REGEXMATCH(lower(G1048),""mynn""),""Myn"",if(G1048&lt;&gt;"""",""GEMTRE"",""""))))"),"Myn")</f>
        <v>Myn</v>
      </c>
      <c r="L1048" s="46" t="s">
        <v>2000</v>
      </c>
      <c r="M1048" s="48">
        <v>45255.4606712963</v>
      </c>
    </row>
    <row r="1049">
      <c r="A1049" s="47">
        <v>45252.78277049768</v>
      </c>
      <c r="B1049" s="46" t="s">
        <v>1353</v>
      </c>
      <c r="C1049" s="46">
        <v>8.287053601E9</v>
      </c>
      <c r="D1049" s="46"/>
      <c r="E1049" s="46"/>
      <c r="F1049" s="46"/>
      <c r="G1049" s="46" t="s">
        <v>303</v>
      </c>
      <c r="H1049" s="46" t="s">
        <v>701</v>
      </c>
      <c r="I1049" s="46"/>
      <c r="J1049" s="46"/>
      <c r="K1049" s="46" t="str">
        <f>IFERROR(__xludf.DUMMYFUNCTION("if(A1049="""","""",IF(G1049="""",""Myn"",IF(REGEXMATCH(lower(G1049),""mynn""),""Myn"",if(G1049&lt;&gt;"""",""GEMTRE"",""""))))"),"Myn")</f>
        <v>Myn</v>
      </c>
      <c r="L1049" s="46" t="s">
        <v>2000</v>
      </c>
      <c r="M1049" s="48">
        <v>45255.4606712963</v>
      </c>
    </row>
    <row r="1050">
      <c r="A1050" s="47">
        <v>45252.7831502662</v>
      </c>
      <c r="B1050" s="46" t="s">
        <v>1354</v>
      </c>
      <c r="C1050" s="46">
        <v>9.250429426E9</v>
      </c>
      <c r="D1050" s="46"/>
      <c r="E1050" s="46"/>
      <c r="F1050" s="46"/>
      <c r="G1050" s="46" t="s">
        <v>303</v>
      </c>
      <c r="H1050" s="46" t="s">
        <v>701</v>
      </c>
      <c r="I1050" s="46"/>
      <c r="J1050" s="46"/>
      <c r="K1050" s="46" t="str">
        <f>IFERROR(__xludf.DUMMYFUNCTION("if(A1050="""","""",IF(G1050="""",""Myn"",IF(REGEXMATCH(lower(G1050),""mynn""),""Myn"",if(G1050&lt;&gt;"""",""GEMTRE"",""""))))"),"Myn")</f>
        <v>Myn</v>
      </c>
      <c r="L1050" s="46" t="s">
        <v>2000</v>
      </c>
      <c r="M1050" s="48">
        <v>45255.4606712963</v>
      </c>
    </row>
    <row r="1051">
      <c r="A1051" s="47">
        <v>45252.78493346064</v>
      </c>
      <c r="B1051" s="46" t="s">
        <v>1355</v>
      </c>
      <c r="C1051" s="46">
        <v>9.818270113E9</v>
      </c>
      <c r="D1051" s="46"/>
      <c r="E1051" s="46"/>
      <c r="F1051" s="46"/>
      <c r="G1051" s="46" t="s">
        <v>303</v>
      </c>
      <c r="H1051" s="46" t="s">
        <v>701</v>
      </c>
      <c r="I1051" s="46"/>
      <c r="J1051" s="46"/>
      <c r="K1051" s="46" t="str">
        <f>IFERROR(__xludf.DUMMYFUNCTION("if(A1051="""","""",IF(G1051="""",""Myn"",IF(REGEXMATCH(lower(G1051),""mynn""),""Myn"",if(G1051&lt;&gt;"""",""GEMTRE"",""""))))"),"Myn")</f>
        <v>Myn</v>
      </c>
      <c r="L1051" s="46" t="s">
        <v>2000</v>
      </c>
      <c r="M1051" s="48">
        <v>45255.4606712963</v>
      </c>
    </row>
    <row r="1052">
      <c r="A1052" s="47">
        <v>45252.78583069444</v>
      </c>
      <c r="B1052" s="46" t="s">
        <v>1356</v>
      </c>
      <c r="C1052" s="46">
        <v>7.906432313E9</v>
      </c>
      <c r="D1052" s="46"/>
      <c r="E1052" s="46"/>
      <c r="F1052" s="46"/>
      <c r="G1052" s="46" t="s">
        <v>303</v>
      </c>
      <c r="H1052" s="46" t="s">
        <v>701</v>
      </c>
      <c r="I1052" s="46"/>
      <c r="J1052" s="46"/>
      <c r="K1052" s="46" t="str">
        <f>IFERROR(__xludf.DUMMYFUNCTION("if(A1052="""","""",IF(G1052="""",""Myn"",IF(REGEXMATCH(lower(G1052),""mynn""),""Myn"",if(G1052&lt;&gt;"""",""GEMTRE"",""""))))"),"Myn")</f>
        <v>Myn</v>
      </c>
      <c r="L1052" s="46" t="s">
        <v>2000</v>
      </c>
      <c r="M1052" s="48">
        <v>45255.4606712963</v>
      </c>
    </row>
    <row r="1053">
      <c r="A1053" s="47">
        <v>45252.78628991898</v>
      </c>
      <c r="B1053" s="46" t="s">
        <v>1357</v>
      </c>
      <c r="C1053" s="46">
        <v>7.042568045E9</v>
      </c>
      <c r="D1053" s="46"/>
      <c r="E1053" s="46"/>
      <c r="F1053" s="46"/>
      <c r="G1053" s="46" t="s">
        <v>303</v>
      </c>
      <c r="H1053" s="46" t="s">
        <v>701</v>
      </c>
      <c r="I1053" s="46"/>
      <c r="J1053" s="46"/>
      <c r="K1053" s="46" t="str">
        <f>IFERROR(__xludf.DUMMYFUNCTION("if(A1053="""","""",IF(G1053="""",""Myn"",IF(REGEXMATCH(lower(G1053),""mynn""),""Myn"",if(G1053&lt;&gt;"""",""GEMTRE"",""""))))"),"Myn")</f>
        <v>Myn</v>
      </c>
      <c r="L1053" s="46" t="s">
        <v>2000</v>
      </c>
      <c r="M1053" s="48">
        <v>45255.4606712963</v>
      </c>
    </row>
    <row r="1054">
      <c r="A1054" s="47">
        <v>45252.786441550925</v>
      </c>
      <c r="B1054" s="46" t="s">
        <v>1358</v>
      </c>
      <c r="C1054" s="46">
        <v>8.459817166E9</v>
      </c>
      <c r="D1054" s="46"/>
      <c r="E1054" s="46"/>
      <c r="F1054" s="46"/>
      <c r="G1054" s="46" t="s">
        <v>303</v>
      </c>
      <c r="H1054" s="46" t="s">
        <v>701</v>
      </c>
      <c r="I1054" s="46"/>
      <c r="J1054" s="46"/>
      <c r="K1054" s="46" t="str">
        <f>IFERROR(__xludf.DUMMYFUNCTION("if(A1054="""","""",IF(G1054="""",""Myn"",IF(REGEXMATCH(lower(G1054),""mynn""),""Myn"",if(G1054&lt;&gt;"""",""GEMTRE"",""""))))"),"Myn")</f>
        <v>Myn</v>
      </c>
      <c r="L1054" s="46" t="s">
        <v>2000</v>
      </c>
      <c r="M1054" s="48">
        <v>45255.4606712963</v>
      </c>
    </row>
    <row r="1055">
      <c r="A1055" s="47">
        <v>45252.78715434027</v>
      </c>
      <c r="B1055" s="46" t="s">
        <v>1359</v>
      </c>
      <c r="C1055" s="46">
        <v>8.59560009E9</v>
      </c>
      <c r="D1055" s="46"/>
      <c r="E1055" s="46"/>
      <c r="F1055" s="46"/>
      <c r="G1055" s="46" t="s">
        <v>303</v>
      </c>
      <c r="H1055" s="46" t="s">
        <v>701</v>
      </c>
      <c r="I1055" s="46"/>
      <c r="J1055" s="46"/>
      <c r="K1055" s="46" t="str">
        <f>IFERROR(__xludf.DUMMYFUNCTION("if(A1055="""","""",IF(G1055="""",""Myn"",IF(REGEXMATCH(lower(G1055),""mynn""),""Myn"",if(G1055&lt;&gt;"""",""GEMTRE"",""""))))"),"Myn")</f>
        <v>Myn</v>
      </c>
      <c r="L1055" s="46" t="s">
        <v>2000</v>
      </c>
      <c r="M1055" s="48">
        <v>45255.4606712963</v>
      </c>
    </row>
    <row r="1056">
      <c r="A1056" s="47">
        <v>45252.78792674768</v>
      </c>
      <c r="B1056" s="46" t="s">
        <v>1360</v>
      </c>
      <c r="C1056" s="46">
        <v>7.838559457E9</v>
      </c>
      <c r="D1056" s="46"/>
      <c r="E1056" s="46"/>
      <c r="F1056" s="46"/>
      <c r="G1056" s="46" t="s">
        <v>303</v>
      </c>
      <c r="H1056" s="46" t="s">
        <v>701</v>
      </c>
      <c r="I1056" s="46"/>
      <c r="J1056" s="46"/>
      <c r="K1056" s="46" t="str">
        <f>IFERROR(__xludf.DUMMYFUNCTION("if(A1056="""","""",IF(G1056="""",""Myn"",IF(REGEXMATCH(lower(G1056),""mynn""),""Myn"",if(G1056&lt;&gt;"""",""GEMTRE"",""""))))"),"Myn")</f>
        <v>Myn</v>
      </c>
      <c r="L1056" s="46" t="s">
        <v>2000</v>
      </c>
      <c r="M1056" s="48">
        <v>45255.4606712963</v>
      </c>
    </row>
    <row r="1057">
      <c r="A1057" s="47">
        <v>45252.79616622685</v>
      </c>
      <c r="B1057" s="46" t="s">
        <v>1361</v>
      </c>
      <c r="C1057" s="46">
        <v>8.287289592E9</v>
      </c>
      <c r="D1057" s="46"/>
      <c r="E1057" s="46" t="s">
        <v>39</v>
      </c>
      <c r="F1057" s="49" t="s">
        <v>1362</v>
      </c>
      <c r="G1057" s="46" t="s">
        <v>303</v>
      </c>
      <c r="H1057" s="46" t="s">
        <v>706</v>
      </c>
      <c r="I1057" s="46"/>
      <c r="J1057" s="46"/>
      <c r="K1057" s="46" t="str">
        <f>IFERROR(__xludf.DUMMYFUNCTION("if(A1057="""","""",IF(G1057="""",""Myn"",IF(REGEXMATCH(lower(G1057),""mynn""),""Myn"",if(G1057&lt;&gt;"""",""GEMTRE"",""""))))"),"Myn")</f>
        <v>Myn</v>
      </c>
      <c r="L1057" s="46" t="s">
        <v>2000</v>
      </c>
      <c r="M1057" s="48">
        <v>45255.4606712963</v>
      </c>
    </row>
    <row r="1058">
      <c r="A1058" s="47">
        <v>45253.49817851852</v>
      </c>
      <c r="B1058" s="46" t="s">
        <v>1363</v>
      </c>
      <c r="C1058" s="46">
        <v>9.81141771E9</v>
      </c>
      <c r="D1058" s="46"/>
      <c r="E1058" s="46" t="s">
        <v>15</v>
      </c>
      <c r="F1058" s="46"/>
      <c r="G1058" s="46" t="s">
        <v>303</v>
      </c>
      <c r="H1058" s="46" t="s">
        <v>706</v>
      </c>
      <c r="I1058" s="46"/>
      <c r="J1058" s="46"/>
      <c r="K1058" s="46" t="str">
        <f>IFERROR(__xludf.DUMMYFUNCTION("if(A1058="""","""",IF(G1058="""",""Myn"",IF(REGEXMATCH(lower(G1058),""mynn""),""Myn"",if(G1058&lt;&gt;"""",""GEMTRE"",""""))))"),"Myn")</f>
        <v>Myn</v>
      </c>
      <c r="L1058" s="46" t="s">
        <v>2000</v>
      </c>
      <c r="M1058" s="48">
        <v>45255.4606712963</v>
      </c>
    </row>
    <row r="1059">
      <c r="A1059" s="47">
        <v>45253.498882314816</v>
      </c>
      <c r="B1059" s="46" t="s">
        <v>1364</v>
      </c>
      <c r="C1059" s="46">
        <v>8.178305139E9</v>
      </c>
      <c r="D1059" s="46"/>
      <c r="E1059" s="46"/>
      <c r="F1059" s="46"/>
      <c r="G1059" s="46" t="s">
        <v>303</v>
      </c>
      <c r="H1059" s="46" t="s">
        <v>701</v>
      </c>
      <c r="I1059" s="46"/>
      <c r="J1059" s="46"/>
      <c r="K1059" s="46" t="str">
        <f>IFERROR(__xludf.DUMMYFUNCTION("if(A1059="""","""",IF(G1059="""",""Myn"",IF(REGEXMATCH(lower(G1059),""mynn""),""Myn"",if(G1059&lt;&gt;"""",""GEMTRE"",""""))))"),"Myn")</f>
        <v>Myn</v>
      </c>
      <c r="L1059" s="46" t="s">
        <v>2000</v>
      </c>
      <c r="M1059" s="48">
        <v>45255.4606712963</v>
      </c>
    </row>
    <row r="1060">
      <c r="A1060" s="47">
        <v>45253.499763796295</v>
      </c>
      <c r="B1060" s="46" t="s">
        <v>1365</v>
      </c>
      <c r="C1060" s="46">
        <v>9.868466581E9</v>
      </c>
      <c r="D1060" s="46"/>
      <c r="E1060" s="46"/>
      <c r="F1060" s="46"/>
      <c r="G1060" s="46" t="s">
        <v>303</v>
      </c>
      <c r="H1060" s="46" t="s">
        <v>701</v>
      </c>
      <c r="I1060" s="46"/>
      <c r="J1060" s="46"/>
      <c r="K1060" s="46" t="str">
        <f>IFERROR(__xludf.DUMMYFUNCTION("if(A1060="""","""",IF(G1060="""",""Myn"",IF(REGEXMATCH(lower(G1060),""mynn""),""Myn"",if(G1060&lt;&gt;"""",""GEMTRE"",""""))))"),"Myn")</f>
        <v>Myn</v>
      </c>
      <c r="L1060" s="46" t="s">
        <v>2000</v>
      </c>
      <c r="M1060" s="48">
        <v>45255.4606712963</v>
      </c>
    </row>
    <row r="1061">
      <c r="A1061" s="47">
        <v>45253.504659293976</v>
      </c>
      <c r="B1061" s="46" t="s">
        <v>1366</v>
      </c>
      <c r="C1061" s="46">
        <v>9.899399973E9</v>
      </c>
      <c r="D1061" s="46"/>
      <c r="E1061" s="46" t="s">
        <v>1367</v>
      </c>
      <c r="F1061" s="46"/>
      <c r="G1061" s="46" t="s">
        <v>303</v>
      </c>
      <c r="H1061" s="46" t="s">
        <v>706</v>
      </c>
      <c r="I1061" s="46"/>
      <c r="J1061" s="46"/>
      <c r="K1061" s="46" t="str">
        <f>IFERROR(__xludf.DUMMYFUNCTION("if(A1061="""","""",IF(G1061="""",""Myn"",IF(REGEXMATCH(lower(G1061),""mynn""),""Myn"",if(G1061&lt;&gt;"""",""GEMTRE"",""""))))"),"Myn")</f>
        <v>Myn</v>
      </c>
      <c r="L1061" s="46" t="s">
        <v>2000</v>
      </c>
      <c r="M1061" s="48">
        <v>45255.4606712963</v>
      </c>
    </row>
    <row r="1062">
      <c r="A1062" s="47">
        <v>45253.51562667824</v>
      </c>
      <c r="B1062" s="46" t="s">
        <v>1368</v>
      </c>
      <c r="C1062" s="46">
        <v>9.810762681E9</v>
      </c>
      <c r="D1062" s="46"/>
      <c r="E1062" s="46"/>
      <c r="F1062" s="46"/>
      <c r="G1062" s="46" t="s">
        <v>303</v>
      </c>
      <c r="H1062" s="46" t="s">
        <v>701</v>
      </c>
      <c r="I1062" s="46"/>
      <c r="J1062" s="46"/>
      <c r="K1062" s="46" t="str">
        <f>IFERROR(__xludf.DUMMYFUNCTION("if(A1062="""","""",IF(G1062="""",""Myn"",IF(REGEXMATCH(lower(G1062),""mynn""),""Myn"",if(G1062&lt;&gt;"""",""GEMTRE"",""""))))"),"Myn")</f>
        <v>Myn</v>
      </c>
      <c r="L1062" s="46" t="s">
        <v>2000</v>
      </c>
      <c r="M1062" s="48">
        <v>45255.4606712963</v>
      </c>
    </row>
    <row r="1063">
      <c r="A1063" s="47">
        <v>45253.51946297454</v>
      </c>
      <c r="B1063" s="46" t="s">
        <v>1369</v>
      </c>
      <c r="C1063" s="46">
        <v>8.586067717E9</v>
      </c>
      <c r="D1063" s="46"/>
      <c r="E1063" s="46" t="s">
        <v>79</v>
      </c>
      <c r="F1063" s="46"/>
      <c r="G1063" s="46" t="s">
        <v>303</v>
      </c>
      <c r="H1063" s="46" t="s">
        <v>706</v>
      </c>
      <c r="I1063" s="46"/>
      <c r="J1063" s="46"/>
      <c r="K1063" s="46" t="str">
        <f>IFERROR(__xludf.DUMMYFUNCTION("if(A1063="""","""",IF(G1063="""",""Myn"",IF(REGEXMATCH(lower(G1063),""mynn""),""Myn"",if(G1063&lt;&gt;"""",""GEMTRE"",""""))))"),"Myn")</f>
        <v>Myn</v>
      </c>
      <c r="L1063" s="46" t="s">
        <v>2000</v>
      </c>
      <c r="M1063" s="48">
        <v>45255.4606712963</v>
      </c>
    </row>
    <row r="1064">
      <c r="A1064" s="47">
        <v>45253.51969652778</v>
      </c>
      <c r="B1064" s="46" t="s">
        <v>1370</v>
      </c>
      <c r="C1064" s="46">
        <v>8.586067717E9</v>
      </c>
      <c r="D1064" s="46"/>
      <c r="E1064" s="46"/>
      <c r="F1064" s="46"/>
      <c r="G1064" s="46" t="s">
        <v>303</v>
      </c>
      <c r="H1064" s="46" t="s">
        <v>701</v>
      </c>
      <c r="I1064" s="46"/>
      <c r="J1064" s="46"/>
      <c r="K1064" s="46" t="str">
        <f>IFERROR(__xludf.DUMMYFUNCTION("if(A1064="""","""",IF(G1064="""",""Myn"",IF(REGEXMATCH(lower(G1064),""mynn""),""Myn"",if(G1064&lt;&gt;"""",""GEMTRE"",""""))))"),"Myn")</f>
        <v>Myn</v>
      </c>
      <c r="L1064" s="46" t="s">
        <v>2000</v>
      </c>
      <c r="M1064" s="48">
        <v>45255.4606712963</v>
      </c>
    </row>
    <row r="1065">
      <c r="A1065" s="47">
        <v>45253.52903365741</v>
      </c>
      <c r="B1065" s="46" t="s">
        <v>1371</v>
      </c>
      <c r="C1065" s="46">
        <v>9.443373062E9</v>
      </c>
      <c r="D1065" s="46"/>
      <c r="E1065" s="46" t="s">
        <v>79</v>
      </c>
      <c r="F1065" s="46"/>
      <c r="G1065" s="46" t="s">
        <v>303</v>
      </c>
      <c r="H1065" s="46" t="s">
        <v>706</v>
      </c>
      <c r="I1065" s="46"/>
      <c r="J1065" s="46"/>
      <c r="K1065" s="46" t="str">
        <f>IFERROR(__xludf.DUMMYFUNCTION("if(A1065="""","""",IF(G1065="""",""Myn"",IF(REGEXMATCH(lower(G1065),""mynn""),""Myn"",if(G1065&lt;&gt;"""",""GEMTRE"",""""))))"),"Myn")</f>
        <v>Myn</v>
      </c>
      <c r="L1065" s="46" t="s">
        <v>2000</v>
      </c>
      <c r="M1065" s="48">
        <v>45255.4606712963</v>
      </c>
    </row>
    <row r="1066">
      <c r="A1066" s="47">
        <v>45253.53080061343</v>
      </c>
      <c r="B1066" s="46" t="s">
        <v>1372</v>
      </c>
      <c r="C1066" s="46">
        <v>9.654503055E9</v>
      </c>
      <c r="D1066" s="46"/>
      <c r="E1066" s="46" t="s">
        <v>769</v>
      </c>
      <c r="F1066" s="46"/>
      <c r="G1066" s="46" t="s">
        <v>303</v>
      </c>
      <c r="H1066" s="46" t="s">
        <v>706</v>
      </c>
      <c r="I1066" s="46"/>
      <c r="J1066" s="46"/>
      <c r="K1066" s="46" t="str">
        <f>IFERROR(__xludf.DUMMYFUNCTION("if(A1066="""","""",IF(G1066="""",""Myn"",IF(REGEXMATCH(lower(G1066),""mynn""),""Myn"",if(G1066&lt;&gt;"""",""GEMTRE"",""""))))"),"Myn")</f>
        <v>Myn</v>
      </c>
      <c r="L1066" s="46" t="s">
        <v>2000</v>
      </c>
      <c r="M1066" s="48">
        <v>45255.4606712963</v>
      </c>
    </row>
    <row r="1067">
      <c r="A1067" s="47">
        <v>45253.53124056713</v>
      </c>
      <c r="B1067" s="46" t="s">
        <v>1373</v>
      </c>
      <c r="C1067" s="46">
        <v>9.810925155E9</v>
      </c>
      <c r="D1067" s="46"/>
      <c r="E1067" s="46"/>
      <c r="F1067" s="46"/>
      <c r="G1067" s="46" t="s">
        <v>303</v>
      </c>
      <c r="H1067" s="46" t="s">
        <v>701</v>
      </c>
      <c r="I1067" s="46"/>
      <c r="J1067" s="46"/>
      <c r="K1067" s="46" t="str">
        <f>IFERROR(__xludf.DUMMYFUNCTION("if(A1067="""","""",IF(G1067="""",""Myn"",IF(REGEXMATCH(lower(G1067),""mynn""),""Myn"",if(G1067&lt;&gt;"""",""GEMTRE"",""""))))"),"Myn")</f>
        <v>Myn</v>
      </c>
      <c r="L1067" s="46" t="s">
        <v>2000</v>
      </c>
      <c r="M1067" s="48">
        <v>45255.4606712963</v>
      </c>
    </row>
    <row r="1068">
      <c r="A1068" s="47">
        <v>45253.5336693287</v>
      </c>
      <c r="B1068" s="46" t="s">
        <v>1374</v>
      </c>
      <c r="C1068" s="46">
        <v>9.135909492E9</v>
      </c>
      <c r="D1068" s="46"/>
      <c r="E1068" s="46"/>
      <c r="F1068" s="46"/>
      <c r="G1068" s="46" t="s">
        <v>303</v>
      </c>
      <c r="H1068" s="46" t="s">
        <v>701</v>
      </c>
      <c r="I1068" s="46"/>
      <c r="J1068" s="46"/>
      <c r="K1068" s="46" t="str">
        <f>IFERROR(__xludf.DUMMYFUNCTION("if(A1068="""","""",IF(G1068="""",""Myn"",IF(REGEXMATCH(lower(G1068),""mynn""),""Myn"",if(G1068&lt;&gt;"""",""GEMTRE"",""""))))"),"Myn")</f>
        <v>Myn</v>
      </c>
      <c r="L1068" s="46" t="s">
        <v>2000</v>
      </c>
      <c r="M1068" s="48">
        <v>45255.4606712963</v>
      </c>
    </row>
    <row r="1069">
      <c r="A1069" s="47">
        <v>45253.53368846065</v>
      </c>
      <c r="B1069" s="46" t="s">
        <v>1375</v>
      </c>
      <c r="C1069" s="46">
        <v>7.838576942E9</v>
      </c>
      <c r="D1069" s="46"/>
      <c r="E1069" s="46" t="s">
        <v>793</v>
      </c>
      <c r="F1069" s="46"/>
      <c r="G1069" s="46" t="s">
        <v>303</v>
      </c>
      <c r="H1069" s="46" t="s">
        <v>706</v>
      </c>
      <c r="I1069" s="46"/>
      <c r="J1069" s="46"/>
      <c r="K1069" s="46" t="str">
        <f>IFERROR(__xludf.DUMMYFUNCTION("if(A1069="""","""",IF(G1069="""",""Myn"",IF(REGEXMATCH(lower(G1069),""mynn""),""Myn"",if(G1069&lt;&gt;"""",""GEMTRE"",""""))))"),"Myn")</f>
        <v>Myn</v>
      </c>
      <c r="L1069" s="46" t="s">
        <v>2000</v>
      </c>
      <c r="M1069" s="48">
        <v>45255.4606712963</v>
      </c>
    </row>
    <row r="1070">
      <c r="A1070" s="47">
        <v>45253.53826545139</v>
      </c>
      <c r="B1070" s="46" t="s">
        <v>1376</v>
      </c>
      <c r="C1070" s="46">
        <v>7.985649814E9</v>
      </c>
      <c r="D1070" s="46"/>
      <c r="E1070" s="46" t="s">
        <v>15</v>
      </c>
      <c r="F1070" s="46"/>
      <c r="G1070" s="46" t="s">
        <v>303</v>
      </c>
      <c r="H1070" s="46" t="s">
        <v>706</v>
      </c>
      <c r="I1070" s="46"/>
      <c r="J1070" s="46"/>
      <c r="K1070" s="46" t="str">
        <f>IFERROR(__xludf.DUMMYFUNCTION("if(A1070="""","""",IF(G1070="""",""Myn"",IF(REGEXMATCH(lower(G1070),""mynn""),""Myn"",if(G1070&lt;&gt;"""",""GEMTRE"",""""))))"),"Myn")</f>
        <v>Myn</v>
      </c>
      <c r="L1070" s="46" t="s">
        <v>2000</v>
      </c>
      <c r="M1070" s="48">
        <v>45255.4606712963</v>
      </c>
    </row>
    <row r="1071">
      <c r="A1071" s="47">
        <v>45253.53890934028</v>
      </c>
      <c r="B1071" s="46" t="s">
        <v>1377</v>
      </c>
      <c r="C1071" s="46">
        <v>7.451069948E9</v>
      </c>
      <c r="D1071" s="46"/>
      <c r="E1071" s="46" t="s">
        <v>1139</v>
      </c>
      <c r="F1071" s="46"/>
      <c r="G1071" s="46" t="s">
        <v>303</v>
      </c>
      <c r="H1071" s="46" t="s">
        <v>706</v>
      </c>
      <c r="I1071" s="46"/>
      <c r="J1071" s="46"/>
      <c r="K1071" s="46" t="str">
        <f>IFERROR(__xludf.DUMMYFUNCTION("if(A1071="""","""",IF(G1071="""",""Myn"",IF(REGEXMATCH(lower(G1071),""mynn""),""Myn"",if(G1071&lt;&gt;"""",""GEMTRE"",""""))))"),"Myn")</f>
        <v>Myn</v>
      </c>
      <c r="L1071" s="46" t="s">
        <v>2000</v>
      </c>
      <c r="M1071" s="48">
        <v>45255.4606712963</v>
      </c>
    </row>
    <row r="1072">
      <c r="A1072" s="47">
        <v>45253.54110120371</v>
      </c>
      <c r="B1072" s="46" t="s">
        <v>120</v>
      </c>
      <c r="C1072" s="46">
        <v>9.871349567E9</v>
      </c>
      <c r="D1072" s="46"/>
      <c r="E1072" s="46"/>
      <c r="F1072" s="46"/>
      <c r="G1072" s="46" t="s">
        <v>303</v>
      </c>
      <c r="H1072" s="46" t="s">
        <v>701</v>
      </c>
      <c r="I1072" s="46"/>
      <c r="J1072" s="46"/>
      <c r="K1072" s="46" t="str">
        <f>IFERROR(__xludf.DUMMYFUNCTION("if(A1072="""","""",IF(G1072="""",""Myn"",IF(REGEXMATCH(lower(G1072),""mynn""),""Myn"",if(G1072&lt;&gt;"""",""GEMTRE"",""""))))"),"Myn")</f>
        <v>Myn</v>
      </c>
      <c r="L1072" s="46" t="s">
        <v>2000</v>
      </c>
      <c r="M1072" s="48">
        <v>45255.4606712963</v>
      </c>
    </row>
    <row r="1073">
      <c r="A1073" s="47">
        <v>45253.54146699074</v>
      </c>
      <c r="B1073" s="46" t="s">
        <v>1378</v>
      </c>
      <c r="C1073" s="46">
        <v>9.958289037E9</v>
      </c>
      <c r="D1073" s="46"/>
      <c r="E1073" s="46" t="s">
        <v>71</v>
      </c>
      <c r="F1073" s="46"/>
      <c r="G1073" s="46" t="s">
        <v>303</v>
      </c>
      <c r="H1073" s="46" t="s">
        <v>706</v>
      </c>
      <c r="I1073" s="46"/>
      <c r="J1073" s="46"/>
      <c r="K1073" s="46" t="str">
        <f>IFERROR(__xludf.DUMMYFUNCTION("if(A1073="""","""",IF(G1073="""",""Myn"",IF(REGEXMATCH(lower(G1073),""mynn""),""Myn"",if(G1073&lt;&gt;"""",""GEMTRE"",""""))))"),"Myn")</f>
        <v>Myn</v>
      </c>
      <c r="L1073" s="46" t="s">
        <v>2000</v>
      </c>
      <c r="M1073" s="48">
        <v>45255.4606712963</v>
      </c>
    </row>
    <row r="1074">
      <c r="A1074" s="47">
        <v>45253.54180533565</v>
      </c>
      <c r="B1074" s="46" t="s">
        <v>651</v>
      </c>
      <c r="C1074" s="46">
        <v>9.646133786E9</v>
      </c>
      <c r="D1074" s="46"/>
      <c r="E1074" s="46"/>
      <c r="F1074" s="46"/>
      <c r="G1074" s="46" t="s">
        <v>303</v>
      </c>
      <c r="H1074" s="46" t="s">
        <v>701</v>
      </c>
      <c r="I1074" s="46"/>
      <c r="J1074" s="46"/>
      <c r="K1074" s="46" t="str">
        <f>IFERROR(__xludf.DUMMYFUNCTION("if(A1074="""","""",IF(G1074="""",""Myn"",IF(REGEXMATCH(lower(G1074),""mynn""),""Myn"",if(G1074&lt;&gt;"""",""GEMTRE"",""""))))"),"Myn")</f>
        <v>Myn</v>
      </c>
      <c r="L1074" s="46" t="s">
        <v>2000</v>
      </c>
      <c r="M1074" s="48">
        <v>45255.4606712963</v>
      </c>
    </row>
    <row r="1075">
      <c r="A1075" s="47">
        <v>45253.542061898144</v>
      </c>
      <c r="B1075" s="46" t="s">
        <v>1379</v>
      </c>
      <c r="C1075" s="46">
        <v>9.968251805E9</v>
      </c>
      <c r="D1075" s="46"/>
      <c r="E1075" s="46"/>
      <c r="F1075" s="46"/>
      <c r="G1075" s="46" t="s">
        <v>303</v>
      </c>
      <c r="H1075" s="46" t="s">
        <v>701</v>
      </c>
      <c r="I1075" s="46"/>
      <c r="J1075" s="46"/>
      <c r="K1075" s="46" t="str">
        <f>IFERROR(__xludf.DUMMYFUNCTION("if(A1075="""","""",IF(G1075="""",""Myn"",IF(REGEXMATCH(lower(G1075),""mynn""),""Myn"",if(G1075&lt;&gt;"""",""GEMTRE"",""""))))"),"Myn")</f>
        <v>Myn</v>
      </c>
      <c r="L1075" s="46" t="s">
        <v>2000</v>
      </c>
      <c r="M1075" s="48">
        <v>45255.4606712963</v>
      </c>
    </row>
    <row r="1076">
      <c r="A1076" s="47">
        <v>45253.5436508912</v>
      </c>
      <c r="B1076" s="46" t="s">
        <v>191</v>
      </c>
      <c r="C1076" s="46">
        <v>9.466875167E9</v>
      </c>
      <c r="D1076" s="46"/>
      <c r="E1076" s="46"/>
      <c r="F1076" s="46"/>
      <c r="G1076" s="46" t="s">
        <v>303</v>
      </c>
      <c r="H1076" s="46" t="s">
        <v>701</v>
      </c>
      <c r="I1076" s="46"/>
      <c r="J1076" s="46"/>
      <c r="K1076" s="46" t="str">
        <f>IFERROR(__xludf.DUMMYFUNCTION("if(A1076="""","""",IF(G1076="""",""Myn"",IF(REGEXMATCH(lower(G1076),""mynn""),""Myn"",if(G1076&lt;&gt;"""",""GEMTRE"",""""))))"),"Myn")</f>
        <v>Myn</v>
      </c>
      <c r="L1076" s="46" t="s">
        <v>2000</v>
      </c>
      <c r="M1076" s="48">
        <v>45255.4606712963</v>
      </c>
    </row>
    <row r="1077">
      <c r="A1077" s="47">
        <v>45253.544258333335</v>
      </c>
      <c r="B1077" s="46" t="s">
        <v>541</v>
      </c>
      <c r="C1077" s="46">
        <v>9.899664866E9</v>
      </c>
      <c r="D1077" s="46"/>
      <c r="E1077" s="46" t="s">
        <v>71</v>
      </c>
      <c r="F1077" s="46"/>
      <c r="G1077" s="46" t="s">
        <v>303</v>
      </c>
      <c r="H1077" s="46" t="s">
        <v>706</v>
      </c>
      <c r="I1077" s="46"/>
      <c r="J1077" s="46"/>
      <c r="K1077" s="46" t="str">
        <f>IFERROR(__xludf.DUMMYFUNCTION("if(A1077="""","""",IF(G1077="""",""Myn"",IF(REGEXMATCH(lower(G1077),""mynn""),""Myn"",if(G1077&lt;&gt;"""",""GEMTRE"",""""))))"),"Myn")</f>
        <v>Myn</v>
      </c>
      <c r="L1077" s="46" t="s">
        <v>2000</v>
      </c>
      <c r="M1077" s="48">
        <v>45255.4606712963</v>
      </c>
    </row>
    <row r="1078">
      <c r="A1078" s="47">
        <v>45253.54455219908</v>
      </c>
      <c r="B1078" s="46" t="s">
        <v>1380</v>
      </c>
      <c r="C1078" s="46">
        <v>9.971417987E9</v>
      </c>
      <c r="D1078" s="46"/>
      <c r="E1078" s="46"/>
      <c r="F1078" s="46"/>
      <c r="G1078" s="46" t="s">
        <v>303</v>
      </c>
      <c r="H1078" s="46" t="s">
        <v>701</v>
      </c>
      <c r="I1078" s="46"/>
      <c r="J1078" s="46"/>
      <c r="K1078" s="46" t="str">
        <f>IFERROR(__xludf.DUMMYFUNCTION("if(A1078="""","""",IF(G1078="""",""Myn"",IF(REGEXMATCH(lower(G1078),""mynn""),""Myn"",if(G1078&lt;&gt;"""",""GEMTRE"",""""))))"),"Myn")</f>
        <v>Myn</v>
      </c>
      <c r="L1078" s="46" t="s">
        <v>2000</v>
      </c>
      <c r="M1078" s="48">
        <v>45255.4606712963</v>
      </c>
    </row>
    <row r="1079">
      <c r="A1079" s="47">
        <v>45253.54854716435</v>
      </c>
      <c r="B1079" s="46" t="s">
        <v>1381</v>
      </c>
      <c r="C1079" s="46">
        <v>9.811164181E9</v>
      </c>
      <c r="D1079" s="46"/>
      <c r="E1079" s="46"/>
      <c r="F1079" s="46"/>
      <c r="G1079" s="46" t="s">
        <v>303</v>
      </c>
      <c r="H1079" s="46" t="s">
        <v>701</v>
      </c>
      <c r="I1079" s="46"/>
      <c r="J1079" s="46"/>
      <c r="K1079" s="46" t="str">
        <f>IFERROR(__xludf.DUMMYFUNCTION("if(A1079="""","""",IF(G1079="""",""Myn"",IF(REGEXMATCH(lower(G1079),""mynn""),""Myn"",if(G1079&lt;&gt;"""",""GEMTRE"",""""))))"),"Myn")</f>
        <v>Myn</v>
      </c>
      <c r="L1079" s="46" t="s">
        <v>2000</v>
      </c>
      <c r="M1079" s="48">
        <v>45255.4606712963</v>
      </c>
    </row>
    <row r="1080">
      <c r="A1080" s="47">
        <v>45253.54890350695</v>
      </c>
      <c r="B1080" s="46" t="s">
        <v>1382</v>
      </c>
      <c r="C1080" s="46">
        <v>9.511102211E9</v>
      </c>
      <c r="D1080" s="46"/>
      <c r="E1080" s="46" t="s">
        <v>79</v>
      </c>
      <c r="F1080" s="46"/>
      <c r="G1080" s="46" t="s">
        <v>303</v>
      </c>
      <c r="H1080" s="46" t="s">
        <v>706</v>
      </c>
      <c r="I1080" s="46"/>
      <c r="J1080" s="46"/>
      <c r="K1080" s="46" t="str">
        <f>IFERROR(__xludf.DUMMYFUNCTION("if(A1080="""","""",IF(G1080="""",""Myn"",IF(REGEXMATCH(lower(G1080),""mynn""),""Myn"",if(G1080&lt;&gt;"""",""GEMTRE"",""""))))"),"Myn")</f>
        <v>Myn</v>
      </c>
      <c r="L1080" s="46" t="s">
        <v>2000</v>
      </c>
      <c r="M1080" s="48">
        <v>45255.4606712963</v>
      </c>
    </row>
    <row r="1081">
      <c r="A1081" s="47">
        <v>45253.5515065625</v>
      </c>
      <c r="B1081" s="46" t="s">
        <v>1383</v>
      </c>
      <c r="C1081" s="46">
        <v>8.383033578E9</v>
      </c>
      <c r="D1081" s="46"/>
      <c r="E1081" s="46"/>
      <c r="F1081" s="46"/>
      <c r="G1081" s="46" t="s">
        <v>303</v>
      </c>
      <c r="H1081" s="46" t="s">
        <v>701</v>
      </c>
      <c r="I1081" s="46"/>
      <c r="J1081" s="46"/>
      <c r="K1081" s="46" t="str">
        <f>IFERROR(__xludf.DUMMYFUNCTION("if(A1081="""","""",IF(G1081="""",""Myn"",IF(REGEXMATCH(lower(G1081),""mynn""),""Myn"",if(G1081&lt;&gt;"""",""GEMTRE"",""""))))"),"Myn")</f>
        <v>Myn</v>
      </c>
      <c r="L1081" s="46" t="s">
        <v>2000</v>
      </c>
      <c r="M1081" s="48">
        <v>45255.4606712963</v>
      </c>
    </row>
    <row r="1082">
      <c r="A1082" s="47">
        <v>45253.55570471065</v>
      </c>
      <c r="B1082" s="46" t="s">
        <v>1384</v>
      </c>
      <c r="C1082" s="46">
        <v>9.9714142E9</v>
      </c>
      <c r="D1082" s="46"/>
      <c r="E1082" s="46" t="s">
        <v>1139</v>
      </c>
      <c r="F1082" s="46"/>
      <c r="G1082" s="46" t="s">
        <v>303</v>
      </c>
      <c r="H1082" s="46" t="s">
        <v>706</v>
      </c>
      <c r="I1082" s="46"/>
      <c r="J1082" s="46"/>
      <c r="K1082" s="46" t="str">
        <f>IFERROR(__xludf.DUMMYFUNCTION("if(A1082="""","""",IF(G1082="""",""Myn"",IF(REGEXMATCH(lower(G1082),""mynn""),""Myn"",if(G1082&lt;&gt;"""",""GEMTRE"",""""))))"),"Myn")</f>
        <v>Myn</v>
      </c>
      <c r="L1082" s="46" t="s">
        <v>2000</v>
      </c>
      <c r="M1082" s="48">
        <v>45255.4606712963</v>
      </c>
    </row>
    <row r="1083">
      <c r="A1083" s="47">
        <v>45253.555974745366</v>
      </c>
      <c r="B1083" s="46" t="s">
        <v>1150</v>
      </c>
      <c r="C1083" s="46">
        <v>9.210304168E9</v>
      </c>
      <c r="D1083" s="46"/>
      <c r="E1083" s="46" t="s">
        <v>71</v>
      </c>
      <c r="F1083" s="46"/>
      <c r="G1083" s="46" t="s">
        <v>303</v>
      </c>
      <c r="H1083" s="46" t="s">
        <v>706</v>
      </c>
      <c r="I1083" s="46"/>
      <c r="J1083" s="46"/>
      <c r="K1083" s="46" t="str">
        <f>IFERROR(__xludf.DUMMYFUNCTION("if(A1083="""","""",IF(G1083="""",""Myn"",IF(REGEXMATCH(lower(G1083),""mynn""),""Myn"",if(G1083&lt;&gt;"""",""GEMTRE"",""""))))"),"Myn")</f>
        <v>Myn</v>
      </c>
      <c r="L1083" s="46" t="s">
        <v>2000</v>
      </c>
      <c r="M1083" s="48">
        <v>45255.4606712963</v>
      </c>
    </row>
    <row r="1084">
      <c r="A1084" s="47">
        <v>45253.55651015046</v>
      </c>
      <c r="B1084" s="46" t="s">
        <v>1385</v>
      </c>
      <c r="C1084" s="46">
        <v>9.818027072E9</v>
      </c>
      <c r="D1084" s="46"/>
      <c r="E1084" s="46"/>
      <c r="F1084" s="46"/>
      <c r="G1084" s="46" t="s">
        <v>303</v>
      </c>
      <c r="H1084" s="46" t="s">
        <v>701</v>
      </c>
      <c r="I1084" s="46"/>
      <c r="J1084" s="46"/>
      <c r="K1084" s="46" t="str">
        <f>IFERROR(__xludf.DUMMYFUNCTION("if(A1084="""","""",IF(G1084="""",""Myn"",IF(REGEXMATCH(lower(G1084),""mynn""),""Myn"",if(G1084&lt;&gt;"""",""GEMTRE"",""""))))"),"Myn")</f>
        <v>Myn</v>
      </c>
      <c r="L1084" s="46" t="s">
        <v>2000</v>
      </c>
      <c r="M1084" s="48">
        <v>45255.4606712963</v>
      </c>
    </row>
    <row r="1085">
      <c r="A1085" s="47">
        <v>45253.57153987269</v>
      </c>
      <c r="B1085" s="46" t="s">
        <v>1386</v>
      </c>
      <c r="C1085" s="46">
        <v>9.7182099E9</v>
      </c>
      <c r="D1085" s="46"/>
      <c r="E1085" s="46"/>
      <c r="F1085" s="46"/>
      <c r="G1085" s="46" t="s">
        <v>303</v>
      </c>
      <c r="H1085" s="46" t="s">
        <v>701</v>
      </c>
      <c r="I1085" s="46"/>
      <c r="J1085" s="46"/>
      <c r="K1085" s="46" t="str">
        <f>IFERROR(__xludf.DUMMYFUNCTION("if(A1085="""","""",IF(G1085="""",""Myn"",IF(REGEXMATCH(lower(G1085),""mynn""),""Myn"",if(G1085&lt;&gt;"""",""GEMTRE"",""""))))"),"Myn")</f>
        <v>Myn</v>
      </c>
      <c r="L1085" s="46" t="s">
        <v>2000</v>
      </c>
      <c r="M1085" s="48">
        <v>45255.4606712963</v>
      </c>
    </row>
    <row r="1086">
      <c r="A1086" s="47">
        <v>45253.574825856485</v>
      </c>
      <c r="B1086" s="46" t="s">
        <v>1387</v>
      </c>
      <c r="C1086" s="46">
        <v>9.560733032E9</v>
      </c>
      <c r="D1086" s="46"/>
      <c r="E1086" s="46"/>
      <c r="F1086" s="46"/>
      <c r="G1086" s="46" t="s">
        <v>303</v>
      </c>
      <c r="H1086" s="46" t="s">
        <v>701</v>
      </c>
      <c r="I1086" s="46"/>
      <c r="J1086" s="46"/>
      <c r="K1086" s="46" t="str">
        <f>IFERROR(__xludf.DUMMYFUNCTION("if(A1086="""","""",IF(G1086="""",""Myn"",IF(REGEXMATCH(lower(G1086),""mynn""),""Myn"",if(G1086&lt;&gt;"""",""GEMTRE"",""""))))"),"Myn")</f>
        <v>Myn</v>
      </c>
      <c r="L1086" s="46" t="s">
        <v>2000</v>
      </c>
      <c r="M1086" s="48">
        <v>45255.4606712963</v>
      </c>
    </row>
    <row r="1087">
      <c r="A1087" s="47">
        <v>45253.57936777778</v>
      </c>
      <c r="B1087" s="46" t="s">
        <v>1388</v>
      </c>
      <c r="C1087" s="46">
        <v>9.878041237E9</v>
      </c>
      <c r="D1087" s="46"/>
      <c r="E1087" s="46" t="s">
        <v>15</v>
      </c>
      <c r="F1087" s="46"/>
      <c r="G1087" s="46" t="s">
        <v>303</v>
      </c>
      <c r="H1087" s="46" t="s">
        <v>706</v>
      </c>
      <c r="I1087" s="46"/>
      <c r="J1087" s="46"/>
      <c r="K1087" s="46" t="str">
        <f>IFERROR(__xludf.DUMMYFUNCTION("if(A1087="""","""",IF(G1087="""",""Myn"",IF(REGEXMATCH(lower(G1087),""mynn""),""Myn"",if(G1087&lt;&gt;"""",""GEMTRE"",""""))))"),"Myn")</f>
        <v>Myn</v>
      </c>
      <c r="L1087" s="46" t="s">
        <v>2000</v>
      </c>
      <c r="M1087" s="48">
        <v>45255.4606712963</v>
      </c>
    </row>
    <row r="1088">
      <c r="A1088" s="47">
        <v>45253.58133021991</v>
      </c>
      <c r="B1088" s="46" t="s">
        <v>1389</v>
      </c>
      <c r="C1088" s="46">
        <v>8.130696282E9</v>
      </c>
      <c r="D1088" s="46"/>
      <c r="E1088" s="46"/>
      <c r="F1088" s="46"/>
      <c r="G1088" s="46" t="s">
        <v>303</v>
      </c>
      <c r="H1088" s="46" t="s">
        <v>701</v>
      </c>
      <c r="I1088" s="46"/>
      <c r="J1088" s="46"/>
      <c r="K1088" s="46" t="str">
        <f>IFERROR(__xludf.DUMMYFUNCTION("if(A1088="""","""",IF(G1088="""",""Myn"",IF(REGEXMATCH(lower(G1088),""mynn""),""Myn"",if(G1088&lt;&gt;"""",""GEMTRE"",""""))))"),"Myn")</f>
        <v>Myn</v>
      </c>
      <c r="L1088" s="46" t="s">
        <v>2000</v>
      </c>
      <c r="M1088" s="48">
        <v>45255.4606712963</v>
      </c>
    </row>
    <row r="1089">
      <c r="A1089" s="47">
        <v>45253.58209435185</v>
      </c>
      <c r="B1089" s="46" t="s">
        <v>432</v>
      </c>
      <c r="C1089" s="46">
        <v>9.910885513E9</v>
      </c>
      <c r="D1089" s="46"/>
      <c r="E1089" s="46" t="s">
        <v>1390</v>
      </c>
      <c r="F1089" s="46"/>
      <c r="G1089" s="46" t="s">
        <v>303</v>
      </c>
      <c r="H1089" s="46" t="s">
        <v>706</v>
      </c>
      <c r="I1089" s="46"/>
      <c r="J1089" s="46"/>
      <c r="K1089" s="46" t="str">
        <f>IFERROR(__xludf.DUMMYFUNCTION("if(A1089="""","""",IF(G1089="""",""Myn"",IF(REGEXMATCH(lower(G1089),""mynn""),""Myn"",if(G1089&lt;&gt;"""",""GEMTRE"",""""))))"),"Myn")</f>
        <v>Myn</v>
      </c>
      <c r="L1089" s="46" t="s">
        <v>2000</v>
      </c>
      <c r="M1089" s="48">
        <v>45255.4606712963</v>
      </c>
    </row>
    <row r="1090">
      <c r="A1090" s="47">
        <v>45253.58326263889</v>
      </c>
      <c r="B1090" s="46" t="s">
        <v>1391</v>
      </c>
      <c r="C1090" s="46">
        <v>9.717686233E9</v>
      </c>
      <c r="D1090" s="46"/>
      <c r="E1090" s="46"/>
      <c r="F1090" s="46"/>
      <c r="G1090" s="46" t="s">
        <v>303</v>
      </c>
      <c r="H1090" s="46" t="s">
        <v>701</v>
      </c>
      <c r="I1090" s="46"/>
      <c r="J1090" s="46"/>
      <c r="K1090" s="46" t="str">
        <f>IFERROR(__xludf.DUMMYFUNCTION("if(A1090="""","""",IF(G1090="""",""Myn"",IF(REGEXMATCH(lower(G1090),""mynn""),""Myn"",if(G1090&lt;&gt;"""",""GEMTRE"",""""))))"),"Myn")</f>
        <v>Myn</v>
      </c>
      <c r="L1090" s="46" t="s">
        <v>2000</v>
      </c>
      <c r="M1090" s="48">
        <v>45255.4606712963</v>
      </c>
    </row>
    <row r="1091">
      <c r="A1091" s="47">
        <v>45253.583763194445</v>
      </c>
      <c r="B1091" s="46" t="s">
        <v>1392</v>
      </c>
      <c r="C1091" s="46">
        <v>8.9308831E9</v>
      </c>
      <c r="D1091" s="46"/>
      <c r="E1091" s="46" t="s">
        <v>1393</v>
      </c>
      <c r="F1091" s="46"/>
      <c r="G1091" s="46" t="s">
        <v>303</v>
      </c>
      <c r="H1091" s="46" t="s">
        <v>706</v>
      </c>
      <c r="I1091" s="46"/>
      <c r="J1091" s="46"/>
      <c r="K1091" s="46" t="str">
        <f>IFERROR(__xludf.DUMMYFUNCTION("if(A1091="""","""",IF(G1091="""",""Myn"",IF(REGEXMATCH(lower(G1091),""mynn""),""Myn"",if(G1091&lt;&gt;"""",""GEMTRE"",""""))))"),"Myn")</f>
        <v>Myn</v>
      </c>
      <c r="L1091" s="46" t="s">
        <v>2000</v>
      </c>
      <c r="M1091" s="48">
        <v>45255.4606712963</v>
      </c>
    </row>
    <row r="1092">
      <c r="A1092" s="47">
        <v>45253.584709421295</v>
      </c>
      <c r="B1092" s="46" t="s">
        <v>578</v>
      </c>
      <c r="C1092" s="46">
        <v>8.708544782E9</v>
      </c>
      <c r="D1092" s="46"/>
      <c r="E1092" s="46" t="s">
        <v>1390</v>
      </c>
      <c r="F1092" s="46"/>
      <c r="G1092" s="46" t="s">
        <v>303</v>
      </c>
      <c r="H1092" s="46" t="s">
        <v>706</v>
      </c>
      <c r="I1092" s="46"/>
      <c r="J1092" s="46"/>
      <c r="K1092" s="46" t="str">
        <f>IFERROR(__xludf.DUMMYFUNCTION("if(A1092="""","""",IF(G1092="""",""Myn"",IF(REGEXMATCH(lower(G1092),""mynn""),""Myn"",if(G1092&lt;&gt;"""",""GEMTRE"",""""))))"),"Myn")</f>
        <v>Myn</v>
      </c>
      <c r="L1092" s="46" t="s">
        <v>2000</v>
      </c>
      <c r="M1092" s="48">
        <v>45255.4606712963</v>
      </c>
    </row>
    <row r="1093">
      <c r="A1093" s="47">
        <v>45253.59113028935</v>
      </c>
      <c r="B1093" s="46" t="s">
        <v>1394</v>
      </c>
      <c r="C1093" s="46">
        <v>8.800486305E9</v>
      </c>
      <c r="D1093" s="46"/>
      <c r="E1093" s="46"/>
      <c r="F1093" s="46"/>
      <c r="G1093" s="46" t="s">
        <v>303</v>
      </c>
      <c r="H1093" s="46" t="s">
        <v>701</v>
      </c>
      <c r="I1093" s="46"/>
      <c r="J1093" s="46"/>
      <c r="K1093" s="46" t="str">
        <f>IFERROR(__xludf.DUMMYFUNCTION("if(A1093="""","""",IF(G1093="""",""Myn"",IF(REGEXMATCH(lower(G1093),""mynn""),""Myn"",if(G1093&lt;&gt;"""",""GEMTRE"",""""))))"),"Myn")</f>
        <v>Myn</v>
      </c>
      <c r="L1093" s="46" t="s">
        <v>2000</v>
      </c>
      <c r="M1093" s="48">
        <v>45255.4606712963</v>
      </c>
    </row>
    <row r="1094">
      <c r="A1094" s="47">
        <v>45253.592695486106</v>
      </c>
      <c r="B1094" s="46" t="s">
        <v>1395</v>
      </c>
      <c r="C1094" s="46">
        <v>7.827228389E9</v>
      </c>
      <c r="D1094" s="46"/>
      <c r="E1094" s="46"/>
      <c r="F1094" s="46"/>
      <c r="G1094" s="46" t="s">
        <v>303</v>
      </c>
      <c r="H1094" s="46" t="s">
        <v>701</v>
      </c>
      <c r="I1094" s="46"/>
      <c r="J1094" s="46"/>
      <c r="K1094" s="46" t="str">
        <f>IFERROR(__xludf.DUMMYFUNCTION("if(A1094="""","""",IF(G1094="""",""Myn"",IF(REGEXMATCH(lower(G1094),""mynn""),""Myn"",if(G1094&lt;&gt;"""",""GEMTRE"",""""))))"),"Myn")</f>
        <v>Myn</v>
      </c>
      <c r="L1094" s="46" t="s">
        <v>2000</v>
      </c>
      <c r="M1094" s="48">
        <v>45255.4606712963</v>
      </c>
    </row>
    <row r="1095">
      <c r="A1095" s="47">
        <v>45253.596957870366</v>
      </c>
      <c r="B1095" s="46" t="s">
        <v>1396</v>
      </c>
      <c r="C1095" s="46">
        <v>9.990268709E9</v>
      </c>
      <c r="D1095" s="46"/>
      <c r="E1095" s="46" t="s">
        <v>79</v>
      </c>
      <c r="F1095" s="46"/>
      <c r="G1095" s="46" t="s">
        <v>303</v>
      </c>
      <c r="H1095" s="46" t="s">
        <v>706</v>
      </c>
      <c r="I1095" s="46"/>
      <c r="J1095" s="46"/>
      <c r="K1095" s="46" t="str">
        <f>IFERROR(__xludf.DUMMYFUNCTION("if(A1095="""","""",IF(G1095="""",""Myn"",IF(REGEXMATCH(lower(G1095),""mynn""),""Myn"",if(G1095&lt;&gt;"""",""GEMTRE"",""""))))"),"Myn")</f>
        <v>Myn</v>
      </c>
      <c r="L1095" s="46" t="s">
        <v>2000</v>
      </c>
      <c r="M1095" s="48">
        <v>45255.4606712963</v>
      </c>
    </row>
    <row r="1096">
      <c r="A1096" s="47">
        <v>45253.600432210646</v>
      </c>
      <c r="B1096" s="46" t="s">
        <v>1397</v>
      </c>
      <c r="C1096" s="46">
        <v>9.518173629E9</v>
      </c>
      <c r="D1096" s="46"/>
      <c r="E1096" s="46" t="s">
        <v>481</v>
      </c>
      <c r="F1096" s="46"/>
      <c r="G1096" s="46" t="s">
        <v>303</v>
      </c>
      <c r="H1096" s="46" t="s">
        <v>701</v>
      </c>
      <c r="I1096" s="46"/>
      <c r="J1096" s="46"/>
      <c r="K1096" s="46" t="str">
        <f>IFERROR(__xludf.DUMMYFUNCTION("if(A1096="""","""",IF(G1096="""",""Myn"",IF(REGEXMATCH(lower(G1096),""mynn""),""Myn"",if(G1096&lt;&gt;"""",""GEMTRE"",""""))))"),"Myn")</f>
        <v>Myn</v>
      </c>
      <c r="L1096" s="46" t="s">
        <v>2000</v>
      </c>
      <c r="M1096" s="48">
        <v>45255.4606712963</v>
      </c>
    </row>
    <row r="1097">
      <c r="A1097" s="47">
        <v>45253.603183495376</v>
      </c>
      <c r="B1097" s="46" t="s">
        <v>1398</v>
      </c>
      <c r="C1097" s="46">
        <v>9.404446059E9</v>
      </c>
      <c r="D1097" s="46"/>
      <c r="E1097" s="46"/>
      <c r="F1097" s="46"/>
      <c r="G1097" s="46" t="s">
        <v>303</v>
      </c>
      <c r="H1097" s="46" t="s">
        <v>701</v>
      </c>
      <c r="I1097" s="46"/>
      <c r="J1097" s="46"/>
      <c r="K1097" s="46" t="str">
        <f>IFERROR(__xludf.DUMMYFUNCTION("if(A1097="""","""",IF(G1097="""",""Myn"",IF(REGEXMATCH(lower(G1097),""mynn""),""Myn"",if(G1097&lt;&gt;"""",""GEMTRE"",""""))))"),"Myn")</f>
        <v>Myn</v>
      </c>
      <c r="L1097" s="46" t="s">
        <v>2000</v>
      </c>
      <c r="M1097" s="48">
        <v>45255.4606712963</v>
      </c>
    </row>
    <row r="1098">
      <c r="A1098" s="47">
        <v>45253.60557351852</v>
      </c>
      <c r="B1098" s="46" t="s">
        <v>1399</v>
      </c>
      <c r="C1098" s="46">
        <v>9.65480599E9</v>
      </c>
      <c r="D1098" s="46"/>
      <c r="E1098" s="46"/>
      <c r="F1098" s="46"/>
      <c r="G1098" s="46" t="s">
        <v>303</v>
      </c>
      <c r="H1098" s="46" t="s">
        <v>701</v>
      </c>
      <c r="I1098" s="46"/>
      <c r="J1098" s="46"/>
      <c r="K1098" s="46" t="str">
        <f>IFERROR(__xludf.DUMMYFUNCTION("if(A1098="""","""",IF(G1098="""",""Myn"",IF(REGEXMATCH(lower(G1098),""mynn""),""Myn"",if(G1098&lt;&gt;"""",""GEMTRE"",""""))))"),"Myn")</f>
        <v>Myn</v>
      </c>
      <c r="L1098" s="46" t="s">
        <v>2000</v>
      </c>
      <c r="M1098" s="48">
        <v>45255.4606712963</v>
      </c>
    </row>
    <row r="1099">
      <c r="A1099" s="47">
        <v>45253.60619179398</v>
      </c>
      <c r="B1099" s="46" t="s">
        <v>911</v>
      </c>
      <c r="C1099" s="46">
        <v>8.005173299E9</v>
      </c>
      <c r="D1099" s="46"/>
      <c r="E1099" s="46"/>
      <c r="F1099" s="46"/>
      <c r="G1099" s="46" t="s">
        <v>303</v>
      </c>
      <c r="H1099" s="46" t="s">
        <v>701</v>
      </c>
      <c r="I1099" s="46"/>
      <c r="J1099" s="46"/>
      <c r="K1099" s="46" t="str">
        <f>IFERROR(__xludf.DUMMYFUNCTION("if(A1099="""","""",IF(G1099="""",""Myn"",IF(REGEXMATCH(lower(G1099),""mynn""),""Myn"",if(G1099&lt;&gt;"""",""GEMTRE"",""""))))"),"Myn")</f>
        <v>Myn</v>
      </c>
      <c r="L1099" s="46" t="s">
        <v>2000</v>
      </c>
      <c r="M1099" s="48">
        <v>45255.4606712963</v>
      </c>
    </row>
    <row r="1100">
      <c r="A1100" s="47">
        <v>45253.60654962963</v>
      </c>
      <c r="B1100" s="46" t="s">
        <v>1400</v>
      </c>
      <c r="C1100" s="46">
        <v>9.990977525E9</v>
      </c>
      <c r="D1100" s="46"/>
      <c r="E1100" s="46"/>
      <c r="F1100" s="46"/>
      <c r="G1100" s="46" t="s">
        <v>303</v>
      </c>
      <c r="H1100" s="46" t="s">
        <v>706</v>
      </c>
      <c r="I1100" s="46"/>
      <c r="J1100" s="46"/>
      <c r="K1100" s="46" t="str">
        <f>IFERROR(__xludf.DUMMYFUNCTION("if(A1100="""","""",IF(G1100="""",""Myn"",IF(REGEXMATCH(lower(G1100),""mynn""),""Myn"",if(G1100&lt;&gt;"""",""GEMTRE"",""""))))"),"Myn")</f>
        <v>Myn</v>
      </c>
      <c r="L1100" s="46" t="s">
        <v>2000</v>
      </c>
      <c r="M1100" s="48">
        <v>45255.4606712963</v>
      </c>
    </row>
    <row r="1101">
      <c r="A1101" s="47">
        <v>45253.608820775466</v>
      </c>
      <c r="B1101" s="46" t="s">
        <v>1193</v>
      </c>
      <c r="C1101" s="46">
        <v>9.999150255E9</v>
      </c>
      <c r="D1101" s="46"/>
      <c r="E1101" s="46"/>
      <c r="F1101" s="46"/>
      <c r="G1101" s="46" t="s">
        <v>303</v>
      </c>
      <c r="H1101" s="46" t="s">
        <v>706</v>
      </c>
      <c r="I1101" s="46"/>
      <c r="J1101" s="46"/>
      <c r="K1101" s="46" t="str">
        <f>IFERROR(__xludf.DUMMYFUNCTION("if(A1101="""","""",IF(G1101="""",""Myn"",IF(REGEXMATCH(lower(G1101),""mynn""),""Myn"",if(G1101&lt;&gt;"""",""GEMTRE"",""""))))"),"Myn")</f>
        <v>Myn</v>
      </c>
      <c r="L1101" s="46" t="s">
        <v>2000</v>
      </c>
      <c r="M1101" s="48">
        <v>45255.4606712963</v>
      </c>
    </row>
    <row r="1102">
      <c r="A1102" s="47">
        <v>45253.61069877315</v>
      </c>
      <c r="B1102" s="46" t="s">
        <v>1401</v>
      </c>
      <c r="C1102" s="46">
        <v>7.053537747E9</v>
      </c>
      <c r="D1102" s="46"/>
      <c r="E1102" s="46"/>
      <c r="F1102" s="46"/>
      <c r="G1102" s="46" t="s">
        <v>303</v>
      </c>
      <c r="H1102" s="46" t="s">
        <v>706</v>
      </c>
      <c r="I1102" s="46"/>
      <c r="J1102" s="46"/>
      <c r="K1102" s="46" t="str">
        <f>IFERROR(__xludf.DUMMYFUNCTION("if(A1102="""","""",IF(G1102="""",""Myn"",IF(REGEXMATCH(lower(G1102),""mynn""),""Myn"",if(G1102&lt;&gt;"""",""GEMTRE"",""""))))"),"Myn")</f>
        <v>Myn</v>
      </c>
      <c r="L1102" s="46" t="s">
        <v>2000</v>
      </c>
      <c r="M1102" s="48">
        <v>45255.4606712963</v>
      </c>
    </row>
    <row r="1103">
      <c r="A1103" s="47">
        <v>45253.61176075232</v>
      </c>
      <c r="B1103" s="46" t="s">
        <v>379</v>
      </c>
      <c r="C1103" s="46">
        <v>9.818184141E9</v>
      </c>
      <c r="D1103" s="46"/>
      <c r="E1103" s="46" t="s">
        <v>1402</v>
      </c>
      <c r="F1103" s="46"/>
      <c r="G1103" s="46" t="s">
        <v>303</v>
      </c>
      <c r="H1103" s="46" t="s">
        <v>706</v>
      </c>
      <c r="I1103" s="46"/>
      <c r="J1103" s="46"/>
      <c r="K1103" s="46" t="str">
        <f>IFERROR(__xludf.DUMMYFUNCTION("if(A1103="""","""",IF(G1103="""",""Myn"",IF(REGEXMATCH(lower(G1103),""mynn""),""Myn"",if(G1103&lt;&gt;"""",""GEMTRE"",""""))))"),"Myn")</f>
        <v>Myn</v>
      </c>
      <c r="L1103" s="46" t="s">
        <v>2000</v>
      </c>
      <c r="M1103" s="48">
        <v>45255.4606712963</v>
      </c>
    </row>
    <row r="1104">
      <c r="A1104" s="47">
        <v>45253.61472515046</v>
      </c>
      <c r="B1104" s="46" t="s">
        <v>1403</v>
      </c>
      <c r="C1104" s="46">
        <v>9.421532413E9</v>
      </c>
      <c r="D1104" s="46" t="s">
        <v>1404</v>
      </c>
      <c r="E1104" s="46" t="s">
        <v>15</v>
      </c>
      <c r="F1104" s="46"/>
      <c r="G1104" s="46" t="s">
        <v>303</v>
      </c>
      <c r="H1104" s="46" t="s">
        <v>1035</v>
      </c>
      <c r="I1104" s="46"/>
      <c r="J1104" s="46"/>
      <c r="K1104" s="46" t="str">
        <f>IFERROR(__xludf.DUMMYFUNCTION("if(A1104="""","""",IF(G1104="""",""Myn"",IF(REGEXMATCH(lower(G1104),""mynn""),""Myn"",if(G1104&lt;&gt;"""",""GEMTRE"",""""))))"),"Myn")</f>
        <v>Myn</v>
      </c>
      <c r="L1104" s="46" t="s">
        <v>2000</v>
      </c>
      <c r="M1104" s="48">
        <v>45255.4606712963</v>
      </c>
    </row>
    <row r="1105">
      <c r="A1105" s="47">
        <v>45253.62164546296</v>
      </c>
      <c r="B1105" s="46" t="s">
        <v>363</v>
      </c>
      <c r="C1105" s="46">
        <v>9.990252777E9</v>
      </c>
      <c r="D1105" s="46"/>
      <c r="E1105" s="46" t="s">
        <v>1405</v>
      </c>
      <c r="F1105" s="46"/>
      <c r="G1105" s="46" t="s">
        <v>303</v>
      </c>
      <c r="H1105" s="46" t="s">
        <v>706</v>
      </c>
      <c r="I1105" s="46"/>
      <c r="J1105" s="46"/>
      <c r="K1105" s="46" t="str">
        <f>IFERROR(__xludf.DUMMYFUNCTION("if(A1105="""","""",IF(G1105="""",""Myn"",IF(REGEXMATCH(lower(G1105),""mynn""),""Myn"",if(G1105&lt;&gt;"""",""GEMTRE"",""""))))"),"Myn")</f>
        <v>Myn</v>
      </c>
      <c r="L1105" s="46" t="s">
        <v>2000</v>
      </c>
      <c r="M1105" s="48">
        <v>45255.4606712963</v>
      </c>
    </row>
    <row r="1106">
      <c r="A1106" s="47">
        <v>45253.62557513889</v>
      </c>
      <c r="B1106" s="46" t="s">
        <v>625</v>
      </c>
      <c r="C1106" s="46">
        <v>7.982848105E9</v>
      </c>
      <c r="D1106" s="46"/>
      <c r="E1106" s="46"/>
      <c r="F1106" s="46"/>
      <c r="G1106" s="46" t="s">
        <v>303</v>
      </c>
      <c r="H1106" s="46" t="s">
        <v>706</v>
      </c>
      <c r="I1106" s="46"/>
      <c r="J1106" s="46"/>
      <c r="K1106" s="46" t="str">
        <f>IFERROR(__xludf.DUMMYFUNCTION("if(A1106="""","""",IF(G1106="""",""Myn"",IF(REGEXMATCH(lower(G1106),""mynn""),""Myn"",if(G1106&lt;&gt;"""",""GEMTRE"",""""))))"),"Myn")</f>
        <v>Myn</v>
      </c>
      <c r="L1106" s="46" t="s">
        <v>2000</v>
      </c>
      <c r="M1106" s="48">
        <v>45255.4606712963</v>
      </c>
    </row>
    <row r="1107">
      <c r="A1107" s="47">
        <v>45253.62608311343</v>
      </c>
      <c r="B1107" s="46" t="s">
        <v>1406</v>
      </c>
      <c r="C1107" s="46">
        <v>7.042895508E9</v>
      </c>
      <c r="D1107" s="46"/>
      <c r="E1107" s="46" t="s">
        <v>1407</v>
      </c>
      <c r="F1107" s="46"/>
      <c r="G1107" s="46" t="s">
        <v>303</v>
      </c>
      <c r="H1107" s="46" t="s">
        <v>701</v>
      </c>
      <c r="I1107" s="46"/>
      <c r="J1107" s="46"/>
      <c r="K1107" s="46" t="str">
        <f>IFERROR(__xludf.DUMMYFUNCTION("if(A1107="""","""",IF(G1107="""",""Myn"",IF(REGEXMATCH(lower(G1107),""mynn""),""Myn"",if(G1107&lt;&gt;"""",""GEMTRE"",""""))))"),"Myn")</f>
        <v>Myn</v>
      </c>
      <c r="L1107" s="46" t="s">
        <v>2000</v>
      </c>
      <c r="M1107" s="48">
        <v>45255.4606712963</v>
      </c>
    </row>
    <row r="1108">
      <c r="A1108" s="47">
        <v>45253.63213547454</v>
      </c>
      <c r="B1108" s="46" t="s">
        <v>604</v>
      </c>
      <c r="C1108" s="46">
        <v>7.065443678E9</v>
      </c>
      <c r="D1108" s="46"/>
      <c r="E1108" s="46" t="s">
        <v>15</v>
      </c>
      <c r="F1108" s="46"/>
      <c r="G1108" s="46" t="s">
        <v>303</v>
      </c>
      <c r="H1108" s="46" t="s">
        <v>706</v>
      </c>
      <c r="I1108" s="46"/>
      <c r="J1108" s="46"/>
      <c r="K1108" s="46" t="str">
        <f>IFERROR(__xludf.DUMMYFUNCTION("if(A1108="""","""",IF(G1108="""",""Myn"",IF(REGEXMATCH(lower(G1108),""mynn""),""Myn"",if(G1108&lt;&gt;"""",""GEMTRE"",""""))))"),"Myn")</f>
        <v>Myn</v>
      </c>
      <c r="L1108" s="46" t="s">
        <v>2000</v>
      </c>
      <c r="M1108" s="48">
        <v>45255.4606712963</v>
      </c>
    </row>
    <row r="1109">
      <c r="A1109" s="47">
        <v>45253.63216603009</v>
      </c>
      <c r="B1109" s="46" t="s">
        <v>1408</v>
      </c>
      <c r="C1109" s="46">
        <v>9.643267196E9</v>
      </c>
      <c r="D1109" s="46"/>
      <c r="E1109" s="46"/>
      <c r="F1109" s="46"/>
      <c r="G1109" s="46" t="s">
        <v>303</v>
      </c>
      <c r="H1109" s="46" t="s">
        <v>701</v>
      </c>
      <c r="I1109" s="46"/>
      <c r="J1109" s="46"/>
      <c r="K1109" s="46" t="str">
        <f>IFERROR(__xludf.DUMMYFUNCTION("if(A1109="""","""",IF(G1109="""",""Myn"",IF(REGEXMATCH(lower(G1109),""mynn""),""Myn"",if(G1109&lt;&gt;"""",""GEMTRE"",""""))))"),"Myn")</f>
        <v>Myn</v>
      </c>
      <c r="L1109" s="46" t="s">
        <v>2000</v>
      </c>
      <c r="M1109" s="48">
        <v>45255.4606712963</v>
      </c>
    </row>
    <row r="1110">
      <c r="A1110" s="47">
        <v>45253.63377644676</v>
      </c>
      <c r="B1110" s="46" t="s">
        <v>1409</v>
      </c>
      <c r="C1110" s="46">
        <v>8.467064777E9</v>
      </c>
      <c r="D1110" s="46"/>
      <c r="E1110" s="46"/>
      <c r="F1110" s="46"/>
      <c r="G1110" s="46" t="s">
        <v>303</v>
      </c>
      <c r="H1110" s="46" t="s">
        <v>706</v>
      </c>
      <c r="I1110" s="46"/>
      <c r="J1110" s="46"/>
      <c r="K1110" s="46" t="str">
        <f>IFERROR(__xludf.DUMMYFUNCTION("if(A1110="""","""",IF(G1110="""",""Myn"",IF(REGEXMATCH(lower(G1110),""mynn""),""Myn"",if(G1110&lt;&gt;"""",""GEMTRE"",""""))))"),"Myn")</f>
        <v>Myn</v>
      </c>
      <c r="L1110" s="46" t="s">
        <v>2000</v>
      </c>
      <c r="M1110" s="48">
        <v>45255.4606712963</v>
      </c>
    </row>
    <row r="1111">
      <c r="A1111" s="47">
        <v>45253.63477696759</v>
      </c>
      <c r="B1111" s="46" t="s">
        <v>1142</v>
      </c>
      <c r="C1111" s="46">
        <v>8.38408337E9</v>
      </c>
      <c r="D1111" s="46"/>
      <c r="E1111" s="46" t="s">
        <v>26</v>
      </c>
      <c r="F1111" s="46"/>
      <c r="G1111" s="46" t="s">
        <v>303</v>
      </c>
      <c r="H1111" s="46" t="s">
        <v>706</v>
      </c>
      <c r="I1111" s="46"/>
      <c r="J1111" s="46"/>
      <c r="K1111" s="46" t="str">
        <f>IFERROR(__xludf.DUMMYFUNCTION("if(A1111="""","""",IF(G1111="""",""Myn"",IF(REGEXMATCH(lower(G1111),""mynn""),""Myn"",if(G1111&lt;&gt;"""",""GEMTRE"",""""))))"),"Myn")</f>
        <v>Myn</v>
      </c>
      <c r="L1111" s="46" t="s">
        <v>2000</v>
      </c>
      <c r="M1111" s="48">
        <v>45255.4606712963</v>
      </c>
    </row>
    <row r="1112">
      <c r="A1112" s="47">
        <v>45253.63492409722</v>
      </c>
      <c r="B1112" s="46" t="s">
        <v>1410</v>
      </c>
      <c r="C1112" s="46">
        <v>8.860445556E9</v>
      </c>
      <c r="D1112" s="46"/>
      <c r="E1112" s="46"/>
      <c r="F1112" s="46"/>
      <c r="G1112" s="46" t="s">
        <v>303</v>
      </c>
      <c r="H1112" s="46" t="s">
        <v>701</v>
      </c>
      <c r="I1112" s="46"/>
      <c r="J1112" s="46"/>
      <c r="K1112" s="46" t="str">
        <f>IFERROR(__xludf.DUMMYFUNCTION("if(A1112="""","""",IF(G1112="""",""Myn"",IF(REGEXMATCH(lower(G1112),""mynn""),""Myn"",if(G1112&lt;&gt;"""",""GEMTRE"",""""))))"),"Myn")</f>
        <v>Myn</v>
      </c>
      <c r="L1112" s="46" t="s">
        <v>2000</v>
      </c>
      <c r="M1112" s="48">
        <v>45255.4606712963</v>
      </c>
    </row>
    <row r="1113">
      <c r="A1113" s="47">
        <v>45253.63509966435</v>
      </c>
      <c r="B1113" s="46" t="s">
        <v>1411</v>
      </c>
      <c r="C1113" s="46">
        <v>9.868171454E9</v>
      </c>
      <c r="D1113" s="46"/>
      <c r="E1113" s="46"/>
      <c r="F1113" s="46"/>
      <c r="G1113" s="46" t="s">
        <v>303</v>
      </c>
      <c r="H1113" s="46" t="s">
        <v>701</v>
      </c>
      <c r="I1113" s="46"/>
      <c r="J1113" s="46"/>
      <c r="K1113" s="46" t="str">
        <f>IFERROR(__xludf.DUMMYFUNCTION("if(A1113="""","""",IF(G1113="""",""Myn"",IF(REGEXMATCH(lower(G1113),""mynn""),""Myn"",if(G1113&lt;&gt;"""",""GEMTRE"",""""))))"),"Myn")</f>
        <v>Myn</v>
      </c>
      <c r="L1113" s="46" t="s">
        <v>2000</v>
      </c>
      <c r="M1113" s="48">
        <v>45255.4606712963</v>
      </c>
    </row>
    <row r="1114">
      <c r="A1114" s="47">
        <v>45253.635397743055</v>
      </c>
      <c r="B1114" s="46" t="s">
        <v>1412</v>
      </c>
      <c r="C1114" s="46">
        <v>9.953643453E9</v>
      </c>
      <c r="D1114" s="46"/>
      <c r="E1114" s="46"/>
      <c r="F1114" s="46"/>
      <c r="G1114" s="46" t="s">
        <v>303</v>
      </c>
      <c r="H1114" s="46" t="s">
        <v>701</v>
      </c>
      <c r="I1114" s="46"/>
      <c r="J1114" s="46"/>
      <c r="K1114" s="46" t="str">
        <f>IFERROR(__xludf.DUMMYFUNCTION("if(A1114="""","""",IF(G1114="""",""Myn"",IF(REGEXMATCH(lower(G1114),""mynn""),""Myn"",if(G1114&lt;&gt;"""",""GEMTRE"",""""))))"),"Myn")</f>
        <v>Myn</v>
      </c>
      <c r="L1114" s="46" t="s">
        <v>2000</v>
      </c>
      <c r="M1114" s="48">
        <v>45255.4606712963</v>
      </c>
    </row>
    <row r="1115">
      <c r="A1115" s="47">
        <v>45253.635660115746</v>
      </c>
      <c r="B1115" s="46" t="s">
        <v>1413</v>
      </c>
      <c r="C1115" s="46">
        <v>9.891528054E9</v>
      </c>
      <c r="D1115" s="46"/>
      <c r="E1115" s="46"/>
      <c r="F1115" s="46"/>
      <c r="G1115" s="46" t="s">
        <v>303</v>
      </c>
      <c r="H1115" s="46" t="s">
        <v>701</v>
      </c>
      <c r="I1115" s="46"/>
      <c r="J1115" s="46"/>
      <c r="K1115" s="46" t="str">
        <f>IFERROR(__xludf.DUMMYFUNCTION("if(A1115="""","""",IF(G1115="""",""Myn"",IF(REGEXMATCH(lower(G1115),""mynn""),""Myn"",if(G1115&lt;&gt;"""",""GEMTRE"",""""))))"),"Myn")</f>
        <v>Myn</v>
      </c>
      <c r="L1115" s="46" t="s">
        <v>2000</v>
      </c>
      <c r="M1115" s="48">
        <v>45255.4606712963</v>
      </c>
    </row>
    <row r="1116">
      <c r="A1116" s="47">
        <v>45253.63825123843</v>
      </c>
      <c r="B1116" s="46" t="s">
        <v>1028</v>
      </c>
      <c r="C1116" s="46">
        <v>8.920719095E9</v>
      </c>
      <c r="D1116" s="46"/>
      <c r="E1116" s="46"/>
      <c r="F1116" s="46"/>
      <c r="G1116" s="46" t="s">
        <v>303</v>
      </c>
      <c r="H1116" s="46" t="s">
        <v>701</v>
      </c>
      <c r="I1116" s="46"/>
      <c r="J1116" s="46"/>
      <c r="K1116" s="46" t="str">
        <f>IFERROR(__xludf.DUMMYFUNCTION("if(A1116="""","""",IF(G1116="""",""Myn"",IF(REGEXMATCH(lower(G1116),""mynn""),""Myn"",if(G1116&lt;&gt;"""",""GEMTRE"",""""))))"),"Myn")</f>
        <v>Myn</v>
      </c>
      <c r="L1116" s="46" t="s">
        <v>2000</v>
      </c>
      <c r="M1116" s="48">
        <v>45255.4606712963</v>
      </c>
    </row>
    <row r="1117">
      <c r="A1117" s="47">
        <v>45253.63843979167</v>
      </c>
      <c r="B1117" s="46" t="s">
        <v>1137</v>
      </c>
      <c r="C1117" s="46">
        <v>8.235380448E9</v>
      </c>
      <c r="D1117" s="46"/>
      <c r="E1117" s="46" t="s">
        <v>481</v>
      </c>
      <c r="F1117" s="46"/>
      <c r="G1117" s="46" t="s">
        <v>303</v>
      </c>
      <c r="H1117" s="46" t="s">
        <v>706</v>
      </c>
      <c r="I1117" s="46"/>
      <c r="J1117" s="46"/>
      <c r="K1117" s="46" t="str">
        <f>IFERROR(__xludf.DUMMYFUNCTION("if(A1117="""","""",IF(G1117="""",""Myn"",IF(REGEXMATCH(lower(G1117),""mynn""),""Myn"",if(G1117&lt;&gt;"""",""GEMTRE"",""""))))"),"Myn")</f>
        <v>Myn</v>
      </c>
      <c r="L1117" s="46" t="s">
        <v>2000</v>
      </c>
      <c r="M1117" s="48">
        <v>45255.4606712963</v>
      </c>
    </row>
    <row r="1118">
      <c r="A1118" s="47">
        <v>45253.64044040509</v>
      </c>
      <c r="B1118" s="46" t="s">
        <v>1414</v>
      </c>
      <c r="C1118" s="46">
        <v>9.899778405E9</v>
      </c>
      <c r="D1118" s="46"/>
      <c r="E1118" s="46" t="s">
        <v>227</v>
      </c>
      <c r="F1118" s="46"/>
      <c r="G1118" s="46" t="s">
        <v>303</v>
      </c>
      <c r="H1118" s="46" t="s">
        <v>706</v>
      </c>
      <c r="I1118" s="46"/>
      <c r="J1118" s="46"/>
      <c r="K1118" s="46" t="str">
        <f>IFERROR(__xludf.DUMMYFUNCTION("if(A1118="""","""",IF(G1118="""",""Myn"",IF(REGEXMATCH(lower(G1118),""mynn""),""Myn"",if(G1118&lt;&gt;"""",""GEMTRE"",""""))))"),"Myn")</f>
        <v>Myn</v>
      </c>
      <c r="L1118" s="46" t="s">
        <v>2000</v>
      </c>
      <c r="M1118" s="48">
        <v>45255.4606712963</v>
      </c>
    </row>
    <row r="1119">
      <c r="A1119" s="47">
        <v>45253.64111991898</v>
      </c>
      <c r="B1119" s="46" t="s">
        <v>1415</v>
      </c>
      <c r="C1119" s="46">
        <v>9.045015642E9</v>
      </c>
      <c r="D1119" s="46"/>
      <c r="E1119" s="46"/>
      <c r="F1119" s="46"/>
      <c r="G1119" s="46" t="s">
        <v>303</v>
      </c>
      <c r="H1119" s="46" t="s">
        <v>701</v>
      </c>
      <c r="I1119" s="46"/>
      <c r="J1119" s="46"/>
      <c r="K1119" s="46" t="str">
        <f>IFERROR(__xludf.DUMMYFUNCTION("if(A1119="""","""",IF(G1119="""",""Myn"",IF(REGEXMATCH(lower(G1119),""mynn""),""Myn"",if(G1119&lt;&gt;"""",""GEMTRE"",""""))))"),"Myn")</f>
        <v>Myn</v>
      </c>
      <c r="L1119" s="46" t="s">
        <v>2000</v>
      </c>
      <c r="M1119" s="48">
        <v>45255.4606712963</v>
      </c>
    </row>
    <row r="1120">
      <c r="A1120" s="47">
        <v>45253.64437350695</v>
      </c>
      <c r="B1120" s="46" t="s">
        <v>1416</v>
      </c>
      <c r="C1120" s="46">
        <v>9.711790616E9</v>
      </c>
      <c r="D1120" s="46"/>
      <c r="E1120" s="46" t="s">
        <v>15</v>
      </c>
      <c r="F1120" s="46"/>
      <c r="G1120" s="46" t="s">
        <v>303</v>
      </c>
      <c r="H1120" s="46" t="s">
        <v>706</v>
      </c>
      <c r="I1120" s="46"/>
      <c r="J1120" s="46"/>
      <c r="K1120" s="46" t="str">
        <f>IFERROR(__xludf.DUMMYFUNCTION("if(A1120="""","""",IF(G1120="""",""Myn"",IF(REGEXMATCH(lower(G1120),""mynn""),""Myn"",if(G1120&lt;&gt;"""",""GEMTRE"",""""))))"),"Myn")</f>
        <v>Myn</v>
      </c>
      <c r="L1120" s="46" t="s">
        <v>2000</v>
      </c>
      <c r="M1120" s="48">
        <v>45255.46068287037</v>
      </c>
    </row>
    <row r="1121">
      <c r="A1121" s="47">
        <v>45253.64732260417</v>
      </c>
      <c r="B1121" s="46" t="s">
        <v>563</v>
      </c>
      <c r="C1121" s="46">
        <v>9.99998042E9</v>
      </c>
      <c r="D1121" s="46"/>
      <c r="E1121" s="46" t="s">
        <v>1417</v>
      </c>
      <c r="F1121" s="46"/>
      <c r="G1121" s="46" t="s">
        <v>303</v>
      </c>
      <c r="H1121" s="46" t="s">
        <v>706</v>
      </c>
      <c r="I1121" s="46"/>
      <c r="J1121" s="46"/>
      <c r="K1121" s="46" t="str">
        <f>IFERROR(__xludf.DUMMYFUNCTION("if(A1121="""","""",IF(G1121="""",""Myn"",IF(REGEXMATCH(lower(G1121),""mynn""),""Myn"",if(G1121&lt;&gt;"""",""GEMTRE"",""""))))"),"Myn")</f>
        <v>Myn</v>
      </c>
      <c r="L1121" s="46" t="s">
        <v>2000</v>
      </c>
      <c r="M1121" s="48">
        <v>45255.46068287037</v>
      </c>
    </row>
    <row r="1122">
      <c r="A1122" s="47">
        <v>45253.64806795139</v>
      </c>
      <c r="B1122" s="46" t="s">
        <v>121</v>
      </c>
      <c r="C1122" s="46">
        <v>8.287603303E9</v>
      </c>
      <c r="D1122" s="46"/>
      <c r="E1122" s="46" t="s">
        <v>15</v>
      </c>
      <c r="F1122" s="46"/>
      <c r="G1122" s="46" t="s">
        <v>303</v>
      </c>
      <c r="H1122" s="46" t="s">
        <v>706</v>
      </c>
      <c r="I1122" s="46"/>
      <c r="J1122" s="46"/>
      <c r="K1122" s="46" t="str">
        <f>IFERROR(__xludf.DUMMYFUNCTION("if(A1122="""","""",IF(G1122="""",""Myn"",IF(REGEXMATCH(lower(G1122),""mynn""),""Myn"",if(G1122&lt;&gt;"""",""GEMTRE"",""""))))"),"Myn")</f>
        <v>Myn</v>
      </c>
      <c r="L1122" s="46" t="s">
        <v>2000</v>
      </c>
      <c r="M1122" s="48">
        <v>45255.46068287037</v>
      </c>
    </row>
    <row r="1123">
      <c r="A1123" s="47">
        <v>45253.651823576394</v>
      </c>
      <c r="B1123" s="46" t="s">
        <v>490</v>
      </c>
      <c r="C1123" s="46">
        <v>9.163489639E9</v>
      </c>
      <c r="D1123" s="46"/>
      <c r="E1123" s="46"/>
      <c r="F1123" s="46"/>
      <c r="G1123" s="46" t="s">
        <v>303</v>
      </c>
      <c r="H1123" s="46" t="s">
        <v>701</v>
      </c>
      <c r="I1123" s="46"/>
      <c r="J1123" s="46"/>
      <c r="K1123" s="46" t="str">
        <f>IFERROR(__xludf.DUMMYFUNCTION("if(A1123="""","""",IF(G1123="""",""Myn"",IF(REGEXMATCH(lower(G1123),""mynn""),""Myn"",if(G1123&lt;&gt;"""",""GEMTRE"",""""))))"),"Myn")</f>
        <v>Myn</v>
      </c>
      <c r="L1123" s="46" t="s">
        <v>2000</v>
      </c>
      <c r="M1123" s="48">
        <v>45255.46068287037</v>
      </c>
    </row>
    <row r="1124">
      <c r="A1124" s="47">
        <v>45253.65293761574</v>
      </c>
      <c r="B1124" s="46" t="s">
        <v>1418</v>
      </c>
      <c r="C1124" s="46">
        <v>9.990055287E9</v>
      </c>
      <c r="D1124" s="46"/>
      <c r="E1124" s="46"/>
      <c r="F1124" s="46"/>
      <c r="G1124" s="46" t="s">
        <v>303</v>
      </c>
      <c r="H1124" s="46" t="s">
        <v>701</v>
      </c>
      <c r="I1124" s="46"/>
      <c r="J1124" s="46"/>
      <c r="K1124" s="46" t="str">
        <f>IFERROR(__xludf.DUMMYFUNCTION("if(A1124="""","""",IF(G1124="""",""Myn"",IF(REGEXMATCH(lower(G1124),""mynn""),""Myn"",if(G1124&lt;&gt;"""",""GEMTRE"",""""))))"),"Myn")</f>
        <v>Myn</v>
      </c>
      <c r="L1124" s="46" t="s">
        <v>2000</v>
      </c>
      <c r="M1124" s="48">
        <v>45255.46068287037</v>
      </c>
    </row>
    <row r="1125">
      <c r="A1125" s="47">
        <v>45253.65362221065</v>
      </c>
      <c r="B1125" s="46" t="s">
        <v>1419</v>
      </c>
      <c r="C1125" s="46">
        <v>9.871553478E9</v>
      </c>
      <c r="D1125" s="46"/>
      <c r="E1125" s="46" t="s">
        <v>1420</v>
      </c>
      <c r="F1125" s="46"/>
      <c r="G1125" s="46" t="s">
        <v>303</v>
      </c>
      <c r="H1125" s="46" t="s">
        <v>706</v>
      </c>
      <c r="I1125" s="46"/>
      <c r="J1125" s="46"/>
      <c r="K1125" s="46" t="str">
        <f>IFERROR(__xludf.DUMMYFUNCTION("if(A1125="""","""",IF(G1125="""",""Myn"",IF(REGEXMATCH(lower(G1125),""mynn""),""Myn"",if(G1125&lt;&gt;"""",""GEMTRE"",""""))))"),"Myn")</f>
        <v>Myn</v>
      </c>
      <c r="L1125" s="46" t="s">
        <v>2000</v>
      </c>
      <c r="M1125" s="48">
        <v>45255.46068287037</v>
      </c>
    </row>
    <row r="1126">
      <c r="A1126" s="47">
        <v>45253.65368596065</v>
      </c>
      <c r="B1126" s="46" t="s">
        <v>1421</v>
      </c>
      <c r="C1126" s="46">
        <v>9.21140601E9</v>
      </c>
      <c r="D1126" s="46"/>
      <c r="E1126" s="46"/>
      <c r="F1126" s="46"/>
      <c r="G1126" s="46" t="s">
        <v>289</v>
      </c>
      <c r="H1126" s="46" t="s">
        <v>701</v>
      </c>
      <c r="I1126" s="46"/>
      <c r="J1126" s="46"/>
      <c r="K1126" s="46" t="str">
        <f>IFERROR(__xludf.DUMMYFUNCTION("if(A1126="""","""",IF(G1126="""",""Myn"",IF(REGEXMATCH(lower(G1126),""mynn""),""Myn"",if(G1126&lt;&gt;"""",""GEMTRE"",""""))))"),"GEMTRE")</f>
        <v>GEMTRE</v>
      </c>
      <c r="L1126" s="46" t="s">
        <v>2001</v>
      </c>
      <c r="M1126" s="48">
        <v>45255.46068287037</v>
      </c>
    </row>
    <row r="1127">
      <c r="A1127" s="47">
        <v>45253.65664533565</v>
      </c>
      <c r="B1127" s="46" t="s">
        <v>534</v>
      </c>
      <c r="C1127" s="46">
        <v>9.999666857E9</v>
      </c>
      <c r="D1127" s="46"/>
      <c r="E1127" s="46" t="s">
        <v>1422</v>
      </c>
      <c r="F1127" s="46"/>
      <c r="G1127" s="46" t="s">
        <v>303</v>
      </c>
      <c r="H1127" s="46" t="s">
        <v>706</v>
      </c>
      <c r="I1127" s="46"/>
      <c r="J1127" s="46"/>
      <c r="K1127" s="46" t="str">
        <f>IFERROR(__xludf.DUMMYFUNCTION("if(A1127="""","""",IF(G1127="""",""Myn"",IF(REGEXMATCH(lower(G1127),""mynn""),""Myn"",if(G1127&lt;&gt;"""",""GEMTRE"",""""))))"),"Myn")</f>
        <v>Myn</v>
      </c>
      <c r="L1127" s="46" t="s">
        <v>2000</v>
      </c>
      <c r="M1127" s="48">
        <v>45255.46068287037</v>
      </c>
    </row>
    <row r="1128">
      <c r="A1128" s="47">
        <v>45253.656649641205</v>
      </c>
      <c r="B1128" s="46" t="s">
        <v>1423</v>
      </c>
      <c r="C1128" s="46">
        <v>7.011913257E9</v>
      </c>
      <c r="D1128" s="46"/>
      <c r="E1128" s="46" t="s">
        <v>1424</v>
      </c>
      <c r="F1128" s="46"/>
      <c r="G1128" s="46" t="s">
        <v>303</v>
      </c>
      <c r="H1128" s="46" t="s">
        <v>706</v>
      </c>
      <c r="I1128" s="46"/>
      <c r="J1128" s="46"/>
      <c r="K1128" s="46" t="str">
        <f>IFERROR(__xludf.DUMMYFUNCTION("if(A1128="""","""",IF(G1128="""",""Myn"",IF(REGEXMATCH(lower(G1128),""mynn""),""Myn"",if(G1128&lt;&gt;"""",""GEMTRE"",""""))))"),"Myn")</f>
        <v>Myn</v>
      </c>
      <c r="L1128" s="46" t="s">
        <v>2000</v>
      </c>
      <c r="M1128" s="48">
        <v>45255.46068287037</v>
      </c>
    </row>
    <row r="1129">
      <c r="A1129" s="47">
        <v>45253.65705789352</v>
      </c>
      <c r="B1129" s="46" t="s">
        <v>1425</v>
      </c>
      <c r="C1129" s="46">
        <v>9.871308734E9</v>
      </c>
      <c r="D1129" s="46"/>
      <c r="E1129" s="46"/>
      <c r="F1129" s="46"/>
      <c r="G1129" s="46" t="s">
        <v>303</v>
      </c>
      <c r="H1129" s="46" t="s">
        <v>701</v>
      </c>
      <c r="I1129" s="46"/>
      <c r="J1129" s="46"/>
      <c r="K1129" s="46" t="str">
        <f>IFERROR(__xludf.DUMMYFUNCTION("if(A1129="""","""",IF(G1129="""",""Myn"",IF(REGEXMATCH(lower(G1129),""mynn""),""Myn"",if(G1129&lt;&gt;"""",""GEMTRE"",""""))))"),"Myn")</f>
        <v>Myn</v>
      </c>
      <c r="L1129" s="46" t="s">
        <v>2000</v>
      </c>
      <c r="M1129" s="48">
        <v>45255.46068287037</v>
      </c>
    </row>
    <row r="1130">
      <c r="A1130" s="47">
        <v>45253.66075572917</v>
      </c>
      <c r="B1130" s="46" t="s">
        <v>1131</v>
      </c>
      <c r="C1130" s="46">
        <v>9.211162027E9</v>
      </c>
      <c r="D1130" s="46"/>
      <c r="E1130" s="46" t="s">
        <v>567</v>
      </c>
      <c r="F1130" s="46"/>
      <c r="G1130" s="46" t="s">
        <v>303</v>
      </c>
      <c r="H1130" s="46" t="s">
        <v>706</v>
      </c>
      <c r="I1130" s="46"/>
      <c r="J1130" s="46"/>
      <c r="K1130" s="46" t="str">
        <f>IFERROR(__xludf.DUMMYFUNCTION("if(A1130="""","""",IF(G1130="""",""Myn"",IF(REGEXMATCH(lower(G1130),""mynn""),""Myn"",if(G1130&lt;&gt;"""",""GEMTRE"",""""))))"),"Myn")</f>
        <v>Myn</v>
      </c>
      <c r="L1130" s="46" t="s">
        <v>2000</v>
      </c>
      <c r="M1130" s="48">
        <v>45255.46068287037</v>
      </c>
    </row>
    <row r="1131">
      <c r="A1131" s="47">
        <v>45253.66460836805</v>
      </c>
      <c r="B1131" s="46" t="s">
        <v>1426</v>
      </c>
      <c r="C1131" s="46">
        <v>9.717263163E9</v>
      </c>
      <c r="D1131" s="46"/>
      <c r="E1131" s="46"/>
      <c r="F1131" s="46"/>
      <c r="G1131" s="46" t="s">
        <v>303</v>
      </c>
      <c r="H1131" s="46" t="s">
        <v>701</v>
      </c>
      <c r="I1131" s="46"/>
      <c r="J1131" s="46"/>
      <c r="K1131" s="46" t="str">
        <f>IFERROR(__xludf.DUMMYFUNCTION("if(A1131="""","""",IF(G1131="""",""Myn"",IF(REGEXMATCH(lower(G1131),""mynn""),""Myn"",if(G1131&lt;&gt;"""",""GEMTRE"",""""))))"),"Myn")</f>
        <v>Myn</v>
      </c>
      <c r="L1131" s="46" t="s">
        <v>2000</v>
      </c>
      <c r="M1131" s="48">
        <v>45255.46068287037</v>
      </c>
    </row>
    <row r="1132">
      <c r="A1132" s="47">
        <v>45253.67069439815</v>
      </c>
      <c r="B1132" s="46" t="s">
        <v>161</v>
      </c>
      <c r="C1132" s="46">
        <v>9.818518397E9</v>
      </c>
      <c r="D1132" s="46"/>
      <c r="E1132" s="46" t="s">
        <v>15</v>
      </c>
      <c r="F1132" s="46"/>
      <c r="G1132" s="46" t="s">
        <v>303</v>
      </c>
      <c r="H1132" s="46" t="s">
        <v>706</v>
      </c>
      <c r="I1132" s="46"/>
      <c r="J1132" s="46"/>
      <c r="K1132" s="46" t="str">
        <f>IFERROR(__xludf.DUMMYFUNCTION("if(A1132="""","""",IF(G1132="""",""Myn"",IF(REGEXMATCH(lower(G1132),""mynn""),""Myn"",if(G1132&lt;&gt;"""",""GEMTRE"",""""))))"),"Myn")</f>
        <v>Myn</v>
      </c>
      <c r="L1132" s="46" t="s">
        <v>2000</v>
      </c>
      <c r="M1132" s="48">
        <v>45255.46068287037</v>
      </c>
    </row>
    <row r="1133">
      <c r="A1133" s="47">
        <v>45253.67207806713</v>
      </c>
      <c r="B1133" s="46" t="s">
        <v>491</v>
      </c>
      <c r="C1133" s="46">
        <v>9.315533294E9</v>
      </c>
      <c r="D1133" s="46"/>
      <c r="E1133" s="46"/>
      <c r="F1133" s="46"/>
      <c r="G1133" s="46" t="s">
        <v>303</v>
      </c>
      <c r="H1133" s="46" t="s">
        <v>701</v>
      </c>
      <c r="I1133" s="46"/>
      <c r="J1133" s="46"/>
      <c r="K1133" s="46" t="str">
        <f>IFERROR(__xludf.DUMMYFUNCTION("if(A1133="""","""",IF(G1133="""",""Myn"",IF(REGEXMATCH(lower(G1133),""mynn""),""Myn"",if(G1133&lt;&gt;"""",""GEMTRE"",""""))))"),"Myn")</f>
        <v>Myn</v>
      </c>
      <c r="L1133" s="46" t="s">
        <v>2000</v>
      </c>
      <c r="M1133" s="48">
        <v>45255.46068287037</v>
      </c>
    </row>
    <row r="1134">
      <c r="A1134" s="47">
        <v>45253.672730729166</v>
      </c>
      <c r="B1134" s="46" t="s">
        <v>760</v>
      </c>
      <c r="C1134" s="46">
        <v>9.212027966E9</v>
      </c>
      <c r="D1134" s="46"/>
      <c r="E1134" s="46"/>
      <c r="F1134" s="46"/>
      <c r="G1134" s="46" t="s">
        <v>303</v>
      </c>
      <c r="H1134" s="46" t="s">
        <v>701</v>
      </c>
      <c r="I1134" s="46"/>
      <c r="J1134" s="46"/>
      <c r="K1134" s="46" t="str">
        <f>IFERROR(__xludf.DUMMYFUNCTION("if(A1134="""","""",IF(G1134="""",""Myn"",IF(REGEXMATCH(lower(G1134),""mynn""),""Myn"",if(G1134&lt;&gt;"""",""GEMTRE"",""""))))"),"Myn")</f>
        <v>Myn</v>
      </c>
      <c r="L1134" s="46" t="s">
        <v>2000</v>
      </c>
      <c r="M1134" s="48">
        <v>45255.46068287037</v>
      </c>
    </row>
    <row r="1135">
      <c r="A1135" s="47">
        <v>45253.67300181713</v>
      </c>
      <c r="B1135" s="46" t="s">
        <v>1427</v>
      </c>
      <c r="C1135" s="46">
        <v>9.811026601E9</v>
      </c>
      <c r="D1135" s="46"/>
      <c r="E1135" s="46"/>
      <c r="F1135" s="46"/>
      <c r="G1135" s="46" t="s">
        <v>303</v>
      </c>
      <c r="H1135" s="46" t="s">
        <v>701</v>
      </c>
      <c r="I1135" s="46"/>
      <c r="J1135" s="46"/>
      <c r="K1135" s="46" t="str">
        <f>IFERROR(__xludf.DUMMYFUNCTION("if(A1135="""","""",IF(G1135="""",""Myn"",IF(REGEXMATCH(lower(G1135),""mynn""),""Myn"",if(G1135&lt;&gt;"""",""GEMTRE"",""""))))"),"Myn")</f>
        <v>Myn</v>
      </c>
      <c r="L1135" s="46" t="s">
        <v>2000</v>
      </c>
      <c r="M1135" s="48">
        <v>45255.46068287037</v>
      </c>
    </row>
    <row r="1136">
      <c r="A1136" s="47">
        <v>45253.6739828125</v>
      </c>
      <c r="B1136" s="46" t="s">
        <v>1428</v>
      </c>
      <c r="C1136" s="46">
        <v>9.910397145E9</v>
      </c>
      <c r="D1136" s="46"/>
      <c r="E1136" s="46" t="s">
        <v>15</v>
      </c>
      <c r="F1136" s="46"/>
      <c r="G1136" s="46" t="s">
        <v>303</v>
      </c>
      <c r="H1136" s="46" t="s">
        <v>706</v>
      </c>
      <c r="I1136" s="46"/>
      <c r="J1136" s="46"/>
      <c r="K1136" s="46" t="str">
        <f>IFERROR(__xludf.DUMMYFUNCTION("if(A1136="""","""",IF(G1136="""",""Myn"",IF(REGEXMATCH(lower(G1136),""mynn""),""Myn"",if(G1136&lt;&gt;"""",""GEMTRE"",""""))))"),"Myn")</f>
        <v>Myn</v>
      </c>
      <c r="L1136" s="46" t="s">
        <v>2000</v>
      </c>
      <c r="M1136" s="48">
        <v>45255.46068287037</v>
      </c>
    </row>
    <row r="1137">
      <c r="A1137" s="47">
        <v>45253.67518928241</v>
      </c>
      <c r="B1137" s="46" t="s">
        <v>1429</v>
      </c>
      <c r="C1137" s="46">
        <v>9.868209835E9</v>
      </c>
      <c r="D1137" s="46"/>
      <c r="E1137" s="46"/>
      <c r="F1137" s="46"/>
      <c r="G1137" s="46" t="s">
        <v>303</v>
      </c>
      <c r="H1137" s="46" t="s">
        <v>706</v>
      </c>
      <c r="I1137" s="46"/>
      <c r="J1137" s="46"/>
      <c r="K1137" s="46" t="str">
        <f>IFERROR(__xludf.DUMMYFUNCTION("if(A1137="""","""",IF(G1137="""",""Myn"",IF(REGEXMATCH(lower(G1137),""mynn""),""Myn"",if(G1137&lt;&gt;"""",""GEMTRE"",""""))))"),"Myn")</f>
        <v>Myn</v>
      </c>
      <c r="L1137" s="46" t="s">
        <v>2000</v>
      </c>
      <c r="M1137" s="48">
        <v>45255.46068287037</v>
      </c>
    </row>
    <row r="1138">
      <c r="A1138" s="47">
        <v>45253.67613620371</v>
      </c>
      <c r="B1138" s="46" t="s">
        <v>1430</v>
      </c>
      <c r="C1138" s="46">
        <v>9.716909344E9</v>
      </c>
      <c r="D1138" s="46"/>
      <c r="E1138" s="46"/>
      <c r="F1138" s="46"/>
      <c r="G1138" s="46" t="s">
        <v>303</v>
      </c>
      <c r="H1138" s="46" t="s">
        <v>701</v>
      </c>
      <c r="I1138" s="46"/>
      <c r="J1138" s="46"/>
      <c r="K1138" s="46" t="str">
        <f>IFERROR(__xludf.DUMMYFUNCTION("if(A1138="""","""",IF(G1138="""",""Myn"",IF(REGEXMATCH(lower(G1138),""mynn""),""Myn"",if(G1138&lt;&gt;"""",""GEMTRE"",""""))))"),"Myn")</f>
        <v>Myn</v>
      </c>
      <c r="L1138" s="46" t="s">
        <v>2000</v>
      </c>
      <c r="M1138" s="48">
        <v>45255.46068287037</v>
      </c>
    </row>
    <row r="1139">
      <c r="A1139" s="47">
        <v>45253.6810735301</v>
      </c>
      <c r="B1139" s="46" t="s">
        <v>1431</v>
      </c>
      <c r="C1139" s="46">
        <v>8.86006E9</v>
      </c>
      <c r="D1139" s="46"/>
      <c r="E1139" s="46" t="s">
        <v>1432</v>
      </c>
      <c r="F1139" s="46"/>
      <c r="G1139" s="46" t="s">
        <v>303</v>
      </c>
      <c r="H1139" s="46" t="s">
        <v>706</v>
      </c>
      <c r="I1139" s="46"/>
      <c r="J1139" s="46"/>
      <c r="K1139" s="46" t="str">
        <f>IFERROR(__xludf.DUMMYFUNCTION("if(A1139="""","""",IF(G1139="""",""Myn"",IF(REGEXMATCH(lower(G1139),""mynn""),""Myn"",if(G1139&lt;&gt;"""",""GEMTRE"",""""))))"),"Myn")</f>
        <v>Myn</v>
      </c>
      <c r="L1139" s="46" t="s">
        <v>2000</v>
      </c>
      <c r="M1139" s="48">
        <v>45255.46068287037</v>
      </c>
    </row>
    <row r="1140">
      <c r="A1140" s="47">
        <v>45253.6816865625</v>
      </c>
      <c r="B1140" s="46" t="s">
        <v>1433</v>
      </c>
      <c r="C1140" s="46">
        <v>9.55528888E9</v>
      </c>
      <c r="D1140" s="46"/>
      <c r="E1140" s="46"/>
      <c r="F1140" s="46"/>
      <c r="G1140" s="46" t="s">
        <v>303</v>
      </c>
      <c r="H1140" s="46" t="s">
        <v>701</v>
      </c>
      <c r="I1140" s="46"/>
      <c r="J1140" s="46"/>
      <c r="K1140" s="46" t="str">
        <f>IFERROR(__xludf.DUMMYFUNCTION("if(A1140="""","""",IF(G1140="""",""Myn"",IF(REGEXMATCH(lower(G1140),""mynn""),""Myn"",if(G1140&lt;&gt;"""",""GEMTRE"",""""))))"),"Myn")</f>
        <v>Myn</v>
      </c>
      <c r="L1140" s="46" t="s">
        <v>2000</v>
      </c>
      <c r="M1140" s="48">
        <v>45255.46068287037</v>
      </c>
    </row>
    <row r="1141">
      <c r="A1141" s="47">
        <v>45253.682189189814</v>
      </c>
      <c r="B1141" s="46" t="s">
        <v>1434</v>
      </c>
      <c r="C1141" s="46">
        <v>9.873495572E9</v>
      </c>
      <c r="D1141" s="46"/>
      <c r="E1141" s="46"/>
      <c r="F1141" s="46"/>
      <c r="G1141" s="46" t="s">
        <v>303</v>
      </c>
      <c r="H1141" s="46" t="s">
        <v>701</v>
      </c>
      <c r="I1141" s="46"/>
      <c r="J1141" s="46"/>
      <c r="K1141" s="46" t="str">
        <f>IFERROR(__xludf.DUMMYFUNCTION("if(A1141="""","""",IF(G1141="""",""Myn"",IF(REGEXMATCH(lower(G1141),""mynn""),""Myn"",if(G1141&lt;&gt;"""",""GEMTRE"",""""))))"),"Myn")</f>
        <v>Myn</v>
      </c>
      <c r="L1141" s="46" t="s">
        <v>2000</v>
      </c>
      <c r="M1141" s="48">
        <v>45255.46068287037</v>
      </c>
    </row>
    <row r="1142">
      <c r="A1142" s="47">
        <v>45253.68249048611</v>
      </c>
      <c r="B1142" s="46" t="s">
        <v>1435</v>
      </c>
      <c r="C1142" s="46">
        <v>8.010020026E9</v>
      </c>
      <c r="D1142" s="46"/>
      <c r="E1142" s="46"/>
      <c r="F1142" s="46"/>
      <c r="G1142" s="46" t="s">
        <v>303</v>
      </c>
      <c r="H1142" s="46" t="s">
        <v>701</v>
      </c>
      <c r="I1142" s="46"/>
      <c r="J1142" s="46"/>
      <c r="K1142" s="46" t="str">
        <f>IFERROR(__xludf.DUMMYFUNCTION("if(A1142="""","""",IF(G1142="""",""Myn"",IF(REGEXMATCH(lower(G1142),""mynn""),""Myn"",if(G1142&lt;&gt;"""",""GEMTRE"",""""))))"),"Myn")</f>
        <v>Myn</v>
      </c>
      <c r="L1142" s="46" t="s">
        <v>2000</v>
      </c>
      <c r="M1142" s="48">
        <v>45255.46068287037</v>
      </c>
    </row>
    <row r="1143">
      <c r="A1143" s="47">
        <v>45253.68276780093</v>
      </c>
      <c r="B1143" s="46" t="s">
        <v>1436</v>
      </c>
      <c r="C1143" s="46">
        <v>8.882755234E9</v>
      </c>
      <c r="D1143" s="46"/>
      <c r="E1143" s="46"/>
      <c r="F1143" s="46"/>
      <c r="G1143" s="46" t="s">
        <v>303</v>
      </c>
      <c r="H1143" s="46" t="s">
        <v>701</v>
      </c>
      <c r="I1143" s="46"/>
      <c r="J1143" s="46"/>
      <c r="K1143" s="46" t="str">
        <f>IFERROR(__xludf.DUMMYFUNCTION("if(A1143="""","""",IF(G1143="""",""Myn"",IF(REGEXMATCH(lower(G1143),""mynn""),""Myn"",if(G1143&lt;&gt;"""",""GEMTRE"",""""))))"),"Myn")</f>
        <v>Myn</v>
      </c>
      <c r="L1143" s="46" t="s">
        <v>2000</v>
      </c>
      <c r="M1143" s="48">
        <v>45255.46068287037</v>
      </c>
    </row>
    <row r="1144">
      <c r="A1144" s="47">
        <v>45253.68749517361</v>
      </c>
      <c r="B1144" s="46" t="s">
        <v>1437</v>
      </c>
      <c r="C1144" s="46">
        <v>8.368099274E9</v>
      </c>
      <c r="D1144" s="46"/>
      <c r="E1144" s="46"/>
      <c r="F1144" s="46"/>
      <c r="G1144" s="46" t="s">
        <v>303</v>
      </c>
      <c r="H1144" s="46" t="s">
        <v>701</v>
      </c>
      <c r="I1144" s="46"/>
      <c r="J1144" s="46"/>
      <c r="K1144" s="46" t="str">
        <f>IFERROR(__xludf.DUMMYFUNCTION("if(A1144="""","""",IF(G1144="""",""Myn"",IF(REGEXMATCH(lower(G1144),""mynn""),""Myn"",if(G1144&lt;&gt;"""",""GEMTRE"",""""))))"),"Myn")</f>
        <v>Myn</v>
      </c>
      <c r="L1144" s="46" t="s">
        <v>2000</v>
      </c>
      <c r="M1144" s="48">
        <v>45255.46068287037</v>
      </c>
    </row>
    <row r="1145">
      <c r="A1145" s="47">
        <v>45253.69249260417</v>
      </c>
      <c r="B1145" s="46" t="s">
        <v>1018</v>
      </c>
      <c r="C1145" s="46">
        <v>8.8008189E9</v>
      </c>
      <c r="D1145" s="46"/>
      <c r="E1145" s="46"/>
      <c r="F1145" s="46"/>
      <c r="G1145" s="46" t="s">
        <v>303</v>
      </c>
      <c r="H1145" s="46" t="s">
        <v>701</v>
      </c>
      <c r="I1145" s="46"/>
      <c r="J1145" s="46"/>
      <c r="K1145" s="46" t="str">
        <f>IFERROR(__xludf.DUMMYFUNCTION("if(A1145="""","""",IF(G1145="""",""Myn"",IF(REGEXMATCH(lower(G1145),""mynn""),""Myn"",if(G1145&lt;&gt;"""",""GEMTRE"",""""))))"),"Myn")</f>
        <v>Myn</v>
      </c>
      <c r="L1145" s="46" t="s">
        <v>2000</v>
      </c>
      <c r="M1145" s="48">
        <v>45255.46068287037</v>
      </c>
    </row>
    <row r="1146">
      <c r="A1146" s="47">
        <v>45253.695048587964</v>
      </c>
      <c r="B1146" s="46" t="s">
        <v>1438</v>
      </c>
      <c r="C1146" s="46">
        <v>8.527143705E9</v>
      </c>
      <c r="D1146" s="46"/>
      <c r="E1146" s="46" t="s">
        <v>71</v>
      </c>
      <c r="F1146" s="46"/>
      <c r="G1146" s="46" t="s">
        <v>303</v>
      </c>
      <c r="H1146" s="46" t="s">
        <v>706</v>
      </c>
      <c r="I1146" s="46"/>
      <c r="J1146" s="46"/>
      <c r="K1146" s="46" t="str">
        <f>IFERROR(__xludf.DUMMYFUNCTION("if(A1146="""","""",IF(G1146="""",""Myn"",IF(REGEXMATCH(lower(G1146),""mynn""),""Myn"",if(G1146&lt;&gt;"""",""GEMTRE"",""""))))"),"Myn")</f>
        <v>Myn</v>
      </c>
      <c r="L1146" s="46" t="s">
        <v>2000</v>
      </c>
      <c r="M1146" s="48">
        <v>45255.46068287037</v>
      </c>
    </row>
    <row r="1147">
      <c r="A1147" s="47">
        <v>45253.697571365745</v>
      </c>
      <c r="B1147" s="46" t="s">
        <v>1439</v>
      </c>
      <c r="C1147" s="46">
        <v>8.076208273E9</v>
      </c>
      <c r="D1147" s="46"/>
      <c r="E1147" s="46" t="s">
        <v>764</v>
      </c>
      <c r="F1147" s="46"/>
      <c r="G1147" s="46" t="s">
        <v>303</v>
      </c>
      <c r="H1147" s="46" t="s">
        <v>706</v>
      </c>
      <c r="I1147" s="46"/>
      <c r="J1147" s="46"/>
      <c r="K1147" s="46" t="str">
        <f>IFERROR(__xludf.DUMMYFUNCTION("if(A1147="""","""",IF(G1147="""",""Myn"",IF(REGEXMATCH(lower(G1147),""mynn""),""Myn"",if(G1147&lt;&gt;"""",""GEMTRE"",""""))))"),"Myn")</f>
        <v>Myn</v>
      </c>
      <c r="L1147" s="46" t="s">
        <v>2000</v>
      </c>
      <c r="M1147" s="48">
        <v>45255.46068287037</v>
      </c>
    </row>
    <row r="1148">
      <c r="A1148" s="47">
        <v>45253.69785011574</v>
      </c>
      <c r="B1148" s="46" t="s">
        <v>1440</v>
      </c>
      <c r="C1148" s="46">
        <v>9.910940756E9</v>
      </c>
      <c r="D1148" s="46"/>
      <c r="E1148" s="46"/>
      <c r="F1148" s="46"/>
      <c r="G1148" s="46" t="s">
        <v>303</v>
      </c>
      <c r="H1148" s="46" t="s">
        <v>701</v>
      </c>
      <c r="I1148" s="46"/>
      <c r="J1148" s="46"/>
      <c r="K1148" s="46" t="str">
        <f>IFERROR(__xludf.DUMMYFUNCTION("if(A1148="""","""",IF(G1148="""",""Myn"",IF(REGEXMATCH(lower(G1148),""mynn""),""Myn"",if(G1148&lt;&gt;"""",""GEMTRE"",""""))))"),"Myn")</f>
        <v>Myn</v>
      </c>
      <c r="L1148" s="46" t="s">
        <v>2000</v>
      </c>
      <c r="M1148" s="48">
        <v>45255.46068287037</v>
      </c>
    </row>
    <row r="1149">
      <c r="A1149" s="47">
        <v>45253.6982474074</v>
      </c>
      <c r="B1149" s="46" t="s">
        <v>1441</v>
      </c>
      <c r="C1149" s="46">
        <v>9.999210796E9</v>
      </c>
      <c r="D1149" s="46"/>
      <c r="E1149" s="46" t="s">
        <v>71</v>
      </c>
      <c r="F1149" s="46"/>
      <c r="G1149" s="46" t="s">
        <v>303</v>
      </c>
      <c r="H1149" s="46" t="s">
        <v>706</v>
      </c>
      <c r="I1149" s="46"/>
      <c r="J1149" s="46"/>
      <c r="K1149" s="46" t="str">
        <f>IFERROR(__xludf.DUMMYFUNCTION("if(A1149="""","""",IF(G1149="""",""Myn"",IF(REGEXMATCH(lower(G1149),""mynn""),""Myn"",if(G1149&lt;&gt;"""",""GEMTRE"",""""))))"),"Myn")</f>
        <v>Myn</v>
      </c>
      <c r="L1149" s="46" t="s">
        <v>2000</v>
      </c>
      <c r="M1149" s="48">
        <v>45255.46068287037</v>
      </c>
    </row>
    <row r="1150">
      <c r="A1150" s="47">
        <v>45253.70172483796</v>
      </c>
      <c r="B1150" s="46" t="s">
        <v>1341</v>
      </c>
      <c r="C1150" s="46">
        <v>8.899812772E9</v>
      </c>
      <c r="D1150" s="46"/>
      <c r="E1150" s="46"/>
      <c r="F1150" s="46"/>
      <c r="G1150" s="46" t="s">
        <v>303</v>
      </c>
      <c r="H1150" s="46" t="s">
        <v>701</v>
      </c>
      <c r="I1150" s="46"/>
      <c r="J1150" s="46"/>
      <c r="K1150" s="46" t="str">
        <f>IFERROR(__xludf.DUMMYFUNCTION("if(A1150="""","""",IF(G1150="""",""Myn"",IF(REGEXMATCH(lower(G1150),""mynn""),""Myn"",if(G1150&lt;&gt;"""",""GEMTRE"",""""))))"),"Myn")</f>
        <v>Myn</v>
      </c>
      <c r="L1150" s="46" t="s">
        <v>2000</v>
      </c>
      <c r="M1150" s="48">
        <v>45255.46068287037</v>
      </c>
    </row>
    <row r="1151">
      <c r="A1151" s="47">
        <v>45253.70607972222</v>
      </c>
      <c r="B1151" s="46" t="s">
        <v>1442</v>
      </c>
      <c r="C1151" s="46">
        <v>9.891895787E9</v>
      </c>
      <c r="D1151" s="46"/>
      <c r="E1151" s="46"/>
      <c r="F1151" s="46"/>
      <c r="G1151" s="46" t="s">
        <v>303</v>
      </c>
      <c r="H1151" s="46" t="s">
        <v>701</v>
      </c>
      <c r="I1151" s="46"/>
      <c r="J1151" s="46"/>
      <c r="K1151" s="46" t="str">
        <f>IFERROR(__xludf.DUMMYFUNCTION("if(A1151="""","""",IF(G1151="""",""Myn"",IF(REGEXMATCH(lower(G1151),""mynn""),""Myn"",if(G1151&lt;&gt;"""",""GEMTRE"",""""))))"),"Myn")</f>
        <v>Myn</v>
      </c>
      <c r="L1151" s="46" t="s">
        <v>2000</v>
      </c>
      <c r="M1151" s="48">
        <v>45255.46068287037</v>
      </c>
    </row>
    <row r="1152">
      <c r="A1152" s="47">
        <v>45253.70672714121</v>
      </c>
      <c r="B1152" s="46" t="s">
        <v>1443</v>
      </c>
      <c r="C1152" s="46">
        <v>9.71622356E9</v>
      </c>
      <c r="D1152" s="46"/>
      <c r="E1152" s="46"/>
      <c r="F1152" s="46"/>
      <c r="G1152" s="46" t="s">
        <v>303</v>
      </c>
      <c r="H1152" s="46" t="s">
        <v>701</v>
      </c>
      <c r="I1152" s="46"/>
      <c r="J1152" s="46"/>
      <c r="K1152" s="46" t="str">
        <f>IFERROR(__xludf.DUMMYFUNCTION("if(A1152="""","""",IF(G1152="""",""Myn"",IF(REGEXMATCH(lower(G1152),""mynn""),""Myn"",if(G1152&lt;&gt;"""",""GEMTRE"",""""))))"),"Myn")</f>
        <v>Myn</v>
      </c>
      <c r="L1152" s="46" t="s">
        <v>2000</v>
      </c>
      <c r="M1152" s="48">
        <v>45255.46068287037</v>
      </c>
    </row>
    <row r="1153">
      <c r="A1153" s="47">
        <v>45253.707215104165</v>
      </c>
      <c r="B1153" s="46" t="s">
        <v>1444</v>
      </c>
      <c r="C1153" s="46">
        <v>9.312939315E9</v>
      </c>
      <c r="D1153" s="46"/>
      <c r="E1153" s="46"/>
      <c r="F1153" s="46"/>
      <c r="G1153" s="46" t="s">
        <v>303</v>
      </c>
      <c r="H1153" s="46" t="s">
        <v>701</v>
      </c>
      <c r="I1153" s="46"/>
      <c r="J1153" s="46"/>
      <c r="K1153" s="46" t="str">
        <f>IFERROR(__xludf.DUMMYFUNCTION("if(A1153="""","""",IF(G1153="""",""Myn"",IF(REGEXMATCH(lower(G1153),""mynn""),""Myn"",if(G1153&lt;&gt;"""",""GEMTRE"",""""))))"),"Myn")</f>
        <v>Myn</v>
      </c>
      <c r="L1153" s="46" t="s">
        <v>2000</v>
      </c>
      <c r="M1153" s="48">
        <v>45255.46068287037</v>
      </c>
    </row>
    <row r="1154">
      <c r="A1154" s="47">
        <v>45253.7076293287</v>
      </c>
      <c r="B1154" s="46" t="s">
        <v>1445</v>
      </c>
      <c r="C1154" s="46">
        <v>6.268776844E9</v>
      </c>
      <c r="D1154" s="46"/>
      <c r="E1154" s="46" t="s">
        <v>15</v>
      </c>
      <c r="F1154" s="46"/>
      <c r="G1154" s="46" t="s">
        <v>303</v>
      </c>
      <c r="H1154" s="46" t="s">
        <v>706</v>
      </c>
      <c r="I1154" s="46"/>
      <c r="J1154" s="46"/>
      <c r="K1154" s="46" t="str">
        <f>IFERROR(__xludf.DUMMYFUNCTION("if(A1154="""","""",IF(G1154="""",""Myn"",IF(REGEXMATCH(lower(G1154),""mynn""),""Myn"",if(G1154&lt;&gt;"""",""GEMTRE"",""""))))"),"Myn")</f>
        <v>Myn</v>
      </c>
      <c r="L1154" s="46" t="s">
        <v>2000</v>
      </c>
      <c r="M1154" s="48">
        <v>45255.46068287037</v>
      </c>
    </row>
    <row r="1155">
      <c r="A1155" s="47">
        <v>45253.708570891205</v>
      </c>
      <c r="B1155" s="46" t="s">
        <v>1446</v>
      </c>
      <c r="C1155" s="46">
        <v>9.71697718E9</v>
      </c>
      <c r="D1155" s="46"/>
      <c r="E1155" s="46"/>
      <c r="F1155" s="46"/>
      <c r="G1155" s="46" t="s">
        <v>303</v>
      </c>
      <c r="H1155" s="46" t="s">
        <v>701</v>
      </c>
      <c r="I1155" s="46"/>
      <c r="J1155" s="46"/>
      <c r="K1155" s="46" t="str">
        <f>IFERROR(__xludf.DUMMYFUNCTION("if(A1155="""","""",IF(G1155="""",""Myn"",IF(REGEXMATCH(lower(G1155),""mynn""),""Myn"",if(G1155&lt;&gt;"""",""GEMTRE"",""""))))"),"Myn")</f>
        <v>Myn</v>
      </c>
      <c r="L1155" s="46" t="s">
        <v>2000</v>
      </c>
      <c r="M1155" s="48">
        <v>45255.46068287037</v>
      </c>
    </row>
    <row r="1156">
      <c r="A1156" s="47">
        <v>45253.71496164352</v>
      </c>
      <c r="B1156" s="46" t="s">
        <v>1447</v>
      </c>
      <c r="C1156" s="46">
        <v>9.899148028E9</v>
      </c>
      <c r="D1156" s="46"/>
      <c r="E1156" s="46" t="s">
        <v>227</v>
      </c>
      <c r="F1156" s="46"/>
      <c r="G1156" s="46" t="s">
        <v>303</v>
      </c>
      <c r="H1156" s="46" t="s">
        <v>706</v>
      </c>
      <c r="I1156" s="46"/>
      <c r="J1156" s="46"/>
      <c r="K1156" s="46" t="str">
        <f>IFERROR(__xludf.DUMMYFUNCTION("if(A1156="""","""",IF(G1156="""",""Myn"",IF(REGEXMATCH(lower(G1156),""mynn""),""Myn"",if(G1156&lt;&gt;"""",""GEMTRE"",""""))))"),"Myn")</f>
        <v>Myn</v>
      </c>
      <c r="L1156" s="46" t="s">
        <v>2000</v>
      </c>
      <c r="M1156" s="48">
        <v>45255.46068287037</v>
      </c>
    </row>
    <row r="1157">
      <c r="A1157" s="47">
        <v>45253.71616428241</v>
      </c>
      <c r="B1157" s="46" t="s">
        <v>578</v>
      </c>
      <c r="C1157" s="46">
        <v>8.802701137E9</v>
      </c>
      <c r="D1157" s="46"/>
      <c r="E1157" s="46"/>
      <c r="F1157" s="46"/>
      <c r="G1157" s="46" t="s">
        <v>303</v>
      </c>
      <c r="H1157" s="46" t="s">
        <v>701</v>
      </c>
      <c r="I1157" s="46"/>
      <c r="J1157" s="46"/>
      <c r="K1157" s="46" t="str">
        <f>IFERROR(__xludf.DUMMYFUNCTION("if(A1157="""","""",IF(G1157="""",""Myn"",IF(REGEXMATCH(lower(G1157),""mynn""),""Myn"",if(G1157&lt;&gt;"""",""GEMTRE"",""""))))"),"Myn")</f>
        <v>Myn</v>
      </c>
      <c r="L1157" s="46" t="s">
        <v>2000</v>
      </c>
      <c r="M1157" s="48">
        <v>45255.46068287037</v>
      </c>
    </row>
    <row r="1158">
      <c r="A1158" s="47">
        <v>45253.717630810184</v>
      </c>
      <c r="B1158" s="46" t="s">
        <v>1448</v>
      </c>
      <c r="C1158" s="46">
        <v>9.968276693E9</v>
      </c>
      <c r="D1158" s="46"/>
      <c r="E1158" s="46" t="s">
        <v>15</v>
      </c>
      <c r="F1158" s="46"/>
      <c r="G1158" s="46" t="s">
        <v>303</v>
      </c>
      <c r="H1158" s="46" t="s">
        <v>706</v>
      </c>
      <c r="I1158" s="46"/>
      <c r="J1158" s="46"/>
      <c r="K1158" s="46" t="str">
        <f>IFERROR(__xludf.DUMMYFUNCTION("if(A1158="""","""",IF(G1158="""",""Myn"",IF(REGEXMATCH(lower(G1158),""mynn""),""Myn"",if(G1158&lt;&gt;"""",""GEMTRE"",""""))))"),"Myn")</f>
        <v>Myn</v>
      </c>
      <c r="L1158" s="46" t="s">
        <v>2000</v>
      </c>
      <c r="M1158" s="48">
        <v>45255.46068287037</v>
      </c>
    </row>
    <row r="1159">
      <c r="A1159" s="47">
        <v>45253.71902074074</v>
      </c>
      <c r="B1159" s="46" t="s">
        <v>1131</v>
      </c>
      <c r="C1159" s="46">
        <v>8.287873362E9</v>
      </c>
      <c r="D1159" s="46"/>
      <c r="E1159" s="46" t="s">
        <v>15</v>
      </c>
      <c r="F1159" s="46"/>
      <c r="G1159" s="46" t="s">
        <v>303</v>
      </c>
      <c r="H1159" s="46" t="s">
        <v>706</v>
      </c>
      <c r="I1159" s="46"/>
      <c r="J1159" s="46"/>
      <c r="K1159" s="46" t="str">
        <f>IFERROR(__xludf.DUMMYFUNCTION("if(A1159="""","""",IF(G1159="""",""Myn"",IF(REGEXMATCH(lower(G1159),""mynn""),""Myn"",if(G1159&lt;&gt;"""",""GEMTRE"",""""))))"),"Myn")</f>
        <v>Myn</v>
      </c>
      <c r="L1159" s="46" t="s">
        <v>2000</v>
      </c>
      <c r="M1159" s="48">
        <v>45255.46068287037</v>
      </c>
    </row>
    <row r="1160">
      <c r="A1160" s="47">
        <v>45253.72048872685</v>
      </c>
      <c r="B1160" s="46" t="s">
        <v>1449</v>
      </c>
      <c r="C1160" s="46">
        <v>8.368885439E9</v>
      </c>
      <c r="D1160" s="46"/>
      <c r="E1160" s="46" t="s">
        <v>1450</v>
      </c>
      <c r="F1160" s="46"/>
      <c r="G1160" s="46" t="s">
        <v>303</v>
      </c>
      <c r="H1160" s="46" t="s">
        <v>706</v>
      </c>
      <c r="I1160" s="46"/>
      <c r="J1160" s="46"/>
      <c r="K1160" s="46" t="str">
        <f>IFERROR(__xludf.DUMMYFUNCTION("if(A1160="""","""",IF(G1160="""",""Myn"",IF(REGEXMATCH(lower(G1160),""mynn""),""Myn"",if(G1160&lt;&gt;"""",""GEMTRE"",""""))))"),"Myn")</f>
        <v>Myn</v>
      </c>
      <c r="L1160" s="46" t="s">
        <v>2000</v>
      </c>
      <c r="M1160" s="48">
        <v>45255.46068287037</v>
      </c>
    </row>
    <row r="1161">
      <c r="A1161" s="47">
        <v>45253.724258483795</v>
      </c>
      <c r="B1161" s="46" t="s">
        <v>1451</v>
      </c>
      <c r="C1161" s="46">
        <v>7.865438945E9</v>
      </c>
      <c r="D1161" s="46"/>
      <c r="E1161" s="46"/>
      <c r="F1161" s="46"/>
      <c r="G1161" s="46" t="s">
        <v>303</v>
      </c>
      <c r="H1161" s="46" t="s">
        <v>701</v>
      </c>
      <c r="I1161" s="46"/>
      <c r="J1161" s="46"/>
      <c r="K1161" s="46" t="str">
        <f>IFERROR(__xludf.DUMMYFUNCTION("if(A1161="""","""",IF(G1161="""",""Myn"",IF(REGEXMATCH(lower(G1161),""mynn""),""Myn"",if(G1161&lt;&gt;"""",""GEMTRE"",""""))))"),"Myn")</f>
        <v>Myn</v>
      </c>
      <c r="L1161" s="46" t="s">
        <v>2000</v>
      </c>
      <c r="M1161" s="48">
        <v>45255.46068287037</v>
      </c>
    </row>
    <row r="1162">
      <c r="A1162" s="47">
        <v>45253.72593605324</v>
      </c>
      <c r="B1162" s="46" t="s">
        <v>1452</v>
      </c>
      <c r="C1162" s="46">
        <v>8.86090329E9</v>
      </c>
      <c r="D1162" s="46"/>
      <c r="E1162" s="46" t="s">
        <v>71</v>
      </c>
      <c r="F1162" s="46"/>
      <c r="G1162" s="46" t="s">
        <v>303</v>
      </c>
      <c r="H1162" s="46" t="s">
        <v>706</v>
      </c>
      <c r="I1162" s="46"/>
      <c r="J1162" s="46"/>
      <c r="K1162" s="46" t="str">
        <f>IFERROR(__xludf.DUMMYFUNCTION("if(A1162="""","""",IF(G1162="""",""Myn"",IF(REGEXMATCH(lower(G1162),""mynn""),""Myn"",if(G1162&lt;&gt;"""",""GEMTRE"",""""))))"),"Myn")</f>
        <v>Myn</v>
      </c>
      <c r="L1162" s="46" t="s">
        <v>2000</v>
      </c>
      <c r="M1162" s="48">
        <v>45255.46068287037</v>
      </c>
    </row>
    <row r="1163">
      <c r="A1163" s="47">
        <v>45253.72628092593</v>
      </c>
      <c r="B1163" s="46" t="s">
        <v>1453</v>
      </c>
      <c r="C1163" s="46">
        <v>8.766230092E9</v>
      </c>
      <c r="D1163" s="46"/>
      <c r="E1163" s="46"/>
      <c r="F1163" s="46"/>
      <c r="G1163" s="46" t="s">
        <v>303</v>
      </c>
      <c r="H1163" s="46" t="s">
        <v>701</v>
      </c>
      <c r="I1163" s="46"/>
      <c r="J1163" s="46"/>
      <c r="K1163" s="46" t="str">
        <f>IFERROR(__xludf.DUMMYFUNCTION("if(A1163="""","""",IF(G1163="""",""Myn"",IF(REGEXMATCH(lower(G1163),""mynn""),""Myn"",if(G1163&lt;&gt;"""",""GEMTRE"",""""))))"),"Myn")</f>
        <v>Myn</v>
      </c>
      <c r="L1163" s="46" t="s">
        <v>2000</v>
      </c>
      <c r="M1163" s="48">
        <v>45255.46068287037</v>
      </c>
    </row>
    <row r="1164">
      <c r="A1164" s="47">
        <v>45253.729846284725</v>
      </c>
      <c r="B1164" s="46" t="s">
        <v>1454</v>
      </c>
      <c r="C1164" s="46">
        <v>8.81049345E9</v>
      </c>
      <c r="D1164" s="46"/>
      <c r="E1164" s="46" t="s">
        <v>79</v>
      </c>
      <c r="F1164" s="46"/>
      <c r="G1164" s="46" t="s">
        <v>303</v>
      </c>
      <c r="H1164" s="46" t="s">
        <v>706</v>
      </c>
      <c r="I1164" s="46"/>
      <c r="J1164" s="46"/>
      <c r="K1164" s="46" t="str">
        <f>IFERROR(__xludf.DUMMYFUNCTION("if(A1164="""","""",IF(G1164="""",""Myn"",IF(REGEXMATCH(lower(G1164),""mynn""),""Myn"",if(G1164&lt;&gt;"""",""GEMTRE"",""""))))"),"Myn")</f>
        <v>Myn</v>
      </c>
      <c r="L1164" s="46" t="s">
        <v>2000</v>
      </c>
      <c r="M1164" s="48">
        <v>45255.46068287037</v>
      </c>
    </row>
    <row r="1165">
      <c r="A1165" s="47">
        <v>45253.730125381946</v>
      </c>
      <c r="B1165" s="46" t="s">
        <v>1455</v>
      </c>
      <c r="C1165" s="46">
        <v>7.303909823E9</v>
      </c>
      <c r="D1165" s="46"/>
      <c r="E1165" s="46"/>
      <c r="F1165" s="46"/>
      <c r="G1165" s="46" t="s">
        <v>303</v>
      </c>
      <c r="H1165" s="46" t="s">
        <v>706</v>
      </c>
      <c r="I1165" s="46"/>
      <c r="J1165" s="46"/>
      <c r="K1165" s="46" t="str">
        <f>IFERROR(__xludf.DUMMYFUNCTION("if(A1165="""","""",IF(G1165="""",""Myn"",IF(REGEXMATCH(lower(G1165),""mynn""),""Myn"",if(G1165&lt;&gt;"""",""GEMTRE"",""""))))"),"Myn")</f>
        <v>Myn</v>
      </c>
      <c r="L1165" s="46" t="s">
        <v>2000</v>
      </c>
      <c r="M1165" s="48">
        <v>45255.46068287037</v>
      </c>
    </row>
    <row r="1166">
      <c r="A1166" s="47">
        <v>45253.73040583333</v>
      </c>
      <c r="B1166" s="46" t="s">
        <v>1456</v>
      </c>
      <c r="C1166" s="46">
        <v>9.910279845E9</v>
      </c>
      <c r="D1166" s="46"/>
      <c r="E1166" s="46" t="s">
        <v>1407</v>
      </c>
      <c r="F1166" s="46"/>
      <c r="G1166" s="46" t="s">
        <v>303</v>
      </c>
      <c r="H1166" s="46" t="s">
        <v>706</v>
      </c>
      <c r="I1166" s="46"/>
      <c r="J1166" s="46"/>
      <c r="K1166" s="46" t="str">
        <f>IFERROR(__xludf.DUMMYFUNCTION("if(A1166="""","""",IF(G1166="""",""Myn"",IF(REGEXMATCH(lower(G1166),""mynn""),""Myn"",if(G1166&lt;&gt;"""",""GEMTRE"",""""))))"),"Myn")</f>
        <v>Myn</v>
      </c>
      <c r="L1166" s="46" t="s">
        <v>2000</v>
      </c>
      <c r="M1166" s="48">
        <v>45255.46068287037</v>
      </c>
    </row>
    <row r="1167">
      <c r="A1167" s="47">
        <v>45253.73516128473</v>
      </c>
      <c r="B1167" s="46" t="s">
        <v>1457</v>
      </c>
      <c r="C1167" s="46">
        <v>9.999705679E9</v>
      </c>
      <c r="D1167" s="46"/>
      <c r="E1167" s="46" t="s">
        <v>15</v>
      </c>
      <c r="F1167" s="46"/>
      <c r="G1167" s="46" t="s">
        <v>303</v>
      </c>
      <c r="H1167" s="46" t="s">
        <v>706</v>
      </c>
      <c r="I1167" s="46"/>
      <c r="J1167" s="46"/>
      <c r="K1167" s="46" t="str">
        <f>IFERROR(__xludf.DUMMYFUNCTION("if(A1167="""","""",IF(G1167="""",""Myn"",IF(REGEXMATCH(lower(G1167),""mynn""),""Myn"",if(G1167&lt;&gt;"""",""GEMTRE"",""""))))"),"Myn")</f>
        <v>Myn</v>
      </c>
      <c r="L1167" s="46" t="s">
        <v>2000</v>
      </c>
      <c r="M1167" s="48">
        <v>45255.46068287037</v>
      </c>
    </row>
    <row r="1168">
      <c r="A1168" s="47">
        <v>45253.744683888886</v>
      </c>
      <c r="B1168" s="46" t="s">
        <v>1458</v>
      </c>
      <c r="C1168" s="46">
        <v>9.953439074E9</v>
      </c>
      <c r="D1168" s="46"/>
      <c r="E1168" s="46"/>
      <c r="F1168" s="46"/>
      <c r="G1168" s="46" t="s">
        <v>303</v>
      </c>
      <c r="H1168" s="46" t="s">
        <v>701</v>
      </c>
      <c r="I1168" s="46"/>
      <c r="J1168" s="46"/>
      <c r="K1168" s="46" t="str">
        <f>IFERROR(__xludf.DUMMYFUNCTION("if(A1168="""","""",IF(G1168="""",""Myn"",IF(REGEXMATCH(lower(G1168),""mynn""),""Myn"",if(G1168&lt;&gt;"""",""GEMTRE"",""""))))"),"Myn")</f>
        <v>Myn</v>
      </c>
      <c r="L1168" s="46" t="s">
        <v>2000</v>
      </c>
      <c r="M1168" s="48">
        <v>45255.46068287037</v>
      </c>
    </row>
    <row r="1169">
      <c r="A1169" s="47">
        <v>45253.753512337964</v>
      </c>
      <c r="B1169" s="46" t="s">
        <v>1459</v>
      </c>
      <c r="C1169" s="46">
        <v>9.654263111E9</v>
      </c>
      <c r="D1169" s="46"/>
      <c r="E1169" s="46"/>
      <c r="F1169" s="46"/>
      <c r="G1169" s="46" t="s">
        <v>303</v>
      </c>
      <c r="H1169" s="46" t="s">
        <v>701</v>
      </c>
      <c r="I1169" s="46"/>
      <c r="J1169" s="46"/>
      <c r="K1169" s="46" t="str">
        <f>IFERROR(__xludf.DUMMYFUNCTION("if(A1169="""","""",IF(G1169="""",""Myn"",IF(REGEXMATCH(lower(G1169),""mynn""),""Myn"",if(G1169&lt;&gt;"""",""GEMTRE"",""""))))"),"Myn")</f>
        <v>Myn</v>
      </c>
      <c r="L1169" s="46" t="s">
        <v>2000</v>
      </c>
      <c r="M1169" s="48">
        <v>45255.46068287037</v>
      </c>
    </row>
    <row r="1170">
      <c r="A1170" s="47">
        <v>45253.75671484954</v>
      </c>
      <c r="B1170" s="46" t="s">
        <v>1460</v>
      </c>
      <c r="C1170" s="46">
        <v>9.810060342E9</v>
      </c>
      <c r="D1170" s="46"/>
      <c r="E1170" s="46"/>
      <c r="F1170" s="46"/>
      <c r="G1170" s="46" t="s">
        <v>303</v>
      </c>
      <c r="H1170" s="46" t="s">
        <v>706</v>
      </c>
      <c r="I1170" s="46"/>
      <c r="J1170" s="46"/>
      <c r="K1170" s="46" t="str">
        <f>IFERROR(__xludf.DUMMYFUNCTION("if(A1170="""","""",IF(G1170="""",""Myn"",IF(REGEXMATCH(lower(G1170),""mynn""),""Myn"",if(G1170&lt;&gt;"""",""GEMTRE"",""""))))"),"Myn")</f>
        <v>Myn</v>
      </c>
      <c r="L1170" s="46" t="s">
        <v>2000</v>
      </c>
      <c r="M1170" s="48">
        <v>45255.46068287037</v>
      </c>
    </row>
    <row r="1171">
      <c r="A1171" s="47">
        <v>45253.75823900463</v>
      </c>
      <c r="B1171" s="46" t="s">
        <v>1461</v>
      </c>
      <c r="C1171" s="46">
        <v>9.711915674E9</v>
      </c>
      <c r="D1171" s="46"/>
      <c r="E1171" s="46"/>
      <c r="F1171" s="46"/>
      <c r="G1171" s="46" t="s">
        <v>303</v>
      </c>
      <c r="H1171" s="46" t="s">
        <v>701</v>
      </c>
      <c r="I1171" s="46"/>
      <c r="J1171" s="46"/>
      <c r="K1171" s="46" t="str">
        <f>IFERROR(__xludf.DUMMYFUNCTION("if(A1171="""","""",IF(G1171="""",""Myn"",IF(REGEXMATCH(lower(G1171),""mynn""),""Myn"",if(G1171&lt;&gt;"""",""GEMTRE"",""""))))"),"Myn")</f>
        <v>Myn</v>
      </c>
      <c r="L1171" s="46" t="s">
        <v>2000</v>
      </c>
      <c r="M1171" s="48">
        <v>45255.46068287037</v>
      </c>
    </row>
    <row r="1172">
      <c r="A1172" s="47">
        <v>45253.761114050925</v>
      </c>
      <c r="B1172" s="46" t="s">
        <v>1462</v>
      </c>
      <c r="C1172" s="46">
        <v>9.911283363E9</v>
      </c>
      <c r="D1172" s="46"/>
      <c r="E1172" s="46" t="s">
        <v>608</v>
      </c>
      <c r="F1172" s="46"/>
      <c r="G1172" s="46" t="s">
        <v>303</v>
      </c>
      <c r="H1172" s="46" t="s">
        <v>706</v>
      </c>
      <c r="I1172" s="46"/>
      <c r="J1172" s="46"/>
      <c r="K1172" s="46" t="str">
        <f>IFERROR(__xludf.DUMMYFUNCTION("if(A1172="""","""",IF(G1172="""",""Myn"",IF(REGEXMATCH(lower(G1172),""mynn""),""Myn"",if(G1172&lt;&gt;"""",""GEMTRE"",""""))))"),"Myn")</f>
        <v>Myn</v>
      </c>
      <c r="L1172" s="46" t="s">
        <v>2000</v>
      </c>
      <c r="M1172" s="48">
        <v>45255.46068287037</v>
      </c>
    </row>
    <row r="1173">
      <c r="A1173" s="47">
        <v>45253.76957928241</v>
      </c>
      <c r="B1173" s="46" t="s">
        <v>1463</v>
      </c>
      <c r="C1173" s="46">
        <v>9.330474187E9</v>
      </c>
      <c r="D1173" s="46"/>
      <c r="E1173" s="46"/>
      <c r="F1173" s="46"/>
      <c r="G1173" s="46" t="s">
        <v>303</v>
      </c>
      <c r="H1173" s="46" t="s">
        <v>701</v>
      </c>
      <c r="I1173" s="46"/>
      <c r="J1173" s="46"/>
      <c r="K1173" s="46" t="str">
        <f>IFERROR(__xludf.DUMMYFUNCTION("if(A1173="""","""",IF(G1173="""",""Myn"",IF(REGEXMATCH(lower(G1173),""mynn""),""Myn"",if(G1173&lt;&gt;"""",""GEMTRE"",""""))))"),"Myn")</f>
        <v>Myn</v>
      </c>
      <c r="L1173" s="46" t="s">
        <v>2000</v>
      </c>
      <c r="M1173" s="48">
        <v>45255.46068287037</v>
      </c>
    </row>
    <row r="1174">
      <c r="A1174" s="47">
        <v>45253.78101229167</v>
      </c>
      <c r="B1174" s="46" t="s">
        <v>1464</v>
      </c>
      <c r="C1174" s="46">
        <v>9.250514939E9</v>
      </c>
      <c r="D1174" s="46"/>
      <c r="E1174" s="46"/>
      <c r="F1174" s="46"/>
      <c r="G1174" s="46" t="s">
        <v>303</v>
      </c>
      <c r="H1174" s="46" t="s">
        <v>706</v>
      </c>
      <c r="I1174" s="46"/>
      <c r="J1174" s="46"/>
      <c r="K1174" s="46" t="str">
        <f>IFERROR(__xludf.DUMMYFUNCTION("if(A1174="""","""",IF(G1174="""",""Myn"",IF(REGEXMATCH(lower(G1174),""mynn""),""Myn"",if(G1174&lt;&gt;"""",""GEMTRE"",""""))))"),"Myn")</f>
        <v>Myn</v>
      </c>
      <c r="L1174" s="46" t="s">
        <v>2000</v>
      </c>
      <c r="M1174" s="48">
        <v>45255.46068287037</v>
      </c>
    </row>
    <row r="1175">
      <c r="A1175" s="47">
        <v>45253.78393704861</v>
      </c>
      <c r="B1175" s="46" t="s">
        <v>1465</v>
      </c>
      <c r="C1175" s="46">
        <v>8.447181518E9</v>
      </c>
      <c r="D1175" s="46"/>
      <c r="E1175" s="46" t="s">
        <v>13</v>
      </c>
      <c r="F1175" s="46"/>
      <c r="G1175" s="46" t="s">
        <v>303</v>
      </c>
      <c r="H1175" s="46" t="s">
        <v>706</v>
      </c>
      <c r="I1175" s="46"/>
      <c r="J1175" s="46"/>
      <c r="K1175" s="46" t="str">
        <f>IFERROR(__xludf.DUMMYFUNCTION("if(A1175="""","""",IF(G1175="""",""Myn"",IF(REGEXMATCH(lower(G1175),""mynn""),""Myn"",if(G1175&lt;&gt;"""",""GEMTRE"",""""))))"),"Myn")</f>
        <v>Myn</v>
      </c>
      <c r="L1175" s="46" t="s">
        <v>2000</v>
      </c>
      <c r="M1175" s="48">
        <v>45255.46068287037</v>
      </c>
    </row>
    <row r="1176">
      <c r="A1176" s="47">
        <v>45253.78542829861</v>
      </c>
      <c r="B1176" s="46" t="s">
        <v>1466</v>
      </c>
      <c r="C1176" s="46">
        <v>9.953333888E9</v>
      </c>
      <c r="D1176" s="46"/>
      <c r="E1176" s="46" t="s">
        <v>227</v>
      </c>
      <c r="F1176" s="46"/>
      <c r="G1176" s="46" t="s">
        <v>303</v>
      </c>
      <c r="H1176" s="46" t="s">
        <v>706</v>
      </c>
      <c r="I1176" s="46"/>
      <c r="J1176" s="46"/>
      <c r="K1176" s="46" t="str">
        <f>IFERROR(__xludf.DUMMYFUNCTION("if(A1176="""","""",IF(G1176="""",""Myn"",IF(REGEXMATCH(lower(G1176),""mynn""),""Myn"",if(G1176&lt;&gt;"""",""GEMTRE"",""""))))"),"Myn")</f>
        <v>Myn</v>
      </c>
      <c r="L1176" s="46" t="s">
        <v>2000</v>
      </c>
      <c r="M1176" s="48">
        <v>45255.46068287037</v>
      </c>
    </row>
    <row r="1177">
      <c r="A1177" s="47">
        <v>45253.787566493054</v>
      </c>
      <c r="B1177" s="46" t="s">
        <v>1467</v>
      </c>
      <c r="C1177" s="46">
        <v>9.891213715E9</v>
      </c>
      <c r="D1177" s="46"/>
      <c r="E1177" s="46" t="s">
        <v>227</v>
      </c>
      <c r="F1177" s="46"/>
      <c r="G1177" s="46" t="s">
        <v>303</v>
      </c>
      <c r="H1177" s="46" t="s">
        <v>706</v>
      </c>
      <c r="I1177" s="46"/>
      <c r="J1177" s="46"/>
      <c r="K1177" s="46" t="str">
        <f>IFERROR(__xludf.DUMMYFUNCTION("if(A1177="""","""",IF(G1177="""",""Myn"",IF(REGEXMATCH(lower(G1177),""mynn""),""Myn"",if(G1177&lt;&gt;"""",""GEMTRE"",""""))))"),"Myn")</f>
        <v>Myn</v>
      </c>
      <c r="L1177" s="46" t="s">
        <v>2000</v>
      </c>
      <c r="M1177" s="48">
        <v>45255.46068287037</v>
      </c>
    </row>
    <row r="1178">
      <c r="A1178" s="47">
        <v>45253.78868952546</v>
      </c>
      <c r="B1178" s="46" t="s">
        <v>1468</v>
      </c>
      <c r="C1178" s="46">
        <v>9.990461394E9</v>
      </c>
      <c r="D1178" s="46"/>
      <c r="E1178" s="46"/>
      <c r="F1178" s="46"/>
      <c r="G1178" s="46" t="s">
        <v>303</v>
      </c>
      <c r="H1178" s="46" t="s">
        <v>701</v>
      </c>
      <c r="I1178" s="46"/>
      <c r="J1178" s="46"/>
      <c r="K1178" s="46" t="str">
        <f>IFERROR(__xludf.DUMMYFUNCTION("if(A1178="""","""",IF(G1178="""",""Myn"",IF(REGEXMATCH(lower(G1178),""mynn""),""Myn"",if(G1178&lt;&gt;"""",""GEMTRE"",""""))))"),"Myn")</f>
        <v>Myn</v>
      </c>
      <c r="L1178" s="46" t="s">
        <v>2000</v>
      </c>
      <c r="M1178" s="48">
        <v>45255.46068287037</v>
      </c>
    </row>
    <row r="1179">
      <c r="A1179" s="47">
        <v>45253.814275462966</v>
      </c>
      <c r="B1179" s="46" t="s">
        <v>1304</v>
      </c>
      <c r="C1179" s="46">
        <v>8.700163219E9</v>
      </c>
      <c r="D1179" s="46"/>
      <c r="E1179" s="46"/>
      <c r="F1179" s="46"/>
      <c r="G1179" s="46" t="s">
        <v>303</v>
      </c>
      <c r="H1179" s="46" t="s">
        <v>701</v>
      </c>
      <c r="I1179" s="46"/>
      <c r="J1179" s="46"/>
      <c r="K1179" s="46" t="str">
        <f>IFERROR(__xludf.DUMMYFUNCTION("if(A1179="""","""",IF(G1179="""",""Myn"",IF(REGEXMATCH(lower(G1179),""mynn""),""Myn"",if(G1179&lt;&gt;"""",""GEMTRE"",""""))))"),"Myn")</f>
        <v>Myn</v>
      </c>
      <c r="L1179" s="46" t="s">
        <v>2000</v>
      </c>
      <c r="M1179" s="48">
        <v>45255.46068287037</v>
      </c>
    </row>
    <row r="1180">
      <c r="A1180" s="47">
        <v>45254.5055715162</v>
      </c>
      <c r="B1180" s="46" t="s">
        <v>1469</v>
      </c>
      <c r="C1180" s="46">
        <v>9.729700362E9</v>
      </c>
      <c r="D1180" s="46"/>
      <c r="E1180" s="46" t="s">
        <v>13</v>
      </c>
      <c r="F1180" s="46"/>
      <c r="G1180" s="46" t="s">
        <v>303</v>
      </c>
      <c r="H1180" s="46" t="s">
        <v>706</v>
      </c>
      <c r="I1180" s="46"/>
      <c r="J1180" s="46"/>
      <c r="K1180" s="46" t="str">
        <f>IFERROR(__xludf.DUMMYFUNCTION("if(A1180="""","""",IF(G1180="""",""Myn"",IF(REGEXMATCH(lower(G1180),""mynn""),""Myn"",if(G1180&lt;&gt;"""",""GEMTRE"",""""))))"),"Myn")</f>
        <v>Myn</v>
      </c>
      <c r="L1180" s="46" t="s">
        <v>2000</v>
      </c>
      <c r="M1180" s="48">
        <v>45255.46068287037</v>
      </c>
    </row>
    <row r="1181">
      <c r="A1181" s="47">
        <v>45254.506235023146</v>
      </c>
      <c r="B1181" s="46" t="s">
        <v>1470</v>
      </c>
      <c r="C1181" s="46">
        <v>9.990624396E9</v>
      </c>
      <c r="D1181" s="46"/>
      <c r="E1181" s="46"/>
      <c r="F1181" s="46"/>
      <c r="G1181" s="46" t="s">
        <v>303</v>
      </c>
      <c r="H1181" s="46" t="s">
        <v>701</v>
      </c>
      <c r="I1181" s="46"/>
      <c r="J1181" s="46"/>
      <c r="K1181" s="46" t="str">
        <f>IFERROR(__xludf.DUMMYFUNCTION("if(A1181="""","""",IF(G1181="""",""Myn"",IF(REGEXMATCH(lower(G1181),""mynn""),""Myn"",if(G1181&lt;&gt;"""",""GEMTRE"",""""))))"),"Myn")</f>
        <v>Myn</v>
      </c>
      <c r="L1181" s="46" t="s">
        <v>2000</v>
      </c>
      <c r="M1181" s="48">
        <v>45255.46068287037</v>
      </c>
    </row>
    <row r="1182">
      <c r="A1182" s="47">
        <v>45254.50654814814</v>
      </c>
      <c r="B1182" s="46" t="s">
        <v>331</v>
      </c>
      <c r="C1182" s="46">
        <v>9.718664805E9</v>
      </c>
      <c r="D1182" s="46"/>
      <c r="E1182" s="46"/>
      <c r="F1182" s="46"/>
      <c r="G1182" s="46" t="s">
        <v>303</v>
      </c>
      <c r="H1182" s="46" t="s">
        <v>701</v>
      </c>
      <c r="I1182" s="46"/>
      <c r="J1182" s="46"/>
      <c r="K1182" s="46" t="str">
        <f>IFERROR(__xludf.DUMMYFUNCTION("if(A1182="""","""",IF(G1182="""",""Myn"",IF(REGEXMATCH(lower(G1182),""mynn""),""Myn"",if(G1182&lt;&gt;"""",""GEMTRE"",""""))))"),"Myn")</f>
        <v>Myn</v>
      </c>
      <c r="L1182" s="46" t="s">
        <v>2000</v>
      </c>
      <c r="M1182" s="48">
        <v>45255.46068287037</v>
      </c>
    </row>
    <row r="1183">
      <c r="A1183" s="47">
        <v>45254.507346134254</v>
      </c>
      <c r="B1183" s="46" t="s">
        <v>1471</v>
      </c>
      <c r="C1183" s="46">
        <v>6.392239885E9</v>
      </c>
      <c r="D1183" s="46"/>
      <c r="E1183" s="46"/>
      <c r="F1183" s="46"/>
      <c r="G1183" s="46" t="s">
        <v>303</v>
      </c>
      <c r="H1183" s="46" t="s">
        <v>701</v>
      </c>
      <c r="I1183" s="46"/>
      <c r="J1183" s="46"/>
      <c r="K1183" s="46" t="str">
        <f>IFERROR(__xludf.DUMMYFUNCTION("if(A1183="""","""",IF(G1183="""",""Myn"",IF(REGEXMATCH(lower(G1183),""mynn""),""Myn"",if(G1183&lt;&gt;"""",""GEMTRE"",""""))))"),"Myn")</f>
        <v>Myn</v>
      </c>
      <c r="L1183" s="46" t="s">
        <v>2000</v>
      </c>
      <c r="M1183" s="48">
        <v>45255.46068287037</v>
      </c>
    </row>
    <row r="1184">
      <c r="A1184" s="47">
        <v>45254.50841135417</v>
      </c>
      <c r="B1184" s="46" t="s">
        <v>1472</v>
      </c>
      <c r="C1184" s="46">
        <v>9.891798934E9</v>
      </c>
      <c r="D1184" s="46"/>
      <c r="E1184" s="46" t="s">
        <v>13</v>
      </c>
      <c r="F1184" s="46"/>
      <c r="G1184" s="46" t="s">
        <v>303</v>
      </c>
      <c r="H1184" s="46" t="s">
        <v>706</v>
      </c>
      <c r="I1184" s="46"/>
      <c r="J1184" s="46"/>
      <c r="K1184" s="46" t="str">
        <f>IFERROR(__xludf.DUMMYFUNCTION("if(A1184="""","""",IF(G1184="""",""Myn"",IF(REGEXMATCH(lower(G1184),""mynn""),""Myn"",if(G1184&lt;&gt;"""",""GEMTRE"",""""))))"),"Myn")</f>
        <v>Myn</v>
      </c>
      <c r="L1184" s="46" t="s">
        <v>2000</v>
      </c>
      <c r="M1184" s="48">
        <v>45255.46068287037</v>
      </c>
    </row>
    <row r="1185">
      <c r="A1185" s="47">
        <v>45254.508698923615</v>
      </c>
      <c r="B1185" s="46" t="s">
        <v>1142</v>
      </c>
      <c r="C1185" s="46">
        <v>9.971752785E9</v>
      </c>
      <c r="D1185" s="46"/>
      <c r="E1185" s="46" t="s">
        <v>79</v>
      </c>
      <c r="F1185" s="46"/>
      <c r="G1185" s="46" t="s">
        <v>303</v>
      </c>
      <c r="H1185" s="46" t="s">
        <v>706</v>
      </c>
      <c r="I1185" s="46"/>
      <c r="J1185" s="46"/>
      <c r="K1185" s="46" t="str">
        <f>IFERROR(__xludf.DUMMYFUNCTION("if(A1185="""","""",IF(G1185="""",""Myn"",IF(REGEXMATCH(lower(G1185),""mynn""),""Myn"",if(G1185&lt;&gt;"""",""GEMTRE"",""""))))"),"Myn")</f>
        <v>Myn</v>
      </c>
      <c r="L1185" s="46" t="s">
        <v>2000</v>
      </c>
      <c r="M1185" s="48">
        <v>45255.46068287037</v>
      </c>
    </row>
    <row r="1186">
      <c r="A1186" s="47">
        <v>45254.50978460648</v>
      </c>
      <c r="B1186" s="46" t="s">
        <v>1473</v>
      </c>
      <c r="C1186" s="46">
        <v>9.82141704E9</v>
      </c>
      <c r="D1186" s="46"/>
      <c r="E1186" s="46"/>
      <c r="F1186" s="46"/>
      <c r="G1186" s="46" t="s">
        <v>303</v>
      </c>
      <c r="H1186" s="46" t="s">
        <v>701</v>
      </c>
      <c r="I1186" s="46"/>
      <c r="J1186" s="46"/>
      <c r="K1186" s="46" t="str">
        <f>IFERROR(__xludf.DUMMYFUNCTION("if(A1186="""","""",IF(G1186="""",""Myn"",IF(REGEXMATCH(lower(G1186),""mynn""),""Myn"",if(G1186&lt;&gt;"""",""GEMTRE"",""""))))"),"Myn")</f>
        <v>Myn</v>
      </c>
      <c r="L1186" s="46" t="s">
        <v>2000</v>
      </c>
      <c r="M1186" s="48">
        <v>45255.46068287037</v>
      </c>
    </row>
    <row r="1187">
      <c r="A1187" s="47">
        <v>45254.51294472222</v>
      </c>
      <c r="B1187" s="46" t="s">
        <v>1474</v>
      </c>
      <c r="C1187" s="46">
        <v>7.309869999E9</v>
      </c>
      <c r="D1187" s="46"/>
      <c r="E1187" s="46"/>
      <c r="F1187" s="46"/>
      <c r="G1187" s="46" t="s">
        <v>303</v>
      </c>
      <c r="H1187" s="46" t="s">
        <v>701</v>
      </c>
      <c r="I1187" s="46"/>
      <c r="J1187" s="46"/>
      <c r="K1187" s="46" t="str">
        <f>IFERROR(__xludf.DUMMYFUNCTION("if(A1187="""","""",IF(G1187="""",""Myn"",IF(REGEXMATCH(lower(G1187),""mynn""),""Myn"",if(G1187&lt;&gt;"""",""GEMTRE"",""""))))"),"Myn")</f>
        <v>Myn</v>
      </c>
      <c r="L1187" s="46" t="s">
        <v>2000</v>
      </c>
      <c r="M1187" s="48">
        <v>45255.46068287037</v>
      </c>
    </row>
    <row r="1188">
      <c r="A1188" s="47">
        <v>45254.51307739584</v>
      </c>
      <c r="B1188" s="46" t="s">
        <v>1475</v>
      </c>
      <c r="C1188" s="46">
        <v>8.802267064E9</v>
      </c>
      <c r="D1188" s="46"/>
      <c r="E1188" s="46"/>
      <c r="F1188" s="46"/>
      <c r="G1188" s="46" t="s">
        <v>303</v>
      </c>
      <c r="H1188" s="46" t="s">
        <v>701</v>
      </c>
      <c r="I1188" s="46"/>
      <c r="J1188" s="46"/>
      <c r="K1188" s="46" t="str">
        <f>IFERROR(__xludf.DUMMYFUNCTION("if(A1188="""","""",IF(G1188="""",""Myn"",IF(REGEXMATCH(lower(G1188),""mynn""),""Myn"",if(G1188&lt;&gt;"""",""GEMTRE"",""""))))"),"Myn")</f>
        <v>Myn</v>
      </c>
      <c r="L1188" s="46" t="s">
        <v>2000</v>
      </c>
      <c r="M1188" s="48">
        <v>45255.46068287037</v>
      </c>
    </row>
    <row r="1189">
      <c r="A1189" s="47">
        <v>45254.513269918985</v>
      </c>
      <c r="B1189" s="46" t="s">
        <v>1476</v>
      </c>
      <c r="C1189" s="46">
        <v>9.91183818E9</v>
      </c>
      <c r="D1189" s="46"/>
      <c r="E1189" s="46"/>
      <c r="F1189" s="46"/>
      <c r="G1189" s="46" t="s">
        <v>303</v>
      </c>
      <c r="H1189" s="46" t="s">
        <v>701</v>
      </c>
      <c r="I1189" s="46"/>
      <c r="J1189" s="46"/>
      <c r="K1189" s="46" t="str">
        <f>IFERROR(__xludf.DUMMYFUNCTION("if(A1189="""","""",IF(G1189="""",""Myn"",IF(REGEXMATCH(lower(G1189),""mynn""),""Myn"",if(G1189&lt;&gt;"""",""GEMTRE"",""""))))"),"Myn")</f>
        <v>Myn</v>
      </c>
      <c r="L1189" s="46" t="s">
        <v>2000</v>
      </c>
      <c r="M1189" s="48">
        <v>45255.46068287037</v>
      </c>
    </row>
    <row r="1190">
      <c r="A1190" s="47">
        <v>45254.51389048611</v>
      </c>
      <c r="B1190" s="46" t="s">
        <v>1477</v>
      </c>
      <c r="C1190" s="46">
        <v>9.289289534E9</v>
      </c>
      <c r="D1190" s="46"/>
      <c r="E1190" s="46"/>
      <c r="F1190" s="46"/>
      <c r="G1190" s="46" t="s">
        <v>303</v>
      </c>
      <c r="H1190" s="46" t="s">
        <v>701</v>
      </c>
      <c r="I1190" s="46"/>
      <c r="J1190" s="46"/>
      <c r="K1190" s="46" t="str">
        <f>IFERROR(__xludf.DUMMYFUNCTION("if(A1190="""","""",IF(G1190="""",""Myn"",IF(REGEXMATCH(lower(G1190),""mynn""),""Myn"",if(G1190&lt;&gt;"""",""GEMTRE"",""""))))"),"Myn")</f>
        <v>Myn</v>
      </c>
      <c r="L1190" s="46" t="s">
        <v>2000</v>
      </c>
      <c r="M1190" s="48">
        <v>45255.46068287037</v>
      </c>
    </row>
    <row r="1191">
      <c r="A1191" s="47">
        <v>45254.51619381944</v>
      </c>
      <c r="B1191" s="46" t="s">
        <v>1478</v>
      </c>
      <c r="C1191" s="46">
        <v>6.307415417E9</v>
      </c>
      <c r="D1191" s="46"/>
      <c r="E1191" s="46"/>
      <c r="F1191" s="46"/>
      <c r="G1191" s="46" t="s">
        <v>303</v>
      </c>
      <c r="H1191" s="46" t="s">
        <v>701</v>
      </c>
      <c r="I1191" s="46"/>
      <c r="J1191" s="46"/>
      <c r="K1191" s="46" t="str">
        <f>IFERROR(__xludf.DUMMYFUNCTION("if(A1191="""","""",IF(G1191="""",""Myn"",IF(REGEXMATCH(lower(G1191),""mynn""),""Myn"",if(G1191&lt;&gt;"""",""GEMTRE"",""""))))"),"Myn")</f>
        <v>Myn</v>
      </c>
      <c r="L1191" s="46" t="s">
        <v>2000</v>
      </c>
      <c r="M1191" s="48">
        <v>45255.46068287037</v>
      </c>
    </row>
    <row r="1192">
      <c r="A1192" s="47">
        <v>45254.51698672454</v>
      </c>
      <c r="B1192" s="46" t="s">
        <v>1479</v>
      </c>
      <c r="C1192" s="46">
        <v>9.319783433E9</v>
      </c>
      <c r="D1192" s="46"/>
      <c r="E1192" s="46"/>
      <c r="F1192" s="46"/>
      <c r="G1192" s="46" t="s">
        <v>303</v>
      </c>
      <c r="H1192" s="46" t="s">
        <v>701</v>
      </c>
      <c r="I1192" s="46"/>
      <c r="J1192" s="46"/>
      <c r="K1192" s="46" t="str">
        <f>IFERROR(__xludf.DUMMYFUNCTION("if(A1192="""","""",IF(G1192="""",""Myn"",IF(REGEXMATCH(lower(G1192),""mynn""),""Myn"",if(G1192&lt;&gt;"""",""GEMTRE"",""""))))"),"Myn")</f>
        <v>Myn</v>
      </c>
      <c r="L1192" s="46" t="s">
        <v>2000</v>
      </c>
      <c r="M1192" s="48">
        <v>45255.46068287037</v>
      </c>
    </row>
    <row r="1193">
      <c r="A1193" s="47">
        <v>45254.51727336805</v>
      </c>
      <c r="B1193" s="46" t="s">
        <v>1480</v>
      </c>
      <c r="C1193" s="46">
        <v>8.59566401E9</v>
      </c>
      <c r="D1193" s="46"/>
      <c r="E1193" s="46"/>
      <c r="F1193" s="46"/>
      <c r="G1193" s="46" t="s">
        <v>303</v>
      </c>
      <c r="H1193" s="46" t="s">
        <v>701</v>
      </c>
      <c r="I1193" s="46"/>
      <c r="J1193" s="46"/>
      <c r="K1193" s="46" t="str">
        <f>IFERROR(__xludf.DUMMYFUNCTION("if(A1193="""","""",IF(G1193="""",""Myn"",IF(REGEXMATCH(lower(G1193),""mynn""),""Myn"",if(G1193&lt;&gt;"""",""GEMTRE"",""""))))"),"Myn")</f>
        <v>Myn</v>
      </c>
      <c r="L1193" s="46" t="s">
        <v>2000</v>
      </c>
      <c r="M1193" s="48">
        <v>45255.46068287037</v>
      </c>
    </row>
    <row r="1194">
      <c r="A1194" s="47">
        <v>45254.51747158565</v>
      </c>
      <c r="B1194" s="46" t="s">
        <v>1481</v>
      </c>
      <c r="C1194" s="46">
        <v>9.871918755E9</v>
      </c>
      <c r="D1194" s="46"/>
      <c r="E1194" s="46"/>
      <c r="F1194" s="46"/>
      <c r="G1194" s="46" t="s">
        <v>303</v>
      </c>
      <c r="H1194" s="46" t="s">
        <v>701</v>
      </c>
      <c r="I1194" s="46"/>
      <c r="J1194" s="46"/>
      <c r="K1194" s="46" t="str">
        <f>IFERROR(__xludf.DUMMYFUNCTION("if(A1194="""","""",IF(G1194="""",""Myn"",IF(REGEXMATCH(lower(G1194),""mynn""),""Myn"",if(G1194&lt;&gt;"""",""GEMTRE"",""""))))"),"Myn")</f>
        <v>Myn</v>
      </c>
      <c r="L1194" s="46" t="s">
        <v>2000</v>
      </c>
      <c r="M1194" s="48">
        <v>45255.46068287037</v>
      </c>
    </row>
    <row r="1195">
      <c r="A1195" s="47">
        <v>45254.51792085648</v>
      </c>
      <c r="B1195" s="46" t="s">
        <v>1482</v>
      </c>
      <c r="C1195" s="46">
        <v>7.21780303E9</v>
      </c>
      <c r="D1195" s="46"/>
      <c r="E1195" s="46"/>
      <c r="F1195" s="46"/>
      <c r="G1195" s="46" t="s">
        <v>303</v>
      </c>
      <c r="H1195" s="46" t="s">
        <v>701</v>
      </c>
      <c r="I1195" s="46"/>
      <c r="J1195" s="46"/>
      <c r="K1195" s="46" t="str">
        <f>IFERROR(__xludf.DUMMYFUNCTION("if(A1195="""","""",IF(G1195="""",""Myn"",IF(REGEXMATCH(lower(G1195),""mynn""),""Myn"",if(G1195&lt;&gt;"""",""GEMTRE"",""""))))"),"Myn")</f>
        <v>Myn</v>
      </c>
      <c r="L1195" s="46" t="s">
        <v>2000</v>
      </c>
      <c r="M1195" s="48">
        <v>45255.46068287037</v>
      </c>
    </row>
    <row r="1196">
      <c r="A1196" s="47">
        <v>45254.518316064816</v>
      </c>
      <c r="B1196" s="46" t="s">
        <v>1483</v>
      </c>
      <c r="C1196" s="46">
        <v>9.415420095E9</v>
      </c>
      <c r="D1196" s="46"/>
      <c r="E1196" s="46"/>
      <c r="F1196" s="46"/>
      <c r="G1196" s="46" t="s">
        <v>303</v>
      </c>
      <c r="H1196" s="46" t="s">
        <v>701</v>
      </c>
      <c r="I1196" s="46"/>
      <c r="J1196" s="46"/>
      <c r="K1196" s="46" t="str">
        <f>IFERROR(__xludf.DUMMYFUNCTION("if(A1196="""","""",IF(G1196="""",""Myn"",IF(REGEXMATCH(lower(G1196),""mynn""),""Myn"",if(G1196&lt;&gt;"""",""GEMTRE"",""""))))"),"Myn")</f>
        <v>Myn</v>
      </c>
      <c r="L1196" s="46" t="s">
        <v>2000</v>
      </c>
      <c r="M1196" s="48">
        <v>45255.46068287037</v>
      </c>
    </row>
    <row r="1197">
      <c r="A1197" s="47">
        <v>45254.51831753472</v>
      </c>
      <c r="B1197" s="46" t="s">
        <v>1427</v>
      </c>
      <c r="C1197" s="46">
        <v>8.800823533E9</v>
      </c>
      <c r="D1197" s="46"/>
      <c r="E1197" s="46" t="s">
        <v>15</v>
      </c>
      <c r="F1197" s="46"/>
      <c r="G1197" s="46" t="s">
        <v>303</v>
      </c>
      <c r="H1197" s="46" t="s">
        <v>706</v>
      </c>
      <c r="I1197" s="46"/>
      <c r="J1197" s="46"/>
      <c r="K1197" s="46" t="str">
        <f>IFERROR(__xludf.DUMMYFUNCTION("if(A1197="""","""",IF(G1197="""",""Myn"",IF(REGEXMATCH(lower(G1197),""mynn""),""Myn"",if(G1197&lt;&gt;"""",""GEMTRE"",""""))))"),"Myn")</f>
        <v>Myn</v>
      </c>
      <c r="L1197" s="46" t="s">
        <v>2000</v>
      </c>
      <c r="M1197" s="48">
        <v>45255.46068287037</v>
      </c>
    </row>
    <row r="1198">
      <c r="A1198" s="47">
        <v>45254.518719050924</v>
      </c>
      <c r="B1198" s="46" t="s">
        <v>1484</v>
      </c>
      <c r="C1198" s="46">
        <v>9.999243234E9</v>
      </c>
      <c r="D1198" s="46"/>
      <c r="E1198" s="46"/>
      <c r="F1198" s="46"/>
      <c r="G1198" s="46" t="s">
        <v>303</v>
      </c>
      <c r="H1198" s="46" t="s">
        <v>701</v>
      </c>
      <c r="I1198" s="46"/>
      <c r="J1198" s="46"/>
      <c r="K1198" s="46" t="str">
        <f>IFERROR(__xludf.DUMMYFUNCTION("if(A1198="""","""",IF(G1198="""",""Myn"",IF(REGEXMATCH(lower(G1198),""mynn""),""Myn"",if(G1198&lt;&gt;"""",""GEMTRE"",""""))))"),"Myn")</f>
        <v>Myn</v>
      </c>
      <c r="L1198" s="46" t="s">
        <v>2000</v>
      </c>
      <c r="M1198" s="48">
        <v>45255.46068287037</v>
      </c>
    </row>
    <row r="1199">
      <c r="A1199" s="47">
        <v>45254.518758680555</v>
      </c>
      <c r="B1199" s="46" t="s">
        <v>1485</v>
      </c>
      <c r="C1199" s="46">
        <v>9.999497806E9</v>
      </c>
      <c r="D1199" s="46"/>
      <c r="E1199" s="46"/>
      <c r="F1199" s="46"/>
      <c r="G1199" s="46" t="s">
        <v>303</v>
      </c>
      <c r="H1199" s="46" t="s">
        <v>701</v>
      </c>
      <c r="I1199" s="46"/>
      <c r="J1199" s="46"/>
      <c r="K1199" s="46" t="str">
        <f>IFERROR(__xludf.DUMMYFUNCTION("if(A1199="""","""",IF(G1199="""",""Myn"",IF(REGEXMATCH(lower(G1199),""mynn""),""Myn"",if(G1199&lt;&gt;"""",""GEMTRE"",""""))))"),"Myn")</f>
        <v>Myn</v>
      </c>
      <c r="L1199" s="46" t="s">
        <v>2000</v>
      </c>
      <c r="M1199" s="48">
        <v>45255.46068287037</v>
      </c>
    </row>
    <row r="1200">
      <c r="A1200" s="47">
        <v>45254.51903913195</v>
      </c>
      <c r="B1200" s="46" t="s">
        <v>1486</v>
      </c>
      <c r="C1200" s="46">
        <v>7.053705E9</v>
      </c>
      <c r="D1200" s="46"/>
      <c r="E1200" s="46"/>
      <c r="F1200" s="46"/>
      <c r="G1200" s="46" t="s">
        <v>303</v>
      </c>
      <c r="H1200" s="46" t="s">
        <v>701</v>
      </c>
      <c r="I1200" s="46"/>
      <c r="J1200" s="46"/>
      <c r="K1200" s="46" t="str">
        <f>IFERROR(__xludf.DUMMYFUNCTION("if(A1200="""","""",IF(G1200="""",""Myn"",IF(REGEXMATCH(lower(G1200),""mynn""),""Myn"",if(G1200&lt;&gt;"""",""GEMTRE"",""""))))"),"Myn")</f>
        <v>Myn</v>
      </c>
      <c r="L1200" s="46" t="s">
        <v>2000</v>
      </c>
      <c r="M1200" s="48">
        <v>45255.46068287037</v>
      </c>
    </row>
    <row r="1201">
      <c r="A1201" s="47">
        <v>45254.519055763885</v>
      </c>
      <c r="B1201" s="46" t="s">
        <v>1487</v>
      </c>
      <c r="C1201" s="46">
        <v>8.750561049E9</v>
      </c>
      <c r="D1201" s="46"/>
      <c r="E1201" s="46"/>
      <c r="F1201" s="46"/>
      <c r="G1201" s="46" t="s">
        <v>303</v>
      </c>
      <c r="H1201" s="46" t="s">
        <v>701</v>
      </c>
      <c r="I1201" s="46"/>
      <c r="J1201" s="46"/>
      <c r="K1201" s="46" t="str">
        <f>IFERROR(__xludf.DUMMYFUNCTION("if(A1201="""","""",IF(G1201="""",""Myn"",IF(REGEXMATCH(lower(G1201),""mynn""),""Myn"",if(G1201&lt;&gt;"""",""GEMTRE"",""""))))"),"Myn")</f>
        <v>Myn</v>
      </c>
      <c r="L1201" s="46" t="s">
        <v>2000</v>
      </c>
      <c r="M1201" s="48">
        <v>45255.46068287037</v>
      </c>
    </row>
    <row r="1202">
      <c r="A1202" s="47">
        <v>45254.51952297454</v>
      </c>
      <c r="B1202" s="46" t="s">
        <v>1488</v>
      </c>
      <c r="C1202" s="46">
        <v>9.873803496E9</v>
      </c>
      <c r="D1202" s="46"/>
      <c r="E1202" s="46" t="s">
        <v>13</v>
      </c>
      <c r="F1202" s="46"/>
      <c r="G1202" s="46" t="s">
        <v>303</v>
      </c>
      <c r="H1202" s="46" t="s">
        <v>706</v>
      </c>
      <c r="I1202" s="46"/>
      <c r="J1202" s="46"/>
      <c r="K1202" s="46" t="str">
        <f>IFERROR(__xludf.DUMMYFUNCTION("if(A1202="""","""",IF(G1202="""",""Myn"",IF(REGEXMATCH(lower(G1202),""mynn""),""Myn"",if(G1202&lt;&gt;"""",""GEMTRE"",""""))))"),"Myn")</f>
        <v>Myn</v>
      </c>
      <c r="L1202" s="46" t="s">
        <v>2000</v>
      </c>
      <c r="M1202" s="48">
        <v>45255.46068287037</v>
      </c>
    </row>
    <row r="1203">
      <c r="A1203" s="47">
        <v>45254.51955863426</v>
      </c>
      <c r="B1203" s="46" t="s">
        <v>1489</v>
      </c>
      <c r="C1203" s="46">
        <v>9.927077337E9</v>
      </c>
      <c r="D1203" s="46"/>
      <c r="E1203" s="46"/>
      <c r="F1203" s="46"/>
      <c r="G1203" s="46" t="s">
        <v>303</v>
      </c>
      <c r="H1203" s="46" t="s">
        <v>701</v>
      </c>
      <c r="I1203" s="46"/>
      <c r="J1203" s="46"/>
      <c r="K1203" s="46" t="str">
        <f>IFERROR(__xludf.DUMMYFUNCTION("if(A1203="""","""",IF(G1203="""",""Myn"",IF(REGEXMATCH(lower(G1203),""mynn""),""Myn"",if(G1203&lt;&gt;"""",""GEMTRE"",""""))))"),"Myn")</f>
        <v>Myn</v>
      </c>
      <c r="L1203" s="46" t="s">
        <v>2000</v>
      </c>
      <c r="M1203" s="48">
        <v>45255.46068287037</v>
      </c>
    </row>
    <row r="1204">
      <c r="A1204" s="47">
        <v>45254.52027842593</v>
      </c>
      <c r="B1204" s="46" t="s">
        <v>1446</v>
      </c>
      <c r="C1204" s="46">
        <v>9.643729767E9</v>
      </c>
      <c r="D1204" s="46"/>
      <c r="E1204" s="46"/>
      <c r="F1204" s="46"/>
      <c r="G1204" s="46" t="s">
        <v>303</v>
      </c>
      <c r="H1204" s="46" t="s">
        <v>701</v>
      </c>
      <c r="I1204" s="46"/>
      <c r="J1204" s="46"/>
      <c r="K1204" s="46" t="str">
        <f>IFERROR(__xludf.DUMMYFUNCTION("if(A1204="""","""",IF(G1204="""",""Myn"",IF(REGEXMATCH(lower(G1204),""mynn""),""Myn"",if(G1204&lt;&gt;"""",""GEMTRE"",""""))))"),"Myn")</f>
        <v>Myn</v>
      </c>
      <c r="L1204" s="46" t="s">
        <v>2000</v>
      </c>
      <c r="M1204" s="48">
        <v>45255.46068287037</v>
      </c>
    </row>
    <row r="1205">
      <c r="A1205" s="47">
        <v>45254.520288125</v>
      </c>
      <c r="B1205" s="46" t="s">
        <v>1490</v>
      </c>
      <c r="C1205" s="46">
        <v>9.853461225E9</v>
      </c>
      <c r="D1205" s="46"/>
      <c r="E1205" s="46"/>
      <c r="F1205" s="46"/>
      <c r="G1205" s="46" t="s">
        <v>303</v>
      </c>
      <c r="H1205" s="46" t="s">
        <v>701</v>
      </c>
      <c r="I1205" s="46"/>
      <c r="J1205" s="46"/>
      <c r="K1205" s="46" t="str">
        <f>IFERROR(__xludf.DUMMYFUNCTION("if(A1205="""","""",IF(G1205="""",""Myn"",IF(REGEXMATCH(lower(G1205),""mynn""),""Myn"",if(G1205&lt;&gt;"""",""GEMTRE"",""""))))"),"Myn")</f>
        <v>Myn</v>
      </c>
      <c r="L1205" s="46" t="s">
        <v>2000</v>
      </c>
      <c r="M1205" s="48">
        <v>45255.46068287037</v>
      </c>
    </row>
    <row r="1206">
      <c r="A1206" s="47">
        <v>45254.520449143514</v>
      </c>
      <c r="B1206" s="46" t="s">
        <v>649</v>
      </c>
      <c r="C1206" s="46">
        <v>9.268628111E9</v>
      </c>
      <c r="D1206" s="46"/>
      <c r="E1206" s="46" t="s">
        <v>227</v>
      </c>
      <c r="F1206" s="46"/>
      <c r="G1206" s="46" t="s">
        <v>303</v>
      </c>
      <c r="H1206" s="46" t="s">
        <v>706</v>
      </c>
      <c r="I1206" s="46"/>
      <c r="J1206" s="46"/>
      <c r="K1206" s="46" t="str">
        <f>IFERROR(__xludf.DUMMYFUNCTION("if(A1206="""","""",IF(G1206="""",""Myn"",IF(REGEXMATCH(lower(G1206),""mynn""),""Myn"",if(G1206&lt;&gt;"""",""GEMTRE"",""""))))"),"Myn")</f>
        <v>Myn</v>
      </c>
      <c r="L1206" s="46" t="s">
        <v>2000</v>
      </c>
      <c r="M1206" s="48">
        <v>45255.46068287037</v>
      </c>
    </row>
    <row r="1207">
      <c r="A1207" s="47">
        <v>45254.520535081014</v>
      </c>
      <c r="B1207" s="46" t="s">
        <v>1491</v>
      </c>
      <c r="C1207" s="46">
        <v>7.291041711E9</v>
      </c>
      <c r="D1207" s="46"/>
      <c r="E1207" s="46"/>
      <c r="F1207" s="46"/>
      <c r="G1207" s="46" t="s">
        <v>303</v>
      </c>
      <c r="H1207" s="46" t="s">
        <v>701</v>
      </c>
      <c r="I1207" s="46"/>
      <c r="J1207" s="46"/>
      <c r="K1207" s="46" t="str">
        <f>IFERROR(__xludf.DUMMYFUNCTION("if(A1207="""","""",IF(G1207="""",""Myn"",IF(REGEXMATCH(lower(G1207),""mynn""),""Myn"",if(G1207&lt;&gt;"""",""GEMTRE"",""""))))"),"Myn")</f>
        <v>Myn</v>
      </c>
      <c r="L1207" s="46" t="s">
        <v>2000</v>
      </c>
      <c r="M1207" s="48">
        <v>45255.46068287037</v>
      </c>
    </row>
    <row r="1208">
      <c r="A1208" s="47">
        <v>45254.521945995366</v>
      </c>
      <c r="B1208" s="46" t="s">
        <v>1492</v>
      </c>
      <c r="C1208" s="46">
        <v>9.023590232E9</v>
      </c>
      <c r="D1208" s="46"/>
      <c r="E1208" s="46"/>
      <c r="F1208" s="46"/>
      <c r="G1208" s="46" t="s">
        <v>303</v>
      </c>
      <c r="H1208" s="46" t="s">
        <v>701</v>
      </c>
      <c r="I1208" s="46"/>
      <c r="J1208" s="46"/>
      <c r="K1208" s="46" t="str">
        <f>IFERROR(__xludf.DUMMYFUNCTION("if(A1208="""","""",IF(G1208="""",""Myn"",IF(REGEXMATCH(lower(G1208),""mynn""),""Myn"",if(G1208&lt;&gt;"""",""GEMTRE"",""""))))"),"Myn")</f>
        <v>Myn</v>
      </c>
      <c r="L1208" s="46" t="s">
        <v>2000</v>
      </c>
      <c r="M1208" s="48">
        <v>45255.46068287037</v>
      </c>
    </row>
    <row r="1209">
      <c r="A1209" s="47">
        <v>45254.52221791667</v>
      </c>
      <c r="B1209" s="46" t="s">
        <v>1493</v>
      </c>
      <c r="C1209" s="46">
        <v>8.872600132E9</v>
      </c>
      <c r="D1209" s="46"/>
      <c r="E1209" s="46"/>
      <c r="F1209" s="46"/>
      <c r="G1209" s="46" t="s">
        <v>303</v>
      </c>
      <c r="H1209" s="46" t="s">
        <v>701</v>
      </c>
      <c r="I1209" s="46"/>
      <c r="J1209" s="46"/>
      <c r="K1209" s="46" t="str">
        <f>IFERROR(__xludf.DUMMYFUNCTION("if(A1209="""","""",IF(G1209="""",""Myn"",IF(REGEXMATCH(lower(G1209),""mynn""),""Myn"",if(G1209&lt;&gt;"""",""GEMTRE"",""""))))"),"Myn")</f>
        <v>Myn</v>
      </c>
      <c r="L1209" s="46" t="s">
        <v>2000</v>
      </c>
      <c r="M1209" s="48">
        <v>45255.46068287037</v>
      </c>
    </row>
    <row r="1210">
      <c r="A1210" s="47">
        <v>45254.523909675925</v>
      </c>
      <c r="B1210" s="46" t="s">
        <v>1494</v>
      </c>
      <c r="C1210" s="46">
        <v>9.315846772E9</v>
      </c>
      <c r="D1210" s="46"/>
      <c r="E1210" s="46"/>
      <c r="F1210" s="46"/>
      <c r="G1210" s="46" t="s">
        <v>303</v>
      </c>
      <c r="H1210" s="46" t="s">
        <v>701</v>
      </c>
      <c r="I1210" s="46"/>
      <c r="J1210" s="46"/>
      <c r="K1210" s="46" t="str">
        <f>IFERROR(__xludf.DUMMYFUNCTION("if(A1210="""","""",IF(G1210="""",""Myn"",IF(REGEXMATCH(lower(G1210),""mynn""),""Myn"",if(G1210&lt;&gt;"""",""GEMTRE"",""""))))"),"Myn")</f>
        <v>Myn</v>
      </c>
      <c r="L1210" s="46" t="s">
        <v>2000</v>
      </c>
      <c r="M1210" s="48">
        <v>45255.46068287037</v>
      </c>
    </row>
    <row r="1211">
      <c r="A1211" s="47">
        <v>45254.52423894676</v>
      </c>
      <c r="B1211" s="46" t="s">
        <v>1495</v>
      </c>
      <c r="C1211" s="46">
        <v>8.586832051E9</v>
      </c>
      <c r="D1211" s="46"/>
      <c r="E1211" s="46"/>
      <c r="F1211" s="46"/>
      <c r="G1211" s="46" t="s">
        <v>303</v>
      </c>
      <c r="H1211" s="46" t="s">
        <v>701</v>
      </c>
      <c r="I1211" s="46"/>
      <c r="J1211" s="46"/>
      <c r="K1211" s="46" t="str">
        <f>IFERROR(__xludf.DUMMYFUNCTION("if(A1211="""","""",IF(G1211="""",""Myn"",IF(REGEXMATCH(lower(G1211),""mynn""),""Myn"",if(G1211&lt;&gt;"""",""GEMTRE"",""""))))"),"Myn")</f>
        <v>Myn</v>
      </c>
      <c r="L1211" s="46" t="s">
        <v>2000</v>
      </c>
      <c r="M1211" s="48">
        <v>45255.46068287037</v>
      </c>
    </row>
    <row r="1212">
      <c r="A1212" s="47">
        <v>45254.52443967592</v>
      </c>
      <c r="B1212" s="46" t="s">
        <v>1496</v>
      </c>
      <c r="C1212" s="46">
        <v>9.71722661E9</v>
      </c>
      <c r="D1212" s="46"/>
      <c r="E1212" s="46" t="s">
        <v>227</v>
      </c>
      <c r="F1212" s="46"/>
      <c r="G1212" s="46" t="s">
        <v>303</v>
      </c>
      <c r="H1212" s="46" t="s">
        <v>706</v>
      </c>
      <c r="I1212" s="46"/>
      <c r="J1212" s="46"/>
      <c r="K1212" s="46" t="str">
        <f>IFERROR(__xludf.DUMMYFUNCTION("if(A1212="""","""",IF(G1212="""",""Myn"",IF(REGEXMATCH(lower(G1212),""mynn""),""Myn"",if(G1212&lt;&gt;"""",""GEMTRE"",""""))))"),"Myn")</f>
        <v>Myn</v>
      </c>
      <c r="L1212" s="46" t="s">
        <v>2000</v>
      </c>
      <c r="M1212" s="48">
        <v>45255.46068287037</v>
      </c>
    </row>
    <row r="1213">
      <c r="A1213" s="47">
        <v>45254.52735300926</v>
      </c>
      <c r="B1213" s="46" t="s">
        <v>1497</v>
      </c>
      <c r="C1213" s="46">
        <v>9.868615196E9</v>
      </c>
      <c r="D1213" s="46"/>
      <c r="E1213" s="46"/>
      <c r="F1213" s="46"/>
      <c r="G1213" s="46" t="s">
        <v>303</v>
      </c>
      <c r="H1213" s="46" t="s">
        <v>701</v>
      </c>
      <c r="I1213" s="46"/>
      <c r="J1213" s="46"/>
      <c r="K1213" s="46" t="str">
        <f>IFERROR(__xludf.DUMMYFUNCTION("if(A1213="""","""",IF(G1213="""",""Myn"",IF(REGEXMATCH(lower(G1213),""mynn""),""Myn"",if(G1213&lt;&gt;"""",""GEMTRE"",""""))))"),"Myn")</f>
        <v>Myn</v>
      </c>
      <c r="L1213" s="46" t="s">
        <v>2000</v>
      </c>
      <c r="M1213" s="48">
        <v>45255.46068287037</v>
      </c>
    </row>
    <row r="1214">
      <c r="A1214" s="47">
        <v>45254.527529803236</v>
      </c>
      <c r="B1214" s="46" t="s">
        <v>49</v>
      </c>
      <c r="C1214" s="46">
        <v>7.497045524E9</v>
      </c>
      <c r="D1214" s="46"/>
      <c r="E1214" s="46" t="s">
        <v>227</v>
      </c>
      <c r="F1214" s="46"/>
      <c r="G1214" s="46" t="s">
        <v>303</v>
      </c>
      <c r="H1214" s="46" t="s">
        <v>706</v>
      </c>
      <c r="I1214" s="46"/>
      <c r="J1214" s="46"/>
      <c r="K1214" s="46" t="str">
        <f>IFERROR(__xludf.DUMMYFUNCTION("if(A1214="""","""",IF(G1214="""",""Myn"",IF(REGEXMATCH(lower(G1214),""mynn""),""Myn"",if(G1214&lt;&gt;"""",""GEMTRE"",""""))))"),"Myn")</f>
        <v>Myn</v>
      </c>
      <c r="L1214" s="46" t="s">
        <v>2000</v>
      </c>
      <c r="M1214" s="48">
        <v>45255.46068287037</v>
      </c>
    </row>
    <row r="1215">
      <c r="A1215" s="47">
        <v>45254.5277269213</v>
      </c>
      <c r="B1215" s="46" t="s">
        <v>1498</v>
      </c>
      <c r="C1215" s="46">
        <v>9.899776667E9</v>
      </c>
      <c r="D1215" s="46"/>
      <c r="E1215" s="46" t="s">
        <v>1499</v>
      </c>
      <c r="F1215" s="46"/>
      <c r="G1215" s="46" t="s">
        <v>303</v>
      </c>
      <c r="H1215" s="46" t="s">
        <v>701</v>
      </c>
      <c r="I1215" s="46"/>
      <c r="J1215" s="46"/>
      <c r="K1215" s="46" t="str">
        <f>IFERROR(__xludf.DUMMYFUNCTION("if(A1215="""","""",IF(G1215="""",""Myn"",IF(REGEXMATCH(lower(G1215),""mynn""),""Myn"",if(G1215&lt;&gt;"""",""GEMTRE"",""""))))"),"Myn")</f>
        <v>Myn</v>
      </c>
      <c r="L1215" s="46" t="s">
        <v>2000</v>
      </c>
      <c r="M1215" s="48">
        <v>45255.46068287037</v>
      </c>
    </row>
    <row r="1216">
      <c r="A1216" s="47">
        <v>45254.52780329861</v>
      </c>
      <c r="B1216" s="46" t="s">
        <v>1500</v>
      </c>
      <c r="C1216" s="46">
        <v>9.711131847E9</v>
      </c>
      <c r="D1216" s="46"/>
      <c r="E1216" s="46"/>
      <c r="F1216" s="46"/>
      <c r="G1216" s="46" t="s">
        <v>303</v>
      </c>
      <c r="H1216" s="46" t="s">
        <v>701</v>
      </c>
      <c r="I1216" s="46"/>
      <c r="J1216" s="46"/>
      <c r="K1216" s="46" t="str">
        <f>IFERROR(__xludf.DUMMYFUNCTION("if(A1216="""","""",IF(G1216="""",""Myn"",IF(REGEXMATCH(lower(G1216),""mynn""),""Myn"",if(G1216&lt;&gt;"""",""GEMTRE"",""""))))"),"Myn")</f>
        <v>Myn</v>
      </c>
      <c r="L1216" s="46" t="s">
        <v>2000</v>
      </c>
      <c r="M1216" s="48">
        <v>45255.46068287037</v>
      </c>
    </row>
    <row r="1217">
      <c r="A1217" s="47">
        <v>45254.52789023148</v>
      </c>
      <c r="B1217" s="46" t="s">
        <v>1501</v>
      </c>
      <c r="C1217" s="46">
        <v>7.404502502E9</v>
      </c>
      <c r="D1217" s="46"/>
      <c r="E1217" s="46" t="s">
        <v>227</v>
      </c>
      <c r="F1217" s="46"/>
      <c r="G1217" s="46" t="s">
        <v>303</v>
      </c>
      <c r="H1217" s="46" t="s">
        <v>706</v>
      </c>
      <c r="I1217" s="46"/>
      <c r="J1217" s="46"/>
      <c r="K1217" s="46" t="str">
        <f>IFERROR(__xludf.DUMMYFUNCTION("if(A1217="""","""",IF(G1217="""",""Myn"",IF(REGEXMATCH(lower(G1217),""mynn""),""Myn"",if(G1217&lt;&gt;"""",""GEMTRE"",""""))))"),"Myn")</f>
        <v>Myn</v>
      </c>
      <c r="L1217" s="46" t="s">
        <v>2000</v>
      </c>
      <c r="M1217" s="48">
        <v>45255.46068287037</v>
      </c>
    </row>
    <row r="1218">
      <c r="A1218" s="47">
        <v>45254.528186180556</v>
      </c>
      <c r="B1218" s="46" t="s">
        <v>1502</v>
      </c>
      <c r="C1218" s="46">
        <v>7.503402724E9</v>
      </c>
      <c r="D1218" s="46"/>
      <c r="E1218" s="46"/>
      <c r="F1218" s="46"/>
      <c r="G1218" s="46" t="s">
        <v>303</v>
      </c>
      <c r="H1218" s="46" t="s">
        <v>701</v>
      </c>
      <c r="I1218" s="46"/>
      <c r="J1218" s="46"/>
      <c r="K1218" s="46" t="str">
        <f>IFERROR(__xludf.DUMMYFUNCTION("if(A1218="""","""",IF(G1218="""",""Myn"",IF(REGEXMATCH(lower(G1218),""mynn""),""Myn"",if(G1218&lt;&gt;"""",""GEMTRE"",""""))))"),"Myn")</f>
        <v>Myn</v>
      </c>
      <c r="L1218" s="46" t="s">
        <v>2000</v>
      </c>
      <c r="M1218" s="48">
        <v>45255.46068287037</v>
      </c>
    </row>
    <row r="1219">
      <c r="A1219" s="47">
        <v>45254.528821064814</v>
      </c>
      <c r="B1219" s="46" t="s">
        <v>1503</v>
      </c>
      <c r="C1219" s="46">
        <v>8.447102059E9</v>
      </c>
      <c r="D1219" s="46"/>
      <c r="E1219" s="46"/>
      <c r="F1219" s="46"/>
      <c r="G1219" s="46" t="s">
        <v>303</v>
      </c>
      <c r="H1219" s="46" t="s">
        <v>701</v>
      </c>
      <c r="I1219" s="46"/>
      <c r="J1219" s="46"/>
      <c r="K1219" s="46" t="str">
        <f>IFERROR(__xludf.DUMMYFUNCTION("if(A1219="""","""",IF(G1219="""",""Myn"",IF(REGEXMATCH(lower(G1219),""mynn""),""Myn"",if(G1219&lt;&gt;"""",""GEMTRE"",""""))))"),"Myn")</f>
        <v>Myn</v>
      </c>
      <c r="L1219" s="46" t="s">
        <v>2000</v>
      </c>
      <c r="M1219" s="48">
        <v>45255.46068287037</v>
      </c>
    </row>
    <row r="1220">
      <c r="A1220" s="47">
        <v>45254.52966539352</v>
      </c>
      <c r="B1220" s="46" t="s">
        <v>1029</v>
      </c>
      <c r="C1220" s="46">
        <v>9.871833443E9</v>
      </c>
      <c r="D1220" s="46"/>
      <c r="E1220" s="46"/>
      <c r="F1220" s="46"/>
      <c r="G1220" s="46" t="s">
        <v>303</v>
      </c>
      <c r="H1220" s="46" t="s">
        <v>706</v>
      </c>
      <c r="I1220" s="46"/>
      <c r="J1220" s="46"/>
      <c r="K1220" s="46" t="str">
        <f>IFERROR(__xludf.DUMMYFUNCTION("if(A1220="""","""",IF(G1220="""",""Myn"",IF(REGEXMATCH(lower(G1220),""mynn""),""Myn"",if(G1220&lt;&gt;"""",""GEMTRE"",""""))))"),"Myn")</f>
        <v>Myn</v>
      </c>
      <c r="L1220" s="46" t="s">
        <v>2000</v>
      </c>
      <c r="M1220" s="48">
        <v>45255.46068287037</v>
      </c>
    </row>
    <row r="1221">
      <c r="A1221" s="47">
        <v>45254.53000702546</v>
      </c>
      <c r="B1221" s="46" t="s">
        <v>1504</v>
      </c>
      <c r="C1221" s="46">
        <v>9.999271988E9</v>
      </c>
      <c r="D1221" s="46"/>
      <c r="E1221" s="46"/>
      <c r="F1221" s="46"/>
      <c r="G1221" s="46" t="s">
        <v>303</v>
      </c>
      <c r="H1221" s="46" t="s">
        <v>706</v>
      </c>
      <c r="I1221" s="46"/>
      <c r="J1221" s="46"/>
      <c r="K1221" s="46" t="str">
        <f>IFERROR(__xludf.DUMMYFUNCTION("if(A1221="""","""",IF(G1221="""",""Myn"",IF(REGEXMATCH(lower(G1221),""mynn""),""Myn"",if(G1221&lt;&gt;"""",""GEMTRE"",""""))))"),"Myn")</f>
        <v>Myn</v>
      </c>
      <c r="L1221" s="46" t="s">
        <v>2000</v>
      </c>
      <c r="M1221" s="48">
        <v>45255.46068287037</v>
      </c>
    </row>
    <row r="1222">
      <c r="A1222" s="47">
        <v>45254.53055445602</v>
      </c>
      <c r="B1222" s="46" t="s">
        <v>649</v>
      </c>
      <c r="C1222" s="46">
        <v>9.818201165E9</v>
      </c>
      <c r="D1222" s="46"/>
      <c r="E1222" s="46" t="s">
        <v>71</v>
      </c>
      <c r="F1222" s="46"/>
      <c r="G1222" s="46" t="s">
        <v>303</v>
      </c>
      <c r="H1222" s="46" t="s">
        <v>706</v>
      </c>
      <c r="I1222" s="46"/>
      <c r="J1222" s="46"/>
      <c r="K1222" s="46" t="str">
        <f>IFERROR(__xludf.DUMMYFUNCTION("if(A1222="""","""",IF(G1222="""",""Myn"",IF(REGEXMATCH(lower(G1222),""mynn""),""Myn"",if(G1222&lt;&gt;"""",""GEMTRE"",""""))))"),"Myn")</f>
        <v>Myn</v>
      </c>
      <c r="L1222" s="46" t="s">
        <v>2000</v>
      </c>
      <c r="M1222" s="48">
        <v>45255.46068287037</v>
      </c>
    </row>
    <row r="1223">
      <c r="A1223" s="47">
        <v>45254.533563784724</v>
      </c>
      <c r="B1223" s="46" t="s">
        <v>1505</v>
      </c>
      <c r="C1223" s="46">
        <v>9.045316587E9</v>
      </c>
      <c r="D1223" s="46"/>
      <c r="E1223" s="46"/>
      <c r="F1223" s="46"/>
      <c r="G1223" s="46" t="s">
        <v>303</v>
      </c>
      <c r="H1223" s="46" t="s">
        <v>701</v>
      </c>
      <c r="I1223" s="46"/>
      <c r="J1223" s="46"/>
      <c r="K1223" s="46" t="str">
        <f>IFERROR(__xludf.DUMMYFUNCTION("if(A1223="""","""",IF(G1223="""",""Myn"",IF(REGEXMATCH(lower(G1223),""mynn""),""Myn"",if(G1223&lt;&gt;"""",""GEMTRE"",""""))))"),"Myn")</f>
        <v>Myn</v>
      </c>
      <c r="L1223" s="46" t="s">
        <v>2000</v>
      </c>
      <c r="M1223" s="48">
        <v>45255.460694444446</v>
      </c>
    </row>
    <row r="1224">
      <c r="A1224" s="47">
        <v>45254.537199722225</v>
      </c>
      <c r="B1224" s="46" t="s">
        <v>371</v>
      </c>
      <c r="C1224" s="46">
        <v>9.818832206E9</v>
      </c>
      <c r="D1224" s="46"/>
      <c r="E1224" s="46" t="s">
        <v>26</v>
      </c>
      <c r="F1224" s="46"/>
      <c r="G1224" s="46" t="s">
        <v>303</v>
      </c>
      <c r="H1224" s="46" t="s">
        <v>701</v>
      </c>
      <c r="I1224" s="46"/>
      <c r="J1224" s="46"/>
      <c r="K1224" s="46" t="str">
        <f>IFERROR(__xludf.DUMMYFUNCTION("if(A1224="""","""",IF(G1224="""",""Myn"",IF(REGEXMATCH(lower(G1224),""mynn""),""Myn"",if(G1224&lt;&gt;"""",""GEMTRE"",""""))))"),"Myn")</f>
        <v>Myn</v>
      </c>
      <c r="L1224" s="46" t="s">
        <v>2000</v>
      </c>
      <c r="M1224" s="48">
        <v>45255.460694444446</v>
      </c>
    </row>
    <row r="1225">
      <c r="A1225" s="47">
        <v>45254.5372743287</v>
      </c>
      <c r="B1225" s="46" t="s">
        <v>1506</v>
      </c>
      <c r="C1225" s="46">
        <v>8.527092447E9</v>
      </c>
      <c r="D1225" s="46"/>
      <c r="E1225" s="46" t="s">
        <v>227</v>
      </c>
      <c r="F1225" s="46"/>
      <c r="G1225" s="46" t="s">
        <v>303</v>
      </c>
      <c r="H1225" s="46" t="s">
        <v>706</v>
      </c>
      <c r="I1225" s="46"/>
      <c r="J1225" s="46"/>
      <c r="K1225" s="46" t="str">
        <f>IFERROR(__xludf.DUMMYFUNCTION("if(A1225="""","""",IF(G1225="""",""Myn"",IF(REGEXMATCH(lower(G1225),""mynn""),""Myn"",if(G1225&lt;&gt;"""",""GEMTRE"",""""))))"),"Myn")</f>
        <v>Myn</v>
      </c>
      <c r="L1225" s="46" t="s">
        <v>2000</v>
      </c>
      <c r="M1225" s="48">
        <v>45255.460694444446</v>
      </c>
    </row>
    <row r="1226">
      <c r="A1226" s="47">
        <v>45254.53780335648</v>
      </c>
      <c r="B1226" s="46" t="s">
        <v>1507</v>
      </c>
      <c r="C1226" s="46">
        <v>9.56085265E9</v>
      </c>
      <c r="D1226" s="46"/>
      <c r="E1226" s="46"/>
      <c r="F1226" s="46"/>
      <c r="G1226" s="46" t="s">
        <v>303</v>
      </c>
      <c r="H1226" s="46" t="s">
        <v>701</v>
      </c>
      <c r="I1226" s="46"/>
      <c r="J1226" s="46"/>
      <c r="K1226" s="46" t="str">
        <f>IFERROR(__xludf.DUMMYFUNCTION("if(A1226="""","""",IF(G1226="""",""Myn"",IF(REGEXMATCH(lower(G1226),""mynn""),""Myn"",if(G1226&lt;&gt;"""",""GEMTRE"",""""))))"),"Myn")</f>
        <v>Myn</v>
      </c>
      <c r="L1226" s="46" t="s">
        <v>2000</v>
      </c>
      <c r="M1226" s="48">
        <v>45255.460694444446</v>
      </c>
    </row>
    <row r="1227">
      <c r="A1227" s="47">
        <v>45254.53990560185</v>
      </c>
      <c r="B1227" s="46" t="s">
        <v>1508</v>
      </c>
      <c r="C1227" s="46">
        <v>7.500839839E9</v>
      </c>
      <c r="D1227" s="46"/>
      <c r="E1227" s="46" t="s">
        <v>891</v>
      </c>
      <c r="F1227" s="46"/>
      <c r="G1227" s="46" t="s">
        <v>303</v>
      </c>
      <c r="H1227" s="46" t="s">
        <v>706</v>
      </c>
      <c r="I1227" s="46"/>
      <c r="J1227" s="46"/>
      <c r="K1227" s="46" t="str">
        <f>IFERROR(__xludf.DUMMYFUNCTION("if(A1227="""","""",IF(G1227="""",""Myn"",IF(REGEXMATCH(lower(G1227),""mynn""),""Myn"",if(G1227&lt;&gt;"""",""GEMTRE"",""""))))"),"Myn")</f>
        <v>Myn</v>
      </c>
      <c r="L1227" s="46" t="s">
        <v>2000</v>
      </c>
      <c r="M1227" s="48">
        <v>45255.460694444446</v>
      </c>
    </row>
    <row r="1228">
      <c r="A1228" s="47">
        <v>45254.540865717594</v>
      </c>
      <c r="B1228" s="46" t="s">
        <v>1509</v>
      </c>
      <c r="C1228" s="46">
        <v>9.211406027E9</v>
      </c>
      <c r="D1228" s="46"/>
      <c r="E1228" s="46" t="s">
        <v>227</v>
      </c>
      <c r="F1228" s="46"/>
      <c r="G1228" s="46" t="s">
        <v>303</v>
      </c>
      <c r="H1228" s="46" t="s">
        <v>706</v>
      </c>
      <c r="I1228" s="46"/>
      <c r="J1228" s="46"/>
      <c r="K1228" s="46" t="str">
        <f>IFERROR(__xludf.DUMMYFUNCTION("if(A1228="""","""",IF(G1228="""",""Myn"",IF(REGEXMATCH(lower(G1228),""mynn""),""Myn"",if(G1228&lt;&gt;"""",""GEMTRE"",""""))))"),"Myn")</f>
        <v>Myn</v>
      </c>
      <c r="L1228" s="46" t="s">
        <v>2000</v>
      </c>
      <c r="M1228" s="48">
        <v>45255.460694444446</v>
      </c>
    </row>
    <row r="1229">
      <c r="A1229" s="47">
        <v>45254.541117175926</v>
      </c>
      <c r="B1229" s="46" t="s">
        <v>1510</v>
      </c>
      <c r="C1229" s="46">
        <v>9.358401555E9</v>
      </c>
      <c r="D1229" s="46"/>
      <c r="E1229" s="46" t="s">
        <v>1511</v>
      </c>
      <c r="F1229" s="46"/>
      <c r="G1229" s="46" t="s">
        <v>303</v>
      </c>
      <c r="H1229" s="46" t="s">
        <v>701</v>
      </c>
      <c r="I1229" s="46"/>
      <c r="J1229" s="46"/>
      <c r="K1229" s="46" t="str">
        <f>IFERROR(__xludf.DUMMYFUNCTION("if(A1229="""","""",IF(G1229="""",""Myn"",IF(REGEXMATCH(lower(G1229),""mynn""),""Myn"",if(G1229&lt;&gt;"""",""GEMTRE"",""""))))"),"Myn")</f>
        <v>Myn</v>
      </c>
      <c r="L1229" s="46" t="s">
        <v>2000</v>
      </c>
      <c r="M1229" s="48">
        <v>45255.460694444446</v>
      </c>
    </row>
    <row r="1230">
      <c r="A1230" s="47">
        <v>45254.54121848379</v>
      </c>
      <c r="B1230" s="46" t="s">
        <v>889</v>
      </c>
      <c r="C1230" s="46">
        <v>9.810856174E9</v>
      </c>
      <c r="D1230" s="46"/>
      <c r="E1230" s="46" t="s">
        <v>227</v>
      </c>
      <c r="F1230" s="46"/>
      <c r="G1230" s="46" t="s">
        <v>303</v>
      </c>
      <c r="H1230" s="46" t="s">
        <v>706</v>
      </c>
      <c r="I1230" s="46"/>
      <c r="J1230" s="46"/>
      <c r="K1230" s="46" t="str">
        <f>IFERROR(__xludf.DUMMYFUNCTION("if(A1230="""","""",IF(G1230="""",""Myn"",IF(REGEXMATCH(lower(G1230),""mynn""),""Myn"",if(G1230&lt;&gt;"""",""GEMTRE"",""""))))"),"Myn")</f>
        <v>Myn</v>
      </c>
      <c r="L1230" s="46" t="s">
        <v>2000</v>
      </c>
      <c r="M1230" s="48">
        <v>45255.460694444446</v>
      </c>
    </row>
    <row r="1231">
      <c r="A1231" s="47">
        <v>45254.544391874995</v>
      </c>
      <c r="B1231" s="46" t="s">
        <v>1512</v>
      </c>
      <c r="C1231" s="46">
        <v>9.31099948E9</v>
      </c>
      <c r="D1231" s="46"/>
      <c r="E1231" s="46"/>
      <c r="F1231" s="46"/>
      <c r="G1231" s="46" t="s">
        <v>303</v>
      </c>
      <c r="H1231" s="46" t="s">
        <v>701</v>
      </c>
      <c r="I1231" s="46"/>
      <c r="J1231" s="46"/>
      <c r="K1231" s="46" t="str">
        <f>IFERROR(__xludf.DUMMYFUNCTION("if(A1231="""","""",IF(G1231="""",""Myn"",IF(REGEXMATCH(lower(G1231),""mynn""),""Myn"",if(G1231&lt;&gt;"""",""GEMTRE"",""""))))"),"Myn")</f>
        <v>Myn</v>
      </c>
      <c r="L1231" s="46" t="s">
        <v>2000</v>
      </c>
      <c r="M1231" s="48">
        <v>45255.460694444446</v>
      </c>
    </row>
    <row r="1232">
      <c r="A1232" s="47">
        <v>45254.54483375</v>
      </c>
      <c r="B1232" s="46" t="s">
        <v>1513</v>
      </c>
      <c r="C1232" s="46">
        <v>9.958512091E9</v>
      </c>
      <c r="D1232" s="46"/>
      <c r="E1232" s="46"/>
      <c r="F1232" s="46"/>
      <c r="G1232" s="46" t="s">
        <v>303</v>
      </c>
      <c r="H1232" s="46" t="s">
        <v>701</v>
      </c>
      <c r="I1232" s="46"/>
      <c r="J1232" s="46"/>
      <c r="K1232" s="46" t="str">
        <f>IFERROR(__xludf.DUMMYFUNCTION("if(A1232="""","""",IF(G1232="""",""Myn"",IF(REGEXMATCH(lower(G1232),""mynn""),""Myn"",if(G1232&lt;&gt;"""",""GEMTRE"",""""))))"),"Myn")</f>
        <v>Myn</v>
      </c>
      <c r="L1232" s="46" t="s">
        <v>2000</v>
      </c>
      <c r="M1232" s="48">
        <v>45255.460694444446</v>
      </c>
    </row>
    <row r="1233">
      <c r="A1233" s="47">
        <v>45254.54491420139</v>
      </c>
      <c r="B1233" s="46" t="s">
        <v>1514</v>
      </c>
      <c r="C1233" s="46">
        <v>9.990210504E9</v>
      </c>
      <c r="D1233" s="46"/>
      <c r="E1233" s="46" t="s">
        <v>227</v>
      </c>
      <c r="F1233" s="46"/>
      <c r="G1233" s="46" t="s">
        <v>303</v>
      </c>
      <c r="H1233" s="46" t="s">
        <v>706</v>
      </c>
      <c r="I1233" s="46"/>
      <c r="J1233" s="46"/>
      <c r="K1233" s="46" t="str">
        <f>IFERROR(__xludf.DUMMYFUNCTION("if(A1233="""","""",IF(G1233="""",""Myn"",IF(REGEXMATCH(lower(G1233),""mynn""),""Myn"",if(G1233&lt;&gt;"""",""GEMTRE"",""""))))"),"Myn")</f>
        <v>Myn</v>
      </c>
      <c r="L1233" s="46" t="s">
        <v>2000</v>
      </c>
      <c r="M1233" s="48">
        <v>45255.460694444446</v>
      </c>
    </row>
    <row r="1234">
      <c r="A1234" s="47">
        <v>45254.54533467593</v>
      </c>
      <c r="B1234" s="46" t="s">
        <v>1515</v>
      </c>
      <c r="C1234" s="46">
        <v>9.810034312E9</v>
      </c>
      <c r="D1234" s="46"/>
      <c r="E1234" s="46"/>
      <c r="F1234" s="46"/>
      <c r="G1234" s="46" t="s">
        <v>303</v>
      </c>
      <c r="H1234" s="46" t="s">
        <v>701</v>
      </c>
      <c r="I1234" s="46"/>
      <c r="J1234" s="46"/>
      <c r="K1234" s="46" t="str">
        <f>IFERROR(__xludf.DUMMYFUNCTION("if(A1234="""","""",IF(G1234="""",""Myn"",IF(REGEXMATCH(lower(G1234),""mynn""),""Myn"",if(G1234&lt;&gt;"""",""GEMTRE"",""""))))"),"Myn")</f>
        <v>Myn</v>
      </c>
      <c r="L1234" s="46" t="s">
        <v>2000</v>
      </c>
      <c r="M1234" s="48">
        <v>45255.460694444446</v>
      </c>
    </row>
    <row r="1235">
      <c r="A1235" s="47">
        <v>45254.54667418981</v>
      </c>
      <c r="B1235" s="46" t="s">
        <v>1516</v>
      </c>
      <c r="C1235" s="46">
        <v>9.818075039E9</v>
      </c>
      <c r="D1235" s="46"/>
      <c r="E1235" s="46"/>
      <c r="F1235" s="46"/>
      <c r="G1235" s="46" t="s">
        <v>303</v>
      </c>
      <c r="H1235" s="46" t="s">
        <v>701</v>
      </c>
      <c r="I1235" s="46"/>
      <c r="J1235" s="46"/>
      <c r="K1235" s="46" t="str">
        <f>IFERROR(__xludf.DUMMYFUNCTION("if(A1235="""","""",IF(G1235="""",""Myn"",IF(REGEXMATCH(lower(G1235),""mynn""),""Myn"",if(G1235&lt;&gt;"""",""GEMTRE"",""""))))"),"Myn")</f>
        <v>Myn</v>
      </c>
      <c r="L1235" s="46" t="s">
        <v>2000</v>
      </c>
      <c r="M1235" s="48">
        <v>45255.460694444446</v>
      </c>
    </row>
    <row r="1236">
      <c r="A1236" s="47">
        <v>45254.54691400463</v>
      </c>
      <c r="B1236" s="46" t="s">
        <v>1517</v>
      </c>
      <c r="C1236" s="46">
        <v>9.354552376E9</v>
      </c>
      <c r="D1236" s="46"/>
      <c r="E1236" s="46"/>
      <c r="F1236" s="46"/>
      <c r="G1236" s="46" t="s">
        <v>303</v>
      </c>
      <c r="H1236" s="46" t="s">
        <v>701</v>
      </c>
      <c r="I1236" s="46"/>
      <c r="J1236" s="46"/>
      <c r="K1236" s="46" t="str">
        <f>IFERROR(__xludf.DUMMYFUNCTION("if(A1236="""","""",IF(G1236="""",""Myn"",IF(REGEXMATCH(lower(G1236),""mynn""),""Myn"",if(G1236&lt;&gt;"""",""GEMTRE"",""""))))"),"Myn")</f>
        <v>Myn</v>
      </c>
      <c r="L1236" s="46" t="s">
        <v>2000</v>
      </c>
      <c r="M1236" s="48">
        <v>45255.460694444446</v>
      </c>
    </row>
    <row r="1237">
      <c r="A1237" s="47">
        <v>45254.54726559028</v>
      </c>
      <c r="B1237" s="46" t="s">
        <v>1518</v>
      </c>
      <c r="C1237" s="46">
        <v>7.303936452E9</v>
      </c>
      <c r="D1237" s="46"/>
      <c r="E1237" s="46"/>
      <c r="F1237" s="46"/>
      <c r="G1237" s="46" t="s">
        <v>303</v>
      </c>
      <c r="H1237" s="46" t="s">
        <v>701</v>
      </c>
      <c r="I1237" s="46"/>
      <c r="J1237" s="46"/>
      <c r="K1237" s="46" t="str">
        <f>IFERROR(__xludf.DUMMYFUNCTION("if(A1237="""","""",IF(G1237="""",""Myn"",IF(REGEXMATCH(lower(G1237),""mynn""),""Myn"",if(G1237&lt;&gt;"""",""GEMTRE"",""""))))"),"Myn")</f>
        <v>Myn</v>
      </c>
      <c r="L1237" s="46" t="s">
        <v>2000</v>
      </c>
      <c r="M1237" s="48">
        <v>45255.460694444446</v>
      </c>
    </row>
    <row r="1238">
      <c r="A1238" s="47">
        <v>45254.54731730324</v>
      </c>
      <c r="B1238" s="46" t="s">
        <v>1519</v>
      </c>
      <c r="C1238" s="46">
        <v>7.838719293E9</v>
      </c>
      <c r="D1238" s="46"/>
      <c r="E1238" s="46"/>
      <c r="F1238" s="46"/>
      <c r="G1238" s="46" t="s">
        <v>303</v>
      </c>
      <c r="H1238" s="46" t="s">
        <v>701</v>
      </c>
      <c r="I1238" s="46"/>
      <c r="J1238" s="46"/>
      <c r="K1238" s="46" t="str">
        <f>IFERROR(__xludf.DUMMYFUNCTION("if(A1238="""","""",IF(G1238="""",""Myn"",IF(REGEXMATCH(lower(G1238),""mynn""),""Myn"",if(G1238&lt;&gt;"""",""GEMTRE"",""""))))"),"Myn")</f>
        <v>Myn</v>
      </c>
      <c r="L1238" s="46" t="s">
        <v>2000</v>
      </c>
      <c r="M1238" s="48">
        <v>45255.460694444446</v>
      </c>
    </row>
    <row r="1239">
      <c r="A1239" s="47">
        <v>45254.547552442134</v>
      </c>
      <c r="B1239" s="46" t="s">
        <v>1520</v>
      </c>
      <c r="C1239" s="46">
        <v>8.076445529E9</v>
      </c>
      <c r="D1239" s="46"/>
      <c r="E1239" s="46"/>
      <c r="F1239" s="46"/>
      <c r="G1239" s="46" t="s">
        <v>303</v>
      </c>
      <c r="H1239" s="46" t="s">
        <v>701</v>
      </c>
      <c r="I1239" s="46"/>
      <c r="J1239" s="46"/>
      <c r="K1239" s="46" t="str">
        <f>IFERROR(__xludf.DUMMYFUNCTION("if(A1239="""","""",IF(G1239="""",""Myn"",IF(REGEXMATCH(lower(G1239),""mynn""),""Myn"",if(G1239&lt;&gt;"""",""GEMTRE"",""""))))"),"Myn")</f>
        <v>Myn</v>
      </c>
      <c r="L1239" s="46" t="s">
        <v>2000</v>
      </c>
      <c r="M1239" s="48">
        <v>45255.460694444446</v>
      </c>
    </row>
    <row r="1240">
      <c r="A1240" s="47">
        <v>45254.54777363426</v>
      </c>
      <c r="B1240" s="46" t="s">
        <v>490</v>
      </c>
      <c r="C1240" s="46">
        <v>8.860317597E9</v>
      </c>
      <c r="D1240" s="46"/>
      <c r="E1240" s="46"/>
      <c r="F1240" s="46"/>
      <c r="G1240" s="46" t="s">
        <v>303</v>
      </c>
      <c r="H1240" s="46" t="s">
        <v>701</v>
      </c>
      <c r="I1240" s="46"/>
      <c r="J1240" s="46"/>
      <c r="K1240" s="46" t="str">
        <f>IFERROR(__xludf.DUMMYFUNCTION("if(A1240="""","""",IF(G1240="""",""Myn"",IF(REGEXMATCH(lower(G1240),""mynn""),""Myn"",if(G1240&lt;&gt;"""",""GEMTRE"",""""))))"),"Myn")</f>
        <v>Myn</v>
      </c>
      <c r="L1240" s="46" t="s">
        <v>2000</v>
      </c>
      <c r="M1240" s="48">
        <v>45255.460694444446</v>
      </c>
    </row>
    <row r="1241">
      <c r="A1241" s="47">
        <v>45254.549603321764</v>
      </c>
      <c r="B1241" s="46" t="s">
        <v>911</v>
      </c>
      <c r="C1241" s="46">
        <v>9.810319529E9</v>
      </c>
      <c r="D1241" s="46"/>
      <c r="E1241" s="46" t="s">
        <v>227</v>
      </c>
      <c r="F1241" s="46"/>
      <c r="G1241" s="46" t="s">
        <v>303</v>
      </c>
      <c r="H1241" s="46" t="s">
        <v>706</v>
      </c>
      <c r="I1241" s="46"/>
      <c r="J1241" s="46"/>
      <c r="K1241" s="46" t="str">
        <f>IFERROR(__xludf.DUMMYFUNCTION("if(A1241="""","""",IF(G1241="""",""Myn"",IF(REGEXMATCH(lower(G1241),""mynn""),""Myn"",if(G1241&lt;&gt;"""",""GEMTRE"",""""))))"),"Myn")</f>
        <v>Myn</v>
      </c>
      <c r="L1241" s="46" t="s">
        <v>2000</v>
      </c>
      <c r="M1241" s="48">
        <v>45255.460694444446</v>
      </c>
    </row>
    <row r="1242">
      <c r="A1242" s="47">
        <v>45254.55063175926</v>
      </c>
      <c r="B1242" s="46" t="s">
        <v>1521</v>
      </c>
      <c r="C1242" s="46">
        <v>9.871428293E9</v>
      </c>
      <c r="D1242" s="46"/>
      <c r="E1242" s="46"/>
      <c r="F1242" s="46"/>
      <c r="G1242" s="46" t="s">
        <v>303</v>
      </c>
      <c r="H1242" s="46" t="s">
        <v>701</v>
      </c>
      <c r="I1242" s="46"/>
      <c r="J1242" s="46"/>
      <c r="K1242" s="46" t="str">
        <f>IFERROR(__xludf.DUMMYFUNCTION("if(A1242="""","""",IF(G1242="""",""Myn"",IF(REGEXMATCH(lower(G1242),""mynn""),""Myn"",if(G1242&lt;&gt;"""",""GEMTRE"",""""))))"),"Myn")</f>
        <v>Myn</v>
      </c>
      <c r="L1242" s="46" t="s">
        <v>2000</v>
      </c>
      <c r="M1242" s="48">
        <v>45255.460694444446</v>
      </c>
    </row>
    <row r="1243">
      <c r="A1243" s="47">
        <v>45254.5510605787</v>
      </c>
      <c r="B1243" s="46" t="s">
        <v>1522</v>
      </c>
      <c r="C1243" s="46">
        <v>9.96882413E9</v>
      </c>
      <c r="D1243" s="46"/>
      <c r="E1243" s="46" t="s">
        <v>71</v>
      </c>
      <c r="F1243" s="46"/>
      <c r="G1243" s="46" t="s">
        <v>303</v>
      </c>
      <c r="H1243" s="46" t="s">
        <v>706</v>
      </c>
      <c r="I1243" s="46"/>
      <c r="J1243" s="46"/>
      <c r="K1243" s="46" t="str">
        <f>IFERROR(__xludf.DUMMYFUNCTION("if(A1243="""","""",IF(G1243="""",""Myn"",IF(REGEXMATCH(lower(G1243),""mynn""),""Myn"",if(G1243&lt;&gt;"""",""GEMTRE"",""""))))"),"Myn")</f>
        <v>Myn</v>
      </c>
      <c r="L1243" s="46" t="s">
        <v>2000</v>
      </c>
      <c r="M1243" s="48">
        <v>45255.460694444446</v>
      </c>
    </row>
    <row r="1244">
      <c r="A1244" s="47">
        <v>45254.552827719905</v>
      </c>
      <c r="B1244" s="46" t="s">
        <v>1523</v>
      </c>
      <c r="C1244" s="46">
        <v>8.743901516E9</v>
      </c>
      <c r="D1244" s="46"/>
      <c r="E1244" s="46"/>
      <c r="F1244" s="46"/>
      <c r="G1244" s="46" t="s">
        <v>303</v>
      </c>
      <c r="H1244" s="46" t="s">
        <v>701</v>
      </c>
      <c r="I1244" s="46"/>
      <c r="J1244" s="46"/>
      <c r="K1244" s="46" t="str">
        <f>IFERROR(__xludf.DUMMYFUNCTION("if(A1244="""","""",IF(G1244="""",""Myn"",IF(REGEXMATCH(lower(G1244),""mynn""),""Myn"",if(G1244&lt;&gt;"""",""GEMTRE"",""""))))"),"Myn")</f>
        <v>Myn</v>
      </c>
      <c r="L1244" s="46" t="s">
        <v>2000</v>
      </c>
      <c r="M1244" s="48">
        <v>45255.460694444446</v>
      </c>
    </row>
    <row r="1245">
      <c r="A1245" s="47">
        <v>45254.55390646991</v>
      </c>
      <c r="B1245" s="46" t="s">
        <v>1524</v>
      </c>
      <c r="C1245" s="46">
        <v>9.990628368E9</v>
      </c>
      <c r="D1245" s="46"/>
      <c r="E1245" s="46" t="s">
        <v>71</v>
      </c>
      <c r="F1245" s="46"/>
      <c r="G1245" s="46" t="s">
        <v>303</v>
      </c>
      <c r="H1245" s="46" t="s">
        <v>706</v>
      </c>
      <c r="I1245" s="46"/>
      <c r="J1245" s="46"/>
      <c r="K1245" s="46" t="str">
        <f>IFERROR(__xludf.DUMMYFUNCTION("if(A1245="""","""",IF(G1245="""",""Myn"",IF(REGEXMATCH(lower(G1245),""mynn""),""Myn"",if(G1245&lt;&gt;"""",""GEMTRE"",""""))))"),"Myn")</f>
        <v>Myn</v>
      </c>
      <c r="L1245" s="46" t="s">
        <v>2000</v>
      </c>
      <c r="M1245" s="48">
        <v>45255.460694444446</v>
      </c>
    </row>
    <row r="1246">
      <c r="A1246" s="47">
        <v>45254.5543307176</v>
      </c>
      <c r="B1246" s="46" t="s">
        <v>371</v>
      </c>
      <c r="C1246" s="46">
        <v>9.212725194E9</v>
      </c>
      <c r="D1246" s="46"/>
      <c r="E1246" s="46" t="s">
        <v>13</v>
      </c>
      <c r="F1246" s="46"/>
      <c r="G1246" s="46" t="s">
        <v>303</v>
      </c>
      <c r="H1246" s="46" t="s">
        <v>706</v>
      </c>
      <c r="I1246" s="46"/>
      <c r="J1246" s="46"/>
      <c r="K1246" s="46" t="str">
        <f>IFERROR(__xludf.DUMMYFUNCTION("if(A1246="""","""",IF(G1246="""",""Myn"",IF(REGEXMATCH(lower(G1246),""mynn""),""Myn"",if(G1246&lt;&gt;"""",""GEMTRE"",""""))))"),"Myn")</f>
        <v>Myn</v>
      </c>
      <c r="L1246" s="46" t="s">
        <v>2000</v>
      </c>
      <c r="M1246" s="48">
        <v>45255.460694444446</v>
      </c>
    </row>
    <row r="1247">
      <c r="A1247" s="47">
        <v>45254.55674888889</v>
      </c>
      <c r="B1247" s="46" t="s">
        <v>1525</v>
      </c>
      <c r="C1247" s="46">
        <v>9.999290302E9</v>
      </c>
      <c r="D1247" s="46"/>
      <c r="E1247" s="46"/>
      <c r="F1247" s="49" t="s">
        <v>1526</v>
      </c>
      <c r="G1247" s="46" t="s">
        <v>303</v>
      </c>
      <c r="H1247" s="46" t="s">
        <v>701</v>
      </c>
      <c r="I1247" s="46"/>
      <c r="J1247" s="46"/>
      <c r="K1247" s="46" t="str">
        <f>IFERROR(__xludf.DUMMYFUNCTION("if(A1247="""","""",IF(G1247="""",""Myn"",IF(REGEXMATCH(lower(G1247),""mynn""),""Myn"",if(G1247&lt;&gt;"""",""GEMTRE"",""""))))"),"Myn")</f>
        <v>Myn</v>
      </c>
      <c r="L1247" s="46" t="s">
        <v>2000</v>
      </c>
      <c r="M1247" s="48">
        <v>45255.460694444446</v>
      </c>
    </row>
    <row r="1248">
      <c r="A1248" s="47">
        <v>45254.55734261574</v>
      </c>
      <c r="B1248" s="46" t="s">
        <v>1527</v>
      </c>
      <c r="C1248" s="46">
        <v>8.86002195E9</v>
      </c>
      <c r="D1248" s="46"/>
      <c r="E1248" s="46"/>
      <c r="F1248" s="46"/>
      <c r="G1248" s="46" t="s">
        <v>303</v>
      </c>
      <c r="H1248" s="46" t="s">
        <v>701</v>
      </c>
      <c r="I1248" s="46"/>
      <c r="J1248" s="46"/>
      <c r="K1248" s="46" t="str">
        <f>IFERROR(__xludf.DUMMYFUNCTION("if(A1248="""","""",IF(G1248="""",""Myn"",IF(REGEXMATCH(lower(G1248),""mynn""),""Myn"",if(G1248&lt;&gt;"""",""GEMTRE"",""""))))"),"Myn")</f>
        <v>Myn</v>
      </c>
      <c r="L1248" s="46" t="s">
        <v>2000</v>
      </c>
      <c r="M1248" s="48">
        <v>45255.460694444446</v>
      </c>
    </row>
    <row r="1249">
      <c r="A1249" s="47">
        <v>45254.558871967594</v>
      </c>
      <c r="B1249" s="46" t="s">
        <v>1228</v>
      </c>
      <c r="C1249" s="46">
        <v>8.851669453E9</v>
      </c>
      <c r="D1249" s="46"/>
      <c r="E1249" s="46" t="s">
        <v>15</v>
      </c>
      <c r="F1249" s="46"/>
      <c r="G1249" s="46" t="s">
        <v>303</v>
      </c>
      <c r="H1249" s="46" t="s">
        <v>706</v>
      </c>
      <c r="I1249" s="46"/>
      <c r="J1249" s="46"/>
      <c r="K1249" s="46" t="str">
        <f>IFERROR(__xludf.DUMMYFUNCTION("if(A1249="""","""",IF(G1249="""",""Myn"",IF(REGEXMATCH(lower(G1249),""mynn""),""Myn"",if(G1249&lt;&gt;"""",""GEMTRE"",""""))))"),"Myn")</f>
        <v>Myn</v>
      </c>
      <c r="L1249" s="46" t="s">
        <v>2000</v>
      </c>
      <c r="M1249" s="48">
        <v>45255.460694444446</v>
      </c>
    </row>
    <row r="1250">
      <c r="A1250" s="47">
        <v>45254.55900946759</v>
      </c>
      <c r="B1250" s="46" t="s">
        <v>1528</v>
      </c>
      <c r="C1250" s="46">
        <v>9.810635058E9</v>
      </c>
      <c r="D1250" s="46"/>
      <c r="E1250" s="46"/>
      <c r="F1250" s="46"/>
      <c r="G1250" s="46" t="s">
        <v>303</v>
      </c>
      <c r="H1250" s="46" t="s">
        <v>706</v>
      </c>
      <c r="I1250" s="46"/>
      <c r="J1250" s="46"/>
      <c r="K1250" s="46" t="str">
        <f>IFERROR(__xludf.DUMMYFUNCTION("if(A1250="""","""",IF(G1250="""",""Myn"",IF(REGEXMATCH(lower(G1250),""mynn""),""Myn"",if(G1250&lt;&gt;"""",""GEMTRE"",""""))))"),"Myn")</f>
        <v>Myn</v>
      </c>
      <c r="L1250" s="46" t="s">
        <v>2000</v>
      </c>
      <c r="M1250" s="48">
        <v>45255.460694444446</v>
      </c>
    </row>
    <row r="1251">
      <c r="A1251" s="47">
        <v>45254.55959337963</v>
      </c>
      <c r="B1251" s="46" t="s">
        <v>1529</v>
      </c>
      <c r="C1251" s="46">
        <v>9.891057156E9</v>
      </c>
      <c r="D1251" s="46"/>
      <c r="E1251" s="46" t="s">
        <v>79</v>
      </c>
      <c r="F1251" s="46"/>
      <c r="G1251" s="46" t="s">
        <v>303</v>
      </c>
      <c r="H1251" s="46" t="s">
        <v>706</v>
      </c>
      <c r="I1251" s="46"/>
      <c r="J1251" s="46"/>
      <c r="K1251" s="46" t="str">
        <f>IFERROR(__xludf.DUMMYFUNCTION("if(A1251="""","""",IF(G1251="""",""Myn"",IF(REGEXMATCH(lower(G1251),""mynn""),""Myn"",if(G1251&lt;&gt;"""",""GEMTRE"",""""))))"),"Myn")</f>
        <v>Myn</v>
      </c>
      <c r="L1251" s="46" t="s">
        <v>2000</v>
      </c>
      <c r="M1251" s="48">
        <v>45255.460694444446</v>
      </c>
    </row>
    <row r="1252">
      <c r="A1252" s="47">
        <v>45254.55985226852</v>
      </c>
      <c r="B1252" s="46" t="s">
        <v>1530</v>
      </c>
      <c r="C1252" s="46">
        <v>9.811121393E9</v>
      </c>
      <c r="D1252" s="46"/>
      <c r="E1252" s="46"/>
      <c r="F1252" s="46"/>
      <c r="G1252" s="46" t="s">
        <v>303</v>
      </c>
      <c r="H1252" s="46" t="s">
        <v>701</v>
      </c>
      <c r="I1252" s="46"/>
      <c r="J1252" s="46"/>
      <c r="K1252" s="46" t="str">
        <f>IFERROR(__xludf.DUMMYFUNCTION("if(A1252="""","""",IF(G1252="""",""Myn"",IF(REGEXMATCH(lower(G1252),""mynn""),""Myn"",if(G1252&lt;&gt;"""",""GEMTRE"",""""))))"),"Myn")</f>
        <v>Myn</v>
      </c>
      <c r="L1252" s="46" t="s">
        <v>2000</v>
      </c>
      <c r="M1252" s="48">
        <v>45255.460694444446</v>
      </c>
    </row>
    <row r="1253">
      <c r="A1253" s="47">
        <v>45254.56051646991</v>
      </c>
      <c r="B1253" s="46" t="s">
        <v>1531</v>
      </c>
      <c r="C1253" s="46">
        <v>9.540688386E9</v>
      </c>
      <c r="D1253" s="46"/>
      <c r="E1253" s="46"/>
      <c r="F1253" s="46"/>
      <c r="G1253" s="46" t="s">
        <v>303</v>
      </c>
      <c r="H1253" s="46" t="s">
        <v>701</v>
      </c>
      <c r="I1253" s="46"/>
      <c r="J1253" s="46"/>
      <c r="K1253" s="46" t="str">
        <f>IFERROR(__xludf.DUMMYFUNCTION("if(A1253="""","""",IF(G1253="""",""Myn"",IF(REGEXMATCH(lower(G1253),""mynn""),""Myn"",if(G1253&lt;&gt;"""",""GEMTRE"",""""))))"),"Myn")</f>
        <v>Myn</v>
      </c>
      <c r="L1253" s="46" t="s">
        <v>2000</v>
      </c>
      <c r="M1253" s="48">
        <v>45255.460694444446</v>
      </c>
    </row>
    <row r="1254">
      <c r="A1254" s="47">
        <v>45254.560831006944</v>
      </c>
      <c r="B1254" s="46" t="s">
        <v>1532</v>
      </c>
      <c r="C1254" s="46">
        <v>9.313250404E9</v>
      </c>
      <c r="D1254" s="46"/>
      <c r="E1254" s="46"/>
      <c r="F1254" s="46"/>
      <c r="G1254" s="46" t="s">
        <v>303</v>
      </c>
      <c r="H1254" s="46" t="s">
        <v>701</v>
      </c>
      <c r="I1254" s="46"/>
      <c r="J1254" s="46"/>
      <c r="K1254" s="46" t="str">
        <f>IFERROR(__xludf.DUMMYFUNCTION("if(A1254="""","""",IF(G1254="""",""Myn"",IF(REGEXMATCH(lower(G1254),""mynn""),""Myn"",if(G1254&lt;&gt;"""",""GEMTRE"",""""))))"),"Myn")</f>
        <v>Myn</v>
      </c>
      <c r="L1254" s="46" t="s">
        <v>2000</v>
      </c>
      <c r="M1254" s="48">
        <v>45255.460694444446</v>
      </c>
    </row>
    <row r="1255">
      <c r="A1255" s="47">
        <v>45254.56085871528</v>
      </c>
      <c r="B1255" s="46" t="s">
        <v>161</v>
      </c>
      <c r="C1255" s="46">
        <v>9.250608505E9</v>
      </c>
      <c r="D1255" s="46"/>
      <c r="E1255" s="46"/>
      <c r="F1255" s="46"/>
      <c r="G1255" s="46" t="s">
        <v>303</v>
      </c>
      <c r="H1255" s="46" t="s">
        <v>701</v>
      </c>
      <c r="I1255" s="46"/>
      <c r="J1255" s="46"/>
      <c r="K1255" s="46" t="str">
        <f>IFERROR(__xludf.DUMMYFUNCTION("if(A1255="""","""",IF(G1255="""",""Myn"",IF(REGEXMATCH(lower(G1255),""mynn""),""Myn"",if(G1255&lt;&gt;"""",""GEMTRE"",""""))))"),"Myn")</f>
        <v>Myn</v>
      </c>
      <c r="L1255" s="46" t="s">
        <v>2000</v>
      </c>
      <c r="M1255" s="48">
        <v>45255.460694444446</v>
      </c>
    </row>
    <row r="1256">
      <c r="A1256" s="47">
        <v>45254.561135868054</v>
      </c>
      <c r="B1256" s="46" t="s">
        <v>1416</v>
      </c>
      <c r="C1256" s="46">
        <v>9.250608505E9</v>
      </c>
      <c r="D1256" s="46"/>
      <c r="E1256" s="46"/>
      <c r="F1256" s="46"/>
      <c r="G1256" s="46" t="s">
        <v>303</v>
      </c>
      <c r="H1256" s="46" t="s">
        <v>701</v>
      </c>
      <c r="I1256" s="46"/>
      <c r="J1256" s="46"/>
      <c r="K1256" s="46" t="str">
        <f>IFERROR(__xludf.DUMMYFUNCTION("if(A1256="""","""",IF(G1256="""",""Myn"",IF(REGEXMATCH(lower(G1256),""mynn""),""Myn"",if(G1256&lt;&gt;"""",""GEMTRE"",""""))))"),"Myn")</f>
        <v>Myn</v>
      </c>
      <c r="L1256" s="46" t="s">
        <v>2000</v>
      </c>
      <c r="M1256" s="48">
        <v>45255.460694444446</v>
      </c>
    </row>
    <row r="1257">
      <c r="A1257" s="47">
        <v>45254.56144204861</v>
      </c>
      <c r="B1257" s="46" t="s">
        <v>1533</v>
      </c>
      <c r="C1257" s="46">
        <v>8.448614505E9</v>
      </c>
      <c r="D1257" s="46"/>
      <c r="E1257" s="46"/>
      <c r="F1257" s="46"/>
      <c r="G1257" s="46" t="s">
        <v>303</v>
      </c>
      <c r="H1257" s="46" t="s">
        <v>701</v>
      </c>
      <c r="I1257" s="46"/>
      <c r="J1257" s="46"/>
      <c r="K1257" s="46" t="str">
        <f>IFERROR(__xludf.DUMMYFUNCTION("if(A1257="""","""",IF(G1257="""",""Myn"",IF(REGEXMATCH(lower(G1257),""mynn""),""Myn"",if(G1257&lt;&gt;"""",""GEMTRE"",""""))))"),"Myn")</f>
        <v>Myn</v>
      </c>
      <c r="L1257" s="46" t="s">
        <v>2000</v>
      </c>
      <c r="M1257" s="48">
        <v>45255.460694444446</v>
      </c>
    </row>
    <row r="1258">
      <c r="A1258" s="47">
        <v>45254.56568803241</v>
      </c>
      <c r="B1258" s="46" t="s">
        <v>1534</v>
      </c>
      <c r="C1258" s="46">
        <v>8.860788358E9</v>
      </c>
      <c r="D1258" s="46"/>
      <c r="E1258" s="46" t="s">
        <v>15</v>
      </c>
      <c r="F1258" s="46"/>
      <c r="G1258" s="46" t="s">
        <v>303</v>
      </c>
      <c r="H1258" s="46" t="s">
        <v>706</v>
      </c>
      <c r="I1258" s="46"/>
      <c r="J1258" s="46"/>
      <c r="K1258" s="46" t="str">
        <f>IFERROR(__xludf.DUMMYFUNCTION("if(A1258="""","""",IF(G1258="""",""Myn"",IF(REGEXMATCH(lower(G1258),""mynn""),""Myn"",if(G1258&lt;&gt;"""",""GEMTRE"",""""))))"),"Myn")</f>
        <v>Myn</v>
      </c>
      <c r="L1258" s="46" t="s">
        <v>2000</v>
      </c>
      <c r="M1258" s="48">
        <v>45255.460694444446</v>
      </c>
    </row>
    <row r="1259">
      <c r="A1259" s="47">
        <v>45254.56577086805</v>
      </c>
      <c r="B1259" s="46" t="s">
        <v>1535</v>
      </c>
      <c r="C1259" s="46">
        <v>9.999456013E9</v>
      </c>
      <c r="D1259" s="46"/>
      <c r="E1259" s="46"/>
      <c r="F1259" s="49" t="s">
        <v>1536</v>
      </c>
      <c r="G1259" s="46" t="s">
        <v>303</v>
      </c>
      <c r="H1259" s="46" t="s">
        <v>706</v>
      </c>
      <c r="I1259" s="46"/>
      <c r="J1259" s="46"/>
      <c r="K1259" s="46" t="str">
        <f>IFERROR(__xludf.DUMMYFUNCTION("if(A1259="""","""",IF(G1259="""",""Myn"",IF(REGEXMATCH(lower(G1259),""mynn""),""Myn"",if(G1259&lt;&gt;"""",""GEMTRE"",""""))))"),"Myn")</f>
        <v>Myn</v>
      </c>
      <c r="L1259" s="46" t="s">
        <v>2000</v>
      </c>
      <c r="M1259" s="48">
        <v>45255.460694444446</v>
      </c>
    </row>
    <row r="1260">
      <c r="A1260" s="47">
        <v>45254.565969247684</v>
      </c>
      <c r="B1260" s="46" t="s">
        <v>1537</v>
      </c>
      <c r="C1260" s="46">
        <v>9.466847152E9</v>
      </c>
      <c r="D1260" s="46"/>
      <c r="E1260" s="46"/>
      <c r="F1260" s="46"/>
      <c r="G1260" s="46" t="s">
        <v>303</v>
      </c>
      <c r="H1260" s="46" t="s">
        <v>701</v>
      </c>
      <c r="I1260" s="46"/>
      <c r="J1260" s="46"/>
      <c r="K1260" s="46" t="str">
        <f>IFERROR(__xludf.DUMMYFUNCTION("if(A1260="""","""",IF(G1260="""",""Myn"",IF(REGEXMATCH(lower(G1260),""mynn""),""Myn"",if(G1260&lt;&gt;"""",""GEMTRE"",""""))))"),"Myn")</f>
        <v>Myn</v>
      </c>
      <c r="L1260" s="46" t="s">
        <v>2000</v>
      </c>
      <c r="M1260" s="48">
        <v>45255.460694444446</v>
      </c>
    </row>
    <row r="1261">
      <c r="A1261" s="47">
        <v>45254.566889131944</v>
      </c>
      <c r="B1261" s="46" t="s">
        <v>1538</v>
      </c>
      <c r="C1261" s="46">
        <v>9.868356275E9</v>
      </c>
      <c r="D1261" s="46"/>
      <c r="E1261" s="46"/>
      <c r="F1261" s="46"/>
      <c r="G1261" s="46" t="s">
        <v>303</v>
      </c>
      <c r="H1261" s="46" t="s">
        <v>701</v>
      </c>
      <c r="I1261" s="46"/>
      <c r="J1261" s="46"/>
      <c r="K1261" s="46" t="str">
        <f>IFERROR(__xludf.DUMMYFUNCTION("if(A1261="""","""",IF(G1261="""",""Myn"",IF(REGEXMATCH(lower(G1261),""mynn""),""Myn"",if(G1261&lt;&gt;"""",""GEMTRE"",""""))))"),"Myn")</f>
        <v>Myn</v>
      </c>
      <c r="L1261" s="46" t="s">
        <v>2000</v>
      </c>
      <c r="M1261" s="48">
        <v>45255.460694444446</v>
      </c>
    </row>
    <row r="1262">
      <c r="A1262" s="47">
        <v>45254.56770958334</v>
      </c>
      <c r="B1262" s="46" t="s">
        <v>1539</v>
      </c>
      <c r="C1262" s="46">
        <v>9.96894577E9</v>
      </c>
      <c r="D1262" s="46"/>
      <c r="E1262" s="46"/>
      <c r="F1262" s="46"/>
      <c r="G1262" s="46" t="s">
        <v>303</v>
      </c>
      <c r="H1262" s="46" t="s">
        <v>701</v>
      </c>
      <c r="I1262" s="46"/>
      <c r="J1262" s="46"/>
      <c r="K1262" s="46" t="str">
        <f>IFERROR(__xludf.DUMMYFUNCTION("if(A1262="""","""",IF(G1262="""",""Myn"",IF(REGEXMATCH(lower(G1262),""mynn""),""Myn"",if(G1262&lt;&gt;"""",""GEMTRE"",""""))))"),"Myn")</f>
        <v>Myn</v>
      </c>
      <c r="L1262" s="46" t="s">
        <v>2000</v>
      </c>
      <c r="M1262" s="48">
        <v>45255.460694444446</v>
      </c>
    </row>
    <row r="1263">
      <c r="A1263" s="47">
        <v>45254.56805130787</v>
      </c>
      <c r="B1263" s="46" t="s">
        <v>1540</v>
      </c>
      <c r="C1263" s="46">
        <v>8.168782192E9</v>
      </c>
      <c r="D1263" s="46"/>
      <c r="E1263" s="46" t="s">
        <v>15</v>
      </c>
      <c r="F1263" s="46"/>
      <c r="G1263" s="46" t="s">
        <v>303</v>
      </c>
      <c r="H1263" s="46" t="s">
        <v>706</v>
      </c>
      <c r="I1263" s="46"/>
      <c r="J1263" s="46"/>
      <c r="K1263" s="46" t="str">
        <f>IFERROR(__xludf.DUMMYFUNCTION("if(A1263="""","""",IF(G1263="""",""Myn"",IF(REGEXMATCH(lower(G1263),""mynn""),""Myn"",if(G1263&lt;&gt;"""",""GEMTRE"",""""))))"),"Myn")</f>
        <v>Myn</v>
      </c>
      <c r="L1263" s="46" t="s">
        <v>2000</v>
      </c>
      <c r="M1263" s="48">
        <v>45255.460694444446</v>
      </c>
    </row>
    <row r="1264">
      <c r="A1264" s="47">
        <v>45254.568403530095</v>
      </c>
      <c r="B1264" s="46" t="s">
        <v>1541</v>
      </c>
      <c r="C1264" s="46">
        <v>9.953004457E9</v>
      </c>
      <c r="D1264" s="46"/>
      <c r="E1264" s="46"/>
      <c r="F1264" s="46"/>
      <c r="G1264" s="46" t="s">
        <v>303</v>
      </c>
      <c r="H1264" s="46" t="s">
        <v>706</v>
      </c>
      <c r="I1264" s="46"/>
      <c r="J1264" s="46"/>
      <c r="K1264" s="46" t="str">
        <f>IFERROR(__xludf.DUMMYFUNCTION("if(A1264="""","""",IF(G1264="""",""Myn"",IF(REGEXMATCH(lower(G1264),""mynn""),""Myn"",if(G1264&lt;&gt;"""",""GEMTRE"",""""))))"),"Myn")</f>
        <v>Myn</v>
      </c>
      <c r="L1264" s="46" t="s">
        <v>2000</v>
      </c>
      <c r="M1264" s="48">
        <v>45255.460694444446</v>
      </c>
    </row>
    <row r="1265">
      <c r="A1265" s="47">
        <v>45254.569556145834</v>
      </c>
      <c r="B1265" s="46" t="s">
        <v>1542</v>
      </c>
      <c r="C1265" s="46">
        <v>9.818388828E9</v>
      </c>
      <c r="D1265" s="46"/>
      <c r="E1265" s="46" t="s">
        <v>15</v>
      </c>
      <c r="F1265" s="46"/>
      <c r="G1265" s="46" t="s">
        <v>303</v>
      </c>
      <c r="H1265" s="46" t="s">
        <v>706</v>
      </c>
      <c r="I1265" s="46"/>
      <c r="J1265" s="46"/>
      <c r="K1265" s="46" t="str">
        <f>IFERROR(__xludf.DUMMYFUNCTION("if(A1265="""","""",IF(G1265="""",""Myn"",IF(REGEXMATCH(lower(G1265),""mynn""),""Myn"",if(G1265&lt;&gt;"""",""GEMTRE"",""""))))"),"Myn")</f>
        <v>Myn</v>
      </c>
      <c r="L1265" s="46" t="s">
        <v>2000</v>
      </c>
      <c r="M1265" s="48">
        <v>45255.460694444446</v>
      </c>
    </row>
    <row r="1266">
      <c r="A1266" s="47">
        <v>45254.57093916667</v>
      </c>
      <c r="B1266" s="46" t="s">
        <v>534</v>
      </c>
      <c r="C1266" s="46">
        <v>9.599311785E9</v>
      </c>
      <c r="D1266" s="46"/>
      <c r="E1266" s="46"/>
      <c r="F1266" s="46"/>
      <c r="G1266" s="46" t="s">
        <v>303</v>
      </c>
      <c r="H1266" s="46" t="s">
        <v>701</v>
      </c>
      <c r="I1266" s="46"/>
      <c r="J1266" s="46"/>
      <c r="K1266" s="46" t="str">
        <f>IFERROR(__xludf.DUMMYFUNCTION("if(A1266="""","""",IF(G1266="""",""Myn"",IF(REGEXMATCH(lower(G1266),""mynn""),""Myn"",if(G1266&lt;&gt;"""",""GEMTRE"",""""))))"),"Myn")</f>
        <v>Myn</v>
      </c>
      <c r="L1266" s="46" t="s">
        <v>2000</v>
      </c>
      <c r="M1266" s="48">
        <v>45255.460694444446</v>
      </c>
    </row>
    <row r="1267">
      <c r="A1267" s="47">
        <v>45254.57299888889</v>
      </c>
      <c r="B1267" s="46" t="s">
        <v>1543</v>
      </c>
      <c r="C1267" s="46">
        <v>9.205771287E9</v>
      </c>
      <c r="D1267" s="46"/>
      <c r="E1267" s="46" t="s">
        <v>879</v>
      </c>
      <c r="F1267" s="46"/>
      <c r="G1267" s="46" t="s">
        <v>303</v>
      </c>
      <c r="H1267" s="46" t="s">
        <v>706</v>
      </c>
      <c r="I1267" s="46"/>
      <c r="J1267" s="46"/>
      <c r="K1267" s="46" t="str">
        <f>IFERROR(__xludf.DUMMYFUNCTION("if(A1267="""","""",IF(G1267="""",""Myn"",IF(REGEXMATCH(lower(G1267),""mynn""),""Myn"",if(G1267&lt;&gt;"""",""GEMTRE"",""""))))"),"Myn")</f>
        <v>Myn</v>
      </c>
      <c r="L1267" s="46" t="s">
        <v>2000</v>
      </c>
      <c r="M1267" s="48">
        <v>45255.460694444446</v>
      </c>
    </row>
    <row r="1268">
      <c r="A1268" s="47">
        <v>45254.57514356481</v>
      </c>
      <c r="B1268" s="46" t="s">
        <v>1544</v>
      </c>
      <c r="C1268" s="46">
        <v>8.010003423E9</v>
      </c>
      <c r="D1268" s="46"/>
      <c r="E1268" s="46"/>
      <c r="F1268" s="46"/>
      <c r="G1268" s="46" t="s">
        <v>303</v>
      </c>
      <c r="H1268" s="46" t="s">
        <v>701</v>
      </c>
      <c r="I1268" s="46"/>
      <c r="J1268" s="46"/>
      <c r="K1268" s="46" t="str">
        <f>IFERROR(__xludf.DUMMYFUNCTION("if(A1268="""","""",IF(G1268="""",""Myn"",IF(REGEXMATCH(lower(G1268),""mynn""),""Myn"",if(G1268&lt;&gt;"""",""GEMTRE"",""""))))"),"Myn")</f>
        <v>Myn</v>
      </c>
      <c r="L1268" s="46" t="s">
        <v>2000</v>
      </c>
      <c r="M1268" s="48">
        <v>45255.460694444446</v>
      </c>
    </row>
    <row r="1269">
      <c r="A1269" s="47">
        <v>45254.57866945602</v>
      </c>
      <c r="B1269" s="46" t="s">
        <v>1545</v>
      </c>
      <c r="C1269" s="46">
        <v>9.827093039E9</v>
      </c>
      <c r="D1269" s="46"/>
      <c r="E1269" s="46" t="s">
        <v>79</v>
      </c>
      <c r="F1269" s="46"/>
      <c r="G1269" s="46" t="s">
        <v>303</v>
      </c>
      <c r="H1269" s="46" t="s">
        <v>706</v>
      </c>
      <c r="I1269" s="46"/>
      <c r="J1269" s="46"/>
      <c r="K1269" s="46" t="str">
        <f>IFERROR(__xludf.DUMMYFUNCTION("if(A1269="""","""",IF(G1269="""",""Myn"",IF(REGEXMATCH(lower(G1269),""mynn""),""Myn"",if(G1269&lt;&gt;"""",""GEMTRE"",""""))))"),"Myn")</f>
        <v>Myn</v>
      </c>
      <c r="L1269" s="46" t="s">
        <v>2000</v>
      </c>
      <c r="M1269" s="48">
        <v>45255.460694444446</v>
      </c>
    </row>
    <row r="1270">
      <c r="A1270" s="47">
        <v>45254.580178738426</v>
      </c>
      <c r="B1270" s="46" t="s">
        <v>1546</v>
      </c>
      <c r="C1270" s="46">
        <v>9.827232301E9</v>
      </c>
      <c r="D1270" s="46"/>
      <c r="E1270" s="46" t="s">
        <v>26</v>
      </c>
      <c r="F1270" s="46"/>
      <c r="G1270" s="46" t="s">
        <v>303</v>
      </c>
      <c r="H1270" s="46" t="s">
        <v>706</v>
      </c>
      <c r="I1270" s="46"/>
      <c r="J1270" s="46"/>
      <c r="K1270" s="46" t="str">
        <f>IFERROR(__xludf.DUMMYFUNCTION("if(A1270="""","""",IF(G1270="""",""Myn"",IF(REGEXMATCH(lower(G1270),""mynn""),""Myn"",if(G1270&lt;&gt;"""",""GEMTRE"",""""))))"),"Myn")</f>
        <v>Myn</v>
      </c>
      <c r="L1270" s="46" t="s">
        <v>2000</v>
      </c>
      <c r="M1270" s="48">
        <v>45255.460694444446</v>
      </c>
    </row>
    <row r="1271">
      <c r="A1271" s="47">
        <v>45254.58248975694</v>
      </c>
      <c r="B1271" s="46" t="s">
        <v>1547</v>
      </c>
      <c r="C1271" s="46">
        <v>9.21291912E9</v>
      </c>
      <c r="D1271" s="46"/>
      <c r="E1271" s="46"/>
      <c r="F1271" s="46"/>
      <c r="G1271" s="46" t="s">
        <v>303</v>
      </c>
      <c r="H1271" s="46" t="s">
        <v>701</v>
      </c>
      <c r="I1271" s="46"/>
      <c r="J1271" s="46"/>
      <c r="K1271" s="46" t="str">
        <f>IFERROR(__xludf.DUMMYFUNCTION("if(A1271="""","""",IF(G1271="""",""Myn"",IF(REGEXMATCH(lower(G1271),""mynn""),""Myn"",if(G1271&lt;&gt;"""",""GEMTRE"",""""))))"),"Myn")</f>
        <v>Myn</v>
      </c>
      <c r="L1271" s="46" t="s">
        <v>2000</v>
      </c>
      <c r="M1271" s="48">
        <v>45255.460694444446</v>
      </c>
    </row>
    <row r="1272">
      <c r="A1272" s="47">
        <v>45254.5833046412</v>
      </c>
      <c r="B1272" s="46" t="s">
        <v>1548</v>
      </c>
      <c r="C1272" s="46">
        <v>7.827379352E9</v>
      </c>
      <c r="D1272" s="46"/>
      <c r="E1272" s="46" t="s">
        <v>13</v>
      </c>
      <c r="F1272" s="46"/>
      <c r="G1272" s="46" t="s">
        <v>303</v>
      </c>
      <c r="H1272" s="46" t="s">
        <v>706</v>
      </c>
      <c r="I1272" s="46"/>
      <c r="J1272" s="46"/>
      <c r="K1272" s="46" t="str">
        <f>IFERROR(__xludf.DUMMYFUNCTION("if(A1272="""","""",IF(G1272="""",""Myn"",IF(REGEXMATCH(lower(G1272),""mynn""),""Myn"",if(G1272&lt;&gt;"""",""GEMTRE"",""""))))"),"Myn")</f>
        <v>Myn</v>
      </c>
      <c r="L1272" s="46" t="s">
        <v>2000</v>
      </c>
      <c r="M1272" s="48">
        <v>45255.460694444446</v>
      </c>
    </row>
    <row r="1273">
      <c r="A1273" s="47">
        <v>45254.5834233912</v>
      </c>
      <c r="B1273" s="46" t="s">
        <v>1549</v>
      </c>
      <c r="C1273" s="46">
        <v>9.667599479E9</v>
      </c>
      <c r="D1273" s="46"/>
      <c r="E1273" s="46"/>
      <c r="F1273" s="46"/>
      <c r="G1273" s="46" t="s">
        <v>303</v>
      </c>
      <c r="H1273" s="46" t="s">
        <v>701</v>
      </c>
      <c r="I1273" s="46"/>
      <c r="J1273" s="46"/>
      <c r="K1273" s="46" t="str">
        <f>IFERROR(__xludf.DUMMYFUNCTION("if(A1273="""","""",IF(G1273="""",""Myn"",IF(REGEXMATCH(lower(G1273),""mynn""),""Myn"",if(G1273&lt;&gt;"""",""GEMTRE"",""""))))"),"Myn")</f>
        <v>Myn</v>
      </c>
      <c r="L1273" s="46" t="s">
        <v>2000</v>
      </c>
      <c r="M1273" s="48">
        <v>45255.460694444446</v>
      </c>
    </row>
    <row r="1274">
      <c r="A1274" s="47">
        <v>45254.58388039352</v>
      </c>
      <c r="B1274" s="46" t="s">
        <v>1550</v>
      </c>
      <c r="C1274" s="46">
        <v>7.30364137E9</v>
      </c>
      <c r="D1274" s="46"/>
      <c r="E1274" s="46"/>
      <c r="F1274" s="46"/>
      <c r="G1274" s="46" t="s">
        <v>303</v>
      </c>
      <c r="H1274" s="46" t="s">
        <v>701</v>
      </c>
      <c r="I1274" s="46"/>
      <c r="J1274" s="46"/>
      <c r="K1274" s="46" t="str">
        <f>IFERROR(__xludf.DUMMYFUNCTION("if(A1274="""","""",IF(G1274="""",""Myn"",IF(REGEXMATCH(lower(G1274),""mynn""),""Myn"",if(G1274&lt;&gt;"""",""GEMTRE"",""""))))"),"Myn")</f>
        <v>Myn</v>
      </c>
      <c r="L1274" s="46" t="s">
        <v>2000</v>
      </c>
      <c r="M1274" s="48">
        <v>45255.460694444446</v>
      </c>
    </row>
    <row r="1275">
      <c r="A1275" s="47">
        <v>45254.58390194444</v>
      </c>
      <c r="B1275" s="46" t="s">
        <v>1551</v>
      </c>
      <c r="C1275" s="46">
        <v>9.650288566E9</v>
      </c>
      <c r="D1275" s="46"/>
      <c r="E1275" s="46" t="s">
        <v>1552</v>
      </c>
      <c r="F1275" s="46"/>
      <c r="G1275" s="46" t="s">
        <v>303</v>
      </c>
      <c r="H1275" s="46" t="s">
        <v>706</v>
      </c>
      <c r="I1275" s="46"/>
      <c r="J1275" s="46"/>
      <c r="K1275" s="46" t="str">
        <f>IFERROR(__xludf.DUMMYFUNCTION("if(A1275="""","""",IF(G1275="""",""Myn"",IF(REGEXMATCH(lower(G1275),""mynn""),""Myn"",if(G1275&lt;&gt;"""",""GEMTRE"",""""))))"),"Myn")</f>
        <v>Myn</v>
      </c>
      <c r="L1275" s="46" t="s">
        <v>2000</v>
      </c>
      <c r="M1275" s="48">
        <v>45255.460694444446</v>
      </c>
    </row>
    <row r="1276">
      <c r="A1276" s="47">
        <v>45254.58654733797</v>
      </c>
      <c r="B1276" s="46" t="s">
        <v>1553</v>
      </c>
      <c r="C1276" s="46">
        <v>9.99233327E9</v>
      </c>
      <c r="D1276" s="46"/>
      <c r="E1276" s="46"/>
      <c r="F1276" s="46"/>
      <c r="G1276" s="46" t="s">
        <v>303</v>
      </c>
      <c r="H1276" s="46" t="s">
        <v>701</v>
      </c>
      <c r="I1276" s="46"/>
      <c r="J1276" s="46"/>
      <c r="K1276" s="46" t="str">
        <f>IFERROR(__xludf.DUMMYFUNCTION("if(A1276="""","""",IF(G1276="""",""Myn"",IF(REGEXMATCH(lower(G1276),""mynn""),""Myn"",if(G1276&lt;&gt;"""",""GEMTRE"",""""))))"),"Myn")</f>
        <v>Myn</v>
      </c>
      <c r="L1276" s="46" t="s">
        <v>2000</v>
      </c>
      <c r="M1276" s="48">
        <v>45255.460694444446</v>
      </c>
    </row>
    <row r="1277">
      <c r="A1277" s="47">
        <v>45254.58931414352</v>
      </c>
      <c r="B1277" s="46" t="s">
        <v>826</v>
      </c>
      <c r="C1277" s="46">
        <v>9.958199115E9</v>
      </c>
      <c r="D1277" s="46"/>
      <c r="E1277" s="46" t="s">
        <v>15</v>
      </c>
      <c r="F1277" s="46"/>
      <c r="G1277" s="46" t="s">
        <v>303</v>
      </c>
      <c r="H1277" s="46" t="s">
        <v>706</v>
      </c>
      <c r="I1277" s="46"/>
      <c r="J1277" s="46"/>
      <c r="K1277" s="46" t="str">
        <f>IFERROR(__xludf.DUMMYFUNCTION("if(A1277="""","""",IF(G1277="""",""Myn"",IF(REGEXMATCH(lower(G1277),""mynn""),""Myn"",if(G1277&lt;&gt;"""",""GEMTRE"",""""))))"),"Myn")</f>
        <v>Myn</v>
      </c>
      <c r="L1277" s="46" t="s">
        <v>2000</v>
      </c>
      <c r="M1277" s="48">
        <v>45255.460694444446</v>
      </c>
    </row>
    <row r="1278">
      <c r="A1278" s="47">
        <v>45254.59036814814</v>
      </c>
      <c r="B1278" s="46" t="s">
        <v>191</v>
      </c>
      <c r="C1278" s="46">
        <v>9.625458533E9</v>
      </c>
      <c r="D1278" s="46"/>
      <c r="E1278" s="46"/>
      <c r="F1278" s="46"/>
      <c r="G1278" s="46" t="s">
        <v>303</v>
      </c>
      <c r="H1278" s="46" t="s">
        <v>706</v>
      </c>
      <c r="I1278" s="46"/>
      <c r="J1278" s="46"/>
      <c r="K1278" s="46" t="str">
        <f>IFERROR(__xludf.DUMMYFUNCTION("if(A1278="""","""",IF(G1278="""",""Myn"",IF(REGEXMATCH(lower(G1278),""mynn""),""Myn"",if(G1278&lt;&gt;"""",""GEMTRE"",""""))))"),"Myn")</f>
        <v>Myn</v>
      </c>
      <c r="L1278" s="46" t="s">
        <v>2000</v>
      </c>
      <c r="M1278" s="48">
        <v>45255.460694444446</v>
      </c>
    </row>
    <row r="1279">
      <c r="A1279" s="47">
        <v>45254.59351569445</v>
      </c>
      <c r="B1279" s="46" t="s">
        <v>1554</v>
      </c>
      <c r="C1279" s="46">
        <v>9.968503699E9</v>
      </c>
      <c r="D1279" s="46"/>
      <c r="E1279" s="46" t="s">
        <v>567</v>
      </c>
      <c r="F1279" s="46"/>
      <c r="G1279" s="46" t="s">
        <v>303</v>
      </c>
      <c r="H1279" s="46" t="s">
        <v>706</v>
      </c>
      <c r="I1279" s="46"/>
      <c r="J1279" s="46"/>
      <c r="K1279" s="46" t="str">
        <f>IFERROR(__xludf.DUMMYFUNCTION("if(A1279="""","""",IF(G1279="""",""Myn"",IF(REGEXMATCH(lower(G1279),""mynn""),""Myn"",if(G1279&lt;&gt;"""",""GEMTRE"",""""))))"),"Myn")</f>
        <v>Myn</v>
      </c>
      <c r="L1279" s="46" t="s">
        <v>2000</v>
      </c>
      <c r="M1279" s="48">
        <v>45255.460694444446</v>
      </c>
    </row>
    <row r="1280">
      <c r="A1280" s="47">
        <v>45254.594015104165</v>
      </c>
      <c r="B1280" s="46" t="s">
        <v>1555</v>
      </c>
      <c r="C1280" s="46">
        <v>9.97141981E9</v>
      </c>
      <c r="D1280" s="46"/>
      <c r="E1280" s="46" t="s">
        <v>1556</v>
      </c>
      <c r="F1280" s="46"/>
      <c r="G1280" s="46" t="s">
        <v>303</v>
      </c>
      <c r="H1280" s="46" t="s">
        <v>706</v>
      </c>
      <c r="I1280" s="46"/>
      <c r="J1280" s="46"/>
      <c r="K1280" s="46" t="str">
        <f>IFERROR(__xludf.DUMMYFUNCTION("if(A1280="""","""",IF(G1280="""",""Myn"",IF(REGEXMATCH(lower(G1280),""mynn""),""Myn"",if(G1280&lt;&gt;"""",""GEMTRE"",""""))))"),"Myn")</f>
        <v>Myn</v>
      </c>
      <c r="L1280" s="46" t="s">
        <v>2000</v>
      </c>
      <c r="M1280" s="48">
        <v>45255.460694444446</v>
      </c>
    </row>
    <row r="1281">
      <c r="A1281" s="47">
        <v>45254.597035231476</v>
      </c>
      <c r="B1281" s="46" t="s">
        <v>1557</v>
      </c>
      <c r="C1281" s="46">
        <v>9.899398964E9</v>
      </c>
      <c r="D1281" s="46"/>
      <c r="E1281" s="46" t="s">
        <v>227</v>
      </c>
      <c r="F1281" s="46"/>
      <c r="G1281" s="46" t="s">
        <v>303</v>
      </c>
      <c r="H1281" s="46" t="s">
        <v>706</v>
      </c>
      <c r="I1281" s="46"/>
      <c r="J1281" s="46"/>
      <c r="K1281" s="46" t="str">
        <f>IFERROR(__xludf.DUMMYFUNCTION("if(A1281="""","""",IF(G1281="""",""Myn"",IF(REGEXMATCH(lower(G1281),""mynn""),""Myn"",if(G1281&lt;&gt;"""",""GEMTRE"",""""))))"),"Myn")</f>
        <v>Myn</v>
      </c>
      <c r="L1281" s="46" t="s">
        <v>2000</v>
      </c>
      <c r="M1281" s="48">
        <v>45255.460694444446</v>
      </c>
    </row>
    <row r="1282">
      <c r="A1282" s="47">
        <v>45254.59728018519</v>
      </c>
      <c r="B1282" s="46" t="s">
        <v>1558</v>
      </c>
      <c r="C1282" s="46">
        <v>9.899523117E9</v>
      </c>
      <c r="D1282" s="46"/>
      <c r="E1282" s="46" t="s">
        <v>79</v>
      </c>
      <c r="F1282" s="46"/>
      <c r="G1282" s="46" t="s">
        <v>303</v>
      </c>
      <c r="H1282" s="46" t="s">
        <v>706</v>
      </c>
      <c r="I1282" s="46"/>
      <c r="J1282" s="46"/>
      <c r="K1282" s="46" t="str">
        <f>IFERROR(__xludf.DUMMYFUNCTION("if(A1282="""","""",IF(G1282="""",""Myn"",IF(REGEXMATCH(lower(G1282),""mynn""),""Myn"",if(G1282&lt;&gt;"""",""GEMTRE"",""""))))"),"Myn")</f>
        <v>Myn</v>
      </c>
      <c r="L1282" s="46" t="s">
        <v>2000</v>
      </c>
      <c r="M1282" s="48">
        <v>45255.460694444446</v>
      </c>
    </row>
    <row r="1283">
      <c r="A1283" s="47">
        <v>45254.59753025463</v>
      </c>
      <c r="B1283" s="46" t="s">
        <v>1559</v>
      </c>
      <c r="C1283" s="46">
        <v>9.873228283E9</v>
      </c>
      <c r="D1283" s="46"/>
      <c r="E1283" s="46"/>
      <c r="F1283" s="46"/>
      <c r="G1283" s="46" t="s">
        <v>303</v>
      </c>
      <c r="H1283" s="46" t="s">
        <v>701</v>
      </c>
      <c r="I1283" s="46"/>
      <c r="J1283" s="46"/>
      <c r="K1283" s="46" t="str">
        <f>IFERROR(__xludf.DUMMYFUNCTION("if(A1283="""","""",IF(G1283="""",""Myn"",IF(REGEXMATCH(lower(G1283),""mynn""),""Myn"",if(G1283&lt;&gt;"""",""GEMTRE"",""""))))"),"Myn")</f>
        <v>Myn</v>
      </c>
      <c r="L1283" s="46" t="s">
        <v>2000</v>
      </c>
      <c r="M1283" s="48">
        <v>45255.460694444446</v>
      </c>
    </row>
    <row r="1284">
      <c r="A1284" s="47">
        <v>45254.59894190972</v>
      </c>
      <c r="B1284" s="46" t="s">
        <v>1560</v>
      </c>
      <c r="C1284" s="46">
        <v>9.91061166E9</v>
      </c>
      <c r="D1284" s="46"/>
      <c r="E1284" s="46"/>
      <c r="F1284" s="46"/>
      <c r="G1284" s="46" t="s">
        <v>303</v>
      </c>
      <c r="H1284" s="46" t="s">
        <v>701</v>
      </c>
      <c r="I1284" s="46"/>
      <c r="J1284" s="46"/>
      <c r="K1284" s="46" t="str">
        <f>IFERROR(__xludf.DUMMYFUNCTION("if(A1284="""","""",IF(G1284="""",""Myn"",IF(REGEXMATCH(lower(G1284),""mynn""),""Myn"",if(G1284&lt;&gt;"""",""GEMTRE"",""""))))"),"Myn")</f>
        <v>Myn</v>
      </c>
      <c r="L1284" s="46" t="s">
        <v>2000</v>
      </c>
      <c r="M1284" s="48">
        <v>45255.460694444446</v>
      </c>
    </row>
    <row r="1285">
      <c r="A1285" s="47">
        <v>45254.59913703703</v>
      </c>
      <c r="B1285" s="46" t="s">
        <v>1561</v>
      </c>
      <c r="C1285" s="46">
        <v>9.312873215E9</v>
      </c>
      <c r="D1285" s="46"/>
      <c r="E1285" s="46" t="s">
        <v>15</v>
      </c>
      <c r="F1285" s="46"/>
      <c r="G1285" s="46" t="s">
        <v>303</v>
      </c>
      <c r="H1285" s="46" t="s">
        <v>706</v>
      </c>
      <c r="I1285" s="46"/>
      <c r="J1285" s="46"/>
      <c r="K1285" s="46" t="str">
        <f>IFERROR(__xludf.DUMMYFUNCTION("if(A1285="""","""",IF(G1285="""",""Myn"",IF(REGEXMATCH(lower(G1285),""mynn""),""Myn"",if(G1285&lt;&gt;"""",""GEMTRE"",""""))))"),"Myn")</f>
        <v>Myn</v>
      </c>
      <c r="L1285" s="46" t="s">
        <v>2000</v>
      </c>
      <c r="M1285" s="48">
        <v>45255.460694444446</v>
      </c>
    </row>
    <row r="1286">
      <c r="A1286" s="47">
        <v>45254.599735358795</v>
      </c>
      <c r="B1286" s="46" t="s">
        <v>1562</v>
      </c>
      <c r="C1286" s="46">
        <v>9.810501814E9</v>
      </c>
      <c r="D1286" s="46"/>
      <c r="E1286" s="46"/>
      <c r="F1286" s="46"/>
      <c r="G1286" s="46" t="s">
        <v>303</v>
      </c>
      <c r="H1286" s="46" t="s">
        <v>701</v>
      </c>
      <c r="I1286" s="46"/>
      <c r="J1286" s="46"/>
      <c r="K1286" s="46" t="str">
        <f>IFERROR(__xludf.DUMMYFUNCTION("if(A1286="""","""",IF(G1286="""",""Myn"",IF(REGEXMATCH(lower(G1286),""mynn""),""Myn"",if(G1286&lt;&gt;"""",""GEMTRE"",""""))))"),"Myn")</f>
        <v>Myn</v>
      </c>
      <c r="L1286" s="46" t="s">
        <v>2000</v>
      </c>
      <c r="M1286" s="48">
        <v>45255.460694444446</v>
      </c>
    </row>
    <row r="1287">
      <c r="A1287" s="47">
        <v>45254.60031809028</v>
      </c>
      <c r="B1287" s="46" t="s">
        <v>1563</v>
      </c>
      <c r="C1287" s="46">
        <v>9.31149716E9</v>
      </c>
      <c r="D1287" s="46"/>
      <c r="E1287" s="46"/>
      <c r="F1287" s="46"/>
      <c r="G1287" s="46" t="s">
        <v>303</v>
      </c>
      <c r="H1287" s="46" t="s">
        <v>701</v>
      </c>
      <c r="I1287" s="46"/>
      <c r="J1287" s="46"/>
      <c r="K1287" s="46" t="str">
        <f>IFERROR(__xludf.DUMMYFUNCTION("if(A1287="""","""",IF(G1287="""",""Myn"",IF(REGEXMATCH(lower(G1287),""mynn""),""Myn"",if(G1287&lt;&gt;"""",""GEMTRE"",""""))))"),"Myn")</f>
        <v>Myn</v>
      </c>
      <c r="L1287" s="46" t="s">
        <v>2000</v>
      </c>
      <c r="M1287" s="48">
        <v>45255.460694444446</v>
      </c>
    </row>
    <row r="1288">
      <c r="A1288" s="47">
        <v>45254.603697847226</v>
      </c>
      <c r="B1288" s="46" t="s">
        <v>1564</v>
      </c>
      <c r="C1288" s="46">
        <v>9.315787027E9</v>
      </c>
      <c r="D1288" s="46"/>
      <c r="E1288" s="46" t="s">
        <v>15</v>
      </c>
      <c r="F1288" s="46"/>
      <c r="G1288" s="46" t="s">
        <v>303</v>
      </c>
      <c r="H1288" s="46" t="s">
        <v>706</v>
      </c>
      <c r="I1288" s="46"/>
      <c r="J1288" s="46"/>
      <c r="K1288" s="46" t="str">
        <f>IFERROR(__xludf.DUMMYFUNCTION("if(A1288="""","""",IF(G1288="""",""Myn"",IF(REGEXMATCH(lower(G1288),""mynn""),""Myn"",if(G1288&lt;&gt;"""",""GEMTRE"",""""))))"),"Myn")</f>
        <v>Myn</v>
      </c>
      <c r="L1288" s="46" t="s">
        <v>2000</v>
      </c>
      <c r="M1288" s="48">
        <v>45255.460694444446</v>
      </c>
    </row>
    <row r="1289">
      <c r="A1289" s="47">
        <v>45254.60538412037</v>
      </c>
      <c r="B1289" s="46" t="s">
        <v>1565</v>
      </c>
      <c r="C1289" s="46">
        <v>8.448816837E9</v>
      </c>
      <c r="D1289" s="46"/>
      <c r="E1289" s="46"/>
      <c r="F1289" s="46"/>
      <c r="G1289" s="46" t="s">
        <v>303</v>
      </c>
      <c r="H1289" s="46" t="s">
        <v>701</v>
      </c>
      <c r="I1289" s="46"/>
      <c r="J1289" s="46"/>
      <c r="K1289" s="46" t="str">
        <f>IFERROR(__xludf.DUMMYFUNCTION("if(A1289="""","""",IF(G1289="""",""Myn"",IF(REGEXMATCH(lower(G1289),""mynn""),""Myn"",if(G1289&lt;&gt;"""",""GEMTRE"",""""))))"),"Myn")</f>
        <v>Myn</v>
      </c>
      <c r="L1289" s="46" t="s">
        <v>2000</v>
      </c>
      <c r="M1289" s="48">
        <v>45255.460694444446</v>
      </c>
    </row>
    <row r="1290">
      <c r="A1290" s="47">
        <v>45254.60632261574</v>
      </c>
      <c r="B1290" s="46" t="s">
        <v>1566</v>
      </c>
      <c r="C1290" s="46">
        <v>7.701907231E9</v>
      </c>
      <c r="D1290" s="46"/>
      <c r="E1290" s="46" t="s">
        <v>71</v>
      </c>
      <c r="F1290" s="46"/>
      <c r="G1290" s="46" t="s">
        <v>303</v>
      </c>
      <c r="H1290" s="46" t="s">
        <v>706</v>
      </c>
      <c r="I1290" s="46"/>
      <c r="J1290" s="46"/>
      <c r="K1290" s="46" t="str">
        <f>IFERROR(__xludf.DUMMYFUNCTION("if(A1290="""","""",IF(G1290="""",""Myn"",IF(REGEXMATCH(lower(G1290),""mynn""),""Myn"",if(G1290&lt;&gt;"""",""GEMTRE"",""""))))"),"Myn")</f>
        <v>Myn</v>
      </c>
      <c r="L1290" s="46" t="s">
        <v>2000</v>
      </c>
      <c r="M1290" s="48">
        <v>45255.460694444446</v>
      </c>
    </row>
    <row r="1291">
      <c r="A1291" s="47">
        <v>45254.60652804398</v>
      </c>
      <c r="B1291" s="46" t="s">
        <v>1567</v>
      </c>
      <c r="C1291" s="46">
        <v>9.625113437E9</v>
      </c>
      <c r="D1291" s="46"/>
      <c r="E1291" s="46"/>
      <c r="F1291" s="46"/>
      <c r="G1291" s="46" t="s">
        <v>303</v>
      </c>
      <c r="H1291" s="46" t="s">
        <v>701</v>
      </c>
      <c r="I1291" s="46"/>
      <c r="J1291" s="46"/>
      <c r="K1291" s="46" t="str">
        <f>IFERROR(__xludf.DUMMYFUNCTION("if(A1291="""","""",IF(G1291="""",""Myn"",IF(REGEXMATCH(lower(G1291),""mynn""),""Myn"",if(G1291&lt;&gt;"""",""GEMTRE"",""""))))"),"Myn")</f>
        <v>Myn</v>
      </c>
      <c r="L1291" s="46" t="s">
        <v>2000</v>
      </c>
      <c r="M1291" s="48">
        <v>45255.460694444446</v>
      </c>
    </row>
    <row r="1292">
      <c r="A1292" s="47">
        <v>45254.60759980324</v>
      </c>
      <c r="B1292" s="46" t="s">
        <v>1568</v>
      </c>
      <c r="C1292" s="46">
        <v>9.9532107E9</v>
      </c>
      <c r="D1292" s="46"/>
      <c r="E1292" s="46" t="s">
        <v>15</v>
      </c>
      <c r="F1292" s="46"/>
      <c r="G1292" s="46" t="s">
        <v>303</v>
      </c>
      <c r="H1292" s="46" t="s">
        <v>706</v>
      </c>
      <c r="I1292" s="46"/>
      <c r="J1292" s="46"/>
      <c r="K1292" s="46" t="str">
        <f>IFERROR(__xludf.DUMMYFUNCTION("if(A1292="""","""",IF(G1292="""",""Myn"",IF(REGEXMATCH(lower(G1292),""mynn""),""Myn"",if(G1292&lt;&gt;"""",""GEMTRE"",""""))))"),"Myn")</f>
        <v>Myn</v>
      </c>
      <c r="L1292" s="46" t="s">
        <v>2000</v>
      </c>
      <c r="M1292" s="48">
        <v>45255.460694444446</v>
      </c>
    </row>
    <row r="1293">
      <c r="A1293" s="47">
        <v>45254.60904964121</v>
      </c>
      <c r="B1293" s="46" t="s">
        <v>1569</v>
      </c>
      <c r="C1293" s="46">
        <v>9.368671762E9</v>
      </c>
      <c r="D1293" s="46"/>
      <c r="E1293" s="46" t="s">
        <v>227</v>
      </c>
      <c r="F1293" s="46"/>
      <c r="G1293" s="46" t="s">
        <v>303</v>
      </c>
      <c r="H1293" s="46" t="s">
        <v>706</v>
      </c>
      <c r="I1293" s="46"/>
      <c r="J1293" s="46"/>
      <c r="K1293" s="46" t="str">
        <f>IFERROR(__xludf.DUMMYFUNCTION("if(A1293="""","""",IF(G1293="""",""Myn"",IF(REGEXMATCH(lower(G1293),""mynn""),""Myn"",if(G1293&lt;&gt;"""",""GEMTRE"",""""))))"),"Myn")</f>
        <v>Myn</v>
      </c>
      <c r="L1293" s="46" t="s">
        <v>2000</v>
      </c>
      <c r="M1293" s="48">
        <v>45255.460694444446</v>
      </c>
    </row>
    <row r="1294">
      <c r="A1294" s="47">
        <v>45254.61465408565</v>
      </c>
      <c r="B1294" s="46" t="s">
        <v>1570</v>
      </c>
      <c r="C1294" s="46">
        <v>8.860130037E9</v>
      </c>
      <c r="D1294" s="46"/>
      <c r="E1294" s="46"/>
      <c r="F1294" s="46"/>
      <c r="G1294" s="46" t="s">
        <v>303</v>
      </c>
      <c r="H1294" s="46" t="s">
        <v>701</v>
      </c>
      <c r="I1294" s="46"/>
      <c r="J1294" s="46"/>
      <c r="K1294" s="46" t="str">
        <f>IFERROR(__xludf.DUMMYFUNCTION("if(A1294="""","""",IF(G1294="""",""Myn"",IF(REGEXMATCH(lower(G1294),""mynn""),""Myn"",if(G1294&lt;&gt;"""",""GEMTRE"",""""))))"),"Myn")</f>
        <v>Myn</v>
      </c>
      <c r="L1294" s="46" t="s">
        <v>2000</v>
      </c>
      <c r="M1294" s="48">
        <v>45255.460694444446</v>
      </c>
    </row>
    <row r="1295">
      <c r="A1295" s="47">
        <v>45254.61507594907</v>
      </c>
      <c r="B1295" s="46" t="s">
        <v>1304</v>
      </c>
      <c r="C1295" s="46">
        <v>7.206660875E9</v>
      </c>
      <c r="D1295" s="46"/>
      <c r="E1295" s="46"/>
      <c r="F1295" s="46"/>
      <c r="G1295" s="46" t="s">
        <v>303</v>
      </c>
      <c r="H1295" s="46" t="s">
        <v>701</v>
      </c>
      <c r="I1295" s="46"/>
      <c r="J1295" s="46"/>
      <c r="K1295" s="46" t="str">
        <f>IFERROR(__xludf.DUMMYFUNCTION("if(A1295="""","""",IF(G1295="""",""Myn"",IF(REGEXMATCH(lower(G1295),""mynn""),""Myn"",if(G1295&lt;&gt;"""",""GEMTRE"",""""))))"),"Myn")</f>
        <v>Myn</v>
      </c>
      <c r="L1295" s="46" t="s">
        <v>2000</v>
      </c>
      <c r="M1295" s="48">
        <v>45255.460694444446</v>
      </c>
    </row>
    <row r="1296">
      <c r="A1296" s="47">
        <v>45254.615303715276</v>
      </c>
      <c r="B1296" s="46" t="s">
        <v>1571</v>
      </c>
      <c r="C1296" s="46">
        <v>9.416694977E9</v>
      </c>
      <c r="D1296" s="46"/>
      <c r="E1296" s="46"/>
      <c r="F1296" s="46"/>
      <c r="G1296" s="46" t="s">
        <v>303</v>
      </c>
      <c r="H1296" s="46" t="s">
        <v>701</v>
      </c>
      <c r="I1296" s="46"/>
      <c r="J1296" s="46"/>
      <c r="K1296" s="46" t="str">
        <f>IFERROR(__xludf.DUMMYFUNCTION("if(A1296="""","""",IF(G1296="""",""Myn"",IF(REGEXMATCH(lower(G1296),""mynn""),""Myn"",if(G1296&lt;&gt;"""",""GEMTRE"",""""))))"),"Myn")</f>
        <v>Myn</v>
      </c>
      <c r="L1296" s="46" t="s">
        <v>2000</v>
      </c>
      <c r="M1296" s="48">
        <v>45255.460694444446</v>
      </c>
    </row>
    <row r="1297">
      <c r="A1297" s="47">
        <v>45254.61746313657</v>
      </c>
      <c r="B1297" s="46" t="s">
        <v>1572</v>
      </c>
      <c r="C1297" s="46">
        <v>7.988078592E9</v>
      </c>
      <c r="D1297" s="46"/>
      <c r="E1297" s="46"/>
      <c r="F1297" s="46"/>
      <c r="G1297" s="46" t="s">
        <v>303</v>
      </c>
      <c r="H1297" s="46" t="s">
        <v>701</v>
      </c>
      <c r="I1297" s="46"/>
      <c r="J1297" s="46"/>
      <c r="K1297" s="46" t="str">
        <f>IFERROR(__xludf.DUMMYFUNCTION("if(A1297="""","""",IF(G1297="""",""Myn"",IF(REGEXMATCH(lower(G1297),""mynn""),""Myn"",if(G1297&lt;&gt;"""",""GEMTRE"",""""))))"),"Myn")</f>
        <v>Myn</v>
      </c>
      <c r="L1297" s="46" t="s">
        <v>2000</v>
      </c>
      <c r="M1297" s="48">
        <v>45255.460694444446</v>
      </c>
    </row>
    <row r="1298">
      <c r="A1298" s="47">
        <v>45254.619200914356</v>
      </c>
      <c r="B1298" s="46" t="s">
        <v>1573</v>
      </c>
      <c r="C1298" s="46">
        <v>9.560002747E9</v>
      </c>
      <c r="D1298" s="46"/>
      <c r="E1298" s="46"/>
      <c r="F1298" s="46"/>
      <c r="G1298" s="46" t="s">
        <v>303</v>
      </c>
      <c r="H1298" s="46" t="s">
        <v>701</v>
      </c>
      <c r="I1298" s="46"/>
      <c r="J1298" s="46"/>
      <c r="K1298" s="46" t="str">
        <f>IFERROR(__xludf.DUMMYFUNCTION("if(A1298="""","""",IF(G1298="""",""Myn"",IF(REGEXMATCH(lower(G1298),""mynn""),""Myn"",if(G1298&lt;&gt;"""",""GEMTRE"",""""))))"),"Myn")</f>
        <v>Myn</v>
      </c>
      <c r="L1298" s="46" t="s">
        <v>2000</v>
      </c>
      <c r="M1298" s="48">
        <v>45255.460694444446</v>
      </c>
    </row>
    <row r="1299">
      <c r="A1299" s="47">
        <v>45254.61962503473</v>
      </c>
      <c r="B1299" s="46" t="s">
        <v>534</v>
      </c>
      <c r="C1299" s="46">
        <v>7.065851322E9</v>
      </c>
      <c r="D1299" s="46"/>
      <c r="E1299" s="46" t="s">
        <v>15</v>
      </c>
      <c r="F1299" s="46"/>
      <c r="G1299" s="46" t="s">
        <v>303</v>
      </c>
      <c r="H1299" s="46" t="s">
        <v>706</v>
      </c>
      <c r="I1299" s="46"/>
      <c r="J1299" s="46"/>
      <c r="K1299" s="46" t="str">
        <f>IFERROR(__xludf.DUMMYFUNCTION("if(A1299="""","""",IF(G1299="""",""Myn"",IF(REGEXMATCH(lower(G1299),""mynn""),""Myn"",if(G1299&lt;&gt;"""",""GEMTRE"",""""))))"),"Myn")</f>
        <v>Myn</v>
      </c>
      <c r="L1299" s="46" t="s">
        <v>2000</v>
      </c>
      <c r="M1299" s="48">
        <v>45255.460694444446</v>
      </c>
    </row>
    <row r="1300">
      <c r="A1300" s="47">
        <v>45254.623254942126</v>
      </c>
      <c r="B1300" s="46" t="s">
        <v>1574</v>
      </c>
      <c r="C1300" s="46">
        <v>9.71665605E9</v>
      </c>
      <c r="D1300" s="46"/>
      <c r="E1300" s="46" t="s">
        <v>424</v>
      </c>
      <c r="F1300" s="46"/>
      <c r="G1300" s="46" t="s">
        <v>303</v>
      </c>
      <c r="H1300" s="46" t="s">
        <v>706</v>
      </c>
      <c r="I1300" s="46"/>
      <c r="J1300" s="46"/>
      <c r="K1300" s="46" t="str">
        <f>IFERROR(__xludf.DUMMYFUNCTION("if(A1300="""","""",IF(G1300="""",""Myn"",IF(REGEXMATCH(lower(G1300),""mynn""),""Myn"",if(G1300&lt;&gt;"""",""GEMTRE"",""""))))"),"Myn")</f>
        <v>Myn</v>
      </c>
      <c r="L1300" s="46" t="s">
        <v>2000</v>
      </c>
      <c r="M1300" s="48">
        <v>45255.460694444446</v>
      </c>
    </row>
    <row r="1301">
      <c r="A1301" s="47">
        <v>45254.62355296296</v>
      </c>
      <c r="B1301" s="46" t="s">
        <v>1575</v>
      </c>
      <c r="C1301" s="46">
        <v>9.650022943E9</v>
      </c>
      <c r="D1301" s="46"/>
      <c r="E1301" s="46"/>
      <c r="F1301" s="46"/>
      <c r="G1301" s="46" t="s">
        <v>303</v>
      </c>
      <c r="H1301" s="46" t="s">
        <v>701</v>
      </c>
      <c r="I1301" s="46"/>
      <c r="J1301" s="46"/>
      <c r="K1301" s="46" t="str">
        <f>IFERROR(__xludf.DUMMYFUNCTION("if(A1301="""","""",IF(G1301="""",""Myn"",IF(REGEXMATCH(lower(G1301),""mynn""),""Myn"",if(G1301&lt;&gt;"""",""GEMTRE"",""""))))"),"Myn")</f>
        <v>Myn</v>
      </c>
      <c r="L1301" s="46" t="s">
        <v>2000</v>
      </c>
      <c r="M1301" s="48">
        <v>45255.460694444446</v>
      </c>
    </row>
    <row r="1302">
      <c r="A1302" s="47">
        <v>45254.623789930556</v>
      </c>
      <c r="B1302" s="46" t="s">
        <v>1576</v>
      </c>
      <c r="C1302" s="46">
        <v>9.953561935E9</v>
      </c>
      <c r="D1302" s="46"/>
      <c r="E1302" s="46"/>
      <c r="F1302" s="46"/>
      <c r="G1302" s="46" t="s">
        <v>303</v>
      </c>
      <c r="H1302" s="46" t="s">
        <v>701</v>
      </c>
      <c r="I1302" s="46"/>
      <c r="J1302" s="46"/>
      <c r="K1302" s="46" t="str">
        <f>IFERROR(__xludf.DUMMYFUNCTION("if(A1302="""","""",IF(G1302="""",""Myn"",IF(REGEXMATCH(lower(G1302),""mynn""),""Myn"",if(G1302&lt;&gt;"""",""GEMTRE"",""""))))"),"Myn")</f>
        <v>Myn</v>
      </c>
      <c r="L1302" s="46" t="s">
        <v>2000</v>
      </c>
      <c r="M1302" s="48">
        <v>45255.460694444446</v>
      </c>
    </row>
    <row r="1303">
      <c r="A1303" s="47">
        <v>45254.62404028935</v>
      </c>
      <c r="B1303" s="46" t="s">
        <v>1577</v>
      </c>
      <c r="C1303" s="46">
        <v>9.999259394E9</v>
      </c>
      <c r="D1303" s="46"/>
      <c r="E1303" s="46"/>
      <c r="F1303" s="46"/>
      <c r="G1303" s="46" t="s">
        <v>303</v>
      </c>
      <c r="H1303" s="46" t="s">
        <v>701</v>
      </c>
      <c r="I1303" s="46"/>
      <c r="J1303" s="46"/>
      <c r="K1303" s="46" t="str">
        <f>IFERROR(__xludf.DUMMYFUNCTION("if(A1303="""","""",IF(G1303="""",""Myn"",IF(REGEXMATCH(lower(G1303),""mynn""),""Myn"",if(G1303&lt;&gt;"""",""GEMTRE"",""""))))"),"Myn")</f>
        <v>Myn</v>
      </c>
      <c r="L1303" s="46" t="s">
        <v>2000</v>
      </c>
      <c r="M1303" s="48">
        <v>45255.460694444446</v>
      </c>
    </row>
    <row r="1304">
      <c r="A1304" s="47">
        <v>45254.62482896991</v>
      </c>
      <c r="B1304" s="46" t="s">
        <v>990</v>
      </c>
      <c r="C1304" s="46">
        <v>9.990987498E9</v>
      </c>
      <c r="D1304" s="46"/>
      <c r="E1304" s="46" t="s">
        <v>1578</v>
      </c>
      <c r="F1304" s="46"/>
      <c r="G1304" s="46" t="s">
        <v>303</v>
      </c>
      <c r="H1304" s="46" t="s">
        <v>706</v>
      </c>
      <c r="I1304" s="46"/>
      <c r="J1304" s="46"/>
      <c r="K1304" s="46" t="str">
        <f>IFERROR(__xludf.DUMMYFUNCTION("if(A1304="""","""",IF(G1304="""",""Myn"",IF(REGEXMATCH(lower(G1304),""mynn""),""Myn"",if(G1304&lt;&gt;"""",""GEMTRE"",""""))))"),"Myn")</f>
        <v>Myn</v>
      </c>
      <c r="L1304" s="46" t="s">
        <v>2000</v>
      </c>
      <c r="M1304" s="48">
        <v>45255.460694444446</v>
      </c>
    </row>
    <row r="1305">
      <c r="A1305" s="47">
        <v>45254.62824556713</v>
      </c>
      <c r="B1305" s="46" t="s">
        <v>338</v>
      </c>
      <c r="C1305" s="46">
        <v>7.06517155E9</v>
      </c>
      <c r="D1305" s="46"/>
      <c r="E1305" s="46"/>
      <c r="F1305" s="46"/>
      <c r="G1305" s="46" t="s">
        <v>303</v>
      </c>
      <c r="H1305" s="46" t="s">
        <v>701</v>
      </c>
      <c r="I1305" s="46"/>
      <c r="J1305" s="46"/>
      <c r="K1305" s="46" t="str">
        <f>IFERROR(__xludf.DUMMYFUNCTION("if(A1305="""","""",IF(G1305="""",""Myn"",IF(REGEXMATCH(lower(G1305),""mynn""),""Myn"",if(G1305&lt;&gt;"""",""GEMTRE"",""""))))"),"Myn")</f>
        <v>Myn</v>
      </c>
      <c r="L1305" s="46" t="s">
        <v>2000</v>
      </c>
      <c r="M1305" s="48">
        <v>45255.460694444446</v>
      </c>
    </row>
    <row r="1306">
      <c r="A1306" s="47">
        <v>45254.62925541667</v>
      </c>
      <c r="B1306" s="46" t="s">
        <v>392</v>
      </c>
      <c r="C1306" s="46">
        <v>9.899007811E9</v>
      </c>
      <c r="D1306" s="46"/>
      <c r="E1306" s="46"/>
      <c r="F1306" s="46"/>
      <c r="G1306" s="46" t="s">
        <v>303</v>
      </c>
      <c r="H1306" s="46" t="s">
        <v>701</v>
      </c>
      <c r="I1306" s="46"/>
      <c r="J1306" s="46"/>
      <c r="K1306" s="46" t="str">
        <f>IFERROR(__xludf.DUMMYFUNCTION("if(A1306="""","""",IF(G1306="""",""Myn"",IF(REGEXMATCH(lower(G1306),""mynn""),""Myn"",if(G1306&lt;&gt;"""",""GEMTRE"",""""))))"),"Myn")</f>
        <v>Myn</v>
      </c>
      <c r="L1306" s="46" t="s">
        <v>2000</v>
      </c>
      <c r="M1306" s="48">
        <v>45255.460694444446</v>
      </c>
    </row>
    <row r="1307">
      <c r="A1307" s="47">
        <v>45254.6293259375</v>
      </c>
      <c r="B1307" s="46" t="s">
        <v>1579</v>
      </c>
      <c r="C1307" s="46">
        <v>9.83882867E9</v>
      </c>
      <c r="D1307" s="46"/>
      <c r="E1307" s="46"/>
      <c r="F1307" s="46"/>
      <c r="G1307" s="46" t="s">
        <v>303</v>
      </c>
      <c r="H1307" s="46" t="s">
        <v>1035</v>
      </c>
      <c r="I1307" s="46"/>
      <c r="J1307" s="46"/>
      <c r="K1307" s="46" t="str">
        <f>IFERROR(__xludf.DUMMYFUNCTION("if(A1307="""","""",IF(G1307="""",""Myn"",IF(REGEXMATCH(lower(G1307),""mynn""),""Myn"",if(G1307&lt;&gt;"""",""GEMTRE"",""""))))"),"Myn")</f>
        <v>Myn</v>
      </c>
      <c r="L1307" s="46" t="s">
        <v>2000</v>
      </c>
      <c r="M1307" s="48">
        <v>45255.460694444446</v>
      </c>
    </row>
    <row r="1308">
      <c r="A1308" s="47">
        <v>45254.62952548611</v>
      </c>
      <c r="B1308" s="46" t="s">
        <v>1580</v>
      </c>
      <c r="C1308" s="46">
        <v>8.010214196E9</v>
      </c>
      <c r="D1308" s="46"/>
      <c r="E1308" s="46"/>
      <c r="F1308" s="46"/>
      <c r="G1308" s="46" t="s">
        <v>303</v>
      </c>
      <c r="H1308" s="46" t="s">
        <v>701</v>
      </c>
      <c r="I1308" s="46"/>
      <c r="J1308" s="46"/>
      <c r="K1308" s="46" t="str">
        <f>IFERROR(__xludf.DUMMYFUNCTION("if(A1308="""","""",IF(G1308="""",""Myn"",IF(REGEXMATCH(lower(G1308),""mynn""),""Myn"",if(G1308&lt;&gt;"""",""GEMTRE"",""""))))"),"Myn")</f>
        <v>Myn</v>
      </c>
      <c r="L1308" s="46" t="s">
        <v>2000</v>
      </c>
      <c r="M1308" s="48">
        <v>45255.460694444446</v>
      </c>
    </row>
    <row r="1309">
      <c r="A1309" s="47">
        <v>45254.633014907406</v>
      </c>
      <c r="B1309" s="46" t="s">
        <v>1581</v>
      </c>
      <c r="C1309" s="46">
        <v>9.643517133E9</v>
      </c>
      <c r="D1309" s="46"/>
      <c r="E1309" s="46" t="s">
        <v>481</v>
      </c>
      <c r="F1309" s="46"/>
      <c r="G1309" s="46" t="s">
        <v>303</v>
      </c>
      <c r="H1309" s="46" t="s">
        <v>706</v>
      </c>
      <c r="I1309" s="46"/>
      <c r="J1309" s="46"/>
      <c r="K1309" s="46" t="str">
        <f>IFERROR(__xludf.DUMMYFUNCTION("if(A1309="""","""",IF(G1309="""",""Myn"",IF(REGEXMATCH(lower(G1309),""mynn""),""Myn"",if(G1309&lt;&gt;"""",""GEMTRE"",""""))))"),"Myn")</f>
        <v>Myn</v>
      </c>
      <c r="L1309" s="46" t="s">
        <v>2000</v>
      </c>
      <c r="M1309" s="48">
        <v>45255.460694444446</v>
      </c>
    </row>
    <row r="1310">
      <c r="A1310" s="47">
        <v>45254.63525577546</v>
      </c>
      <c r="B1310" s="46" t="s">
        <v>1582</v>
      </c>
      <c r="C1310" s="46">
        <v>7.857081468E9</v>
      </c>
      <c r="D1310" s="46"/>
      <c r="E1310" s="46" t="s">
        <v>15</v>
      </c>
      <c r="F1310" s="46"/>
      <c r="G1310" s="46" t="s">
        <v>303</v>
      </c>
      <c r="H1310" s="46" t="s">
        <v>706</v>
      </c>
      <c r="I1310" s="46"/>
      <c r="J1310" s="46"/>
      <c r="K1310" s="46" t="str">
        <f>IFERROR(__xludf.DUMMYFUNCTION("if(A1310="""","""",IF(G1310="""",""Myn"",IF(REGEXMATCH(lower(G1310),""mynn""),""Myn"",if(G1310&lt;&gt;"""",""GEMTRE"",""""))))"),"Myn")</f>
        <v>Myn</v>
      </c>
      <c r="L1310" s="46" t="s">
        <v>2000</v>
      </c>
      <c r="M1310" s="48">
        <v>45255.460694444446</v>
      </c>
    </row>
    <row r="1311">
      <c r="A1311" s="47">
        <v>45254.64542688658</v>
      </c>
      <c r="B1311" s="46" t="s">
        <v>1583</v>
      </c>
      <c r="C1311" s="46">
        <v>9.810524563E9</v>
      </c>
      <c r="D1311" s="46"/>
      <c r="E1311" s="46"/>
      <c r="F1311" s="46"/>
      <c r="G1311" s="46" t="s">
        <v>303</v>
      </c>
      <c r="H1311" s="46" t="s">
        <v>701</v>
      </c>
      <c r="I1311" s="46"/>
      <c r="J1311" s="46"/>
      <c r="K1311" s="46" t="str">
        <f>IFERROR(__xludf.DUMMYFUNCTION("if(A1311="""","""",IF(G1311="""",""Myn"",IF(REGEXMATCH(lower(G1311),""mynn""),""Myn"",if(G1311&lt;&gt;"""",""GEMTRE"",""""))))"),"Myn")</f>
        <v>Myn</v>
      </c>
      <c r="L1311" s="46" t="s">
        <v>2000</v>
      </c>
      <c r="M1311" s="48">
        <v>45255.460694444446</v>
      </c>
    </row>
    <row r="1312">
      <c r="A1312" s="47">
        <v>45254.658183645835</v>
      </c>
      <c r="B1312" s="46" t="s">
        <v>1584</v>
      </c>
      <c r="C1312" s="46">
        <v>8.700463815E9</v>
      </c>
      <c r="D1312" s="46"/>
      <c r="E1312" s="46"/>
      <c r="F1312" s="46"/>
      <c r="G1312" s="46" t="s">
        <v>303</v>
      </c>
      <c r="H1312" s="46" t="s">
        <v>706</v>
      </c>
      <c r="I1312" s="46"/>
      <c r="J1312" s="46"/>
      <c r="K1312" s="46" t="str">
        <f>IFERROR(__xludf.DUMMYFUNCTION("if(A1312="""","""",IF(G1312="""",""Myn"",IF(REGEXMATCH(lower(G1312),""mynn""),""Myn"",if(G1312&lt;&gt;"""",""GEMTRE"",""""))))"),"Myn")</f>
        <v>Myn</v>
      </c>
      <c r="L1312" s="46" t="s">
        <v>2000</v>
      </c>
      <c r="M1312" s="48">
        <v>45255.460694444446</v>
      </c>
    </row>
    <row r="1313">
      <c r="A1313" s="47">
        <v>45254.658469664355</v>
      </c>
      <c r="B1313" s="46" t="s">
        <v>1585</v>
      </c>
      <c r="C1313" s="46">
        <v>9.21200633E9</v>
      </c>
      <c r="D1313" s="46"/>
      <c r="E1313" s="46" t="s">
        <v>227</v>
      </c>
      <c r="F1313" s="46"/>
      <c r="G1313" s="46" t="s">
        <v>303</v>
      </c>
      <c r="H1313" s="46" t="s">
        <v>706</v>
      </c>
      <c r="I1313" s="46"/>
      <c r="J1313" s="46"/>
      <c r="K1313" s="46" t="str">
        <f>IFERROR(__xludf.DUMMYFUNCTION("if(A1313="""","""",IF(G1313="""",""Myn"",IF(REGEXMATCH(lower(G1313),""mynn""),""Myn"",if(G1313&lt;&gt;"""",""GEMTRE"",""""))))"),"Myn")</f>
        <v>Myn</v>
      </c>
      <c r="L1313" s="46" t="s">
        <v>2000</v>
      </c>
      <c r="M1313" s="48">
        <v>45255.460694444446</v>
      </c>
    </row>
    <row r="1314">
      <c r="A1314" s="47">
        <v>45254.662433958336</v>
      </c>
      <c r="B1314" s="46" t="s">
        <v>1586</v>
      </c>
      <c r="C1314" s="46">
        <v>9.582664943E9</v>
      </c>
      <c r="D1314" s="46"/>
      <c r="E1314" s="46"/>
      <c r="F1314" s="46"/>
      <c r="G1314" s="46" t="s">
        <v>303</v>
      </c>
      <c r="H1314" s="46" t="s">
        <v>701</v>
      </c>
      <c r="I1314" s="46"/>
      <c r="J1314" s="46"/>
      <c r="K1314" s="46" t="str">
        <f>IFERROR(__xludf.DUMMYFUNCTION("if(A1314="""","""",IF(G1314="""",""Myn"",IF(REGEXMATCH(lower(G1314),""mynn""),""Myn"",if(G1314&lt;&gt;"""",""GEMTRE"",""""))))"),"Myn")</f>
        <v>Myn</v>
      </c>
      <c r="L1314" s="46" t="s">
        <v>2000</v>
      </c>
      <c r="M1314" s="48">
        <v>45255.460694444446</v>
      </c>
    </row>
    <row r="1315">
      <c r="A1315" s="47">
        <v>45254.664290810186</v>
      </c>
      <c r="B1315" s="46" t="s">
        <v>1587</v>
      </c>
      <c r="C1315" s="46">
        <v>9.810026304E9</v>
      </c>
      <c r="D1315" s="46"/>
      <c r="E1315" s="46" t="s">
        <v>71</v>
      </c>
      <c r="F1315" s="46"/>
      <c r="G1315" s="46" t="s">
        <v>303</v>
      </c>
      <c r="H1315" s="46" t="s">
        <v>706</v>
      </c>
      <c r="I1315" s="46"/>
      <c r="J1315" s="46"/>
      <c r="K1315" s="46" t="str">
        <f>IFERROR(__xludf.DUMMYFUNCTION("if(A1315="""","""",IF(G1315="""",""Myn"",IF(REGEXMATCH(lower(G1315),""mynn""),""Myn"",if(G1315&lt;&gt;"""",""GEMTRE"",""""))))"),"Myn")</f>
        <v>Myn</v>
      </c>
      <c r="L1315" s="46" t="s">
        <v>2000</v>
      </c>
      <c r="M1315" s="48">
        <v>45255.460694444446</v>
      </c>
    </row>
    <row r="1316">
      <c r="A1316" s="47">
        <v>45254.66711181713</v>
      </c>
      <c r="B1316" s="46" t="s">
        <v>1588</v>
      </c>
      <c r="C1316" s="46">
        <v>9.310674176E9</v>
      </c>
      <c r="D1316" s="46"/>
      <c r="E1316" s="46"/>
      <c r="F1316" s="46"/>
      <c r="G1316" s="46" t="s">
        <v>303</v>
      </c>
      <c r="H1316" s="46" t="s">
        <v>701</v>
      </c>
      <c r="I1316" s="46"/>
      <c r="J1316" s="46"/>
      <c r="K1316" s="46" t="str">
        <f>IFERROR(__xludf.DUMMYFUNCTION("if(A1316="""","""",IF(G1316="""",""Myn"",IF(REGEXMATCH(lower(G1316),""mynn""),""Myn"",if(G1316&lt;&gt;"""",""GEMTRE"",""""))))"),"Myn")</f>
        <v>Myn</v>
      </c>
      <c r="L1316" s="46" t="s">
        <v>2000</v>
      </c>
      <c r="M1316" s="48">
        <v>45255.460694444446</v>
      </c>
    </row>
    <row r="1317">
      <c r="A1317" s="47">
        <v>45254.66785827546</v>
      </c>
      <c r="B1317" s="46" t="s">
        <v>726</v>
      </c>
      <c r="C1317" s="46">
        <v>9.811025895E9</v>
      </c>
      <c r="D1317" s="46"/>
      <c r="E1317" s="46"/>
      <c r="F1317" s="46"/>
      <c r="G1317" s="46" t="s">
        <v>303</v>
      </c>
      <c r="H1317" s="46" t="s">
        <v>701</v>
      </c>
      <c r="I1317" s="46"/>
      <c r="J1317" s="46"/>
      <c r="K1317" s="46" t="str">
        <f>IFERROR(__xludf.DUMMYFUNCTION("if(A1317="""","""",IF(G1317="""",""Myn"",IF(REGEXMATCH(lower(G1317),""mynn""),""Myn"",if(G1317&lt;&gt;"""",""GEMTRE"",""""))))"),"Myn")</f>
        <v>Myn</v>
      </c>
      <c r="L1317" s="46" t="s">
        <v>2000</v>
      </c>
      <c r="M1317" s="48">
        <v>45255.460694444446</v>
      </c>
    </row>
    <row r="1318">
      <c r="A1318" s="47">
        <v>45254.67533008102</v>
      </c>
      <c r="B1318" s="46" t="s">
        <v>490</v>
      </c>
      <c r="C1318" s="46">
        <v>8.882303132E9</v>
      </c>
      <c r="D1318" s="46"/>
      <c r="E1318" s="46" t="s">
        <v>15</v>
      </c>
      <c r="F1318" s="46"/>
      <c r="G1318" s="46" t="s">
        <v>303</v>
      </c>
      <c r="H1318" s="46" t="s">
        <v>706</v>
      </c>
      <c r="I1318" s="46"/>
      <c r="J1318" s="46"/>
      <c r="K1318" s="46" t="str">
        <f>IFERROR(__xludf.DUMMYFUNCTION("if(A1318="""","""",IF(G1318="""",""Myn"",IF(REGEXMATCH(lower(G1318),""mynn""),""Myn"",if(G1318&lt;&gt;"""",""GEMTRE"",""""))))"),"Myn")</f>
        <v>Myn</v>
      </c>
      <c r="L1318" s="46" t="s">
        <v>2000</v>
      </c>
      <c r="M1318" s="48">
        <v>45255.460694444446</v>
      </c>
    </row>
    <row r="1319">
      <c r="A1319" s="47">
        <v>45254.676623402775</v>
      </c>
      <c r="B1319" s="46" t="s">
        <v>1589</v>
      </c>
      <c r="C1319" s="46">
        <v>9.999090866E9</v>
      </c>
      <c r="D1319" s="46"/>
      <c r="E1319" s="46" t="s">
        <v>15</v>
      </c>
      <c r="F1319" s="46"/>
      <c r="G1319" s="46" t="s">
        <v>303</v>
      </c>
      <c r="H1319" s="46" t="s">
        <v>706</v>
      </c>
      <c r="I1319" s="46"/>
      <c r="J1319" s="46"/>
      <c r="K1319" s="46" t="str">
        <f>IFERROR(__xludf.DUMMYFUNCTION("if(A1319="""","""",IF(G1319="""",""Myn"",IF(REGEXMATCH(lower(G1319),""mynn""),""Myn"",if(G1319&lt;&gt;"""",""GEMTRE"",""""))))"),"Myn")</f>
        <v>Myn</v>
      </c>
      <c r="L1319" s="46" t="s">
        <v>2000</v>
      </c>
      <c r="M1319" s="48">
        <v>45255.460694444446</v>
      </c>
    </row>
    <row r="1320">
      <c r="A1320" s="47">
        <v>45254.6801653125</v>
      </c>
      <c r="B1320" s="46" t="s">
        <v>1590</v>
      </c>
      <c r="C1320" s="46">
        <v>9.891510785E9</v>
      </c>
      <c r="D1320" s="46"/>
      <c r="E1320" s="46" t="s">
        <v>1591</v>
      </c>
      <c r="F1320" s="46"/>
      <c r="G1320" s="46" t="s">
        <v>303</v>
      </c>
      <c r="H1320" s="46" t="s">
        <v>706</v>
      </c>
      <c r="I1320" s="46"/>
      <c r="J1320" s="46"/>
      <c r="K1320" s="46" t="str">
        <f>IFERROR(__xludf.DUMMYFUNCTION("if(A1320="""","""",IF(G1320="""",""Myn"",IF(REGEXMATCH(lower(G1320),""mynn""),""Myn"",if(G1320&lt;&gt;"""",""GEMTRE"",""""))))"),"Myn")</f>
        <v>Myn</v>
      </c>
      <c r="L1320" s="46" t="s">
        <v>2000</v>
      </c>
      <c r="M1320" s="48">
        <v>45255.460694444446</v>
      </c>
    </row>
    <row r="1321">
      <c r="A1321" s="47">
        <v>45254.68088697917</v>
      </c>
      <c r="B1321" s="46" t="s">
        <v>1592</v>
      </c>
      <c r="C1321" s="46">
        <v>9.289722722E9</v>
      </c>
      <c r="D1321" s="46"/>
      <c r="E1321" s="46" t="s">
        <v>1593</v>
      </c>
      <c r="F1321" s="49" t="s">
        <v>1594</v>
      </c>
      <c r="G1321" s="46" t="s">
        <v>303</v>
      </c>
      <c r="H1321" s="46" t="s">
        <v>706</v>
      </c>
      <c r="I1321" s="46"/>
      <c r="J1321" s="46"/>
      <c r="K1321" s="46" t="str">
        <f>IFERROR(__xludf.DUMMYFUNCTION("if(A1321="""","""",IF(G1321="""",""Myn"",IF(REGEXMATCH(lower(G1321),""mynn""),""Myn"",if(G1321&lt;&gt;"""",""GEMTRE"",""""))))"),"Myn")</f>
        <v>Myn</v>
      </c>
      <c r="L1321" s="46" t="s">
        <v>2000</v>
      </c>
      <c r="M1321" s="48">
        <v>45255.460694444446</v>
      </c>
    </row>
    <row r="1322">
      <c r="A1322" s="47">
        <v>45254.68135943287</v>
      </c>
      <c r="B1322" s="46" t="s">
        <v>1595</v>
      </c>
      <c r="C1322" s="46">
        <v>9.717970069E9</v>
      </c>
      <c r="D1322" s="46"/>
      <c r="E1322" s="46"/>
      <c r="F1322" s="46"/>
      <c r="G1322" s="46" t="s">
        <v>303</v>
      </c>
      <c r="H1322" s="46" t="s">
        <v>706</v>
      </c>
      <c r="I1322" s="46"/>
      <c r="J1322" s="46"/>
      <c r="K1322" s="46" t="str">
        <f>IFERROR(__xludf.DUMMYFUNCTION("if(A1322="""","""",IF(G1322="""",""Myn"",IF(REGEXMATCH(lower(G1322),""mynn""),""Myn"",if(G1322&lt;&gt;"""",""GEMTRE"",""""))))"),"Myn")</f>
        <v>Myn</v>
      </c>
      <c r="L1322" s="46" t="s">
        <v>2000</v>
      </c>
      <c r="M1322" s="48">
        <v>45255.460694444446</v>
      </c>
    </row>
    <row r="1323">
      <c r="A1323" s="47">
        <v>45254.68591956019</v>
      </c>
      <c r="B1323" s="46" t="s">
        <v>758</v>
      </c>
      <c r="C1323" s="46">
        <v>9.818703563E9</v>
      </c>
      <c r="D1323" s="46"/>
      <c r="E1323" s="46"/>
      <c r="F1323" s="46"/>
      <c r="G1323" s="46" t="s">
        <v>303</v>
      </c>
      <c r="H1323" s="46" t="s">
        <v>701</v>
      </c>
      <c r="I1323" s="46"/>
      <c r="J1323" s="46"/>
      <c r="K1323" s="46" t="str">
        <f>IFERROR(__xludf.DUMMYFUNCTION("if(A1323="""","""",IF(G1323="""",""Myn"",IF(REGEXMATCH(lower(G1323),""mynn""),""Myn"",if(G1323&lt;&gt;"""",""GEMTRE"",""""))))"),"Myn")</f>
        <v>Myn</v>
      </c>
      <c r="L1323" s="46" t="s">
        <v>2000</v>
      </c>
      <c r="M1323" s="48">
        <v>45255.460694444446</v>
      </c>
    </row>
    <row r="1324">
      <c r="A1324" s="47">
        <v>45254.69360104167</v>
      </c>
      <c r="B1324" s="46" t="s">
        <v>1596</v>
      </c>
      <c r="C1324" s="46">
        <v>7.827116401E9</v>
      </c>
      <c r="D1324" s="46"/>
      <c r="E1324" s="46"/>
      <c r="F1324" s="46"/>
      <c r="G1324" s="46" t="s">
        <v>303</v>
      </c>
      <c r="H1324" s="46" t="s">
        <v>706</v>
      </c>
      <c r="I1324" s="46"/>
      <c r="J1324" s="46"/>
      <c r="K1324" s="46" t="str">
        <f>IFERROR(__xludf.DUMMYFUNCTION("if(A1324="""","""",IF(G1324="""",""Myn"",IF(REGEXMATCH(lower(G1324),""mynn""),""Myn"",if(G1324&lt;&gt;"""",""GEMTRE"",""""))))"),"Myn")</f>
        <v>Myn</v>
      </c>
      <c r="L1324" s="46" t="s">
        <v>2000</v>
      </c>
      <c r="M1324" s="48">
        <v>45255.460694444446</v>
      </c>
    </row>
    <row r="1325">
      <c r="A1325" s="47">
        <v>45254.69361792824</v>
      </c>
      <c r="B1325" s="46" t="s">
        <v>1597</v>
      </c>
      <c r="C1325" s="46">
        <v>8.287924563E9</v>
      </c>
      <c r="D1325" s="46"/>
      <c r="E1325" s="46" t="s">
        <v>1598</v>
      </c>
      <c r="F1325" s="49" t="s">
        <v>1599</v>
      </c>
      <c r="G1325" s="46" t="s">
        <v>303</v>
      </c>
      <c r="H1325" s="46" t="s">
        <v>706</v>
      </c>
      <c r="I1325" s="46"/>
      <c r="J1325" s="46"/>
      <c r="K1325" s="46" t="str">
        <f>IFERROR(__xludf.DUMMYFUNCTION("if(A1325="""","""",IF(G1325="""",""Myn"",IF(REGEXMATCH(lower(G1325),""mynn""),""Myn"",if(G1325&lt;&gt;"""",""GEMTRE"",""""))))"),"Myn")</f>
        <v>Myn</v>
      </c>
      <c r="L1325" s="46" t="s">
        <v>2000</v>
      </c>
      <c r="M1325" s="48">
        <v>45255.460694444446</v>
      </c>
    </row>
    <row r="1326">
      <c r="A1326" s="47">
        <v>45254.69390675926</v>
      </c>
      <c r="B1326" s="46" t="s">
        <v>1091</v>
      </c>
      <c r="C1326" s="46">
        <v>9.891800777E9</v>
      </c>
      <c r="D1326" s="46"/>
      <c r="E1326" s="46"/>
      <c r="F1326" s="46"/>
      <c r="G1326" s="46" t="s">
        <v>303</v>
      </c>
      <c r="H1326" s="46" t="s">
        <v>706</v>
      </c>
      <c r="I1326" s="46"/>
      <c r="J1326" s="46"/>
      <c r="K1326" s="46" t="str">
        <f>IFERROR(__xludf.DUMMYFUNCTION("if(A1326="""","""",IF(G1326="""",""Myn"",IF(REGEXMATCH(lower(G1326),""mynn""),""Myn"",if(G1326&lt;&gt;"""",""GEMTRE"",""""))))"),"Myn")</f>
        <v>Myn</v>
      </c>
      <c r="L1326" s="46" t="s">
        <v>2000</v>
      </c>
      <c r="M1326" s="48">
        <v>45255.460694444446</v>
      </c>
    </row>
    <row r="1327">
      <c r="A1327" s="47">
        <v>45254.69452409723</v>
      </c>
      <c r="B1327" s="46" t="s">
        <v>541</v>
      </c>
      <c r="C1327" s="46">
        <v>7.503338872E9</v>
      </c>
      <c r="D1327" s="46"/>
      <c r="E1327" s="46"/>
      <c r="F1327" s="46"/>
      <c r="G1327" s="46" t="s">
        <v>303</v>
      </c>
      <c r="H1327" s="46" t="s">
        <v>701</v>
      </c>
      <c r="I1327" s="46"/>
      <c r="J1327" s="46"/>
      <c r="K1327" s="46" t="str">
        <f>IFERROR(__xludf.DUMMYFUNCTION("if(A1327="""","""",IF(G1327="""",""Myn"",IF(REGEXMATCH(lower(G1327),""mynn""),""Myn"",if(G1327&lt;&gt;"""",""GEMTRE"",""""))))"),"Myn")</f>
        <v>Myn</v>
      </c>
      <c r="L1327" s="46" t="s">
        <v>2000</v>
      </c>
      <c r="M1327" s="48">
        <v>45255.460694444446</v>
      </c>
    </row>
    <row r="1328">
      <c r="A1328" s="47">
        <v>45254.69589137731</v>
      </c>
      <c r="B1328" s="46" t="s">
        <v>1600</v>
      </c>
      <c r="C1328" s="46">
        <v>9.716379252E9</v>
      </c>
      <c r="D1328" s="46"/>
      <c r="E1328" s="46"/>
      <c r="F1328" s="46"/>
      <c r="G1328" s="46" t="s">
        <v>303</v>
      </c>
      <c r="H1328" s="46" t="s">
        <v>706</v>
      </c>
      <c r="I1328" s="46"/>
      <c r="J1328" s="46"/>
      <c r="K1328" s="46" t="str">
        <f>IFERROR(__xludf.DUMMYFUNCTION("if(A1328="""","""",IF(G1328="""",""Myn"",IF(REGEXMATCH(lower(G1328),""mynn""),""Myn"",if(G1328&lt;&gt;"""",""GEMTRE"",""""))))"),"Myn")</f>
        <v>Myn</v>
      </c>
      <c r="L1328" s="46" t="s">
        <v>2000</v>
      </c>
      <c r="M1328" s="48">
        <v>45255.460694444446</v>
      </c>
    </row>
    <row r="1329">
      <c r="A1329" s="47">
        <v>45254.70159012731</v>
      </c>
      <c r="B1329" s="46" t="s">
        <v>1239</v>
      </c>
      <c r="C1329" s="46">
        <v>7.042279101E9</v>
      </c>
      <c r="D1329" s="46"/>
      <c r="E1329" s="46" t="s">
        <v>15</v>
      </c>
      <c r="F1329" s="46"/>
      <c r="G1329" s="46" t="s">
        <v>303</v>
      </c>
      <c r="H1329" s="46" t="s">
        <v>706</v>
      </c>
      <c r="I1329" s="46"/>
      <c r="J1329" s="46"/>
      <c r="K1329" s="46" t="str">
        <f>IFERROR(__xludf.DUMMYFUNCTION("if(A1329="""","""",IF(G1329="""",""Myn"",IF(REGEXMATCH(lower(G1329),""mynn""),""Myn"",if(G1329&lt;&gt;"""",""GEMTRE"",""""))))"),"Myn")</f>
        <v>Myn</v>
      </c>
      <c r="L1329" s="46" t="s">
        <v>2000</v>
      </c>
      <c r="M1329" s="48">
        <v>45255.460694444446</v>
      </c>
    </row>
    <row r="1330">
      <c r="A1330" s="47">
        <v>45254.70195834491</v>
      </c>
      <c r="B1330" s="46" t="s">
        <v>1601</v>
      </c>
      <c r="C1330" s="46">
        <v>8.650280518E9</v>
      </c>
      <c r="D1330" s="46"/>
      <c r="E1330" s="46" t="s">
        <v>79</v>
      </c>
      <c r="F1330" s="46"/>
      <c r="G1330" s="46" t="s">
        <v>303</v>
      </c>
      <c r="H1330" s="46" t="s">
        <v>706</v>
      </c>
      <c r="I1330" s="46"/>
      <c r="J1330" s="46"/>
      <c r="K1330" s="46" t="str">
        <f>IFERROR(__xludf.DUMMYFUNCTION("if(A1330="""","""",IF(G1330="""",""Myn"",IF(REGEXMATCH(lower(G1330),""mynn""),""Myn"",if(G1330&lt;&gt;"""",""GEMTRE"",""""))))"),"Myn")</f>
        <v>Myn</v>
      </c>
      <c r="L1330" s="46" t="s">
        <v>2000</v>
      </c>
      <c r="M1330" s="48">
        <v>45255.460694444446</v>
      </c>
    </row>
    <row r="1331">
      <c r="A1331" s="47">
        <v>45254.70797024306</v>
      </c>
      <c r="B1331" s="46" t="s">
        <v>1602</v>
      </c>
      <c r="C1331" s="46">
        <v>9.717378638E9</v>
      </c>
      <c r="D1331" s="46"/>
      <c r="E1331" s="46" t="s">
        <v>15</v>
      </c>
      <c r="F1331" s="46"/>
      <c r="G1331" s="46" t="s">
        <v>303</v>
      </c>
      <c r="H1331" s="46" t="s">
        <v>706</v>
      </c>
      <c r="I1331" s="46"/>
      <c r="J1331" s="46"/>
      <c r="K1331" s="46" t="str">
        <f>IFERROR(__xludf.DUMMYFUNCTION("if(A1331="""","""",IF(G1331="""",""Myn"",IF(REGEXMATCH(lower(G1331),""mynn""),""Myn"",if(G1331&lt;&gt;"""",""GEMTRE"",""""))))"),"Myn")</f>
        <v>Myn</v>
      </c>
      <c r="L1331" s="46" t="s">
        <v>2000</v>
      </c>
      <c r="M1331" s="48">
        <v>45255.460694444446</v>
      </c>
    </row>
    <row r="1332">
      <c r="A1332" s="47">
        <v>45254.709267928236</v>
      </c>
      <c r="B1332" s="46" t="s">
        <v>1603</v>
      </c>
      <c r="C1332" s="46">
        <v>9.389271138E9</v>
      </c>
      <c r="D1332" s="46"/>
      <c r="E1332" s="46"/>
      <c r="F1332" s="46"/>
      <c r="G1332" s="46" t="s">
        <v>303</v>
      </c>
      <c r="H1332" s="46" t="s">
        <v>701</v>
      </c>
      <c r="I1332" s="46"/>
      <c r="J1332" s="46"/>
      <c r="K1332" s="46" t="str">
        <f>IFERROR(__xludf.DUMMYFUNCTION("if(A1332="""","""",IF(G1332="""",""Myn"",IF(REGEXMATCH(lower(G1332),""mynn""),""Myn"",if(G1332&lt;&gt;"""",""GEMTRE"",""""))))"),"Myn")</f>
        <v>Myn</v>
      </c>
      <c r="L1332" s="46" t="s">
        <v>2000</v>
      </c>
      <c r="M1332" s="48">
        <v>45255.460694444446</v>
      </c>
    </row>
    <row r="1333">
      <c r="A1333" s="47">
        <v>45254.712241898145</v>
      </c>
      <c r="B1333" s="46" t="s">
        <v>1604</v>
      </c>
      <c r="C1333" s="46">
        <v>9.9998154E9</v>
      </c>
      <c r="D1333" s="46"/>
      <c r="E1333" s="46"/>
      <c r="F1333" s="46"/>
      <c r="G1333" s="46" t="s">
        <v>303</v>
      </c>
      <c r="H1333" s="46" t="s">
        <v>706</v>
      </c>
      <c r="I1333" s="46"/>
      <c r="J1333" s="46"/>
      <c r="K1333" s="46" t="str">
        <f>IFERROR(__xludf.DUMMYFUNCTION("if(A1333="""","""",IF(G1333="""",""Myn"",IF(REGEXMATCH(lower(G1333),""mynn""),""Myn"",if(G1333&lt;&gt;"""",""GEMTRE"",""""))))"),"Myn")</f>
        <v>Myn</v>
      </c>
      <c r="L1333" s="46" t="s">
        <v>2000</v>
      </c>
      <c r="M1333" s="48">
        <v>45255.460694444446</v>
      </c>
    </row>
    <row r="1334">
      <c r="A1334" s="47">
        <v>45254.71351734953</v>
      </c>
      <c r="B1334" s="46" t="s">
        <v>1605</v>
      </c>
      <c r="C1334" s="46">
        <v>9.643975596E9</v>
      </c>
      <c r="D1334" s="46"/>
      <c r="E1334" s="46" t="s">
        <v>1606</v>
      </c>
      <c r="F1334" s="46"/>
      <c r="G1334" s="46" t="s">
        <v>303</v>
      </c>
      <c r="H1334" s="46" t="s">
        <v>706</v>
      </c>
      <c r="I1334" s="46"/>
      <c r="J1334" s="46"/>
      <c r="K1334" s="46" t="str">
        <f>IFERROR(__xludf.DUMMYFUNCTION("if(A1334="""","""",IF(G1334="""",""Myn"",IF(REGEXMATCH(lower(G1334),""mynn""),""Myn"",if(G1334&lt;&gt;"""",""GEMTRE"",""""))))"),"Myn")</f>
        <v>Myn</v>
      </c>
      <c r="L1334" s="46" t="s">
        <v>2000</v>
      </c>
      <c r="M1334" s="48">
        <v>45255.460694444446</v>
      </c>
    </row>
    <row r="1335">
      <c r="A1335" s="47">
        <v>45254.71586459491</v>
      </c>
      <c r="B1335" s="46" t="s">
        <v>1607</v>
      </c>
      <c r="C1335" s="46">
        <v>9.871378355E9</v>
      </c>
      <c r="D1335" s="46"/>
      <c r="E1335" s="46" t="s">
        <v>227</v>
      </c>
      <c r="F1335" s="46"/>
      <c r="G1335" s="46" t="s">
        <v>303</v>
      </c>
      <c r="H1335" s="46" t="s">
        <v>706</v>
      </c>
      <c r="I1335" s="46"/>
      <c r="J1335" s="46"/>
      <c r="K1335" s="46" t="str">
        <f>IFERROR(__xludf.DUMMYFUNCTION("if(A1335="""","""",IF(G1335="""",""Myn"",IF(REGEXMATCH(lower(G1335),""mynn""),""Myn"",if(G1335&lt;&gt;"""",""GEMTRE"",""""))))"),"Myn")</f>
        <v>Myn</v>
      </c>
      <c r="L1335" s="46" t="s">
        <v>2000</v>
      </c>
      <c r="M1335" s="48">
        <v>45255.460694444446</v>
      </c>
    </row>
    <row r="1336">
      <c r="A1336" s="47">
        <v>45254.72968131944</v>
      </c>
      <c r="B1336" s="46" t="s">
        <v>1608</v>
      </c>
      <c r="C1336" s="46">
        <v>9.871681591E9</v>
      </c>
      <c r="D1336" s="46"/>
      <c r="E1336" s="46" t="s">
        <v>1609</v>
      </c>
      <c r="F1336" s="46"/>
      <c r="G1336" s="46" t="s">
        <v>303</v>
      </c>
      <c r="H1336" s="46" t="s">
        <v>706</v>
      </c>
      <c r="I1336" s="46"/>
      <c r="J1336" s="46"/>
      <c r="K1336" s="46" t="str">
        <f>IFERROR(__xludf.DUMMYFUNCTION("if(A1336="""","""",IF(G1336="""",""Myn"",IF(REGEXMATCH(lower(G1336),""mynn""),""Myn"",if(G1336&lt;&gt;"""",""GEMTRE"",""""))))"),"Myn")</f>
        <v>Myn</v>
      </c>
      <c r="L1336" s="46" t="s">
        <v>2000</v>
      </c>
      <c r="M1336" s="48">
        <v>45255.460694444446</v>
      </c>
    </row>
    <row r="1337">
      <c r="A1337" s="47">
        <v>45254.73173234954</v>
      </c>
      <c r="B1337" s="46" t="s">
        <v>1610</v>
      </c>
      <c r="C1337" s="46">
        <v>9.810842702E9</v>
      </c>
      <c r="D1337" s="46"/>
      <c r="E1337" s="46" t="s">
        <v>1611</v>
      </c>
      <c r="F1337" s="46"/>
      <c r="G1337" s="46" t="s">
        <v>303</v>
      </c>
      <c r="H1337" s="46" t="s">
        <v>1035</v>
      </c>
      <c r="I1337" s="46"/>
      <c r="J1337" s="46"/>
      <c r="K1337" s="46" t="str">
        <f>IFERROR(__xludf.DUMMYFUNCTION("if(A1337="""","""",IF(G1337="""",""Myn"",IF(REGEXMATCH(lower(G1337),""mynn""),""Myn"",if(G1337&lt;&gt;"""",""GEMTRE"",""""))))"),"Myn")</f>
        <v>Myn</v>
      </c>
      <c r="L1337" s="46" t="s">
        <v>2000</v>
      </c>
      <c r="M1337" s="48">
        <v>45255.460706018515</v>
      </c>
    </row>
    <row r="1338">
      <c r="A1338" s="47">
        <v>45254.73716755787</v>
      </c>
      <c r="B1338" s="46" t="s">
        <v>1612</v>
      </c>
      <c r="C1338" s="46">
        <v>9.818646599E9</v>
      </c>
      <c r="D1338" s="46"/>
      <c r="E1338" s="46"/>
      <c r="F1338" s="46"/>
      <c r="G1338" s="46" t="s">
        <v>303</v>
      </c>
      <c r="H1338" s="46" t="s">
        <v>701</v>
      </c>
      <c r="I1338" s="46"/>
      <c r="J1338" s="46"/>
      <c r="K1338" s="46" t="str">
        <f>IFERROR(__xludf.DUMMYFUNCTION("if(A1338="""","""",IF(G1338="""",""Myn"",IF(REGEXMATCH(lower(G1338),""mynn""),""Myn"",if(G1338&lt;&gt;"""",""GEMTRE"",""""))))"),"Myn")</f>
        <v>Myn</v>
      </c>
      <c r="L1338" s="46" t="s">
        <v>2000</v>
      </c>
      <c r="M1338" s="48">
        <v>45255.460706018515</v>
      </c>
    </row>
    <row r="1339">
      <c r="A1339" s="47">
        <v>45254.73888431713</v>
      </c>
      <c r="B1339" s="46" t="s">
        <v>1613</v>
      </c>
      <c r="C1339" s="46">
        <v>7.011342208E9</v>
      </c>
      <c r="D1339" s="46"/>
      <c r="E1339" s="46"/>
      <c r="F1339" s="46"/>
      <c r="G1339" s="46" t="s">
        <v>303</v>
      </c>
      <c r="H1339" s="46" t="s">
        <v>706</v>
      </c>
      <c r="I1339" s="46"/>
      <c r="J1339" s="46"/>
      <c r="K1339" s="46" t="str">
        <f>IFERROR(__xludf.DUMMYFUNCTION("if(A1339="""","""",IF(G1339="""",""Myn"",IF(REGEXMATCH(lower(G1339),""mynn""),""Myn"",if(G1339&lt;&gt;"""",""GEMTRE"",""""))))"),"Myn")</f>
        <v>Myn</v>
      </c>
      <c r="L1339" s="46" t="s">
        <v>2000</v>
      </c>
      <c r="M1339" s="48">
        <v>45255.460706018515</v>
      </c>
    </row>
    <row r="1340">
      <c r="A1340" s="47">
        <v>45254.74766392361</v>
      </c>
      <c r="B1340" s="46" t="s">
        <v>1614</v>
      </c>
      <c r="C1340" s="46">
        <v>9.31311997E9</v>
      </c>
      <c r="D1340" s="46"/>
      <c r="E1340" s="46"/>
      <c r="F1340" s="46"/>
      <c r="G1340" s="46" t="s">
        <v>303</v>
      </c>
      <c r="H1340" s="46" t="s">
        <v>701</v>
      </c>
      <c r="I1340" s="46"/>
      <c r="J1340" s="46"/>
      <c r="K1340" s="46" t="str">
        <f>IFERROR(__xludf.DUMMYFUNCTION("if(A1340="""","""",IF(G1340="""",""Myn"",IF(REGEXMATCH(lower(G1340),""mynn""),""Myn"",if(G1340&lt;&gt;"""",""GEMTRE"",""""))))"),"Myn")</f>
        <v>Myn</v>
      </c>
      <c r="L1340" s="46" t="s">
        <v>2000</v>
      </c>
      <c r="M1340" s="48">
        <v>45255.460706018515</v>
      </c>
    </row>
    <row r="1341">
      <c r="A1341" s="47">
        <v>45254.74794472222</v>
      </c>
      <c r="B1341" s="46" t="s">
        <v>1615</v>
      </c>
      <c r="C1341" s="46">
        <v>8.383057401E9</v>
      </c>
      <c r="D1341" s="46"/>
      <c r="E1341" s="46"/>
      <c r="F1341" s="46"/>
      <c r="G1341" s="46" t="s">
        <v>303</v>
      </c>
      <c r="H1341" s="46" t="s">
        <v>701</v>
      </c>
      <c r="I1341" s="46"/>
      <c r="J1341" s="46"/>
      <c r="K1341" s="46" t="str">
        <f>IFERROR(__xludf.DUMMYFUNCTION("if(A1341="""","""",IF(G1341="""",""Myn"",IF(REGEXMATCH(lower(G1341),""mynn""),""Myn"",if(G1341&lt;&gt;"""",""GEMTRE"",""""))))"),"Myn")</f>
        <v>Myn</v>
      </c>
      <c r="L1341" s="46" t="s">
        <v>2000</v>
      </c>
      <c r="M1341" s="48">
        <v>45255.460706018515</v>
      </c>
    </row>
    <row r="1342">
      <c r="A1342" s="47">
        <v>45254.7487434375</v>
      </c>
      <c r="B1342" s="46" t="s">
        <v>1616</v>
      </c>
      <c r="C1342" s="46">
        <v>9.81025053E9</v>
      </c>
      <c r="D1342" s="46"/>
      <c r="E1342" s="46"/>
      <c r="F1342" s="46"/>
      <c r="G1342" s="46" t="s">
        <v>303</v>
      </c>
      <c r="H1342" s="46" t="s">
        <v>701</v>
      </c>
      <c r="I1342" s="46"/>
      <c r="J1342" s="46"/>
      <c r="K1342" s="46" t="str">
        <f>IFERROR(__xludf.DUMMYFUNCTION("if(A1342="""","""",IF(G1342="""",""Myn"",IF(REGEXMATCH(lower(G1342),""mynn""),""Myn"",if(G1342&lt;&gt;"""",""GEMTRE"",""""))))"),"Myn")</f>
        <v>Myn</v>
      </c>
      <c r="L1342" s="46" t="s">
        <v>2000</v>
      </c>
      <c r="M1342" s="48">
        <v>45255.460706018515</v>
      </c>
    </row>
    <row r="1343">
      <c r="A1343" s="47">
        <v>45254.75168178241</v>
      </c>
      <c r="B1343" s="46" t="s">
        <v>1617</v>
      </c>
      <c r="C1343" s="46">
        <v>9.667239002E9</v>
      </c>
      <c r="D1343" s="46"/>
      <c r="E1343" s="46"/>
      <c r="F1343" s="46"/>
      <c r="G1343" s="46" t="s">
        <v>303</v>
      </c>
      <c r="H1343" s="46" t="s">
        <v>701</v>
      </c>
      <c r="I1343" s="46"/>
      <c r="J1343" s="46"/>
      <c r="K1343" s="46" t="str">
        <f>IFERROR(__xludf.DUMMYFUNCTION("if(A1343="""","""",IF(G1343="""",""Myn"",IF(REGEXMATCH(lower(G1343),""mynn""),""Myn"",if(G1343&lt;&gt;"""",""GEMTRE"",""""))))"),"Myn")</f>
        <v>Myn</v>
      </c>
      <c r="L1343" s="46" t="s">
        <v>2000</v>
      </c>
      <c r="M1343" s="48">
        <v>45255.460706018515</v>
      </c>
    </row>
    <row r="1344">
      <c r="A1344" s="47">
        <v>45254.754078287035</v>
      </c>
      <c r="B1344" s="46" t="s">
        <v>943</v>
      </c>
      <c r="C1344" s="46">
        <v>9.654168668E9</v>
      </c>
      <c r="D1344" s="46"/>
      <c r="E1344" s="46" t="s">
        <v>1618</v>
      </c>
      <c r="F1344" s="46"/>
      <c r="G1344" s="46" t="s">
        <v>303</v>
      </c>
      <c r="H1344" s="46" t="s">
        <v>706</v>
      </c>
      <c r="I1344" s="46"/>
      <c r="J1344" s="46"/>
      <c r="K1344" s="46" t="str">
        <f>IFERROR(__xludf.DUMMYFUNCTION("if(A1344="""","""",IF(G1344="""",""Myn"",IF(REGEXMATCH(lower(G1344),""mynn""),""Myn"",if(G1344&lt;&gt;"""",""GEMTRE"",""""))))"),"Myn")</f>
        <v>Myn</v>
      </c>
      <c r="L1344" s="46" t="s">
        <v>2000</v>
      </c>
      <c r="M1344" s="48">
        <v>45255.460706018515</v>
      </c>
    </row>
    <row r="1345">
      <c r="A1345" s="47">
        <v>45254.754428252316</v>
      </c>
      <c r="B1345" s="46" t="s">
        <v>1619</v>
      </c>
      <c r="C1345" s="46">
        <v>9.666998585E9</v>
      </c>
      <c r="D1345" s="46"/>
      <c r="E1345" s="46"/>
      <c r="F1345" s="46"/>
      <c r="G1345" s="46" t="s">
        <v>303</v>
      </c>
      <c r="H1345" s="46" t="s">
        <v>701</v>
      </c>
      <c r="I1345" s="46"/>
      <c r="J1345" s="46"/>
      <c r="K1345" s="46" t="str">
        <f>IFERROR(__xludf.DUMMYFUNCTION("if(A1345="""","""",IF(G1345="""",""Myn"",IF(REGEXMATCH(lower(G1345),""mynn""),""Myn"",if(G1345&lt;&gt;"""",""GEMTRE"",""""))))"),"Myn")</f>
        <v>Myn</v>
      </c>
      <c r="L1345" s="46" t="s">
        <v>2000</v>
      </c>
      <c r="M1345" s="48">
        <v>45255.460706018515</v>
      </c>
    </row>
    <row r="1346">
      <c r="A1346" s="47">
        <v>45254.7622165625</v>
      </c>
      <c r="B1346" s="46" t="s">
        <v>1620</v>
      </c>
      <c r="C1346" s="46">
        <v>9.99905996E9</v>
      </c>
      <c r="D1346" s="46"/>
      <c r="E1346" s="46" t="s">
        <v>227</v>
      </c>
      <c r="F1346" s="46"/>
      <c r="G1346" s="46" t="s">
        <v>303</v>
      </c>
      <c r="H1346" s="46" t="s">
        <v>706</v>
      </c>
      <c r="I1346" s="46"/>
      <c r="J1346" s="46"/>
      <c r="K1346" s="46" t="str">
        <f>IFERROR(__xludf.DUMMYFUNCTION("if(A1346="""","""",IF(G1346="""",""Myn"",IF(REGEXMATCH(lower(G1346),""mynn""),""Myn"",if(G1346&lt;&gt;"""",""GEMTRE"",""""))))"),"Myn")</f>
        <v>Myn</v>
      </c>
      <c r="L1346" s="46" t="s">
        <v>2000</v>
      </c>
      <c r="M1346" s="48">
        <v>45255.460706018515</v>
      </c>
    </row>
    <row r="1347">
      <c r="A1347" s="47">
        <v>45254.763773125</v>
      </c>
      <c r="B1347" s="46" t="s">
        <v>1621</v>
      </c>
      <c r="C1347" s="46">
        <v>8.851638279E9</v>
      </c>
      <c r="D1347" s="46"/>
      <c r="E1347" s="46"/>
      <c r="F1347" s="46"/>
      <c r="G1347" s="46" t="s">
        <v>303</v>
      </c>
      <c r="H1347" s="46" t="s">
        <v>701</v>
      </c>
      <c r="I1347" s="46"/>
      <c r="J1347" s="46"/>
      <c r="K1347" s="46" t="str">
        <f>IFERROR(__xludf.DUMMYFUNCTION("if(A1347="""","""",IF(G1347="""",""Myn"",IF(REGEXMATCH(lower(G1347),""mynn""),""Myn"",if(G1347&lt;&gt;"""",""GEMTRE"",""""))))"),"Myn")</f>
        <v>Myn</v>
      </c>
      <c r="L1347" s="46" t="s">
        <v>2000</v>
      </c>
      <c r="M1347" s="48">
        <v>45255.460706018515</v>
      </c>
    </row>
    <row r="1348">
      <c r="A1348" s="47">
        <v>45254.76400491898</v>
      </c>
      <c r="B1348" s="46" t="s">
        <v>1224</v>
      </c>
      <c r="C1348" s="46">
        <v>9.718800973E9</v>
      </c>
      <c r="D1348" s="46"/>
      <c r="E1348" s="46"/>
      <c r="F1348" s="46"/>
      <c r="G1348" s="46" t="s">
        <v>303</v>
      </c>
      <c r="H1348" s="46" t="s">
        <v>701</v>
      </c>
      <c r="I1348" s="46"/>
      <c r="J1348" s="46"/>
      <c r="K1348" s="46" t="str">
        <f>IFERROR(__xludf.DUMMYFUNCTION("if(A1348="""","""",IF(G1348="""",""Myn"",IF(REGEXMATCH(lower(G1348),""mynn""),""Myn"",if(G1348&lt;&gt;"""",""GEMTRE"",""""))))"),"Myn")</f>
        <v>Myn</v>
      </c>
      <c r="L1348" s="46" t="s">
        <v>2000</v>
      </c>
      <c r="M1348" s="48">
        <v>45255.460706018515</v>
      </c>
    </row>
    <row r="1349">
      <c r="A1349" s="47">
        <v>45254.767486770834</v>
      </c>
      <c r="B1349" s="46" t="s">
        <v>1081</v>
      </c>
      <c r="C1349" s="46">
        <v>9.650353762E9</v>
      </c>
      <c r="D1349" s="46"/>
      <c r="E1349" s="46"/>
      <c r="F1349" s="46"/>
      <c r="G1349" s="46" t="s">
        <v>303</v>
      </c>
      <c r="H1349" s="46" t="s">
        <v>701</v>
      </c>
      <c r="I1349" s="46"/>
      <c r="J1349" s="46"/>
      <c r="K1349" s="46" t="str">
        <f>IFERROR(__xludf.DUMMYFUNCTION("if(A1349="""","""",IF(G1349="""",""Myn"",IF(REGEXMATCH(lower(G1349),""mynn""),""Myn"",if(G1349&lt;&gt;"""",""GEMTRE"",""""))))"),"Myn")</f>
        <v>Myn</v>
      </c>
      <c r="L1349" s="46" t="s">
        <v>2000</v>
      </c>
      <c r="M1349" s="48">
        <v>45255.460706018515</v>
      </c>
    </row>
    <row r="1350">
      <c r="A1350" s="47">
        <v>45254.768464479166</v>
      </c>
      <c r="B1350" s="46" t="s">
        <v>1622</v>
      </c>
      <c r="C1350" s="46">
        <v>9.958349947E9</v>
      </c>
      <c r="D1350" s="46"/>
      <c r="E1350" s="46" t="s">
        <v>1623</v>
      </c>
      <c r="F1350" s="46"/>
      <c r="G1350" s="46" t="s">
        <v>303</v>
      </c>
      <c r="H1350" s="46" t="s">
        <v>706</v>
      </c>
      <c r="I1350" s="46"/>
      <c r="J1350" s="46"/>
      <c r="K1350" s="46" t="str">
        <f>IFERROR(__xludf.DUMMYFUNCTION("if(A1350="""","""",IF(G1350="""",""Myn"",IF(REGEXMATCH(lower(G1350),""mynn""),""Myn"",if(G1350&lt;&gt;"""",""GEMTRE"",""""))))"),"Myn")</f>
        <v>Myn</v>
      </c>
      <c r="L1350" s="46" t="s">
        <v>2000</v>
      </c>
      <c r="M1350" s="48">
        <v>45255.460706018515</v>
      </c>
    </row>
    <row r="1351">
      <c r="A1351" s="47">
        <v>45254.769636736106</v>
      </c>
      <c r="B1351" s="46" t="s">
        <v>1624</v>
      </c>
      <c r="C1351" s="46">
        <v>9.969623776E9</v>
      </c>
      <c r="D1351" s="46"/>
      <c r="E1351" s="46" t="s">
        <v>481</v>
      </c>
      <c r="F1351" s="46"/>
      <c r="G1351" s="46" t="s">
        <v>303</v>
      </c>
      <c r="H1351" s="46" t="s">
        <v>706</v>
      </c>
      <c r="I1351" s="46"/>
      <c r="J1351" s="46"/>
      <c r="K1351" s="46" t="str">
        <f>IFERROR(__xludf.DUMMYFUNCTION("if(A1351="""","""",IF(G1351="""",""Myn"",IF(REGEXMATCH(lower(G1351),""mynn""),""Myn"",if(G1351&lt;&gt;"""",""GEMTRE"",""""))))"),"Myn")</f>
        <v>Myn</v>
      </c>
      <c r="L1351" s="46" t="s">
        <v>2000</v>
      </c>
      <c r="M1351" s="48">
        <v>45255.460706018515</v>
      </c>
    </row>
    <row r="1352">
      <c r="A1352" s="47">
        <v>45254.77062481482</v>
      </c>
      <c r="B1352" s="46" t="s">
        <v>1625</v>
      </c>
      <c r="C1352" s="46">
        <v>9.81066177E9</v>
      </c>
      <c r="D1352" s="46"/>
      <c r="E1352" s="46" t="s">
        <v>769</v>
      </c>
      <c r="F1352" s="46"/>
      <c r="G1352" s="46" t="s">
        <v>303</v>
      </c>
      <c r="H1352" s="46" t="s">
        <v>706</v>
      </c>
      <c r="I1352" s="46"/>
      <c r="J1352" s="46"/>
      <c r="K1352" s="46" t="str">
        <f>IFERROR(__xludf.DUMMYFUNCTION("if(A1352="""","""",IF(G1352="""",""Myn"",IF(REGEXMATCH(lower(G1352),""mynn""),""Myn"",if(G1352&lt;&gt;"""",""GEMTRE"",""""))))"),"Myn")</f>
        <v>Myn</v>
      </c>
      <c r="L1352" s="46" t="s">
        <v>2000</v>
      </c>
      <c r="M1352" s="48">
        <v>45255.460706018515</v>
      </c>
    </row>
    <row r="1353">
      <c r="A1353" s="47">
        <v>45254.77341497685</v>
      </c>
      <c r="B1353" s="46" t="s">
        <v>1626</v>
      </c>
      <c r="C1353" s="46">
        <v>9.696444434E9</v>
      </c>
      <c r="D1353" s="46"/>
      <c r="E1353" s="46" t="s">
        <v>15</v>
      </c>
      <c r="F1353" s="46"/>
      <c r="G1353" s="46" t="s">
        <v>303</v>
      </c>
      <c r="H1353" s="46" t="s">
        <v>706</v>
      </c>
      <c r="I1353" s="46"/>
      <c r="J1353" s="46"/>
      <c r="K1353" s="46" t="str">
        <f>IFERROR(__xludf.DUMMYFUNCTION("if(A1353="""","""",IF(G1353="""",""Myn"",IF(REGEXMATCH(lower(G1353),""mynn""),""Myn"",if(G1353&lt;&gt;"""",""GEMTRE"",""""))))"),"Myn")</f>
        <v>Myn</v>
      </c>
      <c r="L1353" s="46" t="s">
        <v>2000</v>
      </c>
      <c r="M1353" s="48">
        <v>45255.460706018515</v>
      </c>
    </row>
    <row r="1354">
      <c r="A1354" s="47">
        <v>45254.77821423611</v>
      </c>
      <c r="B1354" s="46" t="s">
        <v>1627</v>
      </c>
      <c r="C1354" s="46">
        <v>7.011006021E9</v>
      </c>
      <c r="D1354" s="46"/>
      <c r="E1354" s="46"/>
      <c r="F1354" s="46"/>
      <c r="G1354" s="46" t="s">
        <v>303</v>
      </c>
      <c r="H1354" s="46" t="s">
        <v>701</v>
      </c>
      <c r="I1354" s="46"/>
      <c r="J1354" s="46"/>
      <c r="K1354" s="46" t="str">
        <f>IFERROR(__xludf.DUMMYFUNCTION("if(A1354="""","""",IF(G1354="""",""Myn"",IF(REGEXMATCH(lower(G1354),""mynn""),""Myn"",if(G1354&lt;&gt;"""",""GEMTRE"",""""))))"),"Myn")</f>
        <v>Myn</v>
      </c>
      <c r="L1354" s="46" t="s">
        <v>2000</v>
      </c>
      <c r="M1354" s="48">
        <v>45255.460706018515</v>
      </c>
    </row>
    <row r="1355">
      <c r="A1355" s="47">
        <v>45254.780198113425</v>
      </c>
      <c r="B1355" s="46" t="s">
        <v>949</v>
      </c>
      <c r="C1355" s="46">
        <v>9.812980505E9</v>
      </c>
      <c r="D1355" s="46"/>
      <c r="E1355" s="46" t="s">
        <v>71</v>
      </c>
      <c r="F1355" s="46"/>
      <c r="G1355" s="46" t="s">
        <v>303</v>
      </c>
      <c r="H1355" s="46" t="s">
        <v>706</v>
      </c>
      <c r="I1355" s="46"/>
      <c r="J1355" s="46"/>
      <c r="K1355" s="46" t="str">
        <f>IFERROR(__xludf.DUMMYFUNCTION("if(A1355="""","""",IF(G1355="""",""Myn"",IF(REGEXMATCH(lower(G1355),""mynn""),""Myn"",if(G1355&lt;&gt;"""",""GEMTRE"",""""))))"),"Myn")</f>
        <v>Myn</v>
      </c>
      <c r="L1355" s="46" t="s">
        <v>2000</v>
      </c>
      <c r="M1355" s="48">
        <v>45255.460706018515</v>
      </c>
    </row>
    <row r="1356">
      <c r="A1356" s="47">
        <v>45254.780757037035</v>
      </c>
      <c r="B1356" s="46" t="s">
        <v>379</v>
      </c>
      <c r="C1356" s="46">
        <v>8.595674002E9</v>
      </c>
      <c r="D1356" s="46"/>
      <c r="E1356" s="46"/>
      <c r="F1356" s="46"/>
      <c r="G1356" s="46" t="s">
        <v>303</v>
      </c>
      <c r="H1356" s="46" t="s">
        <v>701</v>
      </c>
      <c r="I1356" s="46"/>
      <c r="J1356" s="46"/>
      <c r="K1356" s="46" t="str">
        <f>IFERROR(__xludf.DUMMYFUNCTION("if(A1356="""","""",IF(G1356="""",""Myn"",IF(REGEXMATCH(lower(G1356),""mynn""),""Myn"",if(G1356&lt;&gt;"""",""GEMTRE"",""""))))"),"Myn")</f>
        <v>Myn</v>
      </c>
      <c r="L1356" s="46" t="s">
        <v>2000</v>
      </c>
      <c r="M1356" s="48">
        <v>45255.460706018515</v>
      </c>
    </row>
    <row r="1357">
      <c r="A1357" s="47">
        <v>45254.78113506944</v>
      </c>
      <c r="B1357" s="46" t="s">
        <v>1628</v>
      </c>
      <c r="C1357" s="46">
        <v>9.59958111E9</v>
      </c>
      <c r="D1357" s="46"/>
      <c r="E1357" s="46"/>
      <c r="F1357" s="46"/>
      <c r="G1357" s="46" t="s">
        <v>303</v>
      </c>
      <c r="H1357" s="46" t="s">
        <v>701</v>
      </c>
      <c r="I1357" s="46"/>
      <c r="J1357" s="46"/>
      <c r="K1357" s="46" t="str">
        <f>IFERROR(__xludf.DUMMYFUNCTION("if(A1357="""","""",IF(G1357="""",""Myn"",IF(REGEXMATCH(lower(G1357),""mynn""),""Myn"",if(G1357&lt;&gt;"""",""GEMTRE"",""""))))"),"Myn")</f>
        <v>Myn</v>
      </c>
      <c r="L1357" s="46" t="s">
        <v>2000</v>
      </c>
      <c r="M1357" s="48">
        <v>45255.460706018515</v>
      </c>
    </row>
    <row r="1358">
      <c r="A1358" s="47">
        <v>45254.79763783565</v>
      </c>
      <c r="B1358" s="46" t="s">
        <v>1629</v>
      </c>
      <c r="C1358" s="46">
        <v>8.448914935E9</v>
      </c>
      <c r="D1358" s="46"/>
      <c r="E1358" s="46"/>
      <c r="F1358" s="46"/>
      <c r="G1358" s="46" t="s">
        <v>303</v>
      </c>
      <c r="H1358" s="46" t="s">
        <v>701</v>
      </c>
      <c r="I1358" s="46"/>
      <c r="J1358" s="46"/>
      <c r="K1358" s="46" t="str">
        <f>IFERROR(__xludf.DUMMYFUNCTION("if(A1358="""","""",IF(G1358="""",""Myn"",IF(REGEXMATCH(lower(G1358),""mynn""),""Myn"",if(G1358&lt;&gt;"""",""GEMTRE"",""""))))"),"Myn")</f>
        <v>Myn</v>
      </c>
      <c r="L1358" s="46" t="s">
        <v>2000</v>
      </c>
      <c r="M1358" s="48">
        <v>45255.460706018515</v>
      </c>
    </row>
    <row r="1359">
      <c r="A1359" s="47">
        <v>45254.799575729165</v>
      </c>
      <c r="B1359" s="46" t="s">
        <v>1630</v>
      </c>
      <c r="C1359" s="46">
        <v>8.920817335E9</v>
      </c>
      <c r="D1359" s="46"/>
      <c r="E1359" s="46" t="s">
        <v>227</v>
      </c>
      <c r="F1359" s="46"/>
      <c r="G1359" s="46" t="s">
        <v>303</v>
      </c>
      <c r="H1359" s="46" t="s">
        <v>706</v>
      </c>
      <c r="I1359" s="46"/>
      <c r="J1359" s="46"/>
      <c r="K1359" s="46" t="str">
        <f>IFERROR(__xludf.DUMMYFUNCTION("if(A1359="""","""",IF(G1359="""",""Myn"",IF(REGEXMATCH(lower(G1359),""mynn""),""Myn"",if(G1359&lt;&gt;"""",""GEMTRE"",""""))))"),"Myn")</f>
        <v>Myn</v>
      </c>
      <c r="L1359" s="46" t="s">
        <v>2000</v>
      </c>
      <c r="M1359" s="48">
        <v>45255.460706018515</v>
      </c>
    </row>
    <row r="1360">
      <c r="A1360" s="47">
        <v>45254.8074716088</v>
      </c>
      <c r="B1360" s="46" t="s">
        <v>1631</v>
      </c>
      <c r="C1360" s="46">
        <v>9.811490885E9</v>
      </c>
      <c r="D1360" s="46"/>
      <c r="E1360" s="46"/>
      <c r="F1360" s="46"/>
      <c r="G1360" s="46" t="s">
        <v>303</v>
      </c>
      <c r="H1360" s="46" t="s">
        <v>706</v>
      </c>
      <c r="I1360" s="46"/>
      <c r="J1360" s="46"/>
      <c r="K1360" s="46" t="str">
        <f>IFERROR(__xludf.DUMMYFUNCTION("if(A1360="""","""",IF(G1360="""",""Myn"",IF(REGEXMATCH(lower(G1360),""mynn""),""Myn"",if(G1360&lt;&gt;"""",""GEMTRE"",""""))))"),"Myn")</f>
        <v>Myn</v>
      </c>
      <c r="L1360" s="46" t="s">
        <v>2000</v>
      </c>
      <c r="M1360" s="48">
        <v>45255.460706018515</v>
      </c>
    </row>
    <row r="1361">
      <c r="A1361" s="47">
        <v>45254.808191516204</v>
      </c>
      <c r="B1361" s="46" t="s">
        <v>1632</v>
      </c>
      <c r="C1361" s="46">
        <v>9.250839231E9</v>
      </c>
      <c r="D1361" s="46"/>
      <c r="E1361" s="46"/>
      <c r="F1361" s="46"/>
      <c r="G1361" s="46" t="s">
        <v>303</v>
      </c>
      <c r="H1361" s="46" t="s">
        <v>701</v>
      </c>
      <c r="I1361" s="46"/>
      <c r="J1361" s="46"/>
      <c r="K1361" s="46" t="str">
        <f>IFERROR(__xludf.DUMMYFUNCTION("if(A1361="""","""",IF(G1361="""",""Myn"",IF(REGEXMATCH(lower(G1361),""mynn""),""Myn"",if(G1361&lt;&gt;"""",""GEMTRE"",""""))))"),"Myn")</f>
        <v>Myn</v>
      </c>
      <c r="L1361" s="46" t="s">
        <v>2000</v>
      </c>
      <c r="M1361" s="48">
        <v>45255.460706018515</v>
      </c>
    </row>
    <row r="1362">
      <c r="A1362" s="47">
        <v>45254.808490613425</v>
      </c>
      <c r="B1362" s="46" t="s">
        <v>1042</v>
      </c>
      <c r="C1362" s="46">
        <v>8.076223655E9</v>
      </c>
      <c r="D1362" s="46"/>
      <c r="E1362" s="46"/>
      <c r="F1362" s="46"/>
      <c r="G1362" s="46" t="s">
        <v>303</v>
      </c>
      <c r="H1362" s="46" t="s">
        <v>701</v>
      </c>
      <c r="I1362" s="46"/>
      <c r="J1362" s="46"/>
      <c r="K1362" s="46" t="str">
        <f>IFERROR(__xludf.DUMMYFUNCTION("if(A1362="""","""",IF(G1362="""",""Myn"",IF(REGEXMATCH(lower(G1362),""mynn""),""Myn"",if(G1362&lt;&gt;"""",""GEMTRE"",""""))))"),"Myn")</f>
        <v>Myn</v>
      </c>
      <c r="L1362" s="46" t="s">
        <v>2000</v>
      </c>
      <c r="M1362" s="48">
        <v>45255.460706018515</v>
      </c>
    </row>
    <row r="1363">
      <c r="A1363" s="47">
        <v>45254.81061115741</v>
      </c>
      <c r="B1363" s="46" t="s">
        <v>1633</v>
      </c>
      <c r="C1363" s="46">
        <v>9.999178E9</v>
      </c>
      <c r="D1363" s="46"/>
      <c r="E1363" s="46"/>
      <c r="F1363" s="46"/>
      <c r="G1363" s="46" t="s">
        <v>303</v>
      </c>
      <c r="H1363" s="46" t="s">
        <v>701</v>
      </c>
      <c r="I1363" s="46"/>
      <c r="J1363" s="46"/>
      <c r="K1363" s="46" t="str">
        <f>IFERROR(__xludf.DUMMYFUNCTION("if(A1363="""","""",IF(G1363="""",""Myn"",IF(REGEXMATCH(lower(G1363),""mynn""),""Myn"",if(G1363&lt;&gt;"""",""GEMTRE"",""""))))"),"Myn")</f>
        <v>Myn</v>
      </c>
      <c r="L1363" s="46" t="s">
        <v>2000</v>
      </c>
      <c r="M1363" s="48">
        <v>45255.460706018515</v>
      </c>
    </row>
    <row r="1364">
      <c r="A1364" s="47">
        <v>45255.45894142361</v>
      </c>
      <c r="B1364" s="46" t="s">
        <v>1634</v>
      </c>
      <c r="C1364" s="46">
        <v>7.988178532E9</v>
      </c>
      <c r="D1364" s="46"/>
      <c r="E1364" s="46" t="s">
        <v>1635</v>
      </c>
      <c r="F1364" s="46"/>
      <c r="G1364" s="46" t="s">
        <v>289</v>
      </c>
      <c r="H1364" s="46" t="s">
        <v>706</v>
      </c>
      <c r="I1364" s="46"/>
      <c r="J1364" s="46"/>
      <c r="K1364" s="46" t="str">
        <f>IFERROR(__xludf.DUMMYFUNCTION("if(A1364="""","""",IF(G1364="""",""Myn"",IF(REGEXMATCH(lower(G1364),""mynn""),""Myn"",if(G1364&lt;&gt;"""",""GEMTRE"",""""))))"),"GEMTRE")</f>
        <v>GEMTRE</v>
      </c>
      <c r="L1364" s="46" t="s">
        <v>2001</v>
      </c>
      <c r="M1364" s="48">
        <v>45255.460706018515</v>
      </c>
    </row>
    <row r="1365">
      <c r="A1365" s="47">
        <v>45255.47336011574</v>
      </c>
      <c r="B1365" s="46" t="s">
        <v>1032</v>
      </c>
      <c r="C1365" s="46">
        <v>7.060730078E9</v>
      </c>
      <c r="D1365" s="46"/>
      <c r="E1365" s="46"/>
      <c r="F1365" s="46"/>
      <c r="G1365" s="46" t="s">
        <v>303</v>
      </c>
      <c r="H1365" s="46" t="s">
        <v>701</v>
      </c>
      <c r="I1365" s="46"/>
      <c r="J1365" s="46"/>
      <c r="K1365" s="46" t="str">
        <f>IFERROR(__xludf.DUMMYFUNCTION("if(A1365="""","""",IF(G1365="""",""Myn"",IF(REGEXMATCH(lower(G1365),""mynn""),""Myn"",if(G1365&lt;&gt;"""",""GEMTRE"",""""))))"),"Myn")</f>
        <v>Myn</v>
      </c>
      <c r="L1365" s="46" t="s">
        <v>2000</v>
      </c>
      <c r="M1365" s="48">
        <v>45255.460706018515</v>
      </c>
    </row>
    <row r="1366">
      <c r="A1366" s="47">
        <v>45255.475734085645</v>
      </c>
      <c r="B1366" s="46" t="s">
        <v>1636</v>
      </c>
      <c r="C1366" s="46">
        <v>9.818748273E9</v>
      </c>
      <c r="D1366" s="46"/>
      <c r="E1366" s="46"/>
      <c r="F1366" s="46"/>
      <c r="G1366" s="46" t="s">
        <v>303</v>
      </c>
      <c r="H1366" s="46" t="s">
        <v>701</v>
      </c>
      <c r="I1366" s="46"/>
      <c r="J1366" s="46"/>
      <c r="K1366" s="46" t="str">
        <f>IFERROR(__xludf.DUMMYFUNCTION("if(A1366="""","""",IF(G1366="""",""Myn"",IF(REGEXMATCH(lower(G1366),""mynn""),""Myn"",if(G1366&lt;&gt;"""",""GEMTRE"",""""))))"),"Myn")</f>
        <v>Myn</v>
      </c>
      <c r="L1366" s="46" t="s">
        <v>2000</v>
      </c>
      <c r="M1366" s="48">
        <v>45255.46403935185</v>
      </c>
    </row>
    <row r="1367">
      <c r="A1367" s="47">
        <v>45255.47696861111</v>
      </c>
      <c r="B1367" s="46" t="s">
        <v>1435</v>
      </c>
      <c r="C1367" s="46">
        <v>8.948904461E9</v>
      </c>
      <c r="D1367" s="46"/>
      <c r="E1367" s="46"/>
      <c r="F1367" s="46"/>
      <c r="G1367" s="46" t="s">
        <v>303</v>
      </c>
      <c r="H1367" s="46" t="s">
        <v>701</v>
      </c>
      <c r="I1367" s="46"/>
      <c r="J1367" s="46"/>
      <c r="K1367" s="46" t="str">
        <f>IFERROR(__xludf.DUMMYFUNCTION("if(A1367="""","""",IF(G1367="""",""Myn"",IF(REGEXMATCH(lower(G1367),""mynn""),""Myn"",if(G1367&lt;&gt;"""",""GEMTRE"",""""))))"),"Myn")</f>
        <v>Myn</v>
      </c>
      <c r="L1367" s="46" t="s">
        <v>2000</v>
      </c>
      <c r="M1367" s="48">
        <v>45255.473391203705</v>
      </c>
    </row>
    <row r="1368">
      <c r="A1368" s="47">
        <v>45255.50191072917</v>
      </c>
      <c r="B1368" s="46" t="s">
        <v>1637</v>
      </c>
      <c r="C1368" s="46">
        <v>9.311972803E9</v>
      </c>
      <c r="D1368" s="46"/>
      <c r="E1368" s="46"/>
      <c r="F1368" s="46"/>
      <c r="G1368" s="46" t="s">
        <v>303</v>
      </c>
      <c r="H1368" s="46" t="s">
        <v>706</v>
      </c>
      <c r="I1368" s="46"/>
      <c r="J1368" s="46"/>
      <c r="K1368" s="46" t="str">
        <f>IFERROR(__xludf.DUMMYFUNCTION("if(A1368="""","""",IF(G1368="""",""Myn"",IF(REGEXMATCH(lower(G1368),""mynn""),""Myn"",if(G1368&lt;&gt;"""",""GEMTRE"",""""))))"),"Myn")</f>
        <v>Myn</v>
      </c>
      <c r="L1368" s="46" t="s">
        <v>2000</v>
      </c>
      <c r="M1368" s="48">
        <v>45255.47576388889</v>
      </c>
    </row>
    <row r="1369">
      <c r="A1369" s="47">
        <v>45255.50681237268</v>
      </c>
      <c r="B1369" s="46" t="s">
        <v>1638</v>
      </c>
      <c r="C1369" s="46">
        <v>9.654848666E9</v>
      </c>
      <c r="D1369" s="46"/>
      <c r="E1369" s="46"/>
      <c r="F1369" s="46"/>
      <c r="G1369" s="46" t="s">
        <v>303</v>
      </c>
      <c r="H1369" s="46" t="s">
        <v>701</v>
      </c>
      <c r="I1369" s="46"/>
      <c r="J1369" s="46"/>
      <c r="K1369" s="46" t="str">
        <f>IFERROR(__xludf.DUMMYFUNCTION("if(A1369="""","""",IF(G1369="""",""Myn"",IF(REGEXMATCH(lower(G1369),""mynn""),""Myn"",if(G1369&lt;&gt;"""",""GEMTRE"",""""))))"),"Myn")</f>
        <v>Myn</v>
      </c>
      <c r="L1369" s="46" t="s">
        <v>2000</v>
      </c>
      <c r="M1369" s="48">
        <v>45255.47699074074</v>
      </c>
    </row>
    <row r="1370">
      <c r="A1370" s="47">
        <v>45255.508059583335</v>
      </c>
      <c r="B1370" s="46" t="s">
        <v>1438</v>
      </c>
      <c r="C1370" s="46">
        <v>9.667343071E9</v>
      </c>
      <c r="D1370" s="46"/>
      <c r="E1370" s="46" t="s">
        <v>21</v>
      </c>
      <c r="F1370" s="46"/>
      <c r="G1370" s="46" t="s">
        <v>303</v>
      </c>
      <c r="H1370" s="46" t="s">
        <v>706</v>
      </c>
      <c r="I1370" s="46"/>
      <c r="J1370" s="46"/>
      <c r="K1370" s="46" t="str">
        <f>IFERROR(__xludf.DUMMYFUNCTION("if(A1370="""","""",IF(G1370="""",""Myn"",IF(REGEXMATCH(lower(G1370),""mynn""),""Myn"",if(G1370&lt;&gt;"""",""GEMTRE"",""""))))"),"Myn")</f>
        <v>Myn</v>
      </c>
      <c r="L1370" s="46" t="s">
        <v>2000</v>
      </c>
      <c r="M1370" s="48">
        <v>45255.50193287037</v>
      </c>
    </row>
    <row r="1371">
      <c r="A1371" s="47">
        <v>45255.508399178245</v>
      </c>
      <c r="B1371" s="46" t="s">
        <v>1639</v>
      </c>
      <c r="C1371" s="46">
        <v>9.667733189E9</v>
      </c>
      <c r="D1371" s="46"/>
      <c r="E1371" s="46" t="s">
        <v>79</v>
      </c>
      <c r="F1371" s="46"/>
      <c r="G1371" s="46" t="s">
        <v>303</v>
      </c>
      <c r="H1371" s="46" t="s">
        <v>706</v>
      </c>
      <c r="I1371" s="46"/>
      <c r="J1371" s="46"/>
      <c r="K1371" s="46" t="str">
        <f>IFERROR(__xludf.DUMMYFUNCTION("if(A1371="""","""",IF(G1371="""",""Myn"",IF(REGEXMATCH(lower(G1371),""mynn""),""Myn"",if(G1371&lt;&gt;"""",""GEMTRE"",""""))))"),"Myn")</f>
        <v>Myn</v>
      </c>
      <c r="L1371" s="46" t="s">
        <v>2000</v>
      </c>
      <c r="M1371" s="48">
        <v>45255.50682870371</v>
      </c>
    </row>
    <row r="1372">
      <c r="A1372" s="47">
        <v>45255.50922305556</v>
      </c>
      <c r="B1372" s="46" t="s">
        <v>1640</v>
      </c>
      <c r="C1372" s="46">
        <v>9.953501321E9</v>
      </c>
      <c r="D1372" s="46"/>
      <c r="E1372" s="46" t="s">
        <v>1641</v>
      </c>
      <c r="F1372" s="46"/>
      <c r="G1372" s="46" t="s">
        <v>303</v>
      </c>
      <c r="H1372" s="46" t="s">
        <v>706</v>
      </c>
      <c r="I1372" s="46"/>
      <c r="J1372" s="46"/>
      <c r="K1372" s="46" t="str">
        <f>IFERROR(__xludf.DUMMYFUNCTION("if(A1372="""","""",IF(G1372="""",""Myn"",IF(REGEXMATCH(lower(G1372),""mynn""),""Myn"",if(G1372&lt;&gt;"""",""GEMTRE"",""""))))"),"Myn")</f>
        <v>Myn</v>
      </c>
      <c r="L1372" s="46" t="s">
        <v>2000</v>
      </c>
      <c r="M1372" s="48">
        <v>45255.5080787037</v>
      </c>
    </row>
    <row r="1373">
      <c r="A1373" s="47">
        <v>45255.5120694213</v>
      </c>
      <c r="B1373" s="46" t="s">
        <v>1642</v>
      </c>
      <c r="C1373" s="46">
        <v>9.588179734E9</v>
      </c>
      <c r="D1373" s="46"/>
      <c r="E1373" s="46"/>
      <c r="F1373" s="46"/>
      <c r="G1373" s="46" t="s">
        <v>303</v>
      </c>
      <c r="H1373" s="46" t="s">
        <v>701</v>
      </c>
      <c r="I1373" s="46"/>
      <c r="J1373" s="46"/>
      <c r="K1373" s="46" t="str">
        <f>IFERROR(__xludf.DUMMYFUNCTION("if(A1373="""","""",IF(G1373="""",""Myn"",IF(REGEXMATCH(lower(G1373),""mynn""),""Myn"",if(G1373&lt;&gt;"""",""GEMTRE"",""""))))"),"Myn")</f>
        <v>Myn</v>
      </c>
      <c r="L1373" s="46" t="s">
        <v>2000</v>
      </c>
      <c r="M1373" s="48">
        <v>45255.508414351854</v>
      </c>
    </row>
    <row r="1374">
      <c r="A1374" s="47">
        <v>45255.51236601852</v>
      </c>
      <c r="B1374" s="46" t="s">
        <v>1643</v>
      </c>
      <c r="C1374" s="46">
        <v>7.404884976E9</v>
      </c>
      <c r="D1374" s="46"/>
      <c r="E1374" s="46"/>
      <c r="F1374" s="46"/>
      <c r="G1374" s="46" t="s">
        <v>303</v>
      </c>
      <c r="H1374" s="46" t="s">
        <v>701</v>
      </c>
      <c r="I1374" s="46"/>
      <c r="J1374" s="46"/>
      <c r="K1374" s="46" t="str">
        <f>IFERROR(__xludf.DUMMYFUNCTION("if(A1374="""","""",IF(G1374="""",""Myn"",IF(REGEXMATCH(lower(G1374),""mynn""),""Myn"",if(G1374&lt;&gt;"""",""GEMTRE"",""""))))"),"Myn")</f>
        <v>Myn</v>
      </c>
      <c r="L1374" s="46" t="s">
        <v>2000</v>
      </c>
      <c r="M1374" s="48">
        <v>45255.509247685186</v>
      </c>
    </row>
    <row r="1375">
      <c r="A1375" s="47">
        <v>45255.512483611106</v>
      </c>
      <c r="B1375" s="46" t="s">
        <v>1644</v>
      </c>
      <c r="C1375" s="46">
        <v>8.92946073E9</v>
      </c>
      <c r="D1375" s="46"/>
      <c r="E1375" s="46" t="s">
        <v>1645</v>
      </c>
      <c r="F1375" s="46"/>
      <c r="G1375" s="46" t="s">
        <v>303</v>
      </c>
      <c r="H1375" s="46" t="s">
        <v>706</v>
      </c>
      <c r="I1375" s="46"/>
      <c r="J1375" s="46"/>
      <c r="K1375" s="46" t="str">
        <f>IFERROR(__xludf.DUMMYFUNCTION("if(A1375="""","""",IF(G1375="""",""Myn"",IF(REGEXMATCH(lower(G1375),""mynn""),""Myn"",if(G1375&lt;&gt;"""",""GEMTRE"",""""))))"),"Myn")</f>
        <v>Myn</v>
      </c>
      <c r="L1375" s="46" t="s">
        <v>2000</v>
      </c>
      <c r="M1375" s="48">
        <v>45255.512083333335</v>
      </c>
    </row>
    <row r="1376">
      <c r="A1376" s="47">
        <v>45255.514532870366</v>
      </c>
      <c r="B1376" s="46" t="s">
        <v>1646</v>
      </c>
      <c r="C1376" s="46">
        <v>9.818858899E9</v>
      </c>
      <c r="D1376" s="46"/>
      <c r="E1376" s="46"/>
      <c r="F1376" s="46"/>
      <c r="G1376" s="46" t="s">
        <v>303</v>
      </c>
      <c r="H1376" s="46" t="s">
        <v>701</v>
      </c>
      <c r="I1376" s="46"/>
      <c r="J1376" s="46"/>
      <c r="K1376" s="46" t="str">
        <f>IFERROR(__xludf.DUMMYFUNCTION("if(A1376="""","""",IF(G1376="""",""Myn"",IF(REGEXMATCH(lower(G1376),""mynn""),""Myn"",if(G1376&lt;&gt;"""",""GEMTRE"",""""))))"),"Myn")</f>
        <v>Myn</v>
      </c>
      <c r="L1376" s="46" t="s">
        <v>2000</v>
      </c>
      <c r="M1376" s="48">
        <v>45255.51238425926</v>
      </c>
    </row>
    <row r="1377">
      <c r="A1377" s="47">
        <v>45255.52529658565</v>
      </c>
      <c r="B1377" s="46" t="s">
        <v>1647</v>
      </c>
      <c r="C1377" s="46">
        <v>9.212718715E9</v>
      </c>
      <c r="D1377" s="46"/>
      <c r="E1377" s="46"/>
      <c r="F1377" s="46"/>
      <c r="G1377" s="46" t="s">
        <v>303</v>
      </c>
      <c r="H1377" s="46" t="s">
        <v>701</v>
      </c>
      <c r="I1377" s="46"/>
      <c r="J1377" s="46"/>
      <c r="K1377" s="46" t="str">
        <f>IFERROR(__xludf.DUMMYFUNCTION("if(A1377="""","""",IF(G1377="""",""Myn"",IF(REGEXMATCH(lower(G1377),""mynn""),""Myn"",if(G1377&lt;&gt;"""",""GEMTRE"",""""))))"),"Myn")</f>
        <v>Myn</v>
      </c>
      <c r="L1377" s="46" t="s">
        <v>2000</v>
      </c>
      <c r="M1377" s="48">
        <v>45255.5125</v>
      </c>
    </row>
    <row r="1378">
      <c r="A1378" s="47">
        <v>45255.52767596065</v>
      </c>
      <c r="B1378" s="46" t="s">
        <v>1208</v>
      </c>
      <c r="C1378" s="46">
        <v>9.968425663E9</v>
      </c>
      <c r="D1378" s="46"/>
      <c r="E1378" s="46"/>
      <c r="F1378" s="46"/>
      <c r="G1378" s="46" t="s">
        <v>303</v>
      </c>
      <c r="H1378" s="46" t="s">
        <v>701</v>
      </c>
      <c r="I1378" s="46"/>
      <c r="J1378" s="46"/>
      <c r="K1378" s="46" t="str">
        <f>IFERROR(__xludf.DUMMYFUNCTION("if(A1378="""","""",IF(G1378="""",""Myn"",IF(REGEXMATCH(lower(G1378),""mynn""),""Myn"",if(G1378&lt;&gt;"""",""GEMTRE"",""""))))"),"Myn")</f>
        <v>Myn</v>
      </c>
      <c r="L1378" s="46" t="s">
        <v>2000</v>
      </c>
      <c r="M1378" s="48">
        <v>45255.514560185184</v>
      </c>
    </row>
    <row r="1379">
      <c r="A1379" s="47">
        <v>45255.52796</v>
      </c>
      <c r="B1379" s="46" t="s">
        <v>1648</v>
      </c>
      <c r="C1379" s="46">
        <v>9.555625987E9</v>
      </c>
      <c r="D1379" s="46"/>
      <c r="E1379" s="46"/>
      <c r="F1379" s="46"/>
      <c r="G1379" s="46" t="s">
        <v>303</v>
      </c>
      <c r="H1379" s="46" t="s">
        <v>701</v>
      </c>
      <c r="I1379" s="46"/>
      <c r="J1379" s="46"/>
      <c r="K1379" s="46" t="str">
        <f>IFERROR(__xludf.DUMMYFUNCTION("if(A1379="""","""",IF(G1379="""",""Myn"",IF(REGEXMATCH(lower(G1379),""mynn""),""Myn"",if(G1379&lt;&gt;"""",""GEMTRE"",""""))))"),"Myn")</f>
        <v>Myn</v>
      </c>
      <c r="L1379" s="46" t="s">
        <v>2000</v>
      </c>
      <c r="M1379" s="48">
        <v>45255.52532407407</v>
      </c>
    </row>
    <row r="1380">
      <c r="A1380" s="47">
        <v>45255.52833109954</v>
      </c>
      <c r="B1380" s="46" t="s">
        <v>1648</v>
      </c>
      <c r="C1380" s="46">
        <v>9.354474284E9</v>
      </c>
      <c r="D1380" s="46"/>
      <c r="E1380" s="46"/>
      <c r="F1380" s="46"/>
      <c r="G1380" s="46" t="s">
        <v>303</v>
      </c>
      <c r="H1380" s="46" t="s">
        <v>701</v>
      </c>
      <c r="I1380" s="46"/>
      <c r="J1380" s="46"/>
      <c r="K1380" s="46" t="str">
        <f>IFERROR(__xludf.DUMMYFUNCTION("if(A1380="""","""",IF(G1380="""",""Myn"",IF(REGEXMATCH(lower(G1380),""mynn""),""Myn"",if(G1380&lt;&gt;"""",""GEMTRE"",""""))))"),"Myn")</f>
        <v>Myn</v>
      </c>
      <c r="L1380" s="46" t="s">
        <v>2000</v>
      </c>
      <c r="M1380" s="48">
        <v>45255.52769675926</v>
      </c>
    </row>
    <row r="1381">
      <c r="A1381" s="47">
        <v>45255.531469444446</v>
      </c>
      <c r="B1381" s="46" t="s">
        <v>1649</v>
      </c>
      <c r="C1381" s="46">
        <v>9.311791238E9</v>
      </c>
      <c r="D1381" s="46"/>
      <c r="E1381" s="46"/>
      <c r="F1381" s="46"/>
      <c r="G1381" s="46" t="s">
        <v>303</v>
      </c>
      <c r="H1381" s="46" t="s">
        <v>701</v>
      </c>
      <c r="I1381" s="46"/>
      <c r="J1381" s="46"/>
      <c r="K1381" s="46" t="str">
        <f>IFERROR(__xludf.DUMMYFUNCTION("if(A1381="""","""",IF(G1381="""",""Myn"",IF(REGEXMATCH(lower(G1381),""mynn""),""Myn"",if(G1381&lt;&gt;"""",""GEMTRE"",""""))))"),"Myn")</f>
        <v>Myn</v>
      </c>
      <c r="L1381" s="46" t="s">
        <v>2000</v>
      </c>
      <c r="M1381" s="48">
        <v>45255.52798611111</v>
      </c>
    </row>
    <row r="1382">
      <c r="A1382" s="47">
        <v>45255.533497638884</v>
      </c>
      <c r="B1382" s="46" t="s">
        <v>1650</v>
      </c>
      <c r="C1382" s="46">
        <v>7.988203631E9</v>
      </c>
      <c r="D1382" s="46"/>
      <c r="E1382" s="46"/>
      <c r="F1382" s="46"/>
      <c r="G1382" s="46" t="s">
        <v>303</v>
      </c>
      <c r="H1382" s="46" t="s">
        <v>701</v>
      </c>
      <c r="I1382" s="46"/>
      <c r="J1382" s="46"/>
      <c r="K1382" s="46" t="str">
        <f>IFERROR(__xludf.DUMMYFUNCTION("if(A1382="""","""",IF(G1382="""",""Myn"",IF(REGEXMATCH(lower(G1382),""mynn""),""Myn"",if(G1382&lt;&gt;"""",""GEMTRE"",""""))))"),"Myn")</f>
        <v>Myn</v>
      </c>
      <c r="L1382" s="46" t="s">
        <v>2000</v>
      </c>
      <c r="M1382" s="48">
        <v>45255.52835648148</v>
      </c>
    </row>
    <row r="1383">
      <c r="A1383" s="47">
        <v>45255.53380034722</v>
      </c>
      <c r="B1383" s="46" t="s">
        <v>1651</v>
      </c>
      <c r="C1383" s="46">
        <v>9.31000913E9</v>
      </c>
      <c r="D1383" s="46"/>
      <c r="E1383" s="46"/>
      <c r="F1383" s="46"/>
      <c r="G1383" s="46" t="s">
        <v>303</v>
      </c>
      <c r="H1383" s="46" t="s">
        <v>701</v>
      </c>
      <c r="I1383" s="46"/>
      <c r="J1383" s="46"/>
      <c r="K1383" s="46" t="str">
        <f>IFERROR(__xludf.DUMMYFUNCTION("if(A1383="""","""",IF(G1383="""",""Myn"",IF(REGEXMATCH(lower(G1383),""mynn""),""Myn"",if(G1383&lt;&gt;"""",""GEMTRE"",""""))))"),"Myn")</f>
        <v>Myn</v>
      </c>
      <c r="L1383" s="46" t="s">
        <v>2000</v>
      </c>
      <c r="M1383" s="48">
        <v>45255.531493055554</v>
      </c>
    </row>
    <row r="1384">
      <c r="A1384" s="47">
        <v>45255.539604502315</v>
      </c>
      <c r="B1384" s="46" t="s">
        <v>1652</v>
      </c>
      <c r="C1384" s="46">
        <v>9.555970751E9</v>
      </c>
      <c r="D1384" s="46"/>
      <c r="E1384" s="46"/>
      <c r="F1384" s="46"/>
      <c r="G1384" s="46" t="s">
        <v>303</v>
      </c>
      <c r="H1384" s="46" t="s">
        <v>701</v>
      </c>
      <c r="I1384" s="46"/>
      <c r="J1384" s="46"/>
      <c r="K1384" s="46" t="str">
        <f>IFERROR(__xludf.DUMMYFUNCTION("if(A1384="""","""",IF(G1384="""",""Myn"",IF(REGEXMATCH(lower(G1384),""mynn""),""Myn"",if(G1384&lt;&gt;"""",""GEMTRE"",""""))))"),"Myn")</f>
        <v>Myn</v>
      </c>
      <c r="L1384" s="46" t="s">
        <v>2000</v>
      </c>
      <c r="M1384" s="48">
        <v>45255.53351851852</v>
      </c>
    </row>
    <row r="1385">
      <c r="A1385" s="47">
        <v>45255.54014052083</v>
      </c>
      <c r="B1385" s="46" t="s">
        <v>1653</v>
      </c>
      <c r="C1385" s="46">
        <v>9.555970751E9</v>
      </c>
      <c r="D1385" s="46"/>
      <c r="E1385" s="46"/>
      <c r="F1385" s="46"/>
      <c r="G1385" s="46" t="s">
        <v>303</v>
      </c>
      <c r="H1385" s="46" t="s">
        <v>701</v>
      </c>
      <c r="I1385" s="46"/>
      <c r="J1385" s="46"/>
      <c r="K1385" s="46" t="str">
        <f>IFERROR(__xludf.DUMMYFUNCTION("if(A1385="""","""",IF(G1385="""",""Myn"",IF(REGEXMATCH(lower(G1385),""mynn""),""Myn"",if(G1385&lt;&gt;"""",""GEMTRE"",""""))))"),"Myn")</f>
        <v>Myn</v>
      </c>
      <c r="L1385" s="46" t="s">
        <v>2000</v>
      </c>
      <c r="M1385" s="48">
        <v>45255.53381944444</v>
      </c>
    </row>
    <row r="1386">
      <c r="A1386" s="47">
        <v>45255.54035484954</v>
      </c>
      <c r="B1386" s="46" t="s">
        <v>432</v>
      </c>
      <c r="C1386" s="46">
        <v>9.315702203E9</v>
      </c>
      <c r="D1386" s="46"/>
      <c r="E1386" s="46"/>
      <c r="F1386" s="46"/>
      <c r="G1386" s="46" t="s">
        <v>303</v>
      </c>
      <c r="H1386" s="46" t="s">
        <v>701</v>
      </c>
      <c r="I1386" s="46"/>
      <c r="J1386" s="46"/>
      <c r="K1386" s="46" t="str">
        <f>IFERROR(__xludf.DUMMYFUNCTION("if(A1386="""","""",IF(G1386="""",""Myn"",IF(REGEXMATCH(lower(G1386),""mynn""),""Myn"",if(G1386&lt;&gt;"""",""GEMTRE"",""""))))"),"Myn")</f>
        <v>Myn</v>
      </c>
      <c r="L1386" s="46" t="s">
        <v>2000</v>
      </c>
      <c r="M1386" s="48">
        <v>45255.53962962963</v>
      </c>
    </row>
    <row r="1387">
      <c r="A1387" s="47">
        <v>45255.54053825232</v>
      </c>
      <c r="B1387" s="46" t="s">
        <v>1654</v>
      </c>
      <c r="C1387" s="46">
        <v>9.811746666E9</v>
      </c>
      <c r="D1387" s="46"/>
      <c r="E1387" s="46" t="s">
        <v>1655</v>
      </c>
      <c r="F1387" s="46"/>
      <c r="G1387" s="46" t="s">
        <v>303</v>
      </c>
      <c r="H1387" s="46" t="s">
        <v>706</v>
      </c>
      <c r="I1387" s="46"/>
      <c r="J1387" s="46"/>
      <c r="K1387" s="46" t="str">
        <f>IFERROR(__xludf.DUMMYFUNCTION("if(A1387="""","""",IF(G1387="""",""Myn"",IF(REGEXMATCH(lower(G1387),""mynn""),""Myn"",if(G1387&lt;&gt;"""",""GEMTRE"",""""))))"),"Myn")</f>
        <v>Myn</v>
      </c>
      <c r="L1387" s="46" t="s">
        <v>2000</v>
      </c>
      <c r="M1387" s="48">
        <v>45255.54016203704</v>
      </c>
    </row>
    <row r="1388">
      <c r="A1388" s="47">
        <v>45255.540804421296</v>
      </c>
      <c r="B1388" s="46" t="s">
        <v>1656</v>
      </c>
      <c r="C1388" s="46">
        <v>7.048987553E9</v>
      </c>
      <c r="D1388" s="46"/>
      <c r="E1388" s="46"/>
      <c r="F1388" s="46"/>
      <c r="G1388" s="46" t="s">
        <v>303</v>
      </c>
      <c r="H1388" s="46" t="s">
        <v>701</v>
      </c>
      <c r="I1388" s="46"/>
      <c r="J1388" s="46"/>
      <c r="K1388" s="46" t="str">
        <f>IFERROR(__xludf.DUMMYFUNCTION("if(A1388="""","""",IF(G1388="""",""Myn"",IF(REGEXMATCH(lower(G1388),""mynn""),""Myn"",if(G1388&lt;&gt;"""",""GEMTRE"",""""))))"),"Myn")</f>
        <v>Myn</v>
      </c>
      <c r="L1388" s="46" t="s">
        <v>2000</v>
      </c>
      <c r="M1388" s="48">
        <v>45255.54038194445</v>
      </c>
    </row>
    <row r="1389">
      <c r="A1389" s="47">
        <v>45255.54212388889</v>
      </c>
      <c r="B1389" s="46" t="s">
        <v>1657</v>
      </c>
      <c r="C1389" s="46">
        <v>7.906846072E9</v>
      </c>
      <c r="D1389" s="46"/>
      <c r="E1389" s="46"/>
      <c r="F1389" s="46"/>
      <c r="G1389" s="46" t="s">
        <v>303</v>
      </c>
      <c r="H1389" s="46" t="s">
        <v>701</v>
      </c>
      <c r="I1389" s="46"/>
      <c r="J1389" s="46"/>
      <c r="K1389" s="46" t="str">
        <f>IFERROR(__xludf.DUMMYFUNCTION("if(A1389="""","""",IF(G1389="""",""Myn"",IF(REGEXMATCH(lower(G1389),""mynn""),""Myn"",if(G1389&lt;&gt;"""",""GEMTRE"",""""))))"),"Myn")</f>
        <v>Myn</v>
      </c>
      <c r="L1389" s="46" t="s">
        <v>2000</v>
      </c>
      <c r="M1389" s="48">
        <v>45255.54056712963</v>
      </c>
    </row>
    <row r="1390">
      <c r="A1390" s="47">
        <v>45255.54245759259</v>
      </c>
      <c r="B1390" s="46" t="s">
        <v>173</v>
      </c>
      <c r="C1390" s="46">
        <v>8.368158627E9</v>
      </c>
      <c r="D1390" s="46"/>
      <c r="E1390" s="46"/>
      <c r="F1390" s="46"/>
      <c r="G1390" s="46" t="s">
        <v>303</v>
      </c>
      <c r="H1390" s="46" t="s">
        <v>701</v>
      </c>
      <c r="I1390" s="46"/>
      <c r="J1390" s="46"/>
      <c r="K1390" s="46" t="str">
        <f>IFERROR(__xludf.DUMMYFUNCTION("if(A1390="""","""",IF(G1390="""",""Myn"",IF(REGEXMATCH(lower(G1390),""mynn""),""Myn"",if(G1390&lt;&gt;"""",""GEMTRE"",""""))))"),"Myn")</f>
        <v>Myn</v>
      </c>
      <c r="L1390" s="46" t="s">
        <v>2000</v>
      </c>
      <c r="M1390" s="48">
        <v>45255.54083333333</v>
      </c>
    </row>
    <row r="1391">
      <c r="A1391" s="47">
        <v>45255.54280888889</v>
      </c>
      <c r="B1391" s="46" t="s">
        <v>1658</v>
      </c>
      <c r="C1391" s="46">
        <v>8.368158627E9</v>
      </c>
      <c r="D1391" s="46"/>
      <c r="E1391" s="46" t="s">
        <v>1659</v>
      </c>
      <c r="F1391" s="46"/>
      <c r="G1391" s="46" t="s">
        <v>303</v>
      </c>
      <c r="H1391" s="46" t="s">
        <v>706</v>
      </c>
      <c r="I1391" s="46"/>
      <c r="J1391" s="46"/>
      <c r="K1391" s="46" t="str">
        <f>IFERROR(__xludf.DUMMYFUNCTION("if(A1391="""","""",IF(G1391="""",""Myn"",IF(REGEXMATCH(lower(G1391),""mynn""),""Myn"",if(G1391&lt;&gt;"""",""GEMTRE"",""""))))"),"Myn")</f>
        <v>Myn</v>
      </c>
      <c r="L1391" s="46" t="s">
        <v>2000</v>
      </c>
      <c r="M1391" s="48">
        <v>45255.5421412037</v>
      </c>
    </row>
    <row r="1392">
      <c r="A1392" s="47">
        <v>45255.55186961805</v>
      </c>
      <c r="B1392" s="46" t="s">
        <v>1660</v>
      </c>
      <c r="C1392" s="46">
        <v>9.991119396E9</v>
      </c>
      <c r="D1392" s="46"/>
      <c r="E1392" s="46"/>
      <c r="F1392" s="46"/>
      <c r="G1392" s="46" t="s">
        <v>303</v>
      </c>
      <c r="H1392" s="46" t="s">
        <v>701</v>
      </c>
      <c r="I1392" s="46"/>
      <c r="J1392" s="46"/>
      <c r="K1392" s="46" t="str">
        <f>IFERROR(__xludf.DUMMYFUNCTION("if(A1392="""","""",IF(G1392="""",""Myn"",IF(REGEXMATCH(lower(G1392),""mynn""),""Myn"",if(G1392&lt;&gt;"""",""GEMTRE"",""""))))"),"Myn")</f>
        <v>Myn</v>
      </c>
      <c r="L1392" s="46" t="s">
        <v>2000</v>
      </c>
      <c r="M1392" s="48">
        <v>45255.54247685185</v>
      </c>
    </row>
    <row r="1393">
      <c r="A1393" s="47">
        <v>45255.552617291665</v>
      </c>
      <c r="B1393" s="46" t="s">
        <v>1661</v>
      </c>
      <c r="C1393" s="46">
        <v>9.911003114E9</v>
      </c>
      <c r="D1393" s="46"/>
      <c r="E1393" s="46"/>
      <c r="F1393" s="46"/>
      <c r="G1393" s="46" t="s">
        <v>303</v>
      </c>
      <c r="H1393" s="46" t="s">
        <v>701</v>
      </c>
      <c r="I1393" s="46"/>
      <c r="J1393" s="46"/>
      <c r="K1393" s="46" t="str">
        <f>IFERROR(__xludf.DUMMYFUNCTION("if(A1393="""","""",IF(G1393="""",""Myn"",IF(REGEXMATCH(lower(G1393),""mynn""),""Myn"",if(G1393&lt;&gt;"""",""GEMTRE"",""""))))"),"Myn")</f>
        <v>Myn</v>
      </c>
      <c r="L1393" s="46" t="s">
        <v>2000</v>
      </c>
      <c r="M1393" s="48">
        <v>45255.54282407407</v>
      </c>
    </row>
    <row r="1394">
      <c r="A1394" s="47">
        <v>45255.558426585645</v>
      </c>
      <c r="B1394" s="46" t="s">
        <v>1662</v>
      </c>
      <c r="C1394" s="46">
        <v>9.953037817E9</v>
      </c>
      <c r="D1394" s="46"/>
      <c r="E1394" s="46" t="s">
        <v>1663</v>
      </c>
      <c r="F1394" s="46"/>
      <c r="G1394" s="46" t="s">
        <v>303</v>
      </c>
      <c r="H1394" s="46" t="s">
        <v>706</v>
      </c>
      <c r="I1394" s="46"/>
      <c r="J1394" s="46"/>
      <c r="K1394" s="46" t="str">
        <f>IFERROR(__xludf.DUMMYFUNCTION("if(A1394="""","""",IF(G1394="""",""Myn"",IF(REGEXMATCH(lower(G1394),""mynn""),""Myn"",if(G1394&lt;&gt;"""",""GEMTRE"",""""))))"),"Myn")</f>
        <v>Myn</v>
      </c>
      <c r="L1394" s="46" t="s">
        <v>2000</v>
      </c>
      <c r="M1394" s="48">
        <v>45255.551886574074</v>
      </c>
    </row>
    <row r="1395">
      <c r="A1395" s="47">
        <v>45255.56405306713</v>
      </c>
      <c r="B1395" s="46" t="s">
        <v>1664</v>
      </c>
      <c r="C1395" s="46">
        <v>7.01124844E9</v>
      </c>
      <c r="D1395" s="46"/>
      <c r="E1395" s="46" t="s">
        <v>15</v>
      </c>
      <c r="F1395" s="46"/>
      <c r="G1395" s="46" t="s">
        <v>303</v>
      </c>
      <c r="H1395" s="46" t="s">
        <v>706</v>
      </c>
      <c r="I1395" s="46"/>
      <c r="J1395" s="46"/>
      <c r="K1395" s="46" t="str">
        <f>IFERROR(__xludf.DUMMYFUNCTION("if(A1395="""","""",IF(G1395="""",""Myn"",IF(REGEXMATCH(lower(G1395),""mynn""),""Myn"",if(G1395&lt;&gt;"""",""GEMTRE"",""""))))"),"Myn")</f>
        <v>Myn</v>
      </c>
      <c r="L1395" s="46" t="s">
        <v>2000</v>
      </c>
      <c r="M1395" s="48">
        <v>45255.55262731481</v>
      </c>
    </row>
    <row r="1396">
      <c r="A1396" s="47">
        <v>45255.56434641204</v>
      </c>
      <c r="B1396" s="46" t="s">
        <v>1665</v>
      </c>
      <c r="C1396" s="46">
        <v>9.250156086E9</v>
      </c>
      <c r="D1396" s="46"/>
      <c r="E1396" s="46"/>
      <c r="F1396" s="46"/>
      <c r="G1396" s="46" t="s">
        <v>303</v>
      </c>
      <c r="H1396" s="46" t="s">
        <v>701</v>
      </c>
      <c r="I1396" s="46"/>
      <c r="J1396" s="46"/>
      <c r="K1396" s="46" t="str">
        <f>IFERROR(__xludf.DUMMYFUNCTION("if(A1396="""","""",IF(G1396="""",""Myn"",IF(REGEXMATCH(lower(G1396),""mynn""),""Myn"",if(G1396&lt;&gt;"""",""GEMTRE"",""""))))"),"Myn")</f>
        <v>Myn</v>
      </c>
      <c r="L1396" s="46" t="s">
        <v>2000</v>
      </c>
      <c r="M1396" s="48">
        <v>45255.55844907407</v>
      </c>
    </row>
    <row r="1397">
      <c r="A1397" s="47">
        <v>45255.56666172454</v>
      </c>
      <c r="B1397" s="46" t="s">
        <v>726</v>
      </c>
      <c r="C1397" s="46">
        <v>9.315791897E9</v>
      </c>
      <c r="D1397" s="46"/>
      <c r="E1397" s="46"/>
      <c r="F1397" s="46"/>
      <c r="G1397" s="46" t="s">
        <v>303</v>
      </c>
      <c r="H1397" s="46" t="s">
        <v>701</v>
      </c>
      <c r="I1397" s="46"/>
      <c r="J1397" s="46"/>
      <c r="K1397" s="46" t="str">
        <f>IFERROR(__xludf.DUMMYFUNCTION("if(A1397="""","""",IF(G1397="""",""Myn"",IF(REGEXMATCH(lower(G1397),""mynn""),""Myn"",if(G1397&lt;&gt;"""",""GEMTRE"",""""))))"),"Myn")</f>
        <v>Myn</v>
      </c>
      <c r="L1397" s="46" t="s">
        <v>2000</v>
      </c>
      <c r="M1397" s="48">
        <v>45255.56407407407</v>
      </c>
    </row>
    <row r="1398">
      <c r="A1398" s="47">
        <v>45255.57175452546</v>
      </c>
      <c r="B1398" s="46" t="s">
        <v>1666</v>
      </c>
      <c r="C1398" s="46">
        <v>9.871778139E9</v>
      </c>
      <c r="D1398" s="46"/>
      <c r="E1398" s="46" t="s">
        <v>1667</v>
      </c>
      <c r="F1398" s="46"/>
      <c r="G1398" s="46" t="s">
        <v>303</v>
      </c>
      <c r="H1398" s="46" t="s">
        <v>706</v>
      </c>
      <c r="I1398" s="46"/>
      <c r="J1398" s="46"/>
      <c r="K1398" s="46" t="str">
        <f>IFERROR(__xludf.DUMMYFUNCTION("if(A1398="""","""",IF(G1398="""",""Myn"",IF(REGEXMATCH(lower(G1398),""mynn""),""Myn"",if(G1398&lt;&gt;"""",""GEMTRE"",""""))))"),"Myn")</f>
        <v>Myn</v>
      </c>
      <c r="L1398" s="46" t="s">
        <v>2000</v>
      </c>
      <c r="M1398" s="48">
        <v>45255.564375</v>
      </c>
    </row>
    <row r="1399">
      <c r="A1399" s="47">
        <v>45255.57209045139</v>
      </c>
      <c r="B1399" s="46" t="s">
        <v>1234</v>
      </c>
      <c r="C1399" s="46">
        <v>9.560453601E9</v>
      </c>
      <c r="D1399" s="46"/>
      <c r="E1399" s="46" t="s">
        <v>15</v>
      </c>
      <c r="F1399" s="46"/>
      <c r="G1399" s="46" t="s">
        <v>303</v>
      </c>
      <c r="H1399" s="46" t="s">
        <v>706</v>
      </c>
      <c r="I1399" s="46"/>
      <c r="J1399" s="46"/>
      <c r="K1399" s="46" t="str">
        <f>IFERROR(__xludf.DUMMYFUNCTION("if(A1399="""","""",IF(G1399="""",""Myn"",IF(REGEXMATCH(lower(G1399),""mynn""),""Myn"",if(G1399&lt;&gt;"""",""GEMTRE"",""""))))"),"Myn")</f>
        <v>Myn</v>
      </c>
      <c r="L1399" s="46" t="s">
        <v>2000</v>
      </c>
      <c r="M1399" s="48">
        <v>45255.56668981481</v>
      </c>
    </row>
    <row r="1400">
      <c r="A1400" s="47">
        <v>45255.57276607639</v>
      </c>
      <c r="B1400" s="46" t="s">
        <v>1668</v>
      </c>
      <c r="C1400" s="46">
        <v>9.340152367E9</v>
      </c>
      <c r="D1400" s="46"/>
      <c r="E1400" s="46"/>
      <c r="F1400" s="46"/>
      <c r="G1400" s="46" t="s">
        <v>303</v>
      </c>
      <c r="H1400" s="46" t="s">
        <v>701</v>
      </c>
      <c r="I1400" s="46"/>
      <c r="J1400" s="46"/>
      <c r="K1400" s="46" t="str">
        <f>IFERROR(__xludf.DUMMYFUNCTION("if(A1400="""","""",IF(G1400="""",""Myn"",IF(REGEXMATCH(lower(G1400),""mynn""),""Myn"",if(G1400&lt;&gt;"""",""GEMTRE"",""""))))"),"Myn")</f>
        <v>Myn</v>
      </c>
      <c r="L1400" s="46" t="s">
        <v>2000</v>
      </c>
      <c r="M1400" s="48">
        <v>45255.57178240741</v>
      </c>
    </row>
    <row r="1401">
      <c r="A1401" s="47">
        <v>45255.57472041667</v>
      </c>
      <c r="B1401" s="46" t="s">
        <v>1669</v>
      </c>
      <c r="C1401" s="46">
        <v>9.837156243E9</v>
      </c>
      <c r="D1401" s="46"/>
      <c r="E1401" s="46"/>
      <c r="F1401" s="46"/>
      <c r="G1401" s="46" t="s">
        <v>303</v>
      </c>
      <c r="H1401" s="46" t="s">
        <v>706</v>
      </c>
      <c r="I1401" s="46"/>
      <c r="J1401" s="46"/>
      <c r="K1401" s="46" t="str">
        <f>IFERROR(__xludf.DUMMYFUNCTION("if(A1401="""","""",IF(G1401="""",""Myn"",IF(REGEXMATCH(lower(G1401),""mynn""),""Myn"",if(G1401&lt;&gt;"""",""GEMTRE"",""""))))"),"Myn")</f>
        <v>Myn</v>
      </c>
      <c r="L1401" s="46" t="s">
        <v>2000</v>
      </c>
      <c r="M1401" s="48">
        <v>45255.572118055556</v>
      </c>
    </row>
    <row r="1402">
      <c r="A1402" s="47">
        <v>45255.57858114583</v>
      </c>
      <c r="B1402" s="46" t="s">
        <v>421</v>
      </c>
      <c r="C1402" s="46">
        <v>9.8110977E9</v>
      </c>
      <c r="D1402" s="46"/>
      <c r="E1402" s="46" t="s">
        <v>1645</v>
      </c>
      <c r="F1402" s="46"/>
      <c r="G1402" s="46" t="s">
        <v>303</v>
      </c>
      <c r="H1402" s="46" t="s">
        <v>706</v>
      </c>
      <c r="I1402" s="46"/>
      <c r="J1402" s="46"/>
      <c r="K1402" s="46" t="str">
        <f>IFERROR(__xludf.DUMMYFUNCTION("if(A1402="""","""",IF(G1402="""",""Myn"",IF(REGEXMATCH(lower(G1402),""mynn""),""Myn"",if(G1402&lt;&gt;"""",""GEMTRE"",""""))))"),"Myn")</f>
        <v>Myn</v>
      </c>
      <c r="L1402" s="46" t="s">
        <v>2000</v>
      </c>
      <c r="M1402" s="48">
        <v>45255.57278935185</v>
      </c>
    </row>
    <row r="1403">
      <c r="A1403" s="47">
        <v>45255.58048590278</v>
      </c>
      <c r="B1403" s="46" t="s">
        <v>1353</v>
      </c>
      <c r="C1403" s="46">
        <v>9.810826712E9</v>
      </c>
      <c r="D1403" s="46"/>
      <c r="E1403" s="46"/>
      <c r="F1403" s="46"/>
      <c r="G1403" s="46" t="s">
        <v>303</v>
      </c>
      <c r="H1403" s="46" t="s">
        <v>701</v>
      </c>
      <c r="I1403" s="46"/>
      <c r="J1403" s="46"/>
      <c r="K1403" s="46" t="str">
        <f>IFERROR(__xludf.DUMMYFUNCTION("if(A1403="""","""",IF(G1403="""",""Myn"",IF(REGEXMATCH(lower(G1403),""mynn""),""Myn"",if(G1403&lt;&gt;"""",""GEMTRE"",""""))))"),"Myn")</f>
        <v>Myn</v>
      </c>
      <c r="L1403" s="46" t="s">
        <v>2000</v>
      </c>
      <c r="M1403" s="48">
        <v>45255.5747337963</v>
      </c>
    </row>
    <row r="1404">
      <c r="A1404" s="47">
        <v>45255.581619606484</v>
      </c>
      <c r="B1404" s="46" t="s">
        <v>1670</v>
      </c>
      <c r="C1404" s="46">
        <v>9.643594967E9</v>
      </c>
      <c r="D1404" s="46"/>
      <c r="E1404" s="46"/>
      <c r="F1404" s="46"/>
      <c r="G1404" s="46" t="s">
        <v>303</v>
      </c>
      <c r="H1404" s="46" t="s">
        <v>706</v>
      </c>
      <c r="I1404" s="46"/>
      <c r="J1404" s="46"/>
      <c r="K1404" s="46" t="str">
        <f>IFERROR(__xludf.DUMMYFUNCTION("if(A1404="""","""",IF(G1404="""",""Myn"",IF(REGEXMATCH(lower(G1404),""mynn""),""Myn"",if(G1404&lt;&gt;"""",""GEMTRE"",""""))))"),"Myn")</f>
        <v>Myn</v>
      </c>
      <c r="L1404" s="46" t="s">
        <v>2000</v>
      </c>
      <c r="M1404" s="48">
        <v>45255.57859953704</v>
      </c>
    </row>
    <row r="1405">
      <c r="A1405" s="47">
        <v>45255.583606458335</v>
      </c>
      <c r="B1405" s="46" t="s">
        <v>1671</v>
      </c>
      <c r="C1405" s="46">
        <v>9.803199031E9</v>
      </c>
      <c r="D1405" s="46"/>
      <c r="E1405" s="46"/>
      <c r="F1405" s="46"/>
      <c r="G1405" s="46" t="s">
        <v>303</v>
      </c>
      <c r="H1405" s="46" t="s">
        <v>701</v>
      </c>
      <c r="I1405" s="46"/>
      <c r="J1405" s="46"/>
      <c r="K1405" s="46" t="str">
        <f>IFERROR(__xludf.DUMMYFUNCTION("if(A1405="""","""",IF(G1405="""",""Myn"",IF(REGEXMATCH(lower(G1405),""mynn""),""Myn"",if(G1405&lt;&gt;"""",""GEMTRE"",""""))))"),"Myn")</f>
        <v>Myn</v>
      </c>
      <c r="L1405" s="46" t="s">
        <v>2000</v>
      </c>
      <c r="M1405" s="48">
        <v>45255.580509259256</v>
      </c>
    </row>
    <row r="1406">
      <c r="A1406" s="47">
        <v>45255.586375625004</v>
      </c>
      <c r="B1406" s="46" t="s">
        <v>541</v>
      </c>
      <c r="C1406" s="46">
        <v>8.527761717E9</v>
      </c>
      <c r="D1406" s="46"/>
      <c r="E1406" s="46" t="s">
        <v>424</v>
      </c>
      <c r="F1406" s="46"/>
      <c r="G1406" s="46" t="s">
        <v>303</v>
      </c>
      <c r="H1406" s="46" t="s">
        <v>706</v>
      </c>
      <c r="I1406" s="46"/>
      <c r="J1406" s="46"/>
      <c r="K1406" s="46" t="str">
        <f>IFERROR(__xludf.DUMMYFUNCTION("if(A1406="""","""",IF(G1406="""",""Myn"",IF(REGEXMATCH(lower(G1406),""mynn""),""Myn"",if(G1406&lt;&gt;"""",""GEMTRE"",""""))))"),"Myn")</f>
        <v>Myn</v>
      </c>
      <c r="L1406" s="46" t="s">
        <v>2000</v>
      </c>
      <c r="M1406" s="48">
        <v>45255.58164351852</v>
      </c>
    </row>
    <row r="1407">
      <c r="A1407" s="47">
        <v>45255.586699548614</v>
      </c>
      <c r="B1407" s="46" t="s">
        <v>1672</v>
      </c>
      <c r="C1407" s="46">
        <v>8.130088575E9</v>
      </c>
      <c r="D1407" s="46"/>
      <c r="E1407" s="46" t="s">
        <v>15</v>
      </c>
      <c r="F1407" s="46"/>
      <c r="G1407" s="46" t="s">
        <v>303</v>
      </c>
      <c r="H1407" s="46" t="s">
        <v>706</v>
      </c>
      <c r="I1407" s="46"/>
      <c r="J1407" s="46"/>
      <c r="K1407" s="46" t="str">
        <f>IFERROR(__xludf.DUMMYFUNCTION("if(A1407="""","""",IF(G1407="""",""Myn"",IF(REGEXMATCH(lower(G1407),""mynn""),""Myn"",if(G1407&lt;&gt;"""",""GEMTRE"",""""))))"),"Myn")</f>
        <v>Myn</v>
      </c>
      <c r="L1407" s="46" t="s">
        <v>2000</v>
      </c>
      <c r="M1407" s="48">
        <v>45255.58362268518</v>
      </c>
    </row>
    <row r="1408">
      <c r="A1408" s="47">
        <v>45255.58790278935</v>
      </c>
      <c r="B1408" s="46" t="s">
        <v>1673</v>
      </c>
      <c r="C1408" s="46">
        <v>9.759210097E9</v>
      </c>
      <c r="D1408" s="46"/>
      <c r="E1408" s="46"/>
      <c r="F1408" s="46"/>
      <c r="G1408" s="46" t="s">
        <v>303</v>
      </c>
      <c r="H1408" s="46" t="s">
        <v>701</v>
      </c>
      <c r="I1408" s="46"/>
      <c r="J1408" s="46"/>
      <c r="K1408" s="46" t="str">
        <f>IFERROR(__xludf.DUMMYFUNCTION("if(A1408="""","""",IF(G1408="""",""Myn"",IF(REGEXMATCH(lower(G1408),""mynn""),""Myn"",if(G1408&lt;&gt;"""",""GEMTRE"",""""))))"),"Myn")</f>
        <v>Myn</v>
      </c>
      <c r="L1408" s="46" t="s">
        <v>2000</v>
      </c>
      <c r="M1408" s="48">
        <v>45255.58640046296</v>
      </c>
    </row>
    <row r="1409">
      <c r="A1409" s="47">
        <v>45255.588207430555</v>
      </c>
      <c r="B1409" s="46" t="s">
        <v>1674</v>
      </c>
      <c r="C1409" s="46">
        <v>8.447055018E9</v>
      </c>
      <c r="D1409" s="46"/>
      <c r="E1409" s="46" t="s">
        <v>1675</v>
      </c>
      <c r="F1409" s="46"/>
      <c r="G1409" s="46" t="s">
        <v>303</v>
      </c>
      <c r="H1409" s="46" t="s">
        <v>706</v>
      </c>
      <c r="I1409" s="46"/>
      <c r="J1409" s="46"/>
      <c r="K1409" s="46" t="str">
        <f>IFERROR(__xludf.DUMMYFUNCTION("if(A1409="""","""",IF(G1409="""",""Myn"",IF(REGEXMATCH(lower(G1409),""mynn""),""Myn"",if(G1409&lt;&gt;"""",""GEMTRE"",""""))))"),"Myn")</f>
        <v>Myn</v>
      </c>
      <c r="L1409" s="46" t="s">
        <v>2000</v>
      </c>
      <c r="M1409" s="48">
        <v>45255.58671296296</v>
      </c>
    </row>
    <row r="1410">
      <c r="A1410" s="47">
        <v>45255.59681482639</v>
      </c>
      <c r="B1410" s="46" t="s">
        <v>1676</v>
      </c>
      <c r="C1410" s="46">
        <v>9.928539646E9</v>
      </c>
      <c r="D1410" s="46"/>
      <c r="E1410" s="46"/>
      <c r="F1410" s="46"/>
      <c r="G1410" s="46" t="s">
        <v>303</v>
      </c>
      <c r="H1410" s="46" t="s">
        <v>701</v>
      </c>
      <c r="I1410" s="46"/>
      <c r="J1410" s="46"/>
      <c r="K1410" s="46" t="str">
        <f>IFERROR(__xludf.DUMMYFUNCTION("if(A1410="""","""",IF(G1410="""",""Myn"",IF(REGEXMATCH(lower(G1410),""mynn""),""Myn"",if(G1410&lt;&gt;"""",""GEMTRE"",""""))))"),"Myn")</f>
        <v>Myn</v>
      </c>
      <c r="L1410" s="46" t="s">
        <v>2000</v>
      </c>
      <c r="M1410" s="48">
        <v>45255.58792824074</v>
      </c>
    </row>
    <row r="1411">
      <c r="A1411" s="47">
        <v>45255.59730554398</v>
      </c>
      <c r="B1411" s="46" t="s">
        <v>1677</v>
      </c>
      <c r="C1411" s="46">
        <v>9.65454491E9</v>
      </c>
      <c r="D1411" s="46"/>
      <c r="E1411" s="46"/>
      <c r="F1411" s="46"/>
      <c r="G1411" s="46" t="s">
        <v>303</v>
      </c>
      <c r="H1411" s="46" t="s">
        <v>701</v>
      </c>
      <c r="I1411" s="46"/>
      <c r="J1411" s="46"/>
      <c r="K1411" s="46" t="str">
        <f>IFERROR(__xludf.DUMMYFUNCTION("if(A1411="""","""",IF(G1411="""",""Myn"",IF(REGEXMATCH(lower(G1411),""mynn""),""Myn"",if(G1411&lt;&gt;"""",""GEMTRE"",""""))))"),"Myn")</f>
        <v>Myn</v>
      </c>
      <c r="L1411" s="46" t="s">
        <v>2000</v>
      </c>
      <c r="M1411" s="48">
        <v>45255.588229166664</v>
      </c>
    </row>
    <row r="1412">
      <c r="A1412" s="47">
        <v>45255.600489652774</v>
      </c>
      <c r="B1412" s="46" t="s">
        <v>61</v>
      </c>
      <c r="C1412" s="46">
        <v>9.540071893E9</v>
      </c>
      <c r="D1412" s="46"/>
      <c r="E1412" s="46" t="s">
        <v>15</v>
      </c>
      <c r="F1412" s="46"/>
      <c r="G1412" s="46" t="s">
        <v>303</v>
      </c>
      <c r="H1412" s="46" t="s">
        <v>706</v>
      </c>
      <c r="I1412" s="46"/>
      <c r="J1412" s="46"/>
      <c r="K1412" s="46" t="str">
        <f>IFERROR(__xludf.DUMMYFUNCTION("if(A1412="""","""",IF(G1412="""",""Myn"",IF(REGEXMATCH(lower(G1412),""mynn""),""Myn"",if(G1412&lt;&gt;"""",""GEMTRE"",""""))))"),"Myn")</f>
        <v>Myn</v>
      </c>
      <c r="L1412" s="46" t="s">
        <v>2000</v>
      </c>
      <c r="M1412" s="48">
        <v>45255.59684027778</v>
      </c>
    </row>
    <row r="1413">
      <c r="A1413" s="47">
        <v>45255.60461094907</v>
      </c>
      <c r="B1413" s="46" t="s">
        <v>1678</v>
      </c>
      <c r="C1413" s="46">
        <v>9.91076026E9</v>
      </c>
      <c r="D1413" s="46"/>
      <c r="E1413" s="46" t="s">
        <v>79</v>
      </c>
      <c r="F1413" s="46"/>
      <c r="G1413" s="46" t="s">
        <v>303</v>
      </c>
      <c r="H1413" s="46" t="s">
        <v>706</v>
      </c>
      <c r="I1413" s="46"/>
      <c r="J1413" s="46"/>
      <c r="K1413" s="46" t="str">
        <f>IFERROR(__xludf.DUMMYFUNCTION("if(A1413="""","""",IF(G1413="""",""Myn"",IF(REGEXMATCH(lower(G1413),""mynn""),""Myn"",if(G1413&lt;&gt;"""",""GEMTRE"",""""))))"),"Myn")</f>
        <v>Myn</v>
      </c>
      <c r="L1413" s="46" t="s">
        <v>2000</v>
      </c>
      <c r="M1413" s="48">
        <v>45255.59732638889</v>
      </c>
    </row>
    <row r="1414">
      <c r="A1414" s="47">
        <v>45255.60485876157</v>
      </c>
      <c r="B1414" s="46" t="s">
        <v>1679</v>
      </c>
      <c r="C1414" s="46">
        <v>9.958326169E9</v>
      </c>
      <c r="D1414" s="46"/>
      <c r="E1414" s="46" t="s">
        <v>79</v>
      </c>
      <c r="F1414" s="46"/>
      <c r="G1414" s="46" t="s">
        <v>303</v>
      </c>
      <c r="H1414" s="46" t="s">
        <v>706</v>
      </c>
      <c r="I1414" s="46"/>
      <c r="J1414" s="46"/>
      <c r="K1414" s="46" t="str">
        <f>IFERROR(__xludf.DUMMYFUNCTION("if(A1414="""","""",IF(G1414="""",""Myn"",IF(REGEXMATCH(lower(G1414),""mynn""),""Myn"",if(G1414&lt;&gt;"""",""GEMTRE"",""""))))"),"Myn")</f>
        <v>Myn</v>
      </c>
      <c r="L1414" s="46" t="s">
        <v>2000</v>
      </c>
      <c r="M1414" s="48">
        <v>45255.60050925926</v>
      </c>
    </row>
    <row r="1415">
      <c r="A1415" s="47">
        <v>45255.605225844905</v>
      </c>
      <c r="B1415" s="46" t="s">
        <v>1680</v>
      </c>
      <c r="C1415" s="46">
        <v>9.958325881E9</v>
      </c>
      <c r="D1415" s="46"/>
      <c r="E1415" s="46"/>
      <c r="F1415" s="46"/>
      <c r="G1415" s="46" t="s">
        <v>303</v>
      </c>
      <c r="H1415" s="46" t="s">
        <v>701</v>
      </c>
      <c r="I1415" s="46"/>
      <c r="J1415" s="46"/>
      <c r="K1415" s="46" t="str">
        <f>IFERROR(__xludf.DUMMYFUNCTION("if(A1415="""","""",IF(G1415="""",""Myn"",IF(REGEXMATCH(lower(G1415),""mynn""),""Myn"",if(G1415&lt;&gt;"""",""GEMTRE"",""""))))"),"Myn")</f>
        <v>Myn</v>
      </c>
      <c r="L1415" s="46" t="s">
        <v>2000</v>
      </c>
      <c r="M1415" s="48">
        <v>45255.604629629626</v>
      </c>
    </row>
    <row r="1416">
      <c r="A1416" s="47">
        <v>45255.61073773148</v>
      </c>
      <c r="B1416" s="46" t="s">
        <v>1681</v>
      </c>
      <c r="C1416" s="46">
        <v>9.26640961E9</v>
      </c>
      <c r="D1416" s="46"/>
      <c r="E1416" s="46"/>
      <c r="F1416" s="46"/>
      <c r="G1416" s="46" t="s">
        <v>303</v>
      </c>
      <c r="H1416" s="46" t="s">
        <v>706</v>
      </c>
      <c r="I1416" s="46"/>
      <c r="J1416" s="46"/>
      <c r="K1416" s="46" t="str">
        <f>IFERROR(__xludf.DUMMYFUNCTION("if(A1416="""","""",IF(G1416="""",""Myn"",IF(REGEXMATCH(lower(G1416),""mynn""),""Myn"",if(G1416&lt;&gt;"""",""GEMTRE"",""""))))"),"Myn")</f>
        <v>Myn</v>
      </c>
      <c r="L1416" s="46" t="s">
        <v>2000</v>
      </c>
      <c r="M1416" s="48">
        <v>45255.60488425926</v>
      </c>
    </row>
    <row r="1417">
      <c r="A1417" s="47">
        <v>45255.61586896991</v>
      </c>
      <c r="B1417" s="46" t="s">
        <v>1682</v>
      </c>
      <c r="C1417" s="46">
        <v>7.838644289E9</v>
      </c>
      <c r="D1417" s="46"/>
      <c r="E1417" s="46"/>
      <c r="F1417" s="46"/>
      <c r="G1417" s="46" t="s">
        <v>303</v>
      </c>
      <c r="H1417" s="46" t="s">
        <v>701</v>
      </c>
      <c r="I1417" s="46"/>
      <c r="J1417" s="46"/>
      <c r="K1417" s="46" t="str">
        <f>IFERROR(__xludf.DUMMYFUNCTION("if(A1417="""","""",IF(G1417="""",""Myn"",IF(REGEXMATCH(lower(G1417),""mynn""),""Myn"",if(G1417&lt;&gt;"""",""GEMTRE"",""""))))"),"Myn")</f>
        <v>Myn</v>
      </c>
      <c r="L1417" s="46" t="s">
        <v>2000</v>
      </c>
      <c r="M1417" s="48">
        <v>45255.60525462963</v>
      </c>
    </row>
    <row r="1418">
      <c r="A1418" s="47">
        <v>45255.61714912037</v>
      </c>
      <c r="B1418" s="46" t="s">
        <v>1683</v>
      </c>
      <c r="C1418" s="46">
        <v>7.888366009E9</v>
      </c>
      <c r="D1418" s="46"/>
      <c r="E1418" s="46"/>
      <c r="F1418" s="46"/>
      <c r="G1418" s="46" t="s">
        <v>303</v>
      </c>
      <c r="H1418" s="46" t="s">
        <v>701</v>
      </c>
      <c r="I1418" s="46"/>
      <c r="J1418" s="46"/>
      <c r="K1418" s="46" t="str">
        <f>IFERROR(__xludf.DUMMYFUNCTION("if(A1418="""","""",IF(G1418="""",""Myn"",IF(REGEXMATCH(lower(G1418),""mynn""),""Myn"",if(G1418&lt;&gt;"""",""GEMTRE"",""""))))"),"Myn")</f>
        <v>Myn</v>
      </c>
      <c r="L1418" s="46" t="s">
        <v>2000</v>
      </c>
      <c r="M1418" s="48">
        <v>45255.61075231482</v>
      </c>
    </row>
    <row r="1419">
      <c r="A1419" s="47">
        <v>45255.61778606482</v>
      </c>
      <c r="B1419" s="46" t="s">
        <v>1684</v>
      </c>
      <c r="C1419" s="46">
        <v>9.599725628E9</v>
      </c>
      <c r="D1419" s="46"/>
      <c r="E1419" s="46"/>
      <c r="F1419" s="46"/>
      <c r="G1419" s="46" t="s">
        <v>303</v>
      </c>
      <c r="H1419" s="46" t="s">
        <v>701</v>
      </c>
      <c r="I1419" s="46"/>
      <c r="J1419" s="46"/>
      <c r="K1419" s="46" t="str">
        <f>IFERROR(__xludf.DUMMYFUNCTION("if(A1419="""","""",IF(G1419="""",""Myn"",IF(REGEXMATCH(lower(G1419),""mynn""),""Myn"",if(G1419&lt;&gt;"""",""GEMTRE"",""""))))"),"Myn")</f>
        <v>Myn</v>
      </c>
      <c r="L1419" s="46" t="s">
        <v>2000</v>
      </c>
      <c r="M1419" s="48">
        <v>45255.615891203706</v>
      </c>
    </row>
    <row r="1420">
      <c r="A1420" s="47">
        <v>45255.61971269676</v>
      </c>
      <c r="B1420" s="46" t="s">
        <v>1685</v>
      </c>
      <c r="C1420" s="46">
        <v>9.811995214E9</v>
      </c>
      <c r="D1420" s="46"/>
      <c r="E1420" s="46"/>
      <c r="F1420" s="46"/>
      <c r="G1420" s="46" t="s">
        <v>303</v>
      </c>
      <c r="H1420" s="46" t="s">
        <v>701</v>
      </c>
      <c r="I1420" s="46"/>
      <c r="J1420" s="46"/>
      <c r="K1420" s="46" t="str">
        <f>IFERROR(__xludf.DUMMYFUNCTION("if(A1420="""","""",IF(G1420="""",""Myn"",IF(REGEXMATCH(lower(G1420),""mynn""),""Myn"",if(G1420&lt;&gt;"""",""GEMTRE"",""""))))"),"Myn")</f>
        <v>Myn</v>
      </c>
      <c r="L1420" s="46" t="s">
        <v>2000</v>
      </c>
      <c r="M1420" s="48">
        <v>45255.617164351854</v>
      </c>
    </row>
    <row r="1421">
      <c r="A1421" s="47">
        <v>45255.61996149305</v>
      </c>
      <c r="B1421" s="46" t="s">
        <v>1686</v>
      </c>
      <c r="C1421" s="46">
        <v>8.510097787E9</v>
      </c>
      <c r="D1421" s="46"/>
      <c r="E1421" s="46"/>
      <c r="F1421" s="46"/>
      <c r="G1421" s="46" t="s">
        <v>303</v>
      </c>
      <c r="H1421" s="46" t="s">
        <v>701</v>
      </c>
      <c r="I1421" s="46"/>
      <c r="J1421" s="46"/>
      <c r="K1421" s="46" t="str">
        <f>IFERROR(__xludf.DUMMYFUNCTION("if(A1421="""","""",IF(G1421="""",""Myn"",IF(REGEXMATCH(lower(G1421),""mynn""),""Myn"",if(G1421&lt;&gt;"""",""GEMTRE"",""""))))"),"Myn")</f>
        <v>Myn</v>
      </c>
      <c r="L1421" s="46" t="s">
        <v>2000</v>
      </c>
      <c r="M1421" s="48">
        <v>45255.617800925924</v>
      </c>
    </row>
    <row r="1422">
      <c r="A1422" s="47">
        <v>45255.62073649306</v>
      </c>
      <c r="B1422" s="46" t="s">
        <v>1687</v>
      </c>
      <c r="C1422" s="46">
        <v>9.899663556E9</v>
      </c>
      <c r="D1422" s="46"/>
      <c r="E1422" s="46"/>
      <c r="F1422" s="46"/>
      <c r="G1422" s="46" t="s">
        <v>303</v>
      </c>
      <c r="H1422" s="46" t="s">
        <v>701</v>
      </c>
      <c r="I1422" s="46"/>
      <c r="J1422" s="46"/>
      <c r="K1422" s="46" t="str">
        <f>IFERROR(__xludf.DUMMYFUNCTION("if(A1422="""","""",IF(G1422="""",""Myn"",IF(REGEXMATCH(lower(G1422),""mynn""),""Myn"",if(G1422&lt;&gt;"""",""GEMTRE"",""""))))"),"Myn")</f>
        <v>Myn</v>
      </c>
      <c r="L1422" s="46" t="s">
        <v>2000</v>
      </c>
      <c r="M1422" s="48">
        <v>45255.619733796295</v>
      </c>
    </row>
    <row r="1423">
      <c r="A1423" s="47">
        <v>45255.6232387037</v>
      </c>
      <c r="B1423" s="46" t="s">
        <v>427</v>
      </c>
      <c r="C1423" s="46">
        <v>8.882691508E9</v>
      </c>
      <c r="D1423" s="46"/>
      <c r="E1423" s="46"/>
      <c r="F1423" s="46"/>
      <c r="G1423" s="46" t="s">
        <v>303</v>
      </c>
      <c r="H1423" s="46" t="s">
        <v>701</v>
      </c>
      <c r="I1423" s="46"/>
      <c r="J1423" s="46"/>
      <c r="K1423" s="46" t="str">
        <f>IFERROR(__xludf.DUMMYFUNCTION("if(A1423="""","""",IF(G1423="""",""Myn"",IF(REGEXMATCH(lower(G1423),""mynn""),""Myn"",if(G1423&lt;&gt;"""",""GEMTRE"",""""))))"),"Myn")</f>
        <v>Myn</v>
      </c>
      <c r="L1423" s="46" t="s">
        <v>2000</v>
      </c>
      <c r="M1423" s="48">
        <v>45255.61997685185</v>
      </c>
    </row>
    <row r="1424">
      <c r="A1424" s="47">
        <v>45255.62347268518</v>
      </c>
      <c r="B1424" s="46" t="s">
        <v>771</v>
      </c>
      <c r="C1424" s="46">
        <v>8.287837923E9</v>
      </c>
      <c r="D1424" s="46"/>
      <c r="E1424" s="46"/>
      <c r="F1424" s="46"/>
      <c r="G1424" s="46" t="s">
        <v>303</v>
      </c>
      <c r="H1424" s="46" t="s">
        <v>701</v>
      </c>
      <c r="I1424" s="46"/>
      <c r="J1424" s="46"/>
      <c r="K1424" s="46" t="str">
        <f>IFERROR(__xludf.DUMMYFUNCTION("if(A1424="""","""",IF(G1424="""",""Myn"",IF(REGEXMATCH(lower(G1424),""mynn""),""Myn"",if(G1424&lt;&gt;"""",""GEMTRE"",""""))))"),"Myn")</f>
        <v>Myn</v>
      </c>
      <c r="L1424" s="46" t="s">
        <v>2000</v>
      </c>
      <c r="M1424" s="48">
        <v>45255.62075231481</v>
      </c>
    </row>
    <row r="1425">
      <c r="A1425" s="47">
        <v>45255.62373131944</v>
      </c>
      <c r="B1425" s="46" t="s">
        <v>1688</v>
      </c>
      <c r="C1425" s="46">
        <v>9.306304224E9</v>
      </c>
      <c r="D1425" s="46"/>
      <c r="E1425" s="46" t="s">
        <v>79</v>
      </c>
      <c r="F1425" s="46"/>
      <c r="G1425" s="46" t="s">
        <v>303</v>
      </c>
      <c r="H1425" s="46" t="s">
        <v>706</v>
      </c>
      <c r="I1425" s="46"/>
      <c r="J1425" s="46"/>
      <c r="K1425" s="46" t="str">
        <f>IFERROR(__xludf.DUMMYFUNCTION("if(A1425="""","""",IF(G1425="""",""Myn"",IF(REGEXMATCH(lower(G1425),""mynn""),""Myn"",if(G1425&lt;&gt;"""",""GEMTRE"",""""))))"),"Myn")</f>
        <v>Myn</v>
      </c>
      <c r="L1425" s="46" t="s">
        <v>2000</v>
      </c>
      <c r="M1425" s="48">
        <v>45255.623252314814</v>
      </c>
    </row>
    <row r="1426">
      <c r="A1426" s="47">
        <v>45255.62396982639</v>
      </c>
      <c r="B1426" s="46" t="s">
        <v>1689</v>
      </c>
      <c r="C1426" s="46">
        <v>7.988468118E9</v>
      </c>
      <c r="D1426" s="46"/>
      <c r="E1426" s="46"/>
      <c r="F1426" s="46"/>
      <c r="G1426" s="46" t="s">
        <v>303</v>
      </c>
      <c r="H1426" s="46" t="s">
        <v>701</v>
      </c>
      <c r="I1426" s="46"/>
      <c r="J1426" s="46"/>
      <c r="K1426" s="46" t="str">
        <f>IFERROR(__xludf.DUMMYFUNCTION("if(A1426="""","""",IF(G1426="""",""Myn"",IF(REGEXMATCH(lower(G1426),""mynn""),""Myn"",if(G1426&lt;&gt;"""",""GEMTRE"",""""))))"),"Myn")</f>
        <v>Myn</v>
      </c>
      <c r="L1426" s="46" t="s">
        <v>2000</v>
      </c>
      <c r="M1426" s="48">
        <v>45255.62349537037</v>
      </c>
    </row>
    <row r="1427">
      <c r="A1427" s="47">
        <v>45255.624187256944</v>
      </c>
      <c r="B1427" s="46" t="s">
        <v>1690</v>
      </c>
      <c r="C1427" s="46">
        <v>8.708614419E9</v>
      </c>
      <c r="D1427" s="46"/>
      <c r="E1427" s="46" t="s">
        <v>79</v>
      </c>
      <c r="F1427" s="46"/>
      <c r="G1427" s="46" t="s">
        <v>303</v>
      </c>
      <c r="H1427" s="46" t="s">
        <v>706</v>
      </c>
      <c r="I1427" s="46"/>
      <c r="J1427" s="46"/>
      <c r="K1427" s="46" t="str">
        <f>IFERROR(__xludf.DUMMYFUNCTION("if(A1427="""","""",IF(G1427="""",""Myn"",IF(REGEXMATCH(lower(G1427),""mynn""),""Myn"",if(G1427&lt;&gt;"""",""GEMTRE"",""""))))"),"Myn")</f>
        <v>Myn</v>
      </c>
      <c r="L1427" s="46" t="s">
        <v>2000</v>
      </c>
      <c r="M1427" s="48">
        <v>45255.623761574076</v>
      </c>
    </row>
    <row r="1428">
      <c r="A1428" s="47">
        <v>45255.62490340278</v>
      </c>
      <c r="B1428" s="46" t="s">
        <v>1691</v>
      </c>
      <c r="C1428" s="46">
        <v>9.971505665E9</v>
      </c>
      <c r="D1428" s="46"/>
      <c r="E1428" s="46"/>
      <c r="F1428" s="46"/>
      <c r="G1428" s="46" t="s">
        <v>303</v>
      </c>
      <c r="H1428" s="46" t="s">
        <v>701</v>
      </c>
      <c r="I1428" s="46"/>
      <c r="J1428" s="46"/>
      <c r="K1428" s="46" t="str">
        <f>IFERROR(__xludf.DUMMYFUNCTION("if(A1428="""","""",IF(G1428="""",""Myn"",IF(REGEXMATCH(lower(G1428),""mynn""),""Myn"",if(G1428&lt;&gt;"""",""GEMTRE"",""""))))"),"Myn")</f>
        <v>Myn</v>
      </c>
      <c r="L1428" s="46" t="s">
        <v>2000</v>
      </c>
      <c r="M1428" s="48">
        <v>45255.62399305555</v>
      </c>
    </row>
    <row r="1429">
      <c r="A1429" s="47">
        <v>45255.62637557871</v>
      </c>
      <c r="B1429" s="46" t="s">
        <v>709</v>
      </c>
      <c r="C1429" s="46">
        <v>9.990364427E9</v>
      </c>
      <c r="D1429" s="46"/>
      <c r="E1429" s="46" t="s">
        <v>79</v>
      </c>
      <c r="F1429" s="46"/>
      <c r="G1429" s="46" t="s">
        <v>303</v>
      </c>
      <c r="H1429" s="46" t="s">
        <v>706</v>
      </c>
      <c r="I1429" s="46"/>
      <c r="J1429" s="46"/>
      <c r="K1429" s="46" t="str">
        <f>IFERROR(__xludf.DUMMYFUNCTION("if(A1429="""","""",IF(G1429="""",""Myn"",IF(REGEXMATCH(lower(G1429),""mynn""),""Myn"",if(G1429&lt;&gt;"""",""GEMTRE"",""""))))"),"Myn")</f>
        <v>Myn</v>
      </c>
      <c r="L1429" s="46" t="s">
        <v>2000</v>
      </c>
      <c r="M1429" s="48">
        <v>45255.62420138889</v>
      </c>
    </row>
    <row r="1430">
      <c r="A1430" s="47">
        <v>45255.627864699076</v>
      </c>
      <c r="B1430" s="46" t="s">
        <v>1692</v>
      </c>
      <c r="C1430" s="46">
        <v>9.899240702E9</v>
      </c>
      <c r="D1430" s="46"/>
      <c r="E1430" s="46" t="s">
        <v>79</v>
      </c>
      <c r="F1430" s="46"/>
      <c r="G1430" s="46" t="s">
        <v>303</v>
      </c>
      <c r="H1430" s="46" t="s">
        <v>706</v>
      </c>
      <c r="I1430" s="46"/>
      <c r="J1430" s="46"/>
      <c r="K1430" s="46" t="str">
        <f>IFERROR(__xludf.DUMMYFUNCTION("if(A1430="""","""",IF(G1430="""",""Myn"",IF(REGEXMATCH(lower(G1430),""mynn""),""Myn"",if(G1430&lt;&gt;"""",""GEMTRE"",""""))))"),"Myn")</f>
        <v>Myn</v>
      </c>
      <c r="L1430" s="46" t="s">
        <v>2000</v>
      </c>
      <c r="M1430" s="48">
        <v>45255.624918981484</v>
      </c>
    </row>
    <row r="1431">
      <c r="A1431" s="47">
        <v>45255.628484189816</v>
      </c>
      <c r="B1431" s="46" t="s">
        <v>1693</v>
      </c>
      <c r="C1431" s="46">
        <v>9.560953821E9</v>
      </c>
      <c r="D1431" s="46"/>
      <c r="E1431" s="46"/>
      <c r="F1431" s="46"/>
      <c r="G1431" s="46" t="s">
        <v>303</v>
      </c>
      <c r="H1431" s="46" t="s">
        <v>701</v>
      </c>
      <c r="I1431" s="46"/>
      <c r="J1431" s="46"/>
      <c r="K1431" s="46" t="str">
        <f>IFERROR(__xludf.DUMMYFUNCTION("if(A1431="""","""",IF(G1431="""",""Myn"",IF(REGEXMATCH(lower(G1431),""mynn""),""Myn"",if(G1431&lt;&gt;"""",""GEMTRE"",""""))))"),"Myn")</f>
        <v>Myn</v>
      </c>
      <c r="L1431" s="46" t="s">
        <v>2000</v>
      </c>
      <c r="M1431" s="48">
        <v>45255.62640046296</v>
      </c>
    </row>
    <row r="1432">
      <c r="A1432" s="47">
        <v>45255.62855010417</v>
      </c>
      <c r="B1432" s="46" t="s">
        <v>1694</v>
      </c>
      <c r="C1432" s="46">
        <v>9.873008448E9</v>
      </c>
      <c r="D1432" s="46"/>
      <c r="E1432" s="46"/>
      <c r="F1432" s="46"/>
      <c r="G1432" s="46" t="s">
        <v>303</v>
      </c>
      <c r="H1432" s="46" t="s">
        <v>701</v>
      </c>
      <c r="I1432" s="46"/>
      <c r="J1432" s="46"/>
      <c r="K1432" s="46" t="str">
        <f>IFERROR(__xludf.DUMMYFUNCTION("if(A1432="""","""",IF(G1432="""",""Myn"",IF(REGEXMATCH(lower(G1432),""mynn""),""Myn"",if(G1432&lt;&gt;"""",""GEMTRE"",""""))))"),"Myn")</f>
        <v>Myn</v>
      </c>
      <c r="L1432" s="46" t="s">
        <v>2000</v>
      </c>
      <c r="M1432" s="48">
        <v>45255.62788194444</v>
      </c>
    </row>
    <row r="1433">
      <c r="A1433" s="47">
        <v>45255.62923344907</v>
      </c>
      <c r="B1433" s="46" t="s">
        <v>1695</v>
      </c>
      <c r="C1433" s="46">
        <v>7.836868011E9</v>
      </c>
      <c r="D1433" s="46"/>
      <c r="E1433" s="46"/>
      <c r="F1433" s="46"/>
      <c r="G1433" s="46" t="s">
        <v>303</v>
      </c>
      <c r="H1433" s="46" t="s">
        <v>701</v>
      </c>
      <c r="I1433" s="46"/>
      <c r="J1433" s="46"/>
      <c r="K1433" s="46" t="str">
        <f>IFERROR(__xludf.DUMMYFUNCTION("if(A1433="""","""",IF(G1433="""",""Myn"",IF(REGEXMATCH(lower(G1433),""mynn""),""Myn"",if(G1433&lt;&gt;"""",""GEMTRE"",""""))))"),"Myn")</f>
        <v>Myn</v>
      </c>
      <c r="L1433" s="46" t="s">
        <v>2000</v>
      </c>
      <c r="M1433" s="48">
        <v>45255.62849537037</v>
      </c>
    </row>
    <row r="1434">
      <c r="A1434" s="47">
        <v>45255.629458842595</v>
      </c>
      <c r="B1434" s="46" t="s">
        <v>1696</v>
      </c>
      <c r="C1434" s="46">
        <v>9.711898306E9</v>
      </c>
      <c r="D1434" s="46"/>
      <c r="E1434" s="46"/>
      <c r="F1434" s="46"/>
      <c r="G1434" s="46" t="s">
        <v>303</v>
      </c>
      <c r="H1434" s="46" t="s">
        <v>701</v>
      </c>
      <c r="I1434" s="46"/>
      <c r="J1434" s="46"/>
      <c r="K1434" s="46" t="str">
        <f>IFERROR(__xludf.DUMMYFUNCTION("if(A1434="""","""",IF(G1434="""",""Myn"",IF(REGEXMATCH(lower(G1434),""mynn""),""Myn"",if(G1434&lt;&gt;"""",""GEMTRE"",""""))))"),"Myn")</f>
        <v>Myn</v>
      </c>
      <c r="L1434" s="46" t="s">
        <v>2000</v>
      </c>
      <c r="M1434" s="48">
        <v>45255.62856481481</v>
      </c>
    </row>
    <row r="1435">
      <c r="A1435" s="47">
        <v>45255.631366284724</v>
      </c>
      <c r="B1435" s="46" t="s">
        <v>1697</v>
      </c>
      <c r="C1435" s="46">
        <v>7.83863071E9</v>
      </c>
      <c r="D1435" s="46"/>
      <c r="E1435" s="46"/>
      <c r="F1435" s="46"/>
      <c r="G1435" s="46" t="s">
        <v>303</v>
      </c>
      <c r="H1435" s="46" t="s">
        <v>701</v>
      </c>
      <c r="I1435" s="46"/>
      <c r="J1435" s="46"/>
      <c r="K1435" s="46" t="str">
        <f>IFERROR(__xludf.DUMMYFUNCTION("if(A1435="""","""",IF(G1435="""",""Myn"",IF(REGEXMATCH(lower(G1435),""mynn""),""Myn"",if(G1435&lt;&gt;"""",""GEMTRE"",""""))))"),"Myn")</f>
        <v>Myn</v>
      </c>
      <c r="L1435" s="46" t="s">
        <v>2000</v>
      </c>
      <c r="M1435" s="48">
        <v>45255.62925925926</v>
      </c>
    </row>
    <row r="1436">
      <c r="A1436" s="47">
        <v>45255.631828032405</v>
      </c>
      <c r="B1436" s="46" t="s">
        <v>826</v>
      </c>
      <c r="C1436" s="46">
        <v>9.037926768E9</v>
      </c>
      <c r="D1436" s="46"/>
      <c r="E1436" s="46" t="s">
        <v>1698</v>
      </c>
      <c r="F1436" s="46"/>
      <c r="G1436" s="46" t="s">
        <v>303</v>
      </c>
      <c r="H1436" s="46" t="s">
        <v>706</v>
      </c>
      <c r="I1436" s="46"/>
      <c r="J1436" s="46"/>
      <c r="K1436" s="46" t="str">
        <f>IFERROR(__xludf.DUMMYFUNCTION("if(A1436="""","""",IF(G1436="""",""Myn"",IF(REGEXMATCH(lower(G1436),""mynn""),""Myn"",if(G1436&lt;&gt;"""",""GEMTRE"",""""))))"),"Myn")</f>
        <v>Myn</v>
      </c>
      <c r="L1436" s="46" t="s">
        <v>2000</v>
      </c>
      <c r="M1436" s="48">
        <v>45255.62949074074</v>
      </c>
    </row>
    <row r="1437">
      <c r="A1437" s="47">
        <v>45255.63297877315</v>
      </c>
      <c r="B1437" s="46" t="s">
        <v>1699</v>
      </c>
      <c r="C1437" s="46">
        <v>9.999501179E9</v>
      </c>
      <c r="D1437" s="46"/>
      <c r="E1437" s="46"/>
      <c r="F1437" s="46"/>
      <c r="G1437" s="46" t="s">
        <v>303</v>
      </c>
      <c r="H1437" s="46" t="s">
        <v>706</v>
      </c>
      <c r="I1437" s="46"/>
      <c r="J1437" s="46"/>
      <c r="K1437" s="46" t="str">
        <f>IFERROR(__xludf.DUMMYFUNCTION("if(A1437="""","""",IF(G1437="""",""Myn"",IF(REGEXMATCH(lower(G1437),""mynn""),""Myn"",if(G1437&lt;&gt;"""",""GEMTRE"",""""))))"),"Myn")</f>
        <v>Myn</v>
      </c>
      <c r="L1437" s="46" t="s">
        <v>2000</v>
      </c>
      <c r="M1437" s="48">
        <v>45255.63138888889</v>
      </c>
    </row>
    <row r="1438">
      <c r="A1438" s="47">
        <v>45255.63609328704</v>
      </c>
      <c r="B1438" s="46" t="s">
        <v>1700</v>
      </c>
      <c r="C1438" s="46">
        <v>9.540022599E9</v>
      </c>
      <c r="D1438" s="46"/>
      <c r="E1438" s="46" t="s">
        <v>879</v>
      </c>
      <c r="F1438" s="46"/>
      <c r="G1438" s="46" t="s">
        <v>303</v>
      </c>
      <c r="H1438" s="46" t="s">
        <v>706</v>
      </c>
      <c r="I1438" s="46"/>
      <c r="J1438" s="46"/>
      <c r="K1438" s="46" t="str">
        <f>IFERROR(__xludf.DUMMYFUNCTION("if(A1438="""","""",IF(G1438="""",""Myn"",IF(REGEXMATCH(lower(G1438),""mynn""),""Myn"",if(G1438&lt;&gt;"""",""GEMTRE"",""""))))"),"Myn")</f>
        <v>Myn</v>
      </c>
      <c r="L1438" s="46" t="s">
        <v>2000</v>
      </c>
      <c r="M1438" s="48">
        <v>45255.63185185185</v>
      </c>
    </row>
    <row r="1439">
      <c r="A1439" s="47">
        <v>45255.63648184028</v>
      </c>
      <c r="B1439" s="46" t="s">
        <v>1701</v>
      </c>
      <c r="C1439" s="46">
        <v>7.678264566E9</v>
      </c>
      <c r="D1439" s="46"/>
      <c r="E1439" s="46"/>
      <c r="F1439" s="46"/>
      <c r="G1439" s="46" t="s">
        <v>303</v>
      </c>
      <c r="H1439" s="46" t="s">
        <v>701</v>
      </c>
      <c r="I1439" s="46"/>
      <c r="J1439" s="46"/>
      <c r="K1439" s="46" t="str">
        <f>IFERROR(__xludf.DUMMYFUNCTION("if(A1439="""","""",IF(G1439="""",""Myn"",IF(REGEXMATCH(lower(G1439),""mynn""),""Myn"",if(G1439&lt;&gt;"""",""GEMTRE"",""""))))"),"Myn")</f>
        <v>Myn</v>
      </c>
      <c r="L1439" s="46" t="s">
        <v>2000</v>
      </c>
      <c r="M1439" s="48">
        <v>45255.63300925926</v>
      </c>
    </row>
    <row r="1440">
      <c r="A1440" s="47">
        <v>45255.64258871527</v>
      </c>
      <c r="B1440" s="46" t="s">
        <v>914</v>
      </c>
      <c r="C1440" s="46">
        <v>9.212638429E9</v>
      </c>
      <c r="D1440" s="46"/>
      <c r="E1440" s="46"/>
      <c r="F1440" s="46"/>
      <c r="G1440" s="46" t="s">
        <v>303</v>
      </c>
      <c r="H1440" s="46" t="s">
        <v>701</v>
      </c>
      <c r="I1440" s="46"/>
      <c r="J1440" s="46"/>
      <c r="K1440" s="46" t="str">
        <f>IFERROR(__xludf.DUMMYFUNCTION("if(A1440="""","""",IF(G1440="""",""Myn"",IF(REGEXMATCH(lower(G1440),""mynn""),""Myn"",if(G1440&lt;&gt;"""",""GEMTRE"",""""))))"),"Myn")</f>
        <v>Myn</v>
      </c>
      <c r="L1440" s="46" t="s">
        <v>2000</v>
      </c>
      <c r="M1440" s="48">
        <v>45255.63611111111</v>
      </c>
    </row>
    <row r="1441">
      <c r="A1441" s="47">
        <v>45255.648775671296</v>
      </c>
      <c r="B1441" s="46" t="s">
        <v>1702</v>
      </c>
      <c r="C1441" s="46">
        <v>9.871568901E9</v>
      </c>
      <c r="D1441" s="46"/>
      <c r="E1441" s="46"/>
      <c r="F1441" s="46"/>
      <c r="G1441" s="46" t="s">
        <v>303</v>
      </c>
      <c r="H1441" s="46" t="s">
        <v>701</v>
      </c>
      <c r="I1441" s="46"/>
      <c r="J1441" s="46"/>
      <c r="K1441" s="46" t="str">
        <f>IFERROR(__xludf.DUMMYFUNCTION("if(A1441="""","""",IF(G1441="""",""Myn"",IF(REGEXMATCH(lower(G1441),""mynn""),""Myn"",if(G1441&lt;&gt;"""",""GEMTRE"",""""))))"),"Myn")</f>
        <v>Myn</v>
      </c>
      <c r="L1441" s="46" t="s">
        <v>2000</v>
      </c>
      <c r="M1441" s="48">
        <v>45255.63650462963</v>
      </c>
    </row>
    <row r="1442">
      <c r="A1442" s="47">
        <v>45255.65440155093</v>
      </c>
      <c r="B1442" s="46" t="s">
        <v>1703</v>
      </c>
      <c r="C1442" s="46">
        <v>9.868090839E9</v>
      </c>
      <c r="D1442" s="46"/>
      <c r="E1442" s="46"/>
      <c r="F1442" s="46"/>
      <c r="G1442" s="46" t="s">
        <v>303</v>
      </c>
      <c r="H1442" s="46" t="s">
        <v>701</v>
      </c>
      <c r="I1442" s="46"/>
      <c r="J1442" s="46"/>
      <c r="K1442" s="46" t="str">
        <f>IFERROR(__xludf.DUMMYFUNCTION("if(A1442="""","""",IF(G1442="""",""Myn"",IF(REGEXMATCH(lower(G1442),""mynn""),""Myn"",if(G1442&lt;&gt;"""",""GEMTRE"",""""))))"),"Myn")</f>
        <v>Myn</v>
      </c>
      <c r="L1442" s="46" t="s">
        <v>2000</v>
      </c>
      <c r="M1442" s="48">
        <v>45255.64261574074</v>
      </c>
    </row>
    <row r="1443">
      <c r="A1443" s="47">
        <v>45255.66066376158</v>
      </c>
      <c r="B1443" s="46" t="s">
        <v>1704</v>
      </c>
      <c r="C1443" s="46">
        <v>9.312030975E9</v>
      </c>
      <c r="D1443" s="46"/>
      <c r="E1443" s="46" t="s">
        <v>71</v>
      </c>
      <c r="F1443" s="46"/>
      <c r="G1443" s="46" t="s">
        <v>303</v>
      </c>
      <c r="H1443" s="46" t="s">
        <v>706</v>
      </c>
      <c r="I1443" s="46"/>
      <c r="J1443" s="46"/>
      <c r="K1443" s="46" t="str">
        <f>IFERROR(__xludf.DUMMYFUNCTION("if(A1443="""","""",IF(G1443="""",""Myn"",IF(REGEXMATCH(lower(G1443),""mynn""),""Myn"",if(G1443&lt;&gt;"""",""GEMTRE"",""""))))"),"Myn")</f>
        <v>Myn</v>
      </c>
      <c r="L1443" s="46" t="s">
        <v>2000</v>
      </c>
      <c r="M1443" s="48">
        <v>45255.64879629629</v>
      </c>
    </row>
    <row r="1444">
      <c r="A1444" s="47">
        <v>45255.66251711806</v>
      </c>
      <c r="B1444" s="46" t="s">
        <v>1705</v>
      </c>
      <c r="C1444" s="46">
        <v>9.953847907E9</v>
      </c>
      <c r="D1444" s="46"/>
      <c r="E1444" s="46" t="s">
        <v>71</v>
      </c>
      <c r="F1444" s="46"/>
      <c r="G1444" s="46" t="s">
        <v>303</v>
      </c>
      <c r="H1444" s="46" t="s">
        <v>706</v>
      </c>
      <c r="I1444" s="46"/>
      <c r="J1444" s="46"/>
      <c r="K1444" s="46" t="str">
        <f>IFERROR(__xludf.DUMMYFUNCTION("if(A1444="""","""",IF(G1444="""",""Myn"",IF(REGEXMATCH(lower(G1444),""mynn""),""Myn"",if(G1444&lt;&gt;"""",""GEMTRE"",""""))))"),"Myn")</f>
        <v>Myn</v>
      </c>
      <c r="L1444" s="46" t="s">
        <v>2000</v>
      </c>
      <c r="M1444" s="48">
        <v>45255.6544212963</v>
      </c>
    </row>
    <row r="1445">
      <c r="A1445" s="47">
        <v>45255.6627752662</v>
      </c>
      <c r="B1445" s="46" t="s">
        <v>1706</v>
      </c>
      <c r="C1445" s="46">
        <v>9.953037233E9</v>
      </c>
      <c r="D1445" s="46"/>
      <c r="E1445" s="46" t="s">
        <v>79</v>
      </c>
      <c r="F1445" s="46"/>
      <c r="G1445" s="46" t="s">
        <v>303</v>
      </c>
      <c r="H1445" s="46" t="s">
        <v>706</v>
      </c>
      <c r="I1445" s="46"/>
      <c r="J1445" s="46"/>
      <c r="K1445" s="46" t="str">
        <f>IFERROR(__xludf.DUMMYFUNCTION("if(A1445="""","""",IF(G1445="""",""Myn"",IF(REGEXMATCH(lower(G1445),""mynn""),""Myn"",if(G1445&lt;&gt;"""",""GEMTRE"",""""))))"),"Myn")</f>
        <v>Myn</v>
      </c>
      <c r="L1445" s="46" t="s">
        <v>2000</v>
      </c>
      <c r="M1445" s="48">
        <v>45255.66068287037</v>
      </c>
    </row>
    <row r="1446">
      <c r="A1446" s="47">
        <v>45255.66465695602</v>
      </c>
      <c r="B1446" s="46" t="s">
        <v>1477</v>
      </c>
      <c r="C1446" s="46">
        <v>8.007388788E9</v>
      </c>
      <c r="D1446" s="46"/>
      <c r="E1446" s="46" t="s">
        <v>15</v>
      </c>
      <c r="F1446" s="46"/>
      <c r="G1446" s="46" t="s">
        <v>303</v>
      </c>
      <c r="H1446" s="46" t="s">
        <v>706</v>
      </c>
      <c r="I1446" s="46"/>
      <c r="J1446" s="46"/>
      <c r="K1446" s="46" t="str">
        <f>IFERROR(__xludf.DUMMYFUNCTION("if(A1446="""","""",IF(G1446="""",""Myn"",IF(REGEXMATCH(lower(G1446),""mynn""),""Myn"",if(G1446&lt;&gt;"""",""GEMTRE"",""""))))"),"Myn")</f>
        <v>Myn</v>
      </c>
      <c r="L1446" s="46" t="s">
        <v>2000</v>
      </c>
      <c r="M1446" s="48">
        <v>45255.6625462963</v>
      </c>
    </row>
    <row r="1447">
      <c r="A1447" s="47">
        <v>45255.666495833335</v>
      </c>
      <c r="B1447" s="46" t="s">
        <v>1707</v>
      </c>
      <c r="C1447" s="46">
        <v>8.791733436E9</v>
      </c>
      <c r="D1447" s="46"/>
      <c r="E1447" s="46" t="s">
        <v>481</v>
      </c>
      <c r="F1447" s="46"/>
      <c r="G1447" s="46" t="s">
        <v>303</v>
      </c>
      <c r="H1447" s="46" t="s">
        <v>706</v>
      </c>
      <c r="I1447" s="46"/>
      <c r="J1447" s="46"/>
      <c r="K1447" s="46" t="str">
        <f>IFERROR(__xludf.DUMMYFUNCTION("if(A1447="""","""",IF(G1447="""",""Myn"",IF(REGEXMATCH(lower(G1447),""mynn""),""Myn"",if(G1447&lt;&gt;"""",""GEMTRE"",""""))))"),"Myn")</f>
        <v>Myn</v>
      </c>
      <c r="L1447" s="46" t="s">
        <v>2000</v>
      </c>
      <c r="M1447" s="48">
        <v>45255.66280092593</v>
      </c>
    </row>
    <row r="1448">
      <c r="A1448" s="47">
        <v>45255.6678197338</v>
      </c>
      <c r="B1448" s="46" t="s">
        <v>1131</v>
      </c>
      <c r="C1448" s="46">
        <v>9.785303247E9</v>
      </c>
      <c r="D1448" s="46"/>
      <c r="E1448" s="46"/>
      <c r="F1448" s="46"/>
      <c r="G1448" s="46" t="s">
        <v>303</v>
      </c>
      <c r="H1448" s="46" t="s">
        <v>701</v>
      </c>
      <c r="I1448" s="46"/>
      <c r="J1448" s="46"/>
      <c r="K1448" s="46" t="str">
        <f>IFERROR(__xludf.DUMMYFUNCTION("if(A1448="""","""",IF(G1448="""",""Myn"",IF(REGEXMATCH(lower(G1448),""mynn""),""Myn"",if(G1448&lt;&gt;"""",""GEMTRE"",""""))))"),"Myn")</f>
        <v>Myn</v>
      </c>
      <c r="L1448" s="46" t="s">
        <v>2000</v>
      </c>
      <c r="M1448" s="48">
        <v>45255.664675925924</v>
      </c>
    </row>
    <row r="1449">
      <c r="A1449" s="47">
        <v>45255.669854548614</v>
      </c>
      <c r="B1449" s="46" t="s">
        <v>1708</v>
      </c>
      <c r="C1449" s="46">
        <v>8.587049879E9</v>
      </c>
      <c r="D1449" s="46"/>
      <c r="E1449" s="46"/>
      <c r="F1449" s="46"/>
      <c r="G1449" s="46" t="s">
        <v>303</v>
      </c>
      <c r="H1449" s="46" t="s">
        <v>701</v>
      </c>
      <c r="I1449" s="46"/>
      <c r="J1449" s="46"/>
      <c r="K1449" s="46" t="str">
        <f>IFERROR(__xludf.DUMMYFUNCTION("if(A1449="""","""",IF(G1449="""",""Myn"",IF(REGEXMATCH(lower(G1449),""mynn""),""Myn"",if(G1449&lt;&gt;"""",""GEMTRE"",""""))))"),"Myn")</f>
        <v>Myn</v>
      </c>
      <c r="L1449" s="46" t="s">
        <v>2000</v>
      </c>
      <c r="M1449" s="48">
        <v>45255.6665162037</v>
      </c>
    </row>
    <row r="1450">
      <c r="A1450" s="47">
        <v>45255.67229454861</v>
      </c>
      <c r="B1450" s="46" t="s">
        <v>1709</v>
      </c>
      <c r="C1450" s="46">
        <v>9.334625619E9</v>
      </c>
      <c r="D1450" s="46"/>
      <c r="E1450" s="46" t="s">
        <v>227</v>
      </c>
      <c r="F1450" s="46"/>
      <c r="G1450" s="46" t="s">
        <v>303</v>
      </c>
      <c r="H1450" s="46" t="s">
        <v>706</v>
      </c>
      <c r="I1450" s="46"/>
      <c r="J1450" s="46"/>
      <c r="K1450" s="46" t="str">
        <f>IFERROR(__xludf.DUMMYFUNCTION("if(A1450="""","""",IF(G1450="""",""Myn"",IF(REGEXMATCH(lower(G1450),""mynn""),""Myn"",if(G1450&lt;&gt;"""",""GEMTRE"",""""))))"),"Myn")</f>
        <v>Myn</v>
      </c>
      <c r="L1450" s="46" t="s">
        <v>2000</v>
      </c>
      <c r="M1450" s="48">
        <v>45255.66783564815</v>
      </c>
    </row>
    <row r="1451">
      <c r="A1451" s="47">
        <v>45255.67252917824</v>
      </c>
      <c r="B1451" s="46" t="s">
        <v>1710</v>
      </c>
      <c r="C1451" s="46">
        <v>9.998428555E9</v>
      </c>
      <c r="D1451" s="46"/>
      <c r="E1451" s="46"/>
      <c r="F1451" s="49" t="s">
        <v>1711</v>
      </c>
      <c r="G1451" s="46" t="s">
        <v>303</v>
      </c>
      <c r="H1451" s="46" t="s">
        <v>706</v>
      </c>
      <c r="I1451" s="46"/>
      <c r="J1451" s="46"/>
      <c r="K1451" s="46" t="str">
        <f>IFERROR(__xludf.DUMMYFUNCTION("if(A1451="""","""",IF(G1451="""",""Myn"",IF(REGEXMATCH(lower(G1451),""mynn""),""Myn"",if(G1451&lt;&gt;"""",""GEMTRE"",""""))))"),"Myn")</f>
        <v>Myn</v>
      </c>
      <c r="L1451" s="46" t="s">
        <v>2000</v>
      </c>
      <c r="M1451" s="48">
        <v>45255.67008101852</v>
      </c>
    </row>
    <row r="1452">
      <c r="A1452" s="47">
        <v>45255.673449131944</v>
      </c>
      <c r="B1452" s="46" t="s">
        <v>1712</v>
      </c>
      <c r="C1452" s="46">
        <v>7.580809E9</v>
      </c>
      <c r="D1452" s="46"/>
      <c r="E1452" s="46" t="s">
        <v>79</v>
      </c>
      <c r="F1452" s="46"/>
      <c r="G1452" s="46" t="s">
        <v>303</v>
      </c>
      <c r="H1452" s="46" t="s">
        <v>706</v>
      </c>
      <c r="I1452" s="46"/>
      <c r="J1452" s="46"/>
      <c r="K1452" s="46" t="str">
        <f>IFERROR(__xludf.DUMMYFUNCTION("if(A1452="""","""",IF(G1452="""",""Myn"",IF(REGEXMATCH(lower(G1452),""mynn""),""Myn"",if(G1452&lt;&gt;"""",""GEMTRE"",""""))))"),"Myn")</f>
        <v>Myn</v>
      </c>
      <c r="L1452" s="46" t="s">
        <v>2000</v>
      </c>
      <c r="M1452" s="48">
        <v>45255.672314814816</v>
      </c>
    </row>
    <row r="1453">
      <c r="A1453" s="47">
        <v>45255.67676350694</v>
      </c>
      <c r="B1453" s="46" t="s">
        <v>813</v>
      </c>
      <c r="C1453" s="46">
        <v>8.595960542E9</v>
      </c>
      <c r="D1453" s="46"/>
      <c r="E1453" s="46" t="s">
        <v>1713</v>
      </c>
      <c r="F1453" s="46"/>
      <c r="G1453" s="46" t="s">
        <v>303</v>
      </c>
      <c r="H1453" s="46" t="s">
        <v>706</v>
      </c>
      <c r="I1453" s="46"/>
      <c r="J1453" s="46"/>
      <c r="K1453" s="46" t="str">
        <f>IFERROR(__xludf.DUMMYFUNCTION("if(A1453="""","""",IF(G1453="""",""Myn"",IF(REGEXMATCH(lower(G1453),""mynn""),""Myn"",if(G1453&lt;&gt;"""",""GEMTRE"",""""))))"),"Myn")</f>
        <v>Myn</v>
      </c>
      <c r="L1453" s="46" t="s">
        <v>2000</v>
      </c>
      <c r="M1453" s="48">
        <v>45255.67254629629</v>
      </c>
    </row>
    <row r="1454">
      <c r="A1454" s="47">
        <v>45255.68005313657</v>
      </c>
      <c r="B1454" s="46" t="s">
        <v>1714</v>
      </c>
      <c r="C1454" s="46">
        <v>8.700102983E9</v>
      </c>
      <c r="D1454" s="46"/>
      <c r="E1454" s="46"/>
      <c r="F1454" s="46"/>
      <c r="G1454" s="46" t="s">
        <v>303</v>
      </c>
      <c r="H1454" s="46" t="s">
        <v>706</v>
      </c>
      <c r="I1454" s="46"/>
      <c r="J1454" s="46"/>
      <c r="K1454" s="46" t="str">
        <f>IFERROR(__xludf.DUMMYFUNCTION("if(A1454="""","""",IF(G1454="""",""Myn"",IF(REGEXMATCH(lower(G1454),""mynn""),""Myn"",if(G1454&lt;&gt;"""",""GEMTRE"",""""))))"),"Myn")</f>
        <v>Myn</v>
      </c>
      <c r="L1454" s="46" t="s">
        <v>2000</v>
      </c>
      <c r="M1454" s="48">
        <v>45255.673472222225</v>
      </c>
    </row>
    <row r="1455">
      <c r="A1455" s="47">
        <v>45255.68655486111</v>
      </c>
      <c r="B1455" s="46" t="s">
        <v>1715</v>
      </c>
      <c r="C1455" s="46">
        <v>8.851063684E9</v>
      </c>
      <c r="D1455" s="46"/>
      <c r="E1455" s="46"/>
      <c r="F1455" s="46"/>
      <c r="G1455" s="46" t="s">
        <v>303</v>
      </c>
      <c r="H1455" s="46" t="s">
        <v>701</v>
      </c>
      <c r="I1455" s="46"/>
      <c r="J1455" s="46"/>
      <c r="K1455" s="46" t="str">
        <f>IFERROR(__xludf.DUMMYFUNCTION("if(A1455="""","""",IF(G1455="""",""Myn"",IF(REGEXMATCH(lower(G1455),""mynn""),""Myn"",if(G1455&lt;&gt;"""",""GEMTRE"",""""))))"),"Myn")</f>
        <v>Myn</v>
      </c>
      <c r="L1455" s="46" t="s">
        <v>2000</v>
      </c>
      <c r="M1455" s="48">
        <v>45255.67689814815</v>
      </c>
    </row>
    <row r="1456">
      <c r="A1456" s="47">
        <v>45255.688095289355</v>
      </c>
      <c r="B1456" s="46" t="s">
        <v>1716</v>
      </c>
      <c r="C1456" s="46">
        <v>9.117041121E9</v>
      </c>
      <c r="D1456" s="46"/>
      <c r="E1456" s="46"/>
      <c r="F1456" s="46"/>
      <c r="G1456" s="46" t="s">
        <v>303</v>
      </c>
      <c r="H1456" s="46" t="s">
        <v>701</v>
      </c>
      <c r="I1456" s="46"/>
      <c r="J1456" s="46"/>
      <c r="K1456" s="46" t="str">
        <f>IFERROR(__xludf.DUMMYFUNCTION("if(A1456="""","""",IF(G1456="""",""Myn"",IF(REGEXMATCH(lower(G1456),""mynn""),""Myn"",if(G1456&lt;&gt;"""",""GEMTRE"",""""))))"),"Myn")</f>
        <v>Myn</v>
      </c>
      <c r="L1456" s="46" t="s">
        <v>2000</v>
      </c>
      <c r="M1456" s="48">
        <v>45255.680081018516</v>
      </c>
    </row>
    <row r="1457">
      <c r="A1457" s="47">
        <v>45255.69124576389</v>
      </c>
      <c r="B1457" s="46" t="s">
        <v>1717</v>
      </c>
      <c r="C1457" s="46">
        <v>9.911038786E9</v>
      </c>
      <c r="D1457" s="46"/>
      <c r="E1457" s="46"/>
      <c r="F1457" s="46"/>
      <c r="G1457" s="46" t="s">
        <v>303</v>
      </c>
      <c r="H1457" s="46" t="s">
        <v>701</v>
      </c>
      <c r="I1457" s="46"/>
      <c r="J1457" s="46"/>
      <c r="K1457" s="46" t="str">
        <f>IFERROR(__xludf.DUMMYFUNCTION("if(A1457="""","""",IF(G1457="""",""Myn"",IF(REGEXMATCH(lower(G1457),""mynn""),""Myn"",if(G1457&lt;&gt;"""",""GEMTRE"",""""))))"),"Myn")</f>
        <v>Myn</v>
      </c>
      <c r="L1457" s="46" t="s">
        <v>2000</v>
      </c>
      <c r="M1457" s="48">
        <v>45255.686574074076</v>
      </c>
    </row>
    <row r="1458">
      <c r="A1458" s="47">
        <v>45255.69257247685</v>
      </c>
      <c r="B1458" s="46" t="s">
        <v>911</v>
      </c>
      <c r="C1458" s="46">
        <v>8.851342161E9</v>
      </c>
      <c r="D1458" s="46"/>
      <c r="E1458" s="46"/>
      <c r="F1458" s="46"/>
      <c r="G1458" s="46" t="s">
        <v>303</v>
      </c>
      <c r="H1458" s="46" t="s">
        <v>701</v>
      </c>
      <c r="I1458" s="46"/>
      <c r="J1458" s="46"/>
      <c r="K1458" s="46" t="str">
        <f>IFERROR(__xludf.DUMMYFUNCTION("if(A1458="""","""",IF(G1458="""",""Myn"",IF(REGEXMATCH(lower(G1458),""mynn""),""Myn"",if(G1458&lt;&gt;"""",""GEMTRE"",""""))))"),"Myn")</f>
        <v>Myn</v>
      </c>
      <c r="L1458" s="46" t="s">
        <v>2000</v>
      </c>
      <c r="M1458" s="48">
        <v>45255.688113425924</v>
      </c>
    </row>
    <row r="1459">
      <c r="A1459" s="47">
        <v>45255.69300402778</v>
      </c>
      <c r="B1459" s="46" t="s">
        <v>1087</v>
      </c>
      <c r="C1459" s="46">
        <v>9.873388293E9</v>
      </c>
      <c r="D1459" s="46"/>
      <c r="E1459" s="46"/>
      <c r="F1459" s="46"/>
      <c r="G1459" s="46" t="s">
        <v>303</v>
      </c>
      <c r="H1459" s="46" t="s">
        <v>701</v>
      </c>
      <c r="I1459" s="46"/>
      <c r="J1459" s="46"/>
      <c r="K1459" s="46" t="str">
        <f>IFERROR(__xludf.DUMMYFUNCTION("if(A1459="""","""",IF(G1459="""",""Myn"",IF(REGEXMATCH(lower(G1459),""mynn""),""Myn"",if(G1459&lt;&gt;"""",""GEMTRE"",""""))))"),"Myn")</f>
        <v>Myn</v>
      </c>
      <c r="L1459" s="46" t="s">
        <v>2000</v>
      </c>
      <c r="M1459" s="48">
        <v>45255.69127314815</v>
      </c>
    </row>
    <row r="1460">
      <c r="A1460" s="47">
        <v>45255.69554288195</v>
      </c>
      <c r="B1460" s="46" t="s">
        <v>1718</v>
      </c>
      <c r="C1460" s="46">
        <v>9.971586214E9</v>
      </c>
      <c r="D1460" s="46"/>
      <c r="E1460" s="46" t="s">
        <v>15</v>
      </c>
      <c r="F1460" s="46"/>
      <c r="G1460" s="46" t="s">
        <v>303</v>
      </c>
      <c r="H1460" s="46" t="s">
        <v>706</v>
      </c>
      <c r="I1460" s="46"/>
      <c r="J1460" s="46"/>
      <c r="K1460" s="46" t="str">
        <f>IFERROR(__xludf.DUMMYFUNCTION("if(A1460="""","""",IF(G1460="""",""Myn"",IF(REGEXMATCH(lower(G1460),""mynn""),""Myn"",if(G1460&lt;&gt;"""",""GEMTRE"",""""))))"),"Myn")</f>
        <v>Myn</v>
      </c>
      <c r="L1460" s="46" t="s">
        <v>2000</v>
      </c>
      <c r="M1460" s="48">
        <v>45255.69259259259</v>
      </c>
    </row>
    <row r="1461">
      <c r="A1461" s="47">
        <v>45255.696273761576</v>
      </c>
      <c r="B1461" s="46" t="s">
        <v>1382</v>
      </c>
      <c r="C1461" s="46">
        <v>7.011781738E9</v>
      </c>
      <c r="D1461" s="46"/>
      <c r="E1461" s="46" t="s">
        <v>1719</v>
      </c>
      <c r="F1461" s="46"/>
      <c r="G1461" s="46" t="s">
        <v>303</v>
      </c>
      <c r="H1461" s="46" t="s">
        <v>706</v>
      </c>
      <c r="I1461" s="46"/>
      <c r="J1461" s="46"/>
      <c r="K1461" s="46" t="str">
        <f>IFERROR(__xludf.DUMMYFUNCTION("if(A1461="""","""",IF(G1461="""",""Myn"",IF(REGEXMATCH(lower(G1461),""mynn""),""Myn"",if(G1461&lt;&gt;"""",""GEMTRE"",""""))))"),"Myn")</f>
        <v>Myn</v>
      </c>
      <c r="L1461" s="46" t="s">
        <v>2000</v>
      </c>
      <c r="M1461" s="48">
        <v>45255.693032407406</v>
      </c>
    </row>
    <row r="1462">
      <c r="A1462" s="47">
        <v>45255.69673553241</v>
      </c>
      <c r="B1462" s="46" t="s">
        <v>427</v>
      </c>
      <c r="C1462" s="46">
        <v>8.64100008E9</v>
      </c>
      <c r="D1462" s="46"/>
      <c r="E1462" s="46"/>
      <c r="F1462" s="46"/>
      <c r="G1462" s="46" t="s">
        <v>303</v>
      </c>
      <c r="H1462" s="46" t="s">
        <v>701</v>
      </c>
      <c r="I1462" s="46"/>
      <c r="J1462" s="46"/>
      <c r="K1462" s="46" t="str">
        <f>IFERROR(__xludf.DUMMYFUNCTION("if(A1462="""","""",IF(G1462="""",""Myn"",IF(REGEXMATCH(lower(G1462),""mynn""),""Myn"",if(G1462&lt;&gt;"""",""GEMTRE"",""""))))"),"Myn")</f>
        <v>Myn</v>
      </c>
      <c r="L1462" s="46" t="s">
        <v>2000</v>
      </c>
      <c r="M1462" s="48">
        <v>45255.69556712963</v>
      </c>
    </row>
    <row r="1463">
      <c r="A1463" s="47">
        <v>45255.70333145834</v>
      </c>
      <c r="B1463" s="46" t="s">
        <v>1720</v>
      </c>
      <c r="C1463" s="46">
        <v>9.818896326E9</v>
      </c>
      <c r="D1463" s="46"/>
      <c r="E1463" s="46" t="s">
        <v>39</v>
      </c>
      <c r="F1463" s="46"/>
      <c r="G1463" s="46" t="s">
        <v>303</v>
      </c>
      <c r="H1463" s="46" t="s">
        <v>706</v>
      </c>
      <c r="I1463" s="46"/>
      <c r="J1463" s="46"/>
      <c r="K1463" s="46" t="str">
        <f>IFERROR(__xludf.DUMMYFUNCTION("if(A1463="""","""",IF(G1463="""",""Myn"",IF(REGEXMATCH(lower(G1463),""mynn""),""Myn"",if(G1463&lt;&gt;"""",""GEMTRE"",""""))))"),"Myn")</f>
        <v>Myn</v>
      </c>
      <c r="L1463" s="46" t="s">
        <v>2000</v>
      </c>
      <c r="M1463" s="48">
        <v>45255.696284722224</v>
      </c>
    </row>
    <row r="1464">
      <c r="A1464" s="47">
        <v>45255.70505635417</v>
      </c>
      <c r="B1464" s="46" t="s">
        <v>1721</v>
      </c>
      <c r="C1464" s="46">
        <v>9.810699303E9</v>
      </c>
      <c r="D1464" s="46"/>
      <c r="E1464" s="46"/>
      <c r="F1464" s="46"/>
      <c r="G1464" s="46" t="s">
        <v>303</v>
      </c>
      <c r="H1464" s="46" t="s">
        <v>701</v>
      </c>
      <c r="I1464" s="46"/>
      <c r="J1464" s="46"/>
      <c r="K1464" s="46" t="str">
        <f>IFERROR(__xludf.DUMMYFUNCTION("if(A1464="""","""",IF(G1464="""",""Myn"",IF(REGEXMATCH(lower(G1464),""mynn""),""Myn"",if(G1464&lt;&gt;"""",""GEMTRE"",""""))))"),"Myn")</f>
        <v>Myn</v>
      </c>
      <c r="L1464" s="46" t="s">
        <v>2000</v>
      </c>
      <c r="M1464" s="48">
        <v>45255.69675925926</v>
      </c>
    </row>
    <row r="1465">
      <c r="A1465" s="47">
        <v>45255.71032189815</v>
      </c>
      <c r="B1465" s="46" t="s">
        <v>1722</v>
      </c>
      <c r="C1465" s="46">
        <v>9.667262908E9</v>
      </c>
      <c r="D1465" s="46"/>
      <c r="E1465" s="46"/>
      <c r="F1465" s="46"/>
      <c r="G1465" s="46" t="s">
        <v>303</v>
      </c>
      <c r="H1465" s="46" t="s">
        <v>701</v>
      </c>
      <c r="I1465" s="46"/>
      <c r="J1465" s="46"/>
      <c r="K1465" s="46" t="str">
        <f>IFERROR(__xludf.DUMMYFUNCTION("if(A1465="""","""",IF(G1465="""",""Myn"",IF(REGEXMATCH(lower(G1465),""mynn""),""Myn"",if(G1465&lt;&gt;"""",""GEMTRE"",""""))))"),"Myn")</f>
        <v>Myn</v>
      </c>
      <c r="L1465" s="46" t="s">
        <v>2000</v>
      </c>
      <c r="M1465" s="48">
        <v>45255.703356481485</v>
      </c>
    </row>
    <row r="1466">
      <c r="A1466" s="47">
        <v>45255.71386188657</v>
      </c>
      <c r="B1466" s="46" t="s">
        <v>1723</v>
      </c>
      <c r="C1466" s="46">
        <v>8.826628839E9</v>
      </c>
      <c r="D1466" s="46"/>
      <c r="E1466" s="46" t="s">
        <v>1724</v>
      </c>
      <c r="F1466" s="46"/>
      <c r="G1466" s="46" t="s">
        <v>303</v>
      </c>
      <c r="H1466" s="46" t="s">
        <v>706</v>
      </c>
      <c r="I1466" s="46"/>
      <c r="J1466" s="46"/>
      <c r="K1466" s="46" t="str">
        <f>IFERROR(__xludf.DUMMYFUNCTION("if(A1466="""","""",IF(G1466="""",""Myn"",IF(REGEXMATCH(lower(G1466),""mynn""),""Myn"",if(G1466&lt;&gt;"""",""GEMTRE"",""""))))"),"Myn")</f>
        <v>Myn</v>
      </c>
      <c r="L1466" s="46" t="s">
        <v>2000</v>
      </c>
      <c r="M1466" s="48">
        <v>45255.70506944445</v>
      </c>
    </row>
    <row r="1467">
      <c r="A1467" s="47">
        <v>45255.7195913426</v>
      </c>
      <c r="B1467" s="46" t="s">
        <v>1725</v>
      </c>
      <c r="C1467" s="46">
        <v>8.285970468E9</v>
      </c>
      <c r="D1467" s="46"/>
      <c r="E1467" s="46"/>
      <c r="F1467" s="46"/>
      <c r="G1467" s="46" t="s">
        <v>303</v>
      </c>
      <c r="H1467" s="46" t="s">
        <v>706</v>
      </c>
      <c r="I1467" s="46"/>
      <c r="J1467" s="46"/>
      <c r="K1467" s="46" t="str">
        <f>IFERROR(__xludf.DUMMYFUNCTION("if(A1467="""","""",IF(G1467="""",""Myn"",IF(REGEXMATCH(lower(G1467),""mynn""),""Myn"",if(G1467&lt;&gt;"""",""GEMTRE"",""""))))"),"Myn")</f>
        <v>Myn</v>
      </c>
      <c r="L1467" s="46" t="s">
        <v>2000</v>
      </c>
      <c r="M1467" s="48">
        <v>45255.71034722222</v>
      </c>
    </row>
    <row r="1468">
      <c r="A1468" s="47">
        <v>45255.732095150466</v>
      </c>
      <c r="B1468" s="46" t="s">
        <v>1726</v>
      </c>
      <c r="C1468" s="46">
        <v>9.619248021E9</v>
      </c>
      <c r="D1468" s="46"/>
      <c r="E1468" s="46" t="s">
        <v>1727</v>
      </c>
      <c r="F1468" s="46"/>
      <c r="G1468" s="46" t="s">
        <v>303</v>
      </c>
      <c r="H1468" s="46" t="s">
        <v>706</v>
      </c>
      <c r="I1468" s="46"/>
      <c r="J1468" s="46"/>
      <c r="K1468" s="46" t="str">
        <f>IFERROR(__xludf.DUMMYFUNCTION("if(A1468="""","""",IF(G1468="""",""Myn"",IF(REGEXMATCH(lower(G1468),""mynn""),""Myn"",if(G1468&lt;&gt;"""",""GEMTRE"",""""))))"),"Myn")</f>
        <v>Myn</v>
      </c>
      <c r="L1468" s="46" t="s">
        <v>2000</v>
      </c>
      <c r="M1468" s="48">
        <v>45255.71387731482</v>
      </c>
    </row>
    <row r="1469">
      <c r="A1469" s="47">
        <v>45255.73469439815</v>
      </c>
      <c r="B1469" s="46" t="s">
        <v>1728</v>
      </c>
      <c r="C1469" s="46">
        <v>9.911371602E9</v>
      </c>
      <c r="D1469" s="46"/>
      <c r="E1469" s="46"/>
      <c r="F1469" s="46"/>
      <c r="G1469" s="46" t="s">
        <v>303</v>
      </c>
      <c r="H1469" s="46" t="s">
        <v>701</v>
      </c>
      <c r="I1469" s="46"/>
      <c r="J1469" s="46"/>
      <c r="K1469" s="46" t="str">
        <f>IFERROR(__xludf.DUMMYFUNCTION("if(A1469="""","""",IF(G1469="""",""Myn"",IF(REGEXMATCH(lower(G1469),""mynn""),""Myn"",if(G1469&lt;&gt;"""",""GEMTRE"",""""))))"),"Myn")</f>
        <v>Myn</v>
      </c>
      <c r="L1469" s="46" t="s">
        <v>2000</v>
      </c>
      <c r="M1469" s="48">
        <v>45255.71960648148</v>
      </c>
    </row>
    <row r="1470">
      <c r="A1470" s="47">
        <v>45255.74058604166</v>
      </c>
      <c r="B1470" s="46" t="s">
        <v>1729</v>
      </c>
      <c r="C1470" s="46">
        <v>8.178235687E9</v>
      </c>
      <c r="D1470" s="46"/>
      <c r="E1470" s="46"/>
      <c r="F1470" s="46"/>
      <c r="G1470" s="46" t="s">
        <v>303</v>
      </c>
      <c r="H1470" s="46" t="s">
        <v>701</v>
      </c>
      <c r="I1470" s="46"/>
      <c r="J1470" s="46"/>
      <c r="K1470" s="46" t="str">
        <f>IFERROR(__xludf.DUMMYFUNCTION("if(A1470="""","""",IF(G1470="""",""Myn"",IF(REGEXMATCH(lower(G1470),""mynn""),""Myn"",if(G1470&lt;&gt;"""",""GEMTRE"",""""))))"),"Myn")</f>
        <v>Myn</v>
      </c>
      <c r="L1470" s="46" t="s">
        <v>2000</v>
      </c>
      <c r="M1470" s="48">
        <v>45255.73211805556</v>
      </c>
    </row>
    <row r="1471">
      <c r="A1471" s="47">
        <v>45255.74512486111</v>
      </c>
      <c r="B1471" s="46" t="s">
        <v>1730</v>
      </c>
      <c r="C1471" s="46">
        <v>7.503494379E9</v>
      </c>
      <c r="D1471" s="46"/>
      <c r="E1471" s="46"/>
      <c r="F1471" s="46"/>
      <c r="G1471" s="46" t="s">
        <v>303</v>
      </c>
      <c r="H1471" s="46" t="s">
        <v>701</v>
      </c>
      <c r="I1471" s="46"/>
      <c r="J1471" s="46"/>
      <c r="K1471" s="46" t="str">
        <f>IFERROR(__xludf.DUMMYFUNCTION("if(A1471="""","""",IF(G1471="""",""Myn"",IF(REGEXMATCH(lower(G1471),""mynn""),""Myn"",if(G1471&lt;&gt;"""",""GEMTRE"",""""))))"),"Myn")</f>
        <v>Myn</v>
      </c>
      <c r="L1471" s="46" t="s">
        <v>2000</v>
      </c>
      <c r="M1471" s="48">
        <v>45255.73471064815</v>
      </c>
    </row>
    <row r="1472">
      <c r="A1472" s="47">
        <v>45255.751725381946</v>
      </c>
      <c r="B1472" s="46" t="s">
        <v>1731</v>
      </c>
      <c r="C1472" s="46">
        <v>9.811167431E9</v>
      </c>
      <c r="D1472" s="46"/>
      <c r="E1472" s="46"/>
      <c r="F1472" s="46"/>
      <c r="G1472" s="46" t="s">
        <v>303</v>
      </c>
      <c r="H1472" s="46" t="s">
        <v>706</v>
      </c>
      <c r="I1472" s="46"/>
      <c r="J1472" s="46"/>
      <c r="K1472" s="46" t="str">
        <f>IFERROR(__xludf.DUMMYFUNCTION("if(A1472="""","""",IF(G1472="""",""Myn"",IF(REGEXMATCH(lower(G1472),""mynn""),""Myn"",if(G1472&lt;&gt;"""",""GEMTRE"",""""))))"),"Myn")</f>
        <v>Myn</v>
      </c>
      <c r="L1472" s="46" t="s">
        <v>2000</v>
      </c>
      <c r="M1472" s="48">
        <v>45255.74060185185</v>
      </c>
    </row>
    <row r="1473">
      <c r="A1473" s="47">
        <v>45255.752144467595</v>
      </c>
      <c r="B1473" s="46" t="s">
        <v>1732</v>
      </c>
      <c r="C1473" s="46">
        <v>9.045214128E9</v>
      </c>
      <c r="D1473" s="46"/>
      <c r="E1473" s="46"/>
      <c r="F1473" s="46"/>
      <c r="G1473" s="46" t="s">
        <v>303</v>
      </c>
      <c r="H1473" s="46" t="s">
        <v>701</v>
      </c>
      <c r="I1473" s="46"/>
      <c r="J1473" s="46"/>
      <c r="K1473" s="46" t="str">
        <f>IFERROR(__xludf.DUMMYFUNCTION("if(A1473="""","""",IF(G1473="""",""Myn"",IF(REGEXMATCH(lower(G1473),""mynn""),""Myn"",if(G1473&lt;&gt;"""",""GEMTRE"",""""))))"),"Myn")</f>
        <v>Myn</v>
      </c>
      <c r="L1473" s="46" t="s">
        <v>2000</v>
      </c>
      <c r="M1473" s="48">
        <v>45255.745150462964</v>
      </c>
    </row>
    <row r="1474">
      <c r="A1474" s="47">
        <v>45255.75251210648</v>
      </c>
      <c r="B1474" s="46" t="s">
        <v>1733</v>
      </c>
      <c r="C1474" s="46">
        <v>9.65468265E9</v>
      </c>
      <c r="D1474" s="46"/>
      <c r="E1474" s="46"/>
      <c r="F1474" s="46"/>
      <c r="G1474" s="46" t="s">
        <v>303</v>
      </c>
      <c r="H1474" s="46" t="s">
        <v>701</v>
      </c>
      <c r="I1474" s="46"/>
      <c r="J1474" s="46"/>
      <c r="K1474" s="46" t="str">
        <f>IFERROR(__xludf.DUMMYFUNCTION("if(A1474="""","""",IF(G1474="""",""Myn"",IF(REGEXMATCH(lower(G1474),""mynn""),""Myn"",if(G1474&lt;&gt;"""",""GEMTRE"",""""))))"),"Myn")</f>
        <v>Myn</v>
      </c>
      <c r="L1474" s="46" t="s">
        <v>2000</v>
      </c>
      <c r="M1474" s="48">
        <v>45255.751747685186</v>
      </c>
    </row>
    <row r="1475">
      <c r="A1475" s="47">
        <v>45255.75283439815</v>
      </c>
      <c r="B1475" s="46" t="s">
        <v>1734</v>
      </c>
      <c r="C1475" s="46">
        <v>8.368576547E9</v>
      </c>
      <c r="D1475" s="46"/>
      <c r="E1475" s="46"/>
      <c r="F1475" s="46"/>
      <c r="G1475" s="46" t="s">
        <v>303</v>
      </c>
      <c r="H1475" s="46" t="s">
        <v>701</v>
      </c>
      <c r="I1475" s="46"/>
      <c r="J1475" s="46"/>
      <c r="K1475" s="46" t="str">
        <f>IFERROR(__xludf.DUMMYFUNCTION("if(A1475="""","""",IF(G1475="""",""Myn"",IF(REGEXMATCH(lower(G1475),""mynn""),""Myn"",if(G1475&lt;&gt;"""",""GEMTRE"",""""))))"),"Myn")</f>
        <v>Myn</v>
      </c>
      <c r="L1475" s="46" t="s">
        <v>2000</v>
      </c>
      <c r="M1475" s="48">
        <v>45255.75216435185</v>
      </c>
    </row>
    <row r="1476">
      <c r="A1476" s="47">
        <v>45255.75359420139</v>
      </c>
      <c r="B1476" s="46" t="s">
        <v>1735</v>
      </c>
      <c r="C1476" s="46">
        <v>6.387953068E9</v>
      </c>
      <c r="D1476" s="46"/>
      <c r="E1476" s="46"/>
      <c r="F1476" s="46"/>
      <c r="G1476" s="46" t="s">
        <v>303</v>
      </c>
      <c r="H1476" s="46" t="s">
        <v>701</v>
      </c>
      <c r="I1476" s="46"/>
      <c r="J1476" s="46"/>
      <c r="K1476" s="46" t="str">
        <f>IFERROR(__xludf.DUMMYFUNCTION("if(A1476="""","""",IF(G1476="""",""Myn"",IF(REGEXMATCH(lower(G1476),""mynn""),""Myn"",if(G1476&lt;&gt;"""",""GEMTRE"",""""))))"),"Myn")</f>
        <v>Myn</v>
      </c>
      <c r="L1476" s="46" t="s">
        <v>2000</v>
      </c>
      <c r="M1476" s="48">
        <v>45255.752534722225</v>
      </c>
    </row>
    <row r="1477">
      <c r="A1477" s="47">
        <v>45255.761323506944</v>
      </c>
      <c r="B1477" s="46" t="s">
        <v>1736</v>
      </c>
      <c r="C1477" s="46">
        <v>9.899130661E9</v>
      </c>
      <c r="D1477" s="46"/>
      <c r="E1477" s="46" t="s">
        <v>79</v>
      </c>
      <c r="F1477" s="46"/>
      <c r="G1477" s="46" t="s">
        <v>303</v>
      </c>
      <c r="H1477" s="46" t="s">
        <v>706</v>
      </c>
      <c r="I1477" s="46"/>
      <c r="J1477" s="46"/>
      <c r="K1477" s="46" t="str">
        <f>IFERROR(__xludf.DUMMYFUNCTION("if(A1477="""","""",IF(G1477="""",""Myn"",IF(REGEXMATCH(lower(G1477),""mynn""),""Myn"",if(G1477&lt;&gt;"""",""GEMTRE"",""""))))"),"Myn")</f>
        <v>Myn</v>
      </c>
      <c r="L1477" s="46" t="s">
        <v>2000</v>
      </c>
      <c r="M1477" s="48">
        <v>45255.752847222226</v>
      </c>
    </row>
    <row r="1478">
      <c r="A1478" s="47">
        <v>45255.769596990736</v>
      </c>
      <c r="B1478" s="46" t="s">
        <v>1737</v>
      </c>
      <c r="C1478" s="46">
        <v>6.388862301E9</v>
      </c>
      <c r="D1478" s="46"/>
      <c r="E1478" s="46" t="s">
        <v>1738</v>
      </c>
      <c r="F1478" s="46"/>
      <c r="G1478" s="46" t="s">
        <v>303</v>
      </c>
      <c r="H1478" s="46" t="s">
        <v>706</v>
      </c>
      <c r="I1478" s="46"/>
      <c r="J1478" s="46"/>
      <c r="K1478" s="46" t="str">
        <f>IFERROR(__xludf.DUMMYFUNCTION("if(A1478="""","""",IF(G1478="""",""Myn"",IF(REGEXMATCH(lower(G1478),""mynn""),""Myn"",if(G1478&lt;&gt;"""",""GEMTRE"",""""))))"),"Myn")</f>
        <v>Myn</v>
      </c>
      <c r="L1478" s="46" t="s">
        <v>2000</v>
      </c>
      <c r="M1478" s="48">
        <v>45255.75361111111</v>
      </c>
    </row>
    <row r="1479">
      <c r="A1479" s="47">
        <v>45255.79830313657</v>
      </c>
      <c r="B1479" s="46" t="s">
        <v>1739</v>
      </c>
      <c r="C1479" s="46">
        <v>7.696341074E9</v>
      </c>
      <c r="D1479" s="46"/>
      <c r="E1479" s="46"/>
      <c r="F1479" s="46"/>
      <c r="G1479" s="46" t="s">
        <v>303</v>
      </c>
      <c r="H1479" s="46" t="s">
        <v>701</v>
      </c>
      <c r="I1479" s="46"/>
      <c r="J1479" s="46"/>
      <c r="K1479" s="46" t="str">
        <f>IFERROR(__xludf.DUMMYFUNCTION("if(A1479="""","""",IF(G1479="""",""Myn"",IF(REGEXMATCH(lower(G1479),""mynn""),""Myn"",if(G1479&lt;&gt;"""",""GEMTRE"",""""))))"),"Myn")</f>
        <v>Myn</v>
      </c>
      <c r="L1479" s="46" t="s">
        <v>2000</v>
      </c>
      <c r="M1479" s="48">
        <v>45255.761342592596</v>
      </c>
    </row>
    <row r="1480">
      <c r="A1480" s="47">
        <v>45255.79855283565</v>
      </c>
      <c r="B1480" s="46" t="s">
        <v>604</v>
      </c>
      <c r="C1480" s="46">
        <v>9.468270858E9</v>
      </c>
      <c r="D1480" s="46"/>
      <c r="E1480" s="46"/>
      <c r="F1480" s="46"/>
      <c r="G1480" s="46" t="s">
        <v>303</v>
      </c>
      <c r="H1480" s="46" t="s">
        <v>701</v>
      </c>
      <c r="I1480" s="46"/>
      <c r="J1480" s="46"/>
      <c r="K1480" s="46" t="str">
        <f>IFERROR(__xludf.DUMMYFUNCTION("if(A1480="""","""",IF(G1480="""",""Myn"",IF(REGEXMATCH(lower(G1480),""mynn""),""Myn"",if(G1480&lt;&gt;"""",""GEMTRE"",""""))))"),"Myn")</f>
        <v>Myn</v>
      </c>
      <c r="L1480" s="46" t="s">
        <v>2000</v>
      </c>
      <c r="M1480" s="48">
        <v>45255.76961805556</v>
      </c>
    </row>
    <row r="1481">
      <c r="A1481" s="47">
        <v>45255.79971627315</v>
      </c>
      <c r="B1481" s="46" t="s">
        <v>1740</v>
      </c>
      <c r="C1481" s="46">
        <v>9.996863007E9</v>
      </c>
      <c r="D1481" s="46"/>
      <c r="E1481" s="46"/>
      <c r="F1481" s="46"/>
      <c r="G1481" s="46" t="s">
        <v>303</v>
      </c>
      <c r="H1481" s="46" t="s">
        <v>1035</v>
      </c>
      <c r="I1481" s="46"/>
      <c r="J1481" s="46"/>
      <c r="K1481" s="46" t="str">
        <f>IFERROR(__xludf.DUMMYFUNCTION("if(A1481="""","""",IF(G1481="""",""Myn"",IF(REGEXMATCH(lower(G1481),""mynn""),""Myn"",if(G1481&lt;&gt;"""",""GEMTRE"",""""))))"),"Myn")</f>
        <v>Myn</v>
      </c>
      <c r="L1481" s="46" t="s">
        <v>2000</v>
      </c>
      <c r="M1481" s="48">
        <v>45255.79832175926</v>
      </c>
    </row>
    <row r="1482">
      <c r="A1482" s="47">
        <v>45255.80175320602</v>
      </c>
      <c r="B1482" s="46" t="s">
        <v>1741</v>
      </c>
      <c r="C1482" s="46">
        <v>9.999565136E9</v>
      </c>
      <c r="D1482" s="46"/>
      <c r="E1482" s="46"/>
      <c r="F1482" s="46"/>
      <c r="G1482" s="46" t="s">
        <v>303</v>
      </c>
      <c r="H1482" s="46" t="s">
        <v>701</v>
      </c>
      <c r="I1482" s="46"/>
      <c r="J1482" s="46"/>
      <c r="K1482" s="46" t="str">
        <f>IFERROR(__xludf.DUMMYFUNCTION("if(A1482="""","""",IF(G1482="""",""Myn"",IF(REGEXMATCH(lower(G1482),""mynn""),""Myn"",if(G1482&lt;&gt;"""",""GEMTRE"",""""))))"),"Myn")</f>
        <v>Myn</v>
      </c>
      <c r="L1482" s="46" t="s">
        <v>2000</v>
      </c>
      <c r="M1482" s="48">
        <v>45255.79857638889</v>
      </c>
    </row>
    <row r="1483">
      <c r="A1483" s="47">
        <v>45255.81605472222</v>
      </c>
      <c r="B1483" s="46" t="s">
        <v>1742</v>
      </c>
      <c r="C1483" s="46">
        <v>9.818424256E9</v>
      </c>
      <c r="D1483" s="46"/>
      <c r="E1483" s="46" t="s">
        <v>1743</v>
      </c>
      <c r="F1483" s="46"/>
      <c r="G1483" s="46" t="s">
        <v>303</v>
      </c>
      <c r="H1483" s="46" t="s">
        <v>706</v>
      </c>
      <c r="I1483" s="46"/>
      <c r="J1483" s="46"/>
      <c r="K1483" s="46" t="str">
        <f>IFERROR(__xludf.DUMMYFUNCTION("if(A1483="""","""",IF(G1483="""",""Myn"",IF(REGEXMATCH(lower(G1483),""mynn""),""Myn"",if(G1483&lt;&gt;"""",""GEMTRE"",""""))))"),"Myn")</f>
        <v>Myn</v>
      </c>
      <c r="L1483" s="46" t="s">
        <v>2000</v>
      </c>
      <c r="M1483" s="48">
        <v>45255.799733796295</v>
      </c>
    </row>
    <row r="1484">
      <c r="A1484" s="47">
        <v>45256.49522619213</v>
      </c>
      <c r="B1484" s="46" t="s">
        <v>1744</v>
      </c>
      <c r="C1484" s="46">
        <v>9.910110248E9</v>
      </c>
      <c r="D1484" s="46"/>
      <c r="E1484" s="46"/>
      <c r="F1484" s="46"/>
      <c r="G1484" s="46" t="s">
        <v>303</v>
      </c>
      <c r="H1484" s="46" t="s">
        <v>701</v>
      </c>
      <c r="I1484" s="46"/>
      <c r="J1484" s="46"/>
      <c r="K1484" s="46" t="str">
        <f>IFERROR(__xludf.DUMMYFUNCTION("if(A1484="""","""",IF(G1484="""",""Myn"",IF(REGEXMATCH(lower(G1484),""mynn""),""Myn"",if(G1484&lt;&gt;"""",""GEMTRE"",""""))))"),"Myn")</f>
        <v>Myn</v>
      </c>
      <c r="L1484" s="46" t="s">
        <v>2000</v>
      </c>
      <c r="M1484" s="48">
        <v>45255.801770833335</v>
      </c>
    </row>
    <row r="1485">
      <c r="A1485" s="47">
        <v>45256.496481469905</v>
      </c>
      <c r="B1485" s="46" t="s">
        <v>1495</v>
      </c>
      <c r="C1485" s="46">
        <v>9.212315556E9</v>
      </c>
      <c r="D1485" s="46"/>
      <c r="E1485" s="46" t="s">
        <v>79</v>
      </c>
      <c r="F1485" s="46"/>
      <c r="G1485" s="46" t="s">
        <v>303</v>
      </c>
      <c r="H1485" s="46" t="s">
        <v>706</v>
      </c>
      <c r="I1485" s="46"/>
      <c r="J1485" s="46"/>
      <c r="K1485" s="46" t="str">
        <f>IFERROR(__xludf.DUMMYFUNCTION("if(A1485="""","""",IF(G1485="""",""Myn"",IF(REGEXMATCH(lower(G1485),""mynn""),""Myn"",if(G1485&lt;&gt;"""",""GEMTRE"",""""))))"),"Myn")</f>
        <v>Myn</v>
      </c>
      <c r="L1485" s="46" t="s">
        <v>2000</v>
      </c>
      <c r="M1485" s="48">
        <v>45255.81607638889</v>
      </c>
    </row>
    <row r="1486">
      <c r="A1486" s="47">
        <v>45256.498028877315</v>
      </c>
      <c r="B1486" s="46" t="s">
        <v>1745</v>
      </c>
      <c r="C1486" s="46">
        <v>9.773608014E9</v>
      </c>
      <c r="D1486" s="46"/>
      <c r="E1486" s="46" t="s">
        <v>79</v>
      </c>
      <c r="F1486" s="46"/>
      <c r="G1486" s="46" t="s">
        <v>303</v>
      </c>
      <c r="H1486" s="46" t="s">
        <v>706</v>
      </c>
      <c r="I1486" s="46"/>
      <c r="J1486" s="46"/>
      <c r="K1486" s="46" t="str">
        <f>IFERROR(__xludf.DUMMYFUNCTION("if(A1486="""","""",IF(G1486="""",""Myn"",IF(REGEXMATCH(lower(G1486),""mynn""),""Myn"",if(G1486&lt;&gt;"""",""GEMTRE"",""""))))"),"Myn")</f>
        <v>Myn</v>
      </c>
      <c r="L1486" s="46" t="s">
        <v>2000</v>
      </c>
      <c r="M1486" s="48">
        <v>45256.495254629626</v>
      </c>
    </row>
    <row r="1487">
      <c r="A1487" s="47">
        <v>45256.49881260417</v>
      </c>
      <c r="B1487" s="46" t="s">
        <v>1746</v>
      </c>
      <c r="C1487" s="46">
        <v>9.910496557E9</v>
      </c>
      <c r="D1487" s="46"/>
      <c r="E1487" s="46"/>
      <c r="F1487" s="46"/>
      <c r="G1487" s="46" t="s">
        <v>303</v>
      </c>
      <c r="H1487" s="46" t="s">
        <v>701</v>
      </c>
      <c r="I1487" s="46"/>
      <c r="J1487" s="46"/>
      <c r="K1487" s="46" t="str">
        <f>IFERROR(__xludf.DUMMYFUNCTION("if(A1487="""","""",IF(G1487="""",""Myn"",IF(REGEXMATCH(lower(G1487),""mynn""),""Myn"",if(G1487&lt;&gt;"""",""GEMTRE"",""""))))"),"Myn")</f>
        <v>Myn</v>
      </c>
      <c r="L1487" s="46" t="s">
        <v>2000</v>
      </c>
      <c r="M1487" s="48">
        <v>45256.49650462963</v>
      </c>
    </row>
    <row r="1488">
      <c r="A1488" s="47">
        <v>45256.502936840276</v>
      </c>
      <c r="B1488" s="46" t="s">
        <v>1747</v>
      </c>
      <c r="C1488" s="46">
        <v>9.888204159E9</v>
      </c>
      <c r="D1488" s="46"/>
      <c r="E1488" s="46" t="s">
        <v>79</v>
      </c>
      <c r="F1488" s="46"/>
      <c r="G1488" s="46" t="s">
        <v>303</v>
      </c>
      <c r="H1488" s="46" t="s">
        <v>706</v>
      </c>
      <c r="I1488" s="46"/>
      <c r="J1488" s="46"/>
      <c r="K1488" s="46" t="str">
        <f>IFERROR(__xludf.DUMMYFUNCTION("if(A1488="""","""",IF(G1488="""",""Myn"",IF(REGEXMATCH(lower(G1488),""mynn""),""Myn"",if(G1488&lt;&gt;"""",""GEMTRE"",""""))))"),"Myn")</f>
        <v>Myn</v>
      </c>
      <c r="L1488" s="46" t="s">
        <v>2000</v>
      </c>
      <c r="M1488" s="48">
        <v>45256.49805555555</v>
      </c>
    </row>
    <row r="1489">
      <c r="A1489" s="47">
        <v>45256.50324502315</v>
      </c>
      <c r="B1489" s="46" t="s">
        <v>1748</v>
      </c>
      <c r="C1489" s="46">
        <v>8.59194E9</v>
      </c>
      <c r="D1489" s="46"/>
      <c r="E1489" s="46"/>
      <c r="F1489" s="46"/>
      <c r="G1489" s="46" t="s">
        <v>303</v>
      </c>
      <c r="H1489" s="46" t="s">
        <v>701</v>
      </c>
      <c r="I1489" s="46"/>
      <c r="J1489" s="46"/>
      <c r="K1489" s="46" t="str">
        <f>IFERROR(__xludf.DUMMYFUNCTION("if(A1489="""","""",IF(G1489="""",""Myn"",IF(REGEXMATCH(lower(G1489),""mynn""),""Myn"",if(G1489&lt;&gt;"""",""GEMTRE"",""""))))"),"Myn")</f>
        <v>Myn</v>
      </c>
      <c r="L1489" s="46" t="s">
        <v>2000</v>
      </c>
      <c r="M1489" s="48">
        <v>45256.49884259259</v>
      </c>
    </row>
    <row r="1490">
      <c r="A1490" s="47">
        <v>45256.509900578705</v>
      </c>
      <c r="B1490" s="46" t="s">
        <v>875</v>
      </c>
      <c r="C1490" s="46">
        <v>9.675496754E9</v>
      </c>
      <c r="D1490" s="46"/>
      <c r="E1490" s="46"/>
      <c r="F1490" s="46"/>
      <c r="G1490" s="46" t="s">
        <v>303</v>
      </c>
      <c r="H1490" s="46" t="s">
        <v>701</v>
      </c>
      <c r="I1490" s="46"/>
      <c r="J1490" s="46"/>
      <c r="K1490" s="46" t="str">
        <f>IFERROR(__xludf.DUMMYFUNCTION("if(A1490="""","""",IF(G1490="""",""Myn"",IF(REGEXMATCH(lower(G1490),""mynn""),""Myn"",if(G1490&lt;&gt;"""",""GEMTRE"",""""))))"),"Myn")</f>
        <v>Myn</v>
      </c>
      <c r="L1490" s="46" t="s">
        <v>2000</v>
      </c>
      <c r="M1490" s="48">
        <v>45256.502962962964</v>
      </c>
    </row>
    <row r="1491">
      <c r="A1491" s="47">
        <v>45256.510195104165</v>
      </c>
      <c r="B1491" s="46" t="s">
        <v>1749</v>
      </c>
      <c r="C1491" s="46">
        <v>8.874780171E9</v>
      </c>
      <c r="D1491" s="46"/>
      <c r="E1491" s="46"/>
      <c r="F1491" s="46"/>
      <c r="G1491" s="46" t="s">
        <v>303</v>
      </c>
      <c r="H1491" s="46" t="s">
        <v>701</v>
      </c>
      <c r="I1491" s="46"/>
      <c r="J1491" s="46"/>
      <c r="K1491" s="46" t="str">
        <f>IFERROR(__xludf.DUMMYFUNCTION("if(A1491="""","""",IF(G1491="""",""Myn"",IF(REGEXMATCH(lower(G1491),""mynn""),""Myn"",if(G1491&lt;&gt;"""",""GEMTRE"",""""))))"),"Myn")</f>
        <v>Myn</v>
      </c>
      <c r="L1491" s="46" t="s">
        <v>2000</v>
      </c>
      <c r="M1491" s="48">
        <v>45256.50326388889</v>
      </c>
    </row>
    <row r="1492">
      <c r="A1492" s="47">
        <v>45256.51156806713</v>
      </c>
      <c r="B1492" s="46" t="s">
        <v>1750</v>
      </c>
      <c r="C1492" s="46">
        <v>9.718884666E9</v>
      </c>
      <c r="D1492" s="46"/>
      <c r="E1492" s="46"/>
      <c r="F1492" s="46"/>
      <c r="G1492" s="46" t="s">
        <v>303</v>
      </c>
      <c r="H1492" s="46" t="s">
        <v>701</v>
      </c>
      <c r="I1492" s="46"/>
      <c r="J1492" s="46"/>
      <c r="K1492" s="46" t="str">
        <f>IFERROR(__xludf.DUMMYFUNCTION("if(A1492="""","""",IF(G1492="""",""Myn"",IF(REGEXMATCH(lower(G1492),""mynn""),""Myn"",if(G1492&lt;&gt;"""",""GEMTRE"",""""))))"),"Myn")</f>
        <v>Myn</v>
      </c>
      <c r="L1492" s="46" t="s">
        <v>2000</v>
      </c>
      <c r="M1492" s="48">
        <v>45256.509930555556</v>
      </c>
    </row>
    <row r="1493">
      <c r="A1493" s="47">
        <v>45256.512182175924</v>
      </c>
      <c r="B1493" s="46" t="s">
        <v>1751</v>
      </c>
      <c r="C1493" s="46">
        <v>9.213949567E9</v>
      </c>
      <c r="D1493" s="46"/>
      <c r="E1493" s="46" t="s">
        <v>79</v>
      </c>
      <c r="F1493" s="46"/>
      <c r="G1493" s="46" t="s">
        <v>303</v>
      </c>
      <c r="H1493" s="46" t="s">
        <v>706</v>
      </c>
      <c r="I1493" s="46"/>
      <c r="J1493" s="46"/>
      <c r="K1493" s="46" t="str">
        <f>IFERROR(__xludf.DUMMYFUNCTION("if(A1493="""","""",IF(G1493="""",""Myn"",IF(REGEXMATCH(lower(G1493),""mynn""),""Myn"",if(G1493&lt;&gt;"""",""GEMTRE"",""""))))"),"Myn")</f>
        <v>Myn</v>
      </c>
      <c r="L1493" s="46" t="s">
        <v>2000</v>
      </c>
      <c r="M1493" s="48">
        <v>45256.51021990741</v>
      </c>
    </row>
    <row r="1494">
      <c r="A1494" s="47">
        <v>45256.5148627662</v>
      </c>
      <c r="B1494" s="46" t="s">
        <v>364</v>
      </c>
      <c r="C1494" s="46">
        <v>9.560407603E9</v>
      </c>
      <c r="D1494" s="46"/>
      <c r="E1494" s="46"/>
      <c r="F1494" s="46"/>
      <c r="G1494" s="46" t="s">
        <v>303</v>
      </c>
      <c r="H1494" s="46" t="s">
        <v>701</v>
      </c>
      <c r="I1494" s="46"/>
      <c r="J1494" s="46"/>
      <c r="K1494" s="46" t="str">
        <f>IFERROR(__xludf.DUMMYFUNCTION("if(A1494="""","""",IF(G1494="""",""Myn"",IF(REGEXMATCH(lower(G1494),""mynn""),""Myn"",if(G1494&lt;&gt;"""",""GEMTRE"",""""))))"),"Myn")</f>
        <v>Myn</v>
      </c>
      <c r="L1494" s="46" t="s">
        <v>2000</v>
      </c>
      <c r="M1494" s="48">
        <v>45256.51159722222</v>
      </c>
    </row>
    <row r="1495">
      <c r="A1495" s="47">
        <v>45256.51916930555</v>
      </c>
      <c r="B1495" s="46" t="s">
        <v>1752</v>
      </c>
      <c r="C1495" s="46">
        <v>9.560515548E9</v>
      </c>
      <c r="D1495" s="46"/>
      <c r="E1495" s="46"/>
      <c r="F1495" s="46"/>
      <c r="G1495" s="46" t="s">
        <v>303</v>
      </c>
      <c r="H1495" s="46" t="s">
        <v>701</v>
      </c>
      <c r="I1495" s="46"/>
      <c r="J1495" s="46"/>
      <c r="K1495" s="46" t="str">
        <f>IFERROR(__xludf.DUMMYFUNCTION("if(A1495="""","""",IF(G1495="""",""Myn"",IF(REGEXMATCH(lower(G1495),""mynn""),""Myn"",if(G1495&lt;&gt;"""",""GEMTRE"",""""))))"),"Myn")</f>
        <v>Myn</v>
      </c>
      <c r="L1495" s="46" t="s">
        <v>2000</v>
      </c>
      <c r="M1495" s="48">
        <v>45256.51221064815</v>
      </c>
    </row>
    <row r="1496">
      <c r="A1496" s="47">
        <v>45256.519813136576</v>
      </c>
      <c r="B1496" s="46" t="s">
        <v>1753</v>
      </c>
      <c r="C1496" s="46">
        <v>8.950783958E9</v>
      </c>
      <c r="D1496" s="46"/>
      <c r="E1496" s="46"/>
      <c r="F1496" s="46"/>
      <c r="G1496" s="46" t="s">
        <v>303</v>
      </c>
      <c r="H1496" s="46" t="s">
        <v>701</v>
      </c>
      <c r="I1496" s="46"/>
      <c r="J1496" s="46"/>
      <c r="K1496" s="46" t="str">
        <f>IFERROR(__xludf.DUMMYFUNCTION("if(A1496="""","""",IF(G1496="""",""Myn"",IF(REGEXMATCH(lower(G1496),""mynn""),""Myn"",if(G1496&lt;&gt;"""",""GEMTRE"",""""))))"),"Myn")</f>
        <v>Myn</v>
      </c>
      <c r="L1496" s="46" t="s">
        <v>2000</v>
      </c>
      <c r="M1496" s="48">
        <v>45256.51488425926</v>
      </c>
    </row>
    <row r="1497">
      <c r="A1497" s="47">
        <v>45256.52180971065</v>
      </c>
      <c r="B1497" s="46" t="s">
        <v>1754</v>
      </c>
      <c r="C1497" s="46">
        <v>9.997060999E9</v>
      </c>
      <c r="D1497" s="46"/>
      <c r="E1497" s="46"/>
      <c r="F1497" s="46"/>
      <c r="G1497" s="46" t="s">
        <v>303</v>
      </c>
      <c r="H1497" s="46" t="s">
        <v>701</v>
      </c>
      <c r="I1497" s="46"/>
      <c r="J1497" s="46"/>
      <c r="K1497" s="46" t="str">
        <f>IFERROR(__xludf.DUMMYFUNCTION("if(A1497="""","""",IF(G1497="""",""Myn"",IF(REGEXMATCH(lower(G1497),""mynn""),""Myn"",if(G1497&lt;&gt;"""",""GEMTRE"",""""))))"),"Myn")</f>
        <v>Myn</v>
      </c>
      <c r="L1497" s="46" t="s">
        <v>2000</v>
      </c>
      <c r="M1497" s="48">
        <v>45256.51918981481</v>
      </c>
    </row>
    <row r="1498">
      <c r="A1498" s="47">
        <v>45256.52462118056</v>
      </c>
      <c r="B1498" s="46" t="s">
        <v>1755</v>
      </c>
      <c r="C1498" s="46">
        <v>7.419194061E9</v>
      </c>
      <c r="D1498" s="46"/>
      <c r="E1498" s="46"/>
      <c r="F1498" s="46"/>
      <c r="G1498" s="46" t="s">
        <v>303</v>
      </c>
      <c r="H1498" s="46" t="s">
        <v>701</v>
      </c>
      <c r="I1498" s="46"/>
      <c r="J1498" s="46"/>
      <c r="K1498" s="46" t="str">
        <f>IFERROR(__xludf.DUMMYFUNCTION("if(A1498="""","""",IF(G1498="""",""Myn"",IF(REGEXMATCH(lower(G1498),""mynn""),""Myn"",if(G1498&lt;&gt;"""",""GEMTRE"",""""))))"),"Myn")</f>
        <v>Myn</v>
      </c>
      <c r="L1498" s="46" t="s">
        <v>2000</v>
      </c>
      <c r="M1498" s="48">
        <v>45256.519837962966</v>
      </c>
    </row>
    <row r="1499">
      <c r="A1499" s="47">
        <v>45256.52650800926</v>
      </c>
      <c r="B1499" s="46" t="s">
        <v>1756</v>
      </c>
      <c r="C1499" s="46">
        <v>9.810036918E9</v>
      </c>
      <c r="D1499" s="46"/>
      <c r="E1499" s="46"/>
      <c r="F1499" s="46"/>
      <c r="G1499" s="46" t="s">
        <v>303</v>
      </c>
      <c r="H1499" s="46" t="s">
        <v>701</v>
      </c>
      <c r="I1499" s="46"/>
      <c r="J1499" s="46"/>
      <c r="K1499" s="46" t="str">
        <f>IFERROR(__xludf.DUMMYFUNCTION("if(A1499="""","""",IF(G1499="""",""Myn"",IF(REGEXMATCH(lower(G1499),""mynn""),""Myn"",if(G1499&lt;&gt;"""",""GEMTRE"",""""))))"),"Myn")</f>
        <v>Myn</v>
      </c>
      <c r="L1499" s="46" t="s">
        <v>2000</v>
      </c>
      <c r="M1499" s="48">
        <v>45256.521828703706</v>
      </c>
    </row>
    <row r="1500">
      <c r="A1500" s="47">
        <v>45256.526822581014</v>
      </c>
      <c r="B1500" s="46" t="s">
        <v>1757</v>
      </c>
      <c r="C1500" s="46">
        <v>9.625071302E9</v>
      </c>
      <c r="D1500" s="46"/>
      <c r="E1500" s="46"/>
      <c r="F1500" s="46"/>
      <c r="G1500" s="46" t="s">
        <v>303</v>
      </c>
      <c r="H1500" s="46" t="s">
        <v>701</v>
      </c>
      <c r="I1500" s="46"/>
      <c r="J1500" s="46"/>
      <c r="K1500" s="46" t="str">
        <f>IFERROR(__xludf.DUMMYFUNCTION("if(A1500="""","""",IF(G1500="""",""Myn"",IF(REGEXMATCH(lower(G1500),""mynn""),""Myn"",if(G1500&lt;&gt;"""",""GEMTRE"",""""))))"),"Myn")</f>
        <v>Myn</v>
      </c>
      <c r="L1500" s="46" t="s">
        <v>2000</v>
      </c>
      <c r="M1500" s="48">
        <v>45256.5246412037</v>
      </c>
    </row>
    <row r="1501">
      <c r="A1501" s="47">
        <v>45256.527099178245</v>
      </c>
      <c r="B1501" s="46" t="s">
        <v>1758</v>
      </c>
      <c r="C1501" s="46">
        <v>8.920386205E9</v>
      </c>
      <c r="D1501" s="46"/>
      <c r="E1501" s="46"/>
      <c r="F1501" s="46"/>
      <c r="G1501" s="46" t="s">
        <v>303</v>
      </c>
      <c r="H1501" s="46" t="s">
        <v>701</v>
      </c>
      <c r="I1501" s="46"/>
      <c r="J1501" s="46"/>
      <c r="K1501" s="46" t="str">
        <f>IFERROR(__xludf.DUMMYFUNCTION("if(A1501="""","""",IF(G1501="""",""Myn"",IF(REGEXMATCH(lower(G1501),""mynn""),""Myn"",if(G1501&lt;&gt;"""",""GEMTRE"",""""))))"),"Myn")</f>
        <v>Myn</v>
      </c>
      <c r="L1501" s="46" t="s">
        <v>2000</v>
      </c>
      <c r="M1501" s="48">
        <v>45256.52653935185</v>
      </c>
    </row>
    <row r="1502">
      <c r="A1502" s="47">
        <v>45256.528690810184</v>
      </c>
      <c r="B1502" s="46" t="s">
        <v>1759</v>
      </c>
      <c r="C1502" s="46">
        <v>9.910299327E9</v>
      </c>
      <c r="D1502" s="46"/>
      <c r="E1502" s="46" t="s">
        <v>424</v>
      </c>
      <c r="F1502" s="46"/>
      <c r="G1502" s="46" t="s">
        <v>303</v>
      </c>
      <c r="H1502" s="46" t="s">
        <v>706</v>
      </c>
      <c r="I1502" s="46"/>
      <c r="J1502" s="46"/>
      <c r="K1502" s="46" t="str">
        <f>IFERROR(__xludf.DUMMYFUNCTION("if(A1502="""","""",IF(G1502="""",""Myn"",IF(REGEXMATCH(lower(G1502),""mynn""),""Myn"",if(G1502&lt;&gt;"""",""GEMTRE"",""""))))"),"Myn")</f>
        <v>Myn</v>
      </c>
      <c r="L1502" s="46" t="s">
        <v>2000</v>
      </c>
      <c r="M1502" s="48">
        <v>45256.52689814815</v>
      </c>
    </row>
    <row r="1503">
      <c r="A1503" s="47">
        <v>45256.52922378472</v>
      </c>
      <c r="B1503" s="46" t="s">
        <v>1760</v>
      </c>
      <c r="C1503" s="46">
        <v>9.899139331E9</v>
      </c>
      <c r="D1503" s="46"/>
      <c r="E1503" s="46"/>
      <c r="F1503" s="46"/>
      <c r="G1503" s="46" t="s">
        <v>303</v>
      </c>
      <c r="H1503" s="46" t="s">
        <v>701</v>
      </c>
      <c r="I1503" s="46"/>
      <c r="J1503" s="46"/>
      <c r="K1503" s="46" t="str">
        <f>IFERROR(__xludf.DUMMYFUNCTION("if(A1503="""","""",IF(G1503="""",""Myn"",IF(REGEXMATCH(lower(G1503),""mynn""),""Myn"",if(G1503&lt;&gt;"""",""GEMTRE"",""""))))"),"Myn")</f>
        <v>Myn</v>
      </c>
      <c r="L1503" s="46" t="s">
        <v>2000</v>
      </c>
      <c r="M1503" s="48">
        <v>45256.52711805556</v>
      </c>
    </row>
    <row r="1504">
      <c r="A1504" s="47">
        <v>45256.52970375</v>
      </c>
      <c r="B1504" s="46" t="s">
        <v>1761</v>
      </c>
      <c r="C1504" s="46">
        <v>9.728705296E9</v>
      </c>
      <c r="D1504" s="46"/>
      <c r="E1504" s="46"/>
      <c r="F1504" s="46"/>
      <c r="G1504" s="46" t="s">
        <v>303</v>
      </c>
      <c r="H1504" s="46" t="s">
        <v>701</v>
      </c>
      <c r="I1504" s="46"/>
      <c r="J1504" s="46"/>
      <c r="K1504" s="46" t="str">
        <f>IFERROR(__xludf.DUMMYFUNCTION("if(A1504="""","""",IF(G1504="""",""Myn"",IF(REGEXMATCH(lower(G1504),""mynn""),""Myn"",if(G1504&lt;&gt;"""",""GEMTRE"",""""))))"),"Myn")</f>
        <v>Myn</v>
      </c>
      <c r="L1504" s="46" t="s">
        <v>2000</v>
      </c>
      <c r="M1504" s="48">
        <v>45256.528715277775</v>
      </c>
    </row>
    <row r="1505">
      <c r="A1505" s="47">
        <v>45256.529931516205</v>
      </c>
      <c r="B1505" s="46" t="s">
        <v>1762</v>
      </c>
      <c r="C1505" s="46">
        <v>9.992179799E9</v>
      </c>
      <c r="D1505" s="46"/>
      <c r="E1505" s="46"/>
      <c r="F1505" s="46"/>
      <c r="G1505" s="46" t="s">
        <v>303</v>
      </c>
      <c r="H1505" s="46" t="s">
        <v>701</v>
      </c>
      <c r="I1505" s="46"/>
      <c r="J1505" s="46"/>
      <c r="K1505" s="46" t="str">
        <f>IFERROR(__xludf.DUMMYFUNCTION("if(A1505="""","""",IF(G1505="""",""Myn"",IF(REGEXMATCH(lower(G1505),""mynn""),""Myn"",if(G1505&lt;&gt;"""",""GEMTRE"",""""))))"),"Myn")</f>
        <v>Myn</v>
      </c>
      <c r="L1505" s="46" t="s">
        <v>2000</v>
      </c>
      <c r="M1505" s="48">
        <v>45256.52924768518</v>
      </c>
    </row>
    <row r="1506">
      <c r="A1506" s="47">
        <v>45256.53526179398</v>
      </c>
      <c r="B1506" s="46" t="s">
        <v>1763</v>
      </c>
      <c r="C1506" s="46">
        <v>9.213155114E9</v>
      </c>
      <c r="D1506" s="46"/>
      <c r="E1506" s="46" t="s">
        <v>1764</v>
      </c>
      <c r="F1506" s="46"/>
      <c r="G1506" s="46" t="s">
        <v>303</v>
      </c>
      <c r="H1506" s="46" t="s">
        <v>706</v>
      </c>
      <c r="I1506" s="46"/>
      <c r="J1506" s="46"/>
      <c r="K1506" s="46" t="str">
        <f>IFERROR(__xludf.DUMMYFUNCTION("if(A1506="""","""",IF(G1506="""",""Myn"",IF(REGEXMATCH(lower(G1506),""mynn""),""Myn"",if(G1506&lt;&gt;"""",""GEMTRE"",""""))))"),"Myn")</f>
        <v>Myn</v>
      </c>
      <c r="L1506" s="46" t="s">
        <v>2000</v>
      </c>
      <c r="M1506" s="48">
        <v>45256.52972222222</v>
      </c>
    </row>
    <row r="1507">
      <c r="A1507" s="47">
        <v>45256.536963148144</v>
      </c>
      <c r="B1507" s="46" t="s">
        <v>514</v>
      </c>
      <c r="C1507" s="46">
        <v>9.910592746E9</v>
      </c>
      <c r="D1507" s="46"/>
      <c r="E1507" s="46"/>
      <c r="F1507" s="46"/>
      <c r="G1507" s="46" t="s">
        <v>303</v>
      </c>
      <c r="H1507" s="46" t="s">
        <v>701</v>
      </c>
      <c r="I1507" s="46"/>
      <c r="J1507" s="46"/>
      <c r="K1507" s="46" t="str">
        <f>IFERROR(__xludf.DUMMYFUNCTION("if(A1507="""","""",IF(G1507="""",""Myn"",IF(REGEXMATCH(lower(G1507),""mynn""),""Myn"",if(G1507&lt;&gt;"""",""GEMTRE"",""""))))"),"Myn")</f>
        <v>Myn</v>
      </c>
      <c r="L1507" s="46" t="s">
        <v>2000</v>
      </c>
      <c r="M1507" s="48">
        <v>45256.529965277776</v>
      </c>
    </row>
    <row r="1508">
      <c r="A1508" s="47">
        <v>45256.53751865741</v>
      </c>
      <c r="B1508" s="46" t="s">
        <v>651</v>
      </c>
      <c r="C1508" s="46">
        <v>8.802824647E9</v>
      </c>
      <c r="D1508" s="46"/>
      <c r="E1508" s="46"/>
      <c r="F1508" s="46"/>
      <c r="G1508" s="46" t="s">
        <v>303</v>
      </c>
      <c r="H1508" s="46" t="s">
        <v>701</v>
      </c>
      <c r="I1508" s="46"/>
      <c r="J1508" s="46"/>
      <c r="K1508" s="46" t="str">
        <f>IFERROR(__xludf.DUMMYFUNCTION("if(A1508="""","""",IF(G1508="""",""Myn"",IF(REGEXMATCH(lower(G1508),""mynn""),""Myn"",if(G1508&lt;&gt;"""",""GEMTRE"",""""))))"),"Myn")</f>
        <v>Myn</v>
      </c>
      <c r="L1508" s="46" t="s">
        <v>2000</v>
      </c>
      <c r="M1508" s="48">
        <v>45256.53528935185</v>
      </c>
    </row>
    <row r="1509">
      <c r="A1509" s="47">
        <v>45256.54194579861</v>
      </c>
      <c r="B1509" s="46" t="s">
        <v>1765</v>
      </c>
      <c r="C1509" s="46">
        <v>7.00214361E9</v>
      </c>
      <c r="D1509" s="46"/>
      <c r="E1509" s="46" t="s">
        <v>227</v>
      </c>
      <c r="F1509" s="46"/>
      <c r="G1509" s="46" t="s">
        <v>303</v>
      </c>
      <c r="H1509" s="46" t="s">
        <v>706</v>
      </c>
      <c r="I1509" s="46"/>
      <c r="J1509" s="46"/>
      <c r="K1509" s="46" t="str">
        <f>IFERROR(__xludf.DUMMYFUNCTION("if(A1509="""","""",IF(G1509="""",""Myn"",IF(REGEXMATCH(lower(G1509),""mynn""),""Myn"",if(G1509&lt;&gt;"""",""GEMTRE"",""""))))"),"Myn")</f>
        <v>Myn</v>
      </c>
      <c r="L1509" s="46" t="s">
        <v>2000</v>
      </c>
      <c r="M1509" s="48">
        <v>45256.53697916667</v>
      </c>
    </row>
    <row r="1510">
      <c r="A1510" s="47">
        <v>45256.54217800926</v>
      </c>
      <c r="B1510" s="46" t="s">
        <v>257</v>
      </c>
      <c r="C1510" s="46">
        <v>8.168837905E9</v>
      </c>
      <c r="D1510" s="46"/>
      <c r="E1510" s="46"/>
      <c r="F1510" s="46"/>
      <c r="G1510" s="46" t="s">
        <v>303</v>
      </c>
      <c r="H1510" s="46" t="s">
        <v>701</v>
      </c>
      <c r="I1510" s="46"/>
      <c r="J1510" s="46"/>
      <c r="K1510" s="46" t="str">
        <f>IFERROR(__xludf.DUMMYFUNCTION("if(A1510="""","""",IF(G1510="""",""Myn"",IF(REGEXMATCH(lower(G1510),""mynn""),""Myn"",if(G1510&lt;&gt;"""",""GEMTRE"",""""))))"),"Myn")</f>
        <v>Myn</v>
      </c>
      <c r="L1510" s="46" t="s">
        <v>2000</v>
      </c>
      <c r="M1510" s="48">
        <v>45256.53753472222</v>
      </c>
    </row>
    <row r="1511">
      <c r="A1511" s="47">
        <v>45256.54267681713</v>
      </c>
      <c r="B1511" s="46" t="s">
        <v>1766</v>
      </c>
      <c r="C1511" s="46">
        <v>9.053321312E9</v>
      </c>
      <c r="D1511" s="46"/>
      <c r="E1511" s="46"/>
      <c r="F1511" s="46"/>
      <c r="G1511" s="46" t="s">
        <v>303</v>
      </c>
      <c r="H1511" s="46" t="s">
        <v>701</v>
      </c>
      <c r="I1511" s="46"/>
      <c r="J1511" s="46"/>
      <c r="K1511" s="46" t="str">
        <f>IFERROR(__xludf.DUMMYFUNCTION("if(A1511="""","""",IF(G1511="""",""Myn"",IF(REGEXMATCH(lower(G1511),""mynn""),""Myn"",if(G1511&lt;&gt;"""",""GEMTRE"",""""))))"),"Myn")</f>
        <v>Myn</v>
      </c>
      <c r="L1511" s="46" t="s">
        <v>2000</v>
      </c>
      <c r="M1511" s="48">
        <v>45256.541967592595</v>
      </c>
    </row>
    <row r="1512">
      <c r="A1512" s="47">
        <v>45256.54428672454</v>
      </c>
      <c r="B1512" s="46" t="s">
        <v>1767</v>
      </c>
      <c r="C1512" s="46">
        <v>8.882535457E9</v>
      </c>
      <c r="D1512" s="46"/>
      <c r="E1512" s="46"/>
      <c r="F1512" s="46"/>
      <c r="G1512" s="46" t="s">
        <v>303</v>
      </c>
      <c r="H1512" s="46" t="s">
        <v>701</v>
      </c>
      <c r="I1512" s="46"/>
      <c r="J1512" s="46"/>
      <c r="K1512" s="46" t="str">
        <f>IFERROR(__xludf.DUMMYFUNCTION("if(A1512="""","""",IF(G1512="""",""Myn"",IF(REGEXMATCH(lower(G1512),""mynn""),""Myn"",if(G1512&lt;&gt;"""",""GEMTRE"",""""))))"),"Myn")</f>
        <v>Myn</v>
      </c>
      <c r="L1512" s="46" t="s">
        <v>2000</v>
      </c>
      <c r="M1512" s="48">
        <v>45256.54221064815</v>
      </c>
    </row>
    <row r="1513">
      <c r="A1513" s="47">
        <v>45256.544431898146</v>
      </c>
      <c r="B1513" s="46" t="s">
        <v>1768</v>
      </c>
      <c r="C1513" s="46">
        <v>9.62585262E9</v>
      </c>
      <c r="D1513" s="46"/>
      <c r="E1513" s="46" t="s">
        <v>79</v>
      </c>
      <c r="F1513" s="46"/>
      <c r="G1513" s="46" t="s">
        <v>303</v>
      </c>
      <c r="H1513" s="46" t="s">
        <v>706</v>
      </c>
      <c r="I1513" s="46"/>
      <c r="J1513" s="46"/>
      <c r="K1513" s="46" t="str">
        <f>IFERROR(__xludf.DUMMYFUNCTION("if(A1513="""","""",IF(G1513="""",""Myn"",IF(REGEXMATCH(lower(G1513),""mynn""),""Myn"",if(G1513&lt;&gt;"""",""GEMTRE"",""""))))"),"Myn")</f>
        <v>Myn</v>
      </c>
      <c r="L1513" s="46" t="s">
        <v>2000</v>
      </c>
      <c r="M1513" s="48">
        <v>45256.54269675926</v>
      </c>
    </row>
    <row r="1514">
      <c r="A1514" s="47">
        <v>45256.54468104166</v>
      </c>
      <c r="B1514" s="46" t="s">
        <v>1769</v>
      </c>
      <c r="C1514" s="46">
        <v>6.390641704E9</v>
      </c>
      <c r="D1514" s="46"/>
      <c r="E1514" s="46"/>
      <c r="F1514" s="46"/>
      <c r="G1514" s="46" t="s">
        <v>303</v>
      </c>
      <c r="H1514" s="46" t="s">
        <v>706</v>
      </c>
      <c r="I1514" s="46"/>
      <c r="J1514" s="46"/>
      <c r="K1514" s="46" t="str">
        <f>IFERROR(__xludf.DUMMYFUNCTION("if(A1514="""","""",IF(G1514="""",""Myn"",IF(REGEXMATCH(lower(G1514),""mynn""),""Myn"",if(G1514&lt;&gt;"""",""GEMTRE"",""""))))"),"Myn")</f>
        <v>Myn</v>
      </c>
      <c r="L1514" s="46" t="s">
        <v>2000</v>
      </c>
      <c r="M1514" s="48">
        <v>45256.544340277775</v>
      </c>
    </row>
    <row r="1515">
      <c r="A1515" s="47">
        <v>45256.54490039352</v>
      </c>
      <c r="B1515" s="46" t="s">
        <v>27</v>
      </c>
      <c r="C1515" s="46">
        <v>9.6437544E9</v>
      </c>
      <c r="D1515" s="46"/>
      <c r="E1515" s="46"/>
      <c r="F1515" s="46"/>
      <c r="G1515" s="46" t="s">
        <v>303</v>
      </c>
      <c r="H1515" s="46" t="s">
        <v>701</v>
      </c>
      <c r="I1515" s="46"/>
      <c r="J1515" s="46"/>
      <c r="K1515" s="46" t="str">
        <f>IFERROR(__xludf.DUMMYFUNCTION("if(A1515="""","""",IF(G1515="""",""Myn"",IF(REGEXMATCH(lower(G1515),""mynn""),""Myn"",if(G1515&lt;&gt;"""",""GEMTRE"",""""))))"),"Myn")</f>
        <v>Myn</v>
      </c>
      <c r="L1515" s="46" t="s">
        <v>2000</v>
      </c>
      <c r="M1515" s="48">
        <v>45256.54445601852</v>
      </c>
    </row>
    <row r="1516">
      <c r="A1516" s="47">
        <v>45256.545125034725</v>
      </c>
      <c r="B1516" s="46" t="s">
        <v>1770</v>
      </c>
      <c r="C1516" s="46">
        <v>9.355650133E9</v>
      </c>
      <c r="D1516" s="46"/>
      <c r="E1516" s="46"/>
      <c r="F1516" s="46"/>
      <c r="G1516" s="46" t="s">
        <v>303</v>
      </c>
      <c r="H1516" s="46" t="s">
        <v>701</v>
      </c>
      <c r="I1516" s="46"/>
      <c r="J1516" s="46"/>
      <c r="K1516" s="46" t="str">
        <f>IFERROR(__xludf.DUMMYFUNCTION("if(A1516="""","""",IF(G1516="""",""Myn"",IF(REGEXMATCH(lower(G1516),""mynn""),""Myn"",if(G1516&lt;&gt;"""",""GEMTRE"",""""))))"),"Myn")</f>
        <v>Myn</v>
      </c>
      <c r="L1516" s="46" t="s">
        <v>2000</v>
      </c>
      <c r="M1516" s="48">
        <v>45256.54471064815</v>
      </c>
    </row>
    <row r="1517">
      <c r="A1517" s="47">
        <v>45256.54590412037</v>
      </c>
      <c r="B1517" s="46" t="s">
        <v>1771</v>
      </c>
      <c r="C1517" s="46">
        <v>9.259524523E9</v>
      </c>
      <c r="D1517" s="46"/>
      <c r="E1517" s="46"/>
      <c r="F1517" s="46"/>
      <c r="G1517" s="46" t="s">
        <v>303</v>
      </c>
      <c r="H1517" s="46" t="s">
        <v>701</v>
      </c>
      <c r="I1517" s="46"/>
      <c r="J1517" s="46"/>
      <c r="K1517" s="46" t="str">
        <f>IFERROR(__xludf.DUMMYFUNCTION("if(A1517="""","""",IF(G1517="""",""Myn"",IF(REGEXMATCH(lower(G1517),""mynn""),""Myn"",if(G1517&lt;&gt;"""",""GEMTRE"",""""))))"),"Myn")</f>
        <v>Myn</v>
      </c>
      <c r="L1517" s="46" t="s">
        <v>2000</v>
      </c>
      <c r="M1517" s="48">
        <v>45256.54491898148</v>
      </c>
    </row>
    <row r="1518">
      <c r="A1518" s="47">
        <v>45256.54613552083</v>
      </c>
      <c r="B1518" s="46" t="s">
        <v>1053</v>
      </c>
      <c r="C1518" s="46">
        <v>9.882816742E9</v>
      </c>
      <c r="D1518" s="46"/>
      <c r="E1518" s="46"/>
      <c r="F1518" s="46"/>
      <c r="G1518" s="46" t="s">
        <v>303</v>
      </c>
      <c r="H1518" s="46" t="s">
        <v>701</v>
      </c>
      <c r="I1518" s="46"/>
      <c r="J1518" s="46"/>
      <c r="K1518" s="46" t="str">
        <f>IFERROR(__xludf.DUMMYFUNCTION("if(A1518="""","""",IF(G1518="""",""Myn"",IF(REGEXMATCH(lower(G1518),""mynn""),""Myn"",if(G1518&lt;&gt;"""",""GEMTRE"",""""))))"),"Myn")</f>
        <v>Myn</v>
      </c>
      <c r="L1518" s="46" t="s">
        <v>2000</v>
      </c>
      <c r="M1518" s="48">
        <v>45256.54515046296</v>
      </c>
    </row>
    <row r="1519">
      <c r="A1519" s="47">
        <v>45256.5492255787</v>
      </c>
      <c r="B1519" s="46" t="s">
        <v>1772</v>
      </c>
      <c r="C1519" s="46">
        <v>8.447384008E9</v>
      </c>
      <c r="D1519" s="46"/>
      <c r="E1519" s="46"/>
      <c r="F1519" s="46"/>
      <c r="G1519" s="46" t="s">
        <v>303</v>
      </c>
      <c r="H1519" s="46" t="s">
        <v>706</v>
      </c>
      <c r="I1519" s="46"/>
      <c r="J1519" s="46"/>
      <c r="K1519" s="46" t="str">
        <f>IFERROR(__xludf.DUMMYFUNCTION("if(A1519="""","""",IF(G1519="""",""Myn"",IF(REGEXMATCH(lower(G1519),""mynn""),""Myn"",if(G1519&lt;&gt;"""",""GEMTRE"",""""))))"),"Myn")</f>
        <v>Myn</v>
      </c>
      <c r="L1519" s="46" t="s">
        <v>2000</v>
      </c>
      <c r="M1519" s="48">
        <v>45256.54592592592</v>
      </c>
    </row>
    <row r="1520">
      <c r="A1520" s="47">
        <v>45256.54943006944</v>
      </c>
      <c r="B1520" s="46" t="s">
        <v>606</v>
      </c>
      <c r="C1520" s="46">
        <v>9.891252812E9</v>
      </c>
      <c r="D1520" s="46"/>
      <c r="E1520" s="46"/>
      <c r="F1520" s="46"/>
      <c r="G1520" s="46" t="s">
        <v>303</v>
      </c>
      <c r="H1520" s="46" t="s">
        <v>701</v>
      </c>
      <c r="I1520" s="46"/>
      <c r="J1520" s="46"/>
      <c r="K1520" s="46" t="str">
        <f>IFERROR(__xludf.DUMMYFUNCTION("if(A1520="""","""",IF(G1520="""",""Myn"",IF(REGEXMATCH(lower(G1520),""mynn""),""Myn"",if(G1520&lt;&gt;"""",""GEMTRE"",""""))))"),"Myn")</f>
        <v>Myn</v>
      </c>
      <c r="L1520" s="46" t="s">
        <v>2000</v>
      </c>
      <c r="M1520" s="48">
        <v>45256.54615740741</v>
      </c>
    </row>
    <row r="1521">
      <c r="A1521" s="47">
        <v>45256.54963252315</v>
      </c>
      <c r="B1521" s="46" t="s">
        <v>1483</v>
      </c>
      <c r="C1521" s="46">
        <v>8.477925081E9</v>
      </c>
      <c r="D1521" s="46"/>
      <c r="E1521" s="46"/>
      <c r="F1521" s="46"/>
      <c r="G1521" s="46" t="s">
        <v>303</v>
      </c>
      <c r="H1521" s="46" t="s">
        <v>701</v>
      </c>
      <c r="I1521" s="46"/>
      <c r="J1521" s="46"/>
      <c r="K1521" s="46" t="str">
        <f>IFERROR(__xludf.DUMMYFUNCTION("if(A1521="""","""",IF(G1521="""",""Myn"",IF(REGEXMATCH(lower(G1521),""mynn""),""Myn"",if(G1521&lt;&gt;"""",""GEMTRE"",""""))))"),"Myn")</f>
        <v>Myn</v>
      </c>
      <c r="L1521" s="46" t="s">
        <v>2000</v>
      </c>
      <c r="M1521" s="48">
        <v>45256.54924768519</v>
      </c>
    </row>
    <row r="1522">
      <c r="A1522" s="47">
        <v>45256.550964317124</v>
      </c>
      <c r="B1522" s="46" t="s">
        <v>1773</v>
      </c>
      <c r="C1522" s="46">
        <v>9.35200242E9</v>
      </c>
      <c r="D1522" s="46"/>
      <c r="E1522" s="46"/>
      <c r="F1522" s="46"/>
      <c r="G1522" s="46" t="s">
        <v>303</v>
      </c>
      <c r="H1522" s="46" t="s">
        <v>701</v>
      </c>
      <c r="I1522" s="46"/>
      <c r="J1522" s="46"/>
      <c r="K1522" s="46" t="str">
        <f>IFERROR(__xludf.DUMMYFUNCTION("if(A1522="""","""",IF(G1522="""",""Myn"",IF(REGEXMATCH(lower(G1522),""mynn""),""Myn"",if(G1522&lt;&gt;"""",""GEMTRE"",""""))))"),"Myn")</f>
        <v>Myn</v>
      </c>
      <c r="L1522" s="46" t="s">
        <v>2000</v>
      </c>
      <c r="M1522" s="48">
        <v>45256.54945601852</v>
      </c>
    </row>
    <row r="1523">
      <c r="A1523" s="47">
        <v>45256.55157024306</v>
      </c>
      <c r="B1523" s="46" t="s">
        <v>1774</v>
      </c>
      <c r="C1523" s="46">
        <v>8.448355982E9</v>
      </c>
      <c r="D1523" s="46"/>
      <c r="E1523" s="46" t="s">
        <v>15</v>
      </c>
      <c r="F1523" s="46"/>
      <c r="G1523" s="46" t="s">
        <v>303</v>
      </c>
      <c r="H1523" s="46" t="s">
        <v>706</v>
      </c>
      <c r="I1523" s="46"/>
      <c r="J1523" s="46"/>
      <c r="K1523" s="46" t="str">
        <f>IFERROR(__xludf.DUMMYFUNCTION("if(A1523="""","""",IF(G1523="""",""Myn"",IF(REGEXMATCH(lower(G1523),""mynn""),""Myn"",if(G1523&lt;&gt;"""",""GEMTRE"",""""))))"),"Myn")</f>
        <v>Myn</v>
      </c>
      <c r="L1523" s="46" t="s">
        <v>2000</v>
      </c>
      <c r="M1523" s="48">
        <v>45256.54966435185</v>
      </c>
    </row>
    <row r="1524">
      <c r="A1524" s="47">
        <v>45256.55334881945</v>
      </c>
      <c r="B1524" s="46" t="s">
        <v>1775</v>
      </c>
      <c r="C1524" s="46">
        <v>7.053516651E9</v>
      </c>
      <c r="D1524" s="46"/>
      <c r="E1524" s="46"/>
      <c r="F1524" s="46"/>
      <c r="G1524" s="46" t="s">
        <v>303</v>
      </c>
      <c r="H1524" s="46" t="s">
        <v>701</v>
      </c>
      <c r="I1524" s="46"/>
      <c r="J1524" s="46"/>
      <c r="K1524" s="46" t="str">
        <f>IFERROR(__xludf.DUMMYFUNCTION("if(A1524="""","""",IF(G1524="""",""Myn"",IF(REGEXMATCH(lower(G1524),""mynn""),""Myn"",if(G1524&lt;&gt;"""",""GEMTRE"",""""))))"),"Myn")</f>
        <v>Myn</v>
      </c>
      <c r="L1524" s="46" t="s">
        <v>2000</v>
      </c>
      <c r="M1524" s="48">
        <v>45256.55099537037</v>
      </c>
    </row>
    <row r="1525">
      <c r="A1525" s="47">
        <v>45256.555169583335</v>
      </c>
      <c r="B1525" s="46" t="s">
        <v>1776</v>
      </c>
      <c r="C1525" s="46">
        <v>9.560933993E9</v>
      </c>
      <c r="D1525" s="46"/>
      <c r="E1525" s="46"/>
      <c r="F1525" s="46"/>
      <c r="G1525" s="46" t="s">
        <v>303</v>
      </c>
      <c r="H1525" s="46" t="s">
        <v>701</v>
      </c>
      <c r="I1525" s="46"/>
      <c r="J1525" s="46"/>
      <c r="K1525" s="46" t="str">
        <f>IFERROR(__xludf.DUMMYFUNCTION("if(A1525="""","""",IF(G1525="""",""Myn"",IF(REGEXMATCH(lower(G1525),""mynn""),""Myn"",if(G1525&lt;&gt;"""",""GEMTRE"",""""))))"),"Myn")</f>
        <v>Myn</v>
      </c>
      <c r="L1525" s="46" t="s">
        <v>2000</v>
      </c>
      <c r="M1525" s="48">
        <v>45256.55159722222</v>
      </c>
    </row>
    <row r="1526">
      <c r="A1526" s="47">
        <v>45256.555582245375</v>
      </c>
      <c r="B1526" s="46" t="s">
        <v>1500</v>
      </c>
      <c r="C1526" s="46">
        <v>9.717010738E9</v>
      </c>
      <c r="D1526" s="46"/>
      <c r="E1526" s="46"/>
      <c r="F1526" s="46"/>
      <c r="G1526" s="46" t="s">
        <v>303</v>
      </c>
      <c r="H1526" s="46" t="s">
        <v>701</v>
      </c>
      <c r="I1526" s="46"/>
      <c r="J1526" s="46"/>
      <c r="K1526" s="46" t="str">
        <f>IFERROR(__xludf.DUMMYFUNCTION("if(A1526="""","""",IF(G1526="""",""Myn"",IF(REGEXMATCH(lower(G1526),""mynn""),""Myn"",if(G1526&lt;&gt;"""",""GEMTRE"",""""))))"),"Myn")</f>
        <v>Myn</v>
      </c>
      <c r="L1526" s="46" t="s">
        <v>2000</v>
      </c>
      <c r="M1526" s="48">
        <v>45256.55336805555</v>
      </c>
    </row>
    <row r="1527">
      <c r="A1527" s="47">
        <v>45256.558760405096</v>
      </c>
      <c r="B1527" s="46" t="s">
        <v>1777</v>
      </c>
      <c r="C1527" s="46">
        <v>7.830159025E9</v>
      </c>
      <c r="D1527" s="46"/>
      <c r="E1527" s="46"/>
      <c r="F1527" s="46"/>
      <c r="G1527" s="46" t="s">
        <v>303</v>
      </c>
      <c r="H1527" s="46" t="s">
        <v>701</v>
      </c>
      <c r="I1527" s="46"/>
      <c r="J1527" s="46"/>
      <c r="K1527" s="46" t="str">
        <f>IFERROR(__xludf.DUMMYFUNCTION("if(A1527="""","""",IF(G1527="""",""Myn"",IF(REGEXMATCH(lower(G1527),""mynn""),""Myn"",if(G1527&lt;&gt;"""",""GEMTRE"",""""))))"),"Myn")</f>
        <v>Myn</v>
      </c>
      <c r="L1527" s="46" t="s">
        <v>2000</v>
      </c>
      <c r="M1527" s="48">
        <v>45256.55519675926</v>
      </c>
    </row>
    <row r="1528">
      <c r="A1528" s="47">
        <v>45256.55926326389</v>
      </c>
      <c r="B1528" s="46" t="s">
        <v>516</v>
      </c>
      <c r="C1528" s="46">
        <v>8.178838524E9</v>
      </c>
      <c r="D1528" s="46"/>
      <c r="E1528" s="46" t="s">
        <v>79</v>
      </c>
      <c r="F1528" s="46"/>
      <c r="G1528" s="46" t="s">
        <v>303</v>
      </c>
      <c r="H1528" s="46" t="s">
        <v>706</v>
      </c>
      <c r="I1528" s="46"/>
      <c r="J1528" s="46"/>
      <c r="K1528" s="46" t="str">
        <f>IFERROR(__xludf.DUMMYFUNCTION("if(A1528="""","""",IF(G1528="""",""Myn"",IF(REGEXMATCH(lower(G1528),""mynn""),""Myn"",if(G1528&lt;&gt;"""",""GEMTRE"",""""))))"),"Myn")</f>
        <v>Myn</v>
      </c>
      <c r="L1528" s="46" t="s">
        <v>2000</v>
      </c>
      <c r="M1528" s="48">
        <v>45256.555601851855</v>
      </c>
    </row>
    <row r="1529">
      <c r="A1529" s="47">
        <v>45256.55986542824</v>
      </c>
      <c r="B1529" s="46" t="s">
        <v>1778</v>
      </c>
      <c r="C1529" s="46">
        <v>8.810476148E9</v>
      </c>
      <c r="D1529" s="46"/>
      <c r="E1529" s="46"/>
      <c r="F1529" s="46"/>
      <c r="G1529" s="46" t="s">
        <v>303</v>
      </c>
      <c r="H1529" s="46" t="s">
        <v>701</v>
      </c>
      <c r="I1529" s="46"/>
      <c r="J1529" s="46"/>
      <c r="K1529" s="46" t="str">
        <f>IFERROR(__xludf.DUMMYFUNCTION("if(A1529="""","""",IF(G1529="""",""Myn"",IF(REGEXMATCH(lower(G1529),""mynn""),""Myn"",if(G1529&lt;&gt;"""",""GEMTRE"",""""))))"),"Myn")</f>
        <v>Myn</v>
      </c>
      <c r="L1529" s="46" t="s">
        <v>2000</v>
      </c>
      <c r="M1529" s="48">
        <v>45256.55878472222</v>
      </c>
    </row>
    <row r="1530">
      <c r="A1530" s="47">
        <v>45256.561318541666</v>
      </c>
      <c r="B1530" s="46" t="s">
        <v>1779</v>
      </c>
      <c r="C1530" s="46">
        <v>8.607484995E9</v>
      </c>
      <c r="D1530" s="46"/>
      <c r="E1530" s="46" t="s">
        <v>79</v>
      </c>
      <c r="F1530" s="46"/>
      <c r="G1530" s="46" t="s">
        <v>303</v>
      </c>
      <c r="H1530" s="46" t="s">
        <v>706</v>
      </c>
      <c r="I1530" s="46"/>
      <c r="J1530" s="46"/>
      <c r="K1530" s="46" t="str">
        <f>IFERROR(__xludf.DUMMYFUNCTION("if(A1530="""","""",IF(G1530="""",""Myn"",IF(REGEXMATCH(lower(G1530),""mynn""),""Myn"",if(G1530&lt;&gt;"""",""GEMTRE"",""""))))"),"Myn")</f>
        <v>Myn</v>
      </c>
      <c r="L1530" s="46" t="s">
        <v>2000</v>
      </c>
      <c r="M1530" s="48">
        <v>45256.55929398148</v>
      </c>
    </row>
    <row r="1531">
      <c r="A1531" s="47">
        <v>45256.561315949075</v>
      </c>
      <c r="B1531" s="46" t="s">
        <v>1780</v>
      </c>
      <c r="C1531" s="46">
        <v>9.911997566E9</v>
      </c>
      <c r="D1531" s="46"/>
      <c r="E1531" s="46"/>
      <c r="F1531" s="46"/>
      <c r="G1531" s="46" t="s">
        <v>303</v>
      </c>
      <c r="H1531" s="46" t="s">
        <v>701</v>
      </c>
      <c r="I1531" s="46"/>
      <c r="J1531" s="46"/>
      <c r="K1531" s="46" t="str">
        <f>IFERROR(__xludf.DUMMYFUNCTION("if(A1531="""","""",IF(G1531="""",""Myn"",IF(REGEXMATCH(lower(G1531),""mynn""),""Myn"",if(G1531&lt;&gt;"""",""GEMTRE"",""""))))"),"Myn")</f>
        <v>Myn</v>
      </c>
      <c r="L1531" s="46" t="s">
        <v>2000</v>
      </c>
      <c r="M1531" s="48">
        <v>45256.559895833336</v>
      </c>
    </row>
    <row r="1532">
      <c r="A1532" s="47">
        <v>45256.56279660879</v>
      </c>
      <c r="B1532" s="46" t="s">
        <v>1781</v>
      </c>
      <c r="C1532" s="46">
        <v>9.416789608E9</v>
      </c>
      <c r="D1532" s="46"/>
      <c r="E1532" s="46"/>
      <c r="F1532" s="46"/>
      <c r="G1532" s="46" t="s">
        <v>303</v>
      </c>
      <c r="H1532" s="46" t="s">
        <v>706</v>
      </c>
      <c r="I1532" s="46"/>
      <c r="J1532" s="46"/>
      <c r="K1532" s="46" t="str">
        <f>IFERROR(__xludf.DUMMYFUNCTION("if(A1532="""","""",IF(G1532="""",""Myn"",IF(REGEXMATCH(lower(G1532),""mynn""),""Myn"",if(G1532&lt;&gt;"""",""GEMTRE"",""""))))"),"Myn")</f>
        <v>Myn</v>
      </c>
      <c r="L1532" s="46" t="s">
        <v>2000</v>
      </c>
      <c r="M1532" s="48">
        <v>45256.56134259259</v>
      </c>
    </row>
    <row r="1533">
      <c r="A1533" s="47">
        <v>45256.56359243055</v>
      </c>
      <c r="B1533" s="46" t="s">
        <v>1782</v>
      </c>
      <c r="C1533" s="46">
        <v>9.87342675E9</v>
      </c>
      <c r="D1533" s="46"/>
      <c r="E1533" s="46"/>
      <c r="F1533" s="46"/>
      <c r="G1533" s="46" t="s">
        <v>303</v>
      </c>
      <c r="H1533" s="46" t="s">
        <v>701</v>
      </c>
      <c r="I1533" s="46"/>
      <c r="J1533" s="46"/>
      <c r="K1533" s="46" t="str">
        <f>IFERROR(__xludf.DUMMYFUNCTION("if(A1533="""","""",IF(G1533="""",""Myn"",IF(REGEXMATCH(lower(G1533),""mynn""),""Myn"",if(G1533&lt;&gt;"""",""GEMTRE"",""""))))"),"Myn")</f>
        <v>Myn</v>
      </c>
      <c r="L1533" s="46" t="s">
        <v>2000</v>
      </c>
      <c r="M1533" s="48">
        <v>45256.56135416667</v>
      </c>
    </row>
    <row r="1534">
      <c r="A1534" s="47">
        <v>45256.56371112268</v>
      </c>
      <c r="B1534" s="46" t="s">
        <v>1783</v>
      </c>
      <c r="C1534" s="46">
        <v>8.527054042E9</v>
      </c>
      <c r="D1534" s="46"/>
      <c r="E1534" s="46" t="s">
        <v>227</v>
      </c>
      <c r="F1534" s="46"/>
      <c r="G1534" s="46" t="s">
        <v>303</v>
      </c>
      <c r="H1534" s="46" t="s">
        <v>706</v>
      </c>
      <c r="I1534" s="46"/>
      <c r="J1534" s="46"/>
      <c r="K1534" s="46" t="str">
        <f>IFERROR(__xludf.DUMMYFUNCTION("if(A1534="""","""",IF(G1534="""",""Myn"",IF(REGEXMATCH(lower(G1534),""mynn""),""Myn"",if(G1534&lt;&gt;"""",""GEMTRE"",""""))))"),"Myn")</f>
        <v>Myn</v>
      </c>
      <c r="L1534" s="46" t="s">
        <v>2000</v>
      </c>
      <c r="M1534" s="48">
        <v>45256.5628125</v>
      </c>
    </row>
    <row r="1535">
      <c r="A1535" s="47">
        <v>45256.56458626158</v>
      </c>
      <c r="B1535" s="46" t="s">
        <v>1784</v>
      </c>
      <c r="C1535" s="46">
        <v>9.873128973E9</v>
      </c>
      <c r="D1535" s="46"/>
      <c r="E1535" s="46"/>
      <c r="F1535" s="46"/>
      <c r="G1535" s="46" t="s">
        <v>303</v>
      </c>
      <c r="H1535" s="46" t="s">
        <v>701</v>
      </c>
      <c r="I1535" s="46"/>
      <c r="J1535" s="46"/>
      <c r="K1535" s="46" t="str">
        <f>IFERROR(__xludf.DUMMYFUNCTION("if(A1535="""","""",IF(G1535="""",""Myn"",IF(REGEXMATCH(lower(G1535),""mynn""),""Myn"",if(G1535&lt;&gt;"""",""GEMTRE"",""""))))"),"Myn")</f>
        <v>Myn</v>
      </c>
      <c r="L1535" s="46" t="s">
        <v>2000</v>
      </c>
      <c r="M1535" s="48">
        <v>45256.56361111111</v>
      </c>
    </row>
    <row r="1536">
      <c r="A1536" s="47">
        <v>45256.56462200232</v>
      </c>
      <c r="B1536" s="46" t="s">
        <v>426</v>
      </c>
      <c r="C1536" s="46">
        <v>9.811319949E9</v>
      </c>
      <c r="D1536" s="46"/>
      <c r="E1536" s="46"/>
      <c r="F1536" s="46"/>
      <c r="G1536" s="46" t="s">
        <v>303</v>
      </c>
      <c r="H1536" s="46" t="s">
        <v>701</v>
      </c>
      <c r="I1536" s="46"/>
      <c r="J1536" s="46"/>
      <c r="K1536" s="46" t="str">
        <f>IFERROR(__xludf.DUMMYFUNCTION("if(A1536="""","""",IF(G1536="""",""Myn"",IF(REGEXMATCH(lower(G1536),""mynn""),""Myn"",if(G1536&lt;&gt;"""",""GEMTRE"",""""))))"),"Myn")</f>
        <v>Myn</v>
      </c>
      <c r="L1536" s="46" t="s">
        <v>2000</v>
      </c>
      <c r="M1536" s="48">
        <v>45256.56375</v>
      </c>
    </row>
    <row r="1537">
      <c r="A1537" s="47">
        <v>45256.56556942129</v>
      </c>
      <c r="B1537" s="46" t="s">
        <v>1785</v>
      </c>
      <c r="C1537" s="46">
        <v>9.999338381E9</v>
      </c>
      <c r="D1537" s="46"/>
      <c r="E1537" s="46"/>
      <c r="F1537" s="46"/>
      <c r="G1537" s="46" t="s">
        <v>303</v>
      </c>
      <c r="H1537" s="46" t="s">
        <v>701</v>
      </c>
      <c r="I1537" s="46"/>
      <c r="J1537" s="46"/>
      <c r="K1537" s="46" t="str">
        <f>IFERROR(__xludf.DUMMYFUNCTION("if(A1537="""","""",IF(G1537="""",""Myn"",IF(REGEXMATCH(lower(G1537),""mynn""),""Myn"",if(G1537&lt;&gt;"""",""GEMTRE"",""""))))"),"Myn")</f>
        <v>Myn</v>
      </c>
      <c r="L1537" s="46" t="s">
        <v>2000</v>
      </c>
      <c r="M1537" s="48">
        <v>45256.56460648148</v>
      </c>
    </row>
    <row r="1538">
      <c r="A1538" s="47">
        <v>45256.56716892361</v>
      </c>
      <c r="B1538" s="46" t="s">
        <v>1786</v>
      </c>
      <c r="C1538" s="46">
        <v>9.210483918E9</v>
      </c>
      <c r="D1538" s="46"/>
      <c r="E1538" s="46"/>
      <c r="F1538" s="46"/>
      <c r="G1538" s="46" t="s">
        <v>303</v>
      </c>
      <c r="H1538" s="46" t="s">
        <v>701</v>
      </c>
      <c r="I1538" s="46"/>
      <c r="J1538" s="46"/>
      <c r="K1538" s="46" t="str">
        <f>IFERROR(__xludf.DUMMYFUNCTION("if(A1538="""","""",IF(G1538="""",""Myn"",IF(REGEXMATCH(lower(G1538),""mynn""),""Myn"",if(G1538&lt;&gt;"""",""GEMTRE"",""""))))"),"Myn")</f>
        <v>Myn</v>
      </c>
      <c r="L1538" s="46" t="s">
        <v>2000</v>
      </c>
      <c r="M1538" s="48">
        <v>45256.5646412037</v>
      </c>
    </row>
    <row r="1539">
      <c r="A1539" s="47">
        <v>45256.568949374996</v>
      </c>
      <c r="B1539" s="46" t="s">
        <v>1787</v>
      </c>
      <c r="C1539" s="46">
        <v>9.98474518E9</v>
      </c>
      <c r="D1539" s="46"/>
      <c r="E1539" s="46" t="s">
        <v>79</v>
      </c>
      <c r="F1539" s="46"/>
      <c r="G1539" s="46" t="s">
        <v>303</v>
      </c>
      <c r="H1539" s="46" t="s">
        <v>706</v>
      </c>
      <c r="I1539" s="46"/>
      <c r="J1539" s="46"/>
      <c r="K1539" s="46" t="str">
        <f>IFERROR(__xludf.DUMMYFUNCTION("if(A1539="""","""",IF(G1539="""",""Myn"",IF(REGEXMATCH(lower(G1539),""mynn""),""Myn"",if(G1539&lt;&gt;"""",""GEMTRE"",""""))))"),"Myn")</f>
        <v>Myn</v>
      </c>
      <c r="L1539" s="46" t="s">
        <v>2000</v>
      </c>
      <c r="M1539" s="48">
        <v>45256.56559027778</v>
      </c>
    </row>
    <row r="1540">
      <c r="A1540" s="47">
        <v>45256.569536180556</v>
      </c>
      <c r="B1540" s="46" t="s">
        <v>1788</v>
      </c>
      <c r="C1540" s="46">
        <v>8.787076921E9</v>
      </c>
      <c r="D1540" s="46"/>
      <c r="E1540" s="46"/>
      <c r="F1540" s="46"/>
      <c r="G1540" s="46" t="s">
        <v>303</v>
      </c>
      <c r="H1540" s="46" t="s">
        <v>706</v>
      </c>
      <c r="I1540" s="46"/>
      <c r="J1540" s="46"/>
      <c r="K1540" s="46" t="str">
        <f>IFERROR(__xludf.DUMMYFUNCTION("if(A1540="""","""",IF(G1540="""",""Myn"",IF(REGEXMATCH(lower(G1540),""mynn""),""Myn"",if(G1540&lt;&gt;"""",""GEMTRE"",""""))))"),"Myn")</f>
        <v>Myn</v>
      </c>
      <c r="L1540" s="46" t="s">
        <v>2000</v>
      </c>
      <c r="M1540" s="48">
        <v>45256.5671875</v>
      </c>
    </row>
    <row r="1541">
      <c r="A1541" s="47">
        <v>45256.56969476852</v>
      </c>
      <c r="B1541" s="46" t="s">
        <v>1789</v>
      </c>
      <c r="C1541" s="46">
        <v>9.582187215E9</v>
      </c>
      <c r="D1541" s="46"/>
      <c r="E1541" s="46"/>
      <c r="F1541" s="46"/>
      <c r="G1541" s="46" t="s">
        <v>303</v>
      </c>
      <c r="H1541" s="46" t="s">
        <v>701</v>
      </c>
      <c r="I1541" s="46"/>
      <c r="J1541" s="46"/>
      <c r="K1541" s="46" t="str">
        <f>IFERROR(__xludf.DUMMYFUNCTION("if(A1541="""","""",IF(G1541="""",""Myn"",IF(REGEXMATCH(lower(G1541),""mynn""),""Myn"",if(G1541&lt;&gt;"""",""GEMTRE"",""""))))"),"Myn")</f>
        <v>Myn</v>
      </c>
      <c r="L1541" s="46" t="s">
        <v>2000</v>
      </c>
      <c r="M1541" s="48">
        <v>45256.56896990741</v>
      </c>
    </row>
    <row r="1542">
      <c r="A1542" s="47">
        <v>45256.56980096065</v>
      </c>
      <c r="B1542" s="46" t="s">
        <v>1790</v>
      </c>
      <c r="C1542" s="46">
        <v>9.968546185E9</v>
      </c>
      <c r="D1542" s="46"/>
      <c r="E1542" s="46"/>
      <c r="F1542" s="46"/>
      <c r="G1542" s="46" t="s">
        <v>303</v>
      </c>
      <c r="H1542" s="46" t="s">
        <v>701</v>
      </c>
      <c r="I1542" s="46"/>
      <c r="J1542" s="46"/>
      <c r="K1542" s="46" t="str">
        <f>IFERROR(__xludf.DUMMYFUNCTION("if(A1542="""","""",IF(G1542="""",""Myn"",IF(REGEXMATCH(lower(G1542),""mynn""),""Myn"",if(G1542&lt;&gt;"""",""GEMTRE"",""""))))"),"Myn")</f>
        <v>Myn</v>
      </c>
      <c r="L1542" s="46" t="s">
        <v>2000</v>
      </c>
      <c r="M1542" s="48">
        <v>45256.569560185184</v>
      </c>
    </row>
    <row r="1543">
      <c r="A1543" s="47">
        <v>45256.57014989584</v>
      </c>
      <c r="B1543" s="46" t="s">
        <v>1791</v>
      </c>
      <c r="C1543" s="46">
        <v>8.076551913E9</v>
      </c>
      <c r="D1543" s="46"/>
      <c r="E1543" s="46"/>
      <c r="F1543" s="46"/>
      <c r="G1543" s="46" t="s">
        <v>303</v>
      </c>
      <c r="H1543" s="46" t="s">
        <v>701</v>
      </c>
      <c r="I1543" s="46"/>
      <c r="J1543" s="46"/>
      <c r="K1543" s="46" t="str">
        <f>IFERROR(__xludf.DUMMYFUNCTION("if(A1543="""","""",IF(G1543="""",""Myn"",IF(REGEXMATCH(lower(G1543),""mynn""),""Myn"",if(G1543&lt;&gt;"""",""GEMTRE"",""""))))"),"Myn")</f>
        <v>Myn</v>
      </c>
      <c r="L1543" s="46" t="s">
        <v>2000</v>
      </c>
      <c r="M1543" s="48">
        <v>45256.569710648146</v>
      </c>
    </row>
    <row r="1544">
      <c r="A1544" s="47">
        <v>45256.570906747686</v>
      </c>
      <c r="B1544" s="46" t="s">
        <v>1792</v>
      </c>
      <c r="C1544" s="46">
        <v>9.899921478E9</v>
      </c>
      <c r="D1544" s="46"/>
      <c r="E1544" s="46"/>
      <c r="F1544" s="46"/>
      <c r="G1544" s="46" t="s">
        <v>303</v>
      </c>
      <c r="H1544" s="46" t="s">
        <v>701</v>
      </c>
      <c r="I1544" s="46"/>
      <c r="J1544" s="46"/>
      <c r="K1544" s="46" t="str">
        <f>IFERROR(__xludf.DUMMYFUNCTION("if(A1544="""","""",IF(G1544="""",""Myn"",IF(REGEXMATCH(lower(G1544),""mynn""),""Myn"",if(G1544&lt;&gt;"""",""GEMTRE"",""""))))"),"Myn")</f>
        <v>Myn</v>
      </c>
      <c r="L1544" s="46" t="s">
        <v>2000</v>
      </c>
      <c r="M1544" s="48">
        <v>45256.56982638889</v>
      </c>
    </row>
    <row r="1545">
      <c r="A1545" s="47">
        <v>45256.57122582176</v>
      </c>
      <c r="B1545" s="46" t="s">
        <v>1793</v>
      </c>
      <c r="C1545" s="46">
        <v>9.968546185E9</v>
      </c>
      <c r="D1545" s="46"/>
      <c r="E1545" s="46"/>
      <c r="F1545" s="46"/>
      <c r="G1545" s="46" t="s">
        <v>303</v>
      </c>
      <c r="H1545" s="46" t="s">
        <v>706</v>
      </c>
      <c r="I1545" s="46"/>
      <c r="J1545" s="46"/>
      <c r="K1545" s="46" t="str">
        <f>IFERROR(__xludf.DUMMYFUNCTION("if(A1545="""","""",IF(G1545="""",""Myn"",IF(REGEXMATCH(lower(G1545),""mynn""),""Myn"",if(G1545&lt;&gt;"""",""GEMTRE"",""""))))"),"Myn")</f>
        <v>Myn</v>
      </c>
      <c r="L1545" s="46" t="s">
        <v>2000</v>
      </c>
      <c r="M1545" s="48">
        <v>45256.57017361111</v>
      </c>
    </row>
    <row r="1546">
      <c r="A1546" s="47">
        <v>45256.57186505787</v>
      </c>
      <c r="B1546" s="46" t="s">
        <v>254</v>
      </c>
      <c r="C1546" s="46">
        <v>9.873877924E9</v>
      </c>
      <c r="D1546" s="46"/>
      <c r="E1546" s="46" t="s">
        <v>13</v>
      </c>
      <c r="F1546" s="46"/>
      <c r="G1546" s="46" t="s">
        <v>303</v>
      </c>
      <c r="H1546" s="46" t="s">
        <v>706</v>
      </c>
      <c r="I1546" s="46"/>
      <c r="J1546" s="46"/>
      <c r="K1546" s="46" t="str">
        <f>IFERROR(__xludf.DUMMYFUNCTION("if(A1546="""","""",IF(G1546="""",""Myn"",IF(REGEXMATCH(lower(G1546),""mynn""),""Myn"",if(G1546&lt;&gt;"""",""GEMTRE"",""""))))"),"Myn")</f>
        <v>Myn</v>
      </c>
      <c r="L1546" s="46" t="s">
        <v>2000</v>
      </c>
      <c r="M1546" s="48">
        <v>45256.570925925924</v>
      </c>
    </row>
    <row r="1547">
      <c r="A1547" s="47">
        <v>45256.5725691088</v>
      </c>
      <c r="B1547" s="46" t="s">
        <v>578</v>
      </c>
      <c r="C1547" s="46">
        <v>8.750831223E9</v>
      </c>
      <c r="D1547" s="46"/>
      <c r="E1547" s="46"/>
      <c r="F1547" s="46"/>
      <c r="G1547" s="46" t="s">
        <v>303</v>
      </c>
      <c r="H1547" s="46" t="s">
        <v>701</v>
      </c>
      <c r="I1547" s="46"/>
      <c r="J1547" s="46"/>
      <c r="K1547" s="46" t="str">
        <f>IFERROR(__xludf.DUMMYFUNCTION("if(A1547="""","""",IF(G1547="""",""Myn"",IF(REGEXMATCH(lower(G1547),""mynn""),""Myn"",if(G1547&lt;&gt;"""",""GEMTRE"",""""))))"),"Myn")</f>
        <v>Myn</v>
      </c>
      <c r="L1547" s="46" t="s">
        <v>2000</v>
      </c>
      <c r="M1547" s="48">
        <v>45256.57126157408</v>
      </c>
    </row>
    <row r="1548">
      <c r="A1548" s="47">
        <v>45256.57293501157</v>
      </c>
      <c r="B1548" s="46" t="s">
        <v>1794</v>
      </c>
      <c r="C1548" s="46">
        <v>8.273418446E9</v>
      </c>
      <c r="D1548" s="46"/>
      <c r="E1548" s="46"/>
      <c r="F1548" s="46"/>
      <c r="G1548" s="46" t="s">
        <v>303</v>
      </c>
      <c r="H1548" s="46" t="s">
        <v>701</v>
      </c>
      <c r="I1548" s="46"/>
      <c r="J1548" s="46"/>
      <c r="K1548" s="46" t="str">
        <f>IFERROR(__xludf.DUMMYFUNCTION("if(A1548="""","""",IF(G1548="""",""Myn"",IF(REGEXMATCH(lower(G1548),""mynn""),""Myn"",if(G1548&lt;&gt;"""",""GEMTRE"",""""))))"),"Myn")</f>
        <v>Myn</v>
      </c>
      <c r="L1548" s="46" t="s">
        <v>2000</v>
      </c>
      <c r="M1548" s="48">
        <v>45256.57189814815</v>
      </c>
    </row>
    <row r="1549">
      <c r="A1549" s="47">
        <v>45256.57479130787</v>
      </c>
      <c r="B1549" s="46" t="s">
        <v>1795</v>
      </c>
      <c r="C1549" s="46">
        <v>9.311526415E9</v>
      </c>
      <c r="D1549" s="46"/>
      <c r="E1549" s="46"/>
      <c r="F1549" s="46"/>
      <c r="G1549" s="46" t="s">
        <v>303</v>
      </c>
      <c r="H1549" s="46" t="s">
        <v>701</v>
      </c>
      <c r="I1549" s="46"/>
      <c r="J1549" s="46"/>
      <c r="K1549" s="46" t="str">
        <f>IFERROR(__xludf.DUMMYFUNCTION("if(A1549="""","""",IF(G1549="""",""Myn"",IF(REGEXMATCH(lower(G1549),""mynn""),""Myn"",if(G1549&lt;&gt;"""",""GEMTRE"",""""))))"),"Myn")</f>
        <v>Myn</v>
      </c>
      <c r="L1549" s="46" t="s">
        <v>2000</v>
      </c>
      <c r="M1549" s="48">
        <v>45256.572592592594</v>
      </c>
    </row>
    <row r="1550">
      <c r="A1550" s="47">
        <v>45256.57542826389</v>
      </c>
      <c r="B1550" s="46" t="s">
        <v>1796</v>
      </c>
      <c r="C1550" s="46">
        <v>9.896164575E9</v>
      </c>
      <c r="D1550" s="46"/>
      <c r="E1550" s="46"/>
      <c r="F1550" s="46"/>
      <c r="G1550" s="46" t="s">
        <v>303</v>
      </c>
      <c r="H1550" s="46" t="s">
        <v>701</v>
      </c>
      <c r="I1550" s="46"/>
      <c r="J1550" s="46"/>
      <c r="K1550" s="46" t="str">
        <f>IFERROR(__xludf.DUMMYFUNCTION("if(A1550="""","""",IF(G1550="""",""Myn"",IF(REGEXMATCH(lower(G1550),""mynn""),""Myn"",if(G1550&lt;&gt;"""",""GEMTRE"",""""))))"),"Myn")</f>
        <v>Myn</v>
      </c>
      <c r="L1550" s="46" t="s">
        <v>2000</v>
      </c>
      <c r="M1550" s="48">
        <v>45256.572962962964</v>
      </c>
    </row>
    <row r="1551">
      <c r="A1551" s="47">
        <v>45256.575830752314</v>
      </c>
      <c r="B1551" s="46" t="s">
        <v>1797</v>
      </c>
      <c r="C1551" s="46">
        <v>9.896799441E9</v>
      </c>
      <c r="D1551" s="46"/>
      <c r="E1551" s="46" t="s">
        <v>1139</v>
      </c>
      <c r="F1551" s="46"/>
      <c r="G1551" s="46" t="s">
        <v>303</v>
      </c>
      <c r="H1551" s="46" t="s">
        <v>706</v>
      </c>
      <c r="I1551" s="46"/>
      <c r="J1551" s="46"/>
      <c r="K1551" s="46" t="str">
        <f>IFERROR(__xludf.DUMMYFUNCTION("if(A1551="""","""",IF(G1551="""",""Myn"",IF(REGEXMATCH(lower(G1551),""mynn""),""Myn"",if(G1551&lt;&gt;"""",""GEMTRE"",""""))))"),"Myn")</f>
        <v>Myn</v>
      </c>
      <c r="L1551" s="46" t="s">
        <v>2000</v>
      </c>
      <c r="M1551" s="48">
        <v>45256.57481481481</v>
      </c>
    </row>
    <row r="1552">
      <c r="A1552" s="47">
        <v>45256.57602086806</v>
      </c>
      <c r="B1552" s="46" t="s">
        <v>1798</v>
      </c>
      <c r="C1552" s="46">
        <v>9.896317273E9</v>
      </c>
      <c r="D1552" s="46"/>
      <c r="E1552" s="46"/>
      <c r="F1552" s="46"/>
      <c r="G1552" s="46" t="s">
        <v>303</v>
      </c>
      <c r="H1552" s="46" t="s">
        <v>701</v>
      </c>
      <c r="I1552" s="46"/>
      <c r="J1552" s="46"/>
      <c r="K1552" s="46" t="str">
        <f>IFERROR(__xludf.DUMMYFUNCTION("if(A1552="""","""",IF(G1552="""",""Myn"",IF(REGEXMATCH(lower(G1552),""mynn""),""Myn"",if(G1552&lt;&gt;"""",""GEMTRE"",""""))))"),"Myn")</f>
        <v>Myn</v>
      </c>
      <c r="L1552" s="46" t="s">
        <v>2000</v>
      </c>
      <c r="M1552" s="48">
        <v>45256.57545138889</v>
      </c>
    </row>
    <row r="1553">
      <c r="A1553" s="47">
        <v>45256.576316921295</v>
      </c>
      <c r="B1553" s="46" t="s">
        <v>1799</v>
      </c>
      <c r="C1553" s="46">
        <v>9.466814188E9</v>
      </c>
      <c r="D1553" s="46"/>
      <c r="E1553" s="46" t="s">
        <v>79</v>
      </c>
      <c r="F1553" s="46"/>
      <c r="G1553" s="46" t="s">
        <v>303</v>
      </c>
      <c r="H1553" s="46" t="s">
        <v>706</v>
      </c>
      <c r="I1553" s="46"/>
      <c r="J1553" s="46"/>
      <c r="K1553" s="46" t="str">
        <f>IFERROR(__xludf.DUMMYFUNCTION("if(A1553="""","""",IF(G1553="""",""Myn"",IF(REGEXMATCH(lower(G1553),""mynn""),""Myn"",if(G1553&lt;&gt;"""",""GEMTRE"",""""))))"),"Myn")</f>
        <v>Myn</v>
      </c>
      <c r="L1553" s="46" t="s">
        <v>2000</v>
      </c>
      <c r="M1553" s="48">
        <v>45256.57586805556</v>
      </c>
    </row>
    <row r="1554">
      <c r="A1554" s="47">
        <v>45256.5764556713</v>
      </c>
      <c r="B1554" s="46" t="s">
        <v>1800</v>
      </c>
      <c r="C1554" s="46">
        <v>9.896164575E9</v>
      </c>
      <c r="D1554" s="46"/>
      <c r="E1554" s="46"/>
      <c r="F1554" s="46"/>
      <c r="G1554" s="46" t="s">
        <v>303</v>
      </c>
      <c r="H1554" s="46" t="s">
        <v>701</v>
      </c>
      <c r="I1554" s="46"/>
      <c r="J1554" s="46"/>
      <c r="K1554" s="46" t="str">
        <f>IFERROR(__xludf.DUMMYFUNCTION("if(A1554="""","""",IF(G1554="""",""Myn"",IF(REGEXMATCH(lower(G1554),""mynn""),""Myn"",if(G1554&lt;&gt;"""",""GEMTRE"",""""))))"),"Myn")</f>
        <v>Myn</v>
      </c>
      <c r="L1554" s="46" t="s">
        <v>2000</v>
      </c>
      <c r="M1554" s="48">
        <v>45256.57604166667</v>
      </c>
    </row>
    <row r="1555">
      <c r="A1555" s="47">
        <v>45256.57660206019</v>
      </c>
      <c r="B1555" s="46" t="s">
        <v>1801</v>
      </c>
      <c r="C1555" s="46">
        <v>8.708223832E9</v>
      </c>
      <c r="D1555" s="46"/>
      <c r="E1555" s="46"/>
      <c r="F1555" s="46"/>
      <c r="G1555" s="46" t="s">
        <v>303</v>
      </c>
      <c r="H1555" s="46" t="s">
        <v>701</v>
      </c>
      <c r="I1555" s="46"/>
      <c r="J1555" s="46"/>
      <c r="K1555" s="46" t="str">
        <f>IFERROR(__xludf.DUMMYFUNCTION("if(A1555="""","""",IF(G1555="""",""Myn"",IF(REGEXMATCH(lower(G1555),""mynn""),""Myn"",if(G1555&lt;&gt;"""",""GEMTRE"",""""))))"),"Myn")</f>
        <v>Myn</v>
      </c>
      <c r="L1555" s="46" t="s">
        <v>2000</v>
      </c>
      <c r="M1555" s="48">
        <v>45256.57635416667</v>
      </c>
    </row>
    <row r="1556">
      <c r="A1556" s="47">
        <v>45256.57753576389</v>
      </c>
      <c r="B1556" s="46" t="s">
        <v>1802</v>
      </c>
      <c r="C1556" s="46">
        <v>7.838194064E9</v>
      </c>
      <c r="D1556" s="46"/>
      <c r="E1556" s="46"/>
      <c r="F1556" s="46"/>
      <c r="G1556" s="46" t="s">
        <v>303</v>
      </c>
      <c r="H1556" s="46" t="s">
        <v>701</v>
      </c>
      <c r="I1556" s="46"/>
      <c r="J1556" s="46"/>
      <c r="K1556" s="46" t="str">
        <f>IFERROR(__xludf.DUMMYFUNCTION("if(A1556="""","""",IF(G1556="""",""Myn"",IF(REGEXMATCH(lower(G1556),""mynn""),""Myn"",if(G1556&lt;&gt;"""",""GEMTRE"",""""))))"),"Myn")</f>
        <v>Myn</v>
      </c>
      <c r="L1556" s="46" t="s">
        <v>2000</v>
      </c>
      <c r="M1556" s="48">
        <v>45256.57648148148</v>
      </c>
    </row>
    <row r="1557">
      <c r="A1557" s="47">
        <v>45256.57968797453</v>
      </c>
      <c r="B1557" s="46" t="s">
        <v>1803</v>
      </c>
      <c r="C1557" s="46">
        <v>8.054252377E9</v>
      </c>
      <c r="D1557" s="46"/>
      <c r="E1557" s="46"/>
      <c r="F1557" s="46"/>
      <c r="G1557" s="46" t="s">
        <v>303</v>
      </c>
      <c r="H1557" s="46" t="s">
        <v>701</v>
      </c>
      <c r="I1557" s="46"/>
      <c r="J1557" s="46"/>
      <c r="K1557" s="46" t="str">
        <f>IFERROR(__xludf.DUMMYFUNCTION("if(A1557="""","""",IF(G1557="""",""Myn"",IF(REGEXMATCH(lower(G1557),""mynn""),""Myn"",if(G1557&lt;&gt;"""",""GEMTRE"",""""))))"),"Myn")</f>
        <v>Myn</v>
      </c>
      <c r="L1557" s="46" t="s">
        <v>2000</v>
      </c>
      <c r="M1557" s="48">
        <v>45256.57667824074</v>
      </c>
    </row>
    <row r="1558">
      <c r="A1558" s="47">
        <v>45256.58069585648</v>
      </c>
      <c r="B1558" s="46" t="s">
        <v>727</v>
      </c>
      <c r="C1558" s="46">
        <v>9.050934155E9</v>
      </c>
      <c r="D1558" s="46"/>
      <c r="E1558" s="46"/>
      <c r="F1558" s="46"/>
      <c r="G1558" s="46" t="s">
        <v>303</v>
      </c>
      <c r="H1558" s="46" t="s">
        <v>701</v>
      </c>
      <c r="I1558" s="46"/>
      <c r="J1558" s="46"/>
      <c r="K1558" s="46" t="str">
        <f>IFERROR(__xludf.DUMMYFUNCTION("if(A1558="""","""",IF(G1558="""",""Myn"",IF(REGEXMATCH(lower(G1558),""mynn""),""Myn"",if(G1558&lt;&gt;"""",""GEMTRE"",""""))))"),"Myn")</f>
        <v>Myn</v>
      </c>
      <c r="L1558" s="46" t="s">
        <v>2000</v>
      </c>
      <c r="M1558" s="48">
        <v>45256.57755787037</v>
      </c>
    </row>
    <row r="1559">
      <c r="A1559" s="47">
        <v>45256.5810565162</v>
      </c>
      <c r="B1559" s="46" t="s">
        <v>1804</v>
      </c>
      <c r="C1559" s="46">
        <v>8.750913541E9</v>
      </c>
      <c r="D1559" s="46"/>
      <c r="E1559" s="46"/>
      <c r="F1559" s="46"/>
      <c r="G1559" s="46" t="s">
        <v>303</v>
      </c>
      <c r="H1559" s="46" t="s">
        <v>701</v>
      </c>
      <c r="I1559" s="46"/>
      <c r="J1559" s="46"/>
      <c r="K1559" s="46" t="str">
        <f>IFERROR(__xludf.DUMMYFUNCTION("if(A1559="""","""",IF(G1559="""",""Myn"",IF(REGEXMATCH(lower(G1559),""mynn""),""Myn"",if(G1559&lt;&gt;"""",""GEMTRE"",""""))))"),"Myn")</f>
        <v>Myn</v>
      </c>
      <c r="L1559" s="46" t="s">
        <v>2000</v>
      </c>
      <c r="M1559" s="48">
        <v>45256.57971064815</v>
      </c>
    </row>
    <row r="1560">
      <c r="A1560" s="47">
        <v>45256.58147230324</v>
      </c>
      <c r="B1560" s="46" t="s">
        <v>1805</v>
      </c>
      <c r="C1560" s="46">
        <v>9.711478697E9</v>
      </c>
      <c r="D1560" s="46"/>
      <c r="E1560" s="46"/>
      <c r="F1560" s="46"/>
      <c r="G1560" s="46" t="s">
        <v>303</v>
      </c>
      <c r="H1560" s="46" t="s">
        <v>701</v>
      </c>
      <c r="I1560" s="46"/>
      <c r="J1560" s="46"/>
      <c r="K1560" s="46" t="str">
        <f>IFERROR(__xludf.DUMMYFUNCTION("if(A1560="""","""",IF(G1560="""",""Myn"",IF(REGEXMATCH(lower(G1560),""mynn""),""Myn"",if(G1560&lt;&gt;"""",""GEMTRE"",""""))))"),"Myn")</f>
        <v>Myn</v>
      </c>
      <c r="L1560" s="46" t="s">
        <v>2000</v>
      </c>
      <c r="M1560" s="48">
        <v>45256.580717592595</v>
      </c>
    </row>
    <row r="1561">
      <c r="A1561" s="47">
        <v>45256.58287482639</v>
      </c>
      <c r="B1561" s="46" t="s">
        <v>1806</v>
      </c>
      <c r="C1561" s="46">
        <v>8.368475774E9</v>
      </c>
      <c r="D1561" s="46"/>
      <c r="E1561" s="46" t="s">
        <v>21</v>
      </c>
      <c r="F1561" s="46"/>
      <c r="G1561" s="46" t="s">
        <v>303</v>
      </c>
      <c r="H1561" s="46" t="s">
        <v>706</v>
      </c>
      <c r="I1561" s="46"/>
      <c r="J1561" s="46"/>
      <c r="K1561" s="46" t="str">
        <f>IFERROR(__xludf.DUMMYFUNCTION("if(A1561="""","""",IF(G1561="""",""Myn"",IF(REGEXMATCH(lower(G1561),""mynn""),""Myn"",if(G1561&lt;&gt;"""",""GEMTRE"",""""))))"),"Myn")</f>
        <v>Myn</v>
      </c>
      <c r="L1561" s="46" t="s">
        <v>2000</v>
      </c>
      <c r="M1561" s="48">
        <v>45256.58107638889</v>
      </c>
    </row>
    <row r="1562">
      <c r="A1562" s="47">
        <v>45256.58332619213</v>
      </c>
      <c r="B1562" s="46" t="s">
        <v>1807</v>
      </c>
      <c r="C1562" s="46">
        <v>8.595826909E9</v>
      </c>
      <c r="D1562" s="46"/>
      <c r="E1562" s="46"/>
      <c r="F1562" s="46"/>
      <c r="G1562" s="46" t="s">
        <v>303</v>
      </c>
      <c r="H1562" s="46" t="s">
        <v>706</v>
      </c>
      <c r="I1562" s="46"/>
      <c r="J1562" s="46"/>
      <c r="K1562" s="46" t="str">
        <f>IFERROR(__xludf.DUMMYFUNCTION("if(A1562="""","""",IF(G1562="""",""Myn"",IF(REGEXMATCH(lower(G1562),""mynn""),""Myn"",if(G1562&lt;&gt;"""",""GEMTRE"",""""))))"),"Myn")</f>
        <v>Myn</v>
      </c>
      <c r="L1562" s="46" t="s">
        <v>2000</v>
      </c>
      <c r="M1562" s="48">
        <v>45256.58150462963</v>
      </c>
    </row>
    <row r="1563">
      <c r="A1563" s="47">
        <v>45256.58435572917</v>
      </c>
      <c r="B1563" s="46" t="s">
        <v>1808</v>
      </c>
      <c r="C1563" s="46">
        <v>8.273826045E9</v>
      </c>
      <c r="D1563" s="46"/>
      <c r="E1563" s="46"/>
      <c r="F1563" s="46"/>
      <c r="G1563" s="46" t="s">
        <v>303</v>
      </c>
      <c r="H1563" s="46" t="s">
        <v>701</v>
      </c>
      <c r="I1563" s="46"/>
      <c r="J1563" s="46"/>
      <c r="K1563" s="46" t="str">
        <f>IFERROR(__xludf.DUMMYFUNCTION("if(A1563="""","""",IF(G1563="""",""Myn"",IF(REGEXMATCH(lower(G1563),""mynn""),""Myn"",if(G1563&lt;&gt;"""",""GEMTRE"",""""))))"),"Myn")</f>
        <v>Myn</v>
      </c>
      <c r="L1563" s="46" t="s">
        <v>2000</v>
      </c>
      <c r="M1563" s="48">
        <v>45256.58289351852</v>
      </c>
    </row>
    <row r="1564">
      <c r="A1564" s="47">
        <v>45256.587652118054</v>
      </c>
      <c r="B1564" s="46" t="s">
        <v>578</v>
      </c>
      <c r="C1564" s="46">
        <v>9.990999887E9</v>
      </c>
      <c r="D1564" s="46"/>
      <c r="E1564" s="46" t="s">
        <v>1139</v>
      </c>
      <c r="F1564" s="46"/>
      <c r="G1564" s="46" t="s">
        <v>303</v>
      </c>
      <c r="H1564" s="46" t="s">
        <v>706</v>
      </c>
      <c r="I1564" s="46"/>
      <c r="J1564" s="46"/>
      <c r="K1564" s="46" t="str">
        <f>IFERROR(__xludf.DUMMYFUNCTION("if(A1564="""","""",IF(G1564="""",""Myn"",IF(REGEXMATCH(lower(G1564),""mynn""),""Myn"",if(G1564&lt;&gt;"""",""GEMTRE"",""""))))"),"Myn")</f>
        <v>Myn</v>
      </c>
      <c r="L1564" s="46" t="s">
        <v>2000</v>
      </c>
      <c r="M1564" s="48">
        <v>45256.583344907405</v>
      </c>
    </row>
    <row r="1565">
      <c r="A1565" s="47">
        <v>45256.58777387731</v>
      </c>
      <c r="B1565" s="46" t="s">
        <v>1809</v>
      </c>
      <c r="C1565" s="46">
        <v>9.250637699E9</v>
      </c>
      <c r="D1565" s="46"/>
      <c r="E1565" s="46"/>
      <c r="F1565" s="46"/>
      <c r="G1565" s="46" t="s">
        <v>303</v>
      </c>
      <c r="H1565" s="46" t="s">
        <v>701</v>
      </c>
      <c r="I1565" s="46"/>
      <c r="J1565" s="46"/>
      <c r="K1565" s="46" t="str">
        <f>IFERROR(__xludf.DUMMYFUNCTION("if(A1565="""","""",IF(G1565="""",""Myn"",IF(REGEXMATCH(lower(G1565),""mynn""),""Myn"",if(G1565&lt;&gt;"""",""GEMTRE"",""""))))"),"Myn")</f>
        <v>Myn</v>
      </c>
      <c r="L1565" s="46" t="s">
        <v>2000</v>
      </c>
      <c r="M1565" s="48">
        <v>45256.584386574075</v>
      </c>
    </row>
    <row r="1566">
      <c r="A1566" s="47">
        <v>45256.58833103009</v>
      </c>
      <c r="B1566" s="46" t="s">
        <v>1810</v>
      </c>
      <c r="C1566" s="46">
        <v>8.800485419E9</v>
      </c>
      <c r="D1566" s="46"/>
      <c r="E1566" s="46"/>
      <c r="F1566" s="46"/>
      <c r="G1566" s="46" t="s">
        <v>303</v>
      </c>
      <c r="H1566" s="46" t="s">
        <v>701</v>
      </c>
      <c r="I1566" s="46"/>
      <c r="J1566" s="46"/>
      <c r="K1566" s="46" t="str">
        <f>IFERROR(__xludf.DUMMYFUNCTION("if(A1566="""","""",IF(G1566="""",""Myn"",IF(REGEXMATCH(lower(G1566),""mynn""),""Myn"",if(G1566&lt;&gt;"""",""GEMTRE"",""""))))"),"Myn")</f>
        <v>Myn</v>
      </c>
      <c r="L1566" s="46" t="s">
        <v>2000</v>
      </c>
      <c r="M1566" s="48">
        <v>45256.587685185186</v>
      </c>
    </row>
    <row r="1567">
      <c r="A1567" s="47">
        <v>45256.58950465277</v>
      </c>
      <c r="B1567" s="46" t="s">
        <v>1811</v>
      </c>
      <c r="C1567" s="46">
        <v>9.810877139E9</v>
      </c>
      <c r="D1567" s="46"/>
      <c r="E1567" s="46"/>
      <c r="F1567" s="46"/>
      <c r="G1567" s="46" t="s">
        <v>303</v>
      </c>
      <c r="H1567" s="46" t="s">
        <v>701</v>
      </c>
      <c r="I1567" s="46"/>
      <c r="J1567" s="46"/>
      <c r="K1567" s="46" t="str">
        <f>IFERROR(__xludf.DUMMYFUNCTION("if(A1567="""","""",IF(G1567="""",""Myn"",IF(REGEXMATCH(lower(G1567),""mynn""),""Myn"",if(G1567&lt;&gt;"""",""GEMTRE"",""""))))"),"Myn")</f>
        <v>Myn</v>
      </c>
      <c r="L1567" s="46" t="s">
        <v>2000</v>
      </c>
      <c r="M1567" s="48">
        <v>45256.587789351855</v>
      </c>
    </row>
    <row r="1568">
      <c r="A1568" s="47">
        <v>45256.58982256944</v>
      </c>
      <c r="B1568" s="46" t="s">
        <v>1812</v>
      </c>
      <c r="C1568" s="46">
        <v>9.810250149E9</v>
      </c>
      <c r="D1568" s="46"/>
      <c r="E1568" s="46"/>
      <c r="F1568" s="46"/>
      <c r="G1568" s="46" t="s">
        <v>303</v>
      </c>
      <c r="H1568" s="46" t="s">
        <v>701</v>
      </c>
      <c r="I1568" s="46"/>
      <c r="J1568" s="46"/>
      <c r="K1568" s="46" t="str">
        <f>IFERROR(__xludf.DUMMYFUNCTION("if(A1568="""","""",IF(G1568="""",""Myn"",IF(REGEXMATCH(lower(G1568),""mynn""),""Myn"",if(G1568&lt;&gt;"""",""GEMTRE"",""""))))"),"Myn")</f>
        <v>Myn</v>
      </c>
      <c r="L1568" s="46" t="s">
        <v>2000</v>
      </c>
      <c r="M1568" s="48">
        <v>45256.588368055556</v>
      </c>
    </row>
    <row r="1569">
      <c r="A1569" s="47">
        <v>45256.590136087965</v>
      </c>
      <c r="B1569" s="46" t="s">
        <v>1813</v>
      </c>
      <c r="C1569" s="46">
        <v>9.116112142E9</v>
      </c>
      <c r="D1569" s="46"/>
      <c r="E1569" s="46"/>
      <c r="F1569" s="46"/>
      <c r="G1569" s="46" t="s">
        <v>303</v>
      </c>
      <c r="H1569" s="46" t="s">
        <v>701</v>
      </c>
      <c r="I1569" s="46"/>
      <c r="J1569" s="46"/>
      <c r="K1569" s="46" t="str">
        <f>IFERROR(__xludf.DUMMYFUNCTION("if(A1569="""","""",IF(G1569="""",""Myn"",IF(REGEXMATCH(lower(G1569),""mynn""),""Myn"",if(G1569&lt;&gt;"""",""GEMTRE"",""""))))"),"Myn")</f>
        <v>Myn</v>
      </c>
      <c r="L1569" s="46" t="s">
        <v>2000</v>
      </c>
      <c r="M1569" s="48">
        <v>45256.589537037034</v>
      </c>
    </row>
    <row r="1570">
      <c r="A1570" s="47">
        <v>45256.59242134259</v>
      </c>
      <c r="B1570" s="46" t="s">
        <v>57</v>
      </c>
      <c r="C1570" s="46">
        <v>8.05978185E9</v>
      </c>
      <c r="D1570" s="46"/>
      <c r="E1570" s="46" t="s">
        <v>13</v>
      </c>
      <c r="F1570" s="46"/>
      <c r="G1570" s="46" t="s">
        <v>303</v>
      </c>
      <c r="H1570" s="46" t="s">
        <v>706</v>
      </c>
      <c r="I1570" s="46"/>
      <c r="J1570" s="46"/>
      <c r="K1570" s="46" t="str">
        <f>IFERROR(__xludf.DUMMYFUNCTION("if(A1570="""","""",IF(G1570="""",""Myn"",IF(REGEXMATCH(lower(G1570),""mynn""),""Myn"",if(G1570&lt;&gt;"""",""GEMTRE"",""""))))"),"Myn")</f>
        <v>Myn</v>
      </c>
      <c r="L1570" s="46" t="s">
        <v>2000</v>
      </c>
      <c r="M1570" s="48">
        <v>45256.589849537035</v>
      </c>
    </row>
    <row r="1571">
      <c r="A1571" s="47">
        <v>45256.596339490745</v>
      </c>
      <c r="B1571" s="46" t="s">
        <v>1814</v>
      </c>
      <c r="C1571" s="46">
        <v>9.896999113E9</v>
      </c>
      <c r="D1571" s="46"/>
      <c r="E1571" s="46"/>
      <c r="F1571" s="46"/>
      <c r="G1571" s="46" t="s">
        <v>303</v>
      </c>
      <c r="H1571" s="46" t="s">
        <v>701</v>
      </c>
      <c r="I1571" s="46"/>
      <c r="J1571" s="46"/>
      <c r="K1571" s="46" t="str">
        <f>IFERROR(__xludf.DUMMYFUNCTION("if(A1571="""","""",IF(G1571="""",""Myn"",IF(REGEXMATCH(lower(G1571),""mynn""),""Myn"",if(G1571&lt;&gt;"""",""GEMTRE"",""""))))"),"Myn")</f>
        <v>Myn</v>
      </c>
      <c r="L1571" s="46" t="s">
        <v>2000</v>
      </c>
      <c r="M1571" s="48">
        <v>45256.590150462966</v>
      </c>
    </row>
    <row r="1572">
      <c r="A1572" s="47">
        <v>45256.59742806713</v>
      </c>
      <c r="B1572" s="46" t="s">
        <v>1815</v>
      </c>
      <c r="C1572" s="46">
        <v>9.643252443E9</v>
      </c>
      <c r="D1572" s="46"/>
      <c r="E1572" s="46"/>
      <c r="F1572" s="46"/>
      <c r="G1572" s="46" t="s">
        <v>303</v>
      </c>
      <c r="H1572" s="46" t="s">
        <v>701</v>
      </c>
      <c r="I1572" s="46"/>
      <c r="J1572" s="46"/>
      <c r="K1572" s="46" t="str">
        <f>IFERROR(__xludf.DUMMYFUNCTION("if(A1572="""","""",IF(G1572="""",""Myn"",IF(REGEXMATCH(lower(G1572),""mynn""),""Myn"",if(G1572&lt;&gt;"""",""GEMTRE"",""""))))"),"Myn")</f>
        <v>Myn</v>
      </c>
      <c r="L1572" s="46" t="s">
        <v>2000</v>
      </c>
      <c r="M1572" s="48">
        <v>45256.59244212963</v>
      </c>
    </row>
    <row r="1573">
      <c r="A1573" s="47">
        <v>45256.59791092592</v>
      </c>
      <c r="B1573" s="46" t="s">
        <v>1816</v>
      </c>
      <c r="C1573" s="46">
        <v>9.811752389E9</v>
      </c>
      <c r="D1573" s="46"/>
      <c r="E1573" s="46"/>
      <c r="F1573" s="46"/>
      <c r="G1573" s="46" t="s">
        <v>303</v>
      </c>
      <c r="H1573" s="46" t="s">
        <v>701</v>
      </c>
      <c r="I1573" s="46"/>
      <c r="J1573" s="46"/>
      <c r="K1573" s="46" t="str">
        <f>IFERROR(__xludf.DUMMYFUNCTION("if(A1573="""","""",IF(G1573="""",""Myn"",IF(REGEXMATCH(lower(G1573),""mynn""),""Myn"",if(G1573&lt;&gt;"""",""GEMTRE"",""""))))"),"Myn")</f>
        <v>Myn</v>
      </c>
      <c r="L1573" s="46" t="s">
        <v>2000</v>
      </c>
      <c r="M1573" s="48">
        <v>45256.59636574074</v>
      </c>
    </row>
    <row r="1574">
      <c r="A1574" s="47">
        <v>45256.59836137731</v>
      </c>
      <c r="B1574" s="46" t="s">
        <v>1817</v>
      </c>
      <c r="C1574" s="46">
        <v>7.0158379E9</v>
      </c>
      <c r="D1574" s="46"/>
      <c r="E1574" s="46"/>
      <c r="F1574" s="46"/>
      <c r="G1574" s="46" t="s">
        <v>303</v>
      </c>
      <c r="H1574" s="46" t="s">
        <v>701</v>
      </c>
      <c r="I1574" s="46"/>
      <c r="J1574" s="46"/>
      <c r="K1574" s="46" t="str">
        <f>IFERROR(__xludf.DUMMYFUNCTION("if(A1574="""","""",IF(G1574="""",""Myn"",IF(REGEXMATCH(lower(G1574),""mynn""),""Myn"",if(G1574&lt;&gt;"""",""GEMTRE"",""""))))"),"Myn")</f>
        <v>Myn</v>
      </c>
      <c r="L1574" s="46" t="s">
        <v>2000</v>
      </c>
      <c r="M1574" s="48">
        <v>45256.597453703704</v>
      </c>
    </row>
    <row r="1575">
      <c r="A1575" s="47">
        <v>45256.59865162037</v>
      </c>
      <c r="B1575" s="46" t="s">
        <v>1818</v>
      </c>
      <c r="C1575" s="46">
        <v>6.387827733E9</v>
      </c>
      <c r="D1575" s="46"/>
      <c r="E1575" s="46"/>
      <c r="F1575" s="46"/>
      <c r="G1575" s="46" t="s">
        <v>303</v>
      </c>
      <c r="H1575" s="46" t="s">
        <v>701</v>
      </c>
      <c r="I1575" s="46"/>
      <c r="J1575" s="46"/>
      <c r="K1575" s="46" t="str">
        <f>IFERROR(__xludf.DUMMYFUNCTION("if(A1575="""","""",IF(G1575="""",""Myn"",IF(REGEXMATCH(lower(G1575),""mynn""),""Myn"",if(G1575&lt;&gt;"""",""GEMTRE"",""""))))"),"Myn")</f>
        <v>Myn</v>
      </c>
      <c r="L1575" s="46" t="s">
        <v>2000</v>
      </c>
      <c r="M1575" s="48">
        <v>45256.59792824074</v>
      </c>
    </row>
    <row r="1576">
      <c r="A1576" s="47">
        <v>45256.59894162037</v>
      </c>
      <c r="B1576" s="46" t="s">
        <v>1819</v>
      </c>
      <c r="C1576" s="46">
        <v>9.416068001E9</v>
      </c>
      <c r="D1576" s="46"/>
      <c r="E1576" s="46" t="s">
        <v>79</v>
      </c>
      <c r="F1576" s="46"/>
      <c r="G1576" s="46" t="s">
        <v>303</v>
      </c>
      <c r="H1576" s="46" t="s">
        <v>706</v>
      </c>
      <c r="I1576" s="46"/>
      <c r="J1576" s="46"/>
      <c r="K1576" s="46" t="str">
        <f>IFERROR(__xludf.DUMMYFUNCTION("if(A1576="""","""",IF(G1576="""",""Myn"",IF(REGEXMATCH(lower(G1576),""mynn""),""Myn"",if(G1576&lt;&gt;"""",""GEMTRE"",""""))))"),"Myn")</f>
        <v>Myn</v>
      </c>
      <c r="L1576" s="46" t="s">
        <v>2000</v>
      </c>
      <c r="M1576" s="48">
        <v>45256.598391203705</v>
      </c>
    </row>
    <row r="1577">
      <c r="A1577" s="47">
        <v>45256.59941275463</v>
      </c>
      <c r="B1577" s="46" t="s">
        <v>1023</v>
      </c>
      <c r="C1577" s="46">
        <v>9.560324756E9</v>
      </c>
      <c r="D1577" s="46"/>
      <c r="E1577" s="46"/>
      <c r="F1577" s="46"/>
      <c r="G1577" s="46" t="s">
        <v>303</v>
      </c>
      <c r="H1577" s="46" t="s">
        <v>701</v>
      </c>
      <c r="I1577" s="46"/>
      <c r="J1577" s="46"/>
      <c r="K1577" s="46" t="str">
        <f>IFERROR(__xludf.DUMMYFUNCTION("if(A1577="""","""",IF(G1577="""",""Myn"",IF(REGEXMATCH(lower(G1577),""mynn""),""Myn"",if(G1577&lt;&gt;"""",""GEMTRE"",""""))))"),"Myn")</f>
        <v>Myn</v>
      </c>
      <c r="L1577" s="46" t="s">
        <v>2000</v>
      </c>
      <c r="M1577" s="48">
        <v>45256.59868055556</v>
      </c>
    </row>
    <row r="1578">
      <c r="A1578" s="47">
        <v>45256.59965409723</v>
      </c>
      <c r="B1578" s="46" t="s">
        <v>1820</v>
      </c>
      <c r="C1578" s="46">
        <v>8.532039149E9</v>
      </c>
      <c r="D1578" s="46"/>
      <c r="E1578" s="46"/>
      <c r="F1578" s="46"/>
      <c r="G1578" s="46" t="s">
        <v>303</v>
      </c>
      <c r="H1578" s="46" t="s">
        <v>701</v>
      </c>
      <c r="I1578" s="46"/>
      <c r="J1578" s="46"/>
      <c r="K1578" s="46" t="str">
        <f>IFERROR(__xludf.DUMMYFUNCTION("if(A1578="""","""",IF(G1578="""",""Myn"",IF(REGEXMATCH(lower(G1578),""mynn""),""Myn"",if(G1578&lt;&gt;"""",""GEMTRE"",""""))))"),"Myn")</f>
        <v>Myn</v>
      </c>
      <c r="L1578" s="46" t="s">
        <v>2000</v>
      </c>
      <c r="M1578" s="48">
        <v>45256.598958333336</v>
      </c>
    </row>
    <row r="1579">
      <c r="A1579" s="47">
        <v>45256.60029243055</v>
      </c>
      <c r="B1579" s="46" t="s">
        <v>1821</v>
      </c>
      <c r="C1579" s="46">
        <v>8.58886022E9</v>
      </c>
      <c r="D1579" s="46"/>
      <c r="E1579" s="46"/>
      <c r="F1579" s="46"/>
      <c r="G1579" s="46" t="s">
        <v>303</v>
      </c>
      <c r="H1579" s="46" t="s">
        <v>701</v>
      </c>
      <c r="I1579" s="46"/>
      <c r="J1579" s="46"/>
      <c r="K1579" s="46" t="str">
        <f>IFERROR(__xludf.DUMMYFUNCTION("if(A1579="""","""",IF(G1579="""",""Myn"",IF(REGEXMATCH(lower(G1579),""mynn""),""Myn"",if(G1579&lt;&gt;"""",""GEMTRE"",""""))))"),"Myn")</f>
        <v>Myn</v>
      </c>
      <c r="L1579" s="46" t="s">
        <v>2000</v>
      </c>
      <c r="M1579" s="48">
        <v>45256.59943287037</v>
      </c>
    </row>
    <row r="1580">
      <c r="A1580" s="47">
        <v>45256.60120818287</v>
      </c>
      <c r="B1580" s="46" t="s">
        <v>1822</v>
      </c>
      <c r="C1580" s="46">
        <v>9.990001441E9</v>
      </c>
      <c r="D1580" s="46"/>
      <c r="E1580" s="46" t="s">
        <v>79</v>
      </c>
      <c r="F1580" s="46"/>
      <c r="G1580" s="46" t="s">
        <v>303</v>
      </c>
      <c r="H1580" s="46" t="s">
        <v>706</v>
      </c>
      <c r="I1580" s="46"/>
      <c r="J1580" s="46"/>
      <c r="K1580" s="46" t="str">
        <f>IFERROR(__xludf.DUMMYFUNCTION("if(A1580="""","""",IF(G1580="""",""Myn"",IF(REGEXMATCH(lower(G1580),""mynn""),""Myn"",if(G1580&lt;&gt;"""",""GEMTRE"",""""))))"),"Myn")</f>
        <v>Myn</v>
      </c>
      <c r="L1580" s="46" t="s">
        <v>2000</v>
      </c>
      <c r="M1580" s="48">
        <v>45256.59967592593</v>
      </c>
    </row>
    <row r="1581">
      <c r="A1581" s="47">
        <v>45256.60145288194</v>
      </c>
      <c r="B1581" s="46" t="s">
        <v>1823</v>
      </c>
      <c r="C1581" s="46">
        <v>9.990001442E9</v>
      </c>
      <c r="D1581" s="46"/>
      <c r="E1581" s="46"/>
      <c r="F1581" s="46"/>
      <c r="G1581" s="46" t="s">
        <v>303</v>
      </c>
      <c r="H1581" s="46" t="s">
        <v>706</v>
      </c>
      <c r="I1581" s="46"/>
      <c r="J1581" s="46"/>
      <c r="K1581" s="46" t="str">
        <f>IFERROR(__xludf.DUMMYFUNCTION("if(A1581="""","""",IF(G1581="""",""Myn"",IF(REGEXMATCH(lower(G1581),""mynn""),""Myn"",if(G1581&lt;&gt;"""",""GEMTRE"",""""))))"),"Myn")</f>
        <v>Myn</v>
      </c>
      <c r="L1581" s="46" t="s">
        <v>2000</v>
      </c>
      <c r="M1581" s="48">
        <v>45256.600324074076</v>
      </c>
    </row>
    <row r="1582">
      <c r="A1582" s="47">
        <v>45256.60169052084</v>
      </c>
      <c r="B1582" s="46" t="s">
        <v>1370</v>
      </c>
      <c r="C1582" s="46">
        <v>9.990008441E9</v>
      </c>
      <c r="D1582" s="46"/>
      <c r="E1582" s="46" t="s">
        <v>227</v>
      </c>
      <c r="F1582" s="46"/>
      <c r="G1582" s="46" t="s">
        <v>303</v>
      </c>
      <c r="H1582" s="46" t="s">
        <v>706</v>
      </c>
      <c r="I1582" s="46"/>
      <c r="J1582" s="46"/>
      <c r="K1582" s="46" t="str">
        <f>IFERROR(__xludf.DUMMYFUNCTION("if(A1582="""","""",IF(G1582="""",""Myn"",IF(REGEXMATCH(lower(G1582),""mynn""),""Myn"",if(G1582&lt;&gt;"""",""GEMTRE"",""""))))"),"Myn")</f>
        <v>Myn</v>
      </c>
      <c r="L1582" s="46" t="s">
        <v>2000</v>
      </c>
      <c r="M1582" s="48">
        <v>45256.60122685185</v>
      </c>
    </row>
    <row r="1583">
      <c r="A1583" s="47">
        <v>45256.602916944445</v>
      </c>
      <c r="B1583" s="46" t="s">
        <v>1824</v>
      </c>
      <c r="C1583" s="46">
        <v>9.899206142E9</v>
      </c>
      <c r="D1583" s="46"/>
      <c r="E1583" s="46" t="s">
        <v>1698</v>
      </c>
      <c r="F1583" s="46"/>
      <c r="G1583" s="46" t="s">
        <v>303</v>
      </c>
      <c r="H1583" s="46" t="s">
        <v>706</v>
      </c>
      <c r="I1583" s="46"/>
      <c r="J1583" s="46"/>
      <c r="K1583" s="46" t="str">
        <f>IFERROR(__xludf.DUMMYFUNCTION("if(A1583="""","""",IF(G1583="""",""Myn"",IF(REGEXMATCH(lower(G1583),""mynn""),""Myn"",if(G1583&lt;&gt;"""",""GEMTRE"",""""))))"),"Myn")</f>
        <v>Myn</v>
      </c>
      <c r="L1583" s="46" t="s">
        <v>2000</v>
      </c>
      <c r="M1583" s="48">
        <v>45256.601481481484</v>
      </c>
    </row>
    <row r="1584">
      <c r="A1584" s="47">
        <v>45256.60471064815</v>
      </c>
      <c r="B1584" s="46" t="s">
        <v>1825</v>
      </c>
      <c r="C1584" s="46">
        <v>8.510861319E9</v>
      </c>
      <c r="D1584" s="46"/>
      <c r="E1584" s="46"/>
      <c r="F1584" s="46"/>
      <c r="G1584" s="46" t="s">
        <v>303</v>
      </c>
      <c r="H1584" s="46" t="s">
        <v>701</v>
      </c>
      <c r="I1584" s="46"/>
      <c r="J1584" s="46"/>
      <c r="K1584" s="46" t="str">
        <f>IFERROR(__xludf.DUMMYFUNCTION("if(A1584="""","""",IF(G1584="""",""Myn"",IF(REGEXMATCH(lower(G1584),""mynn""),""Myn"",if(G1584&lt;&gt;"""",""GEMTRE"",""""))))"),"Myn")</f>
        <v>Myn</v>
      </c>
      <c r="L1584" s="46" t="s">
        <v>2000</v>
      </c>
      <c r="M1584" s="48">
        <v>45256.60171296296</v>
      </c>
    </row>
    <row r="1585">
      <c r="A1585" s="47">
        <v>45256.60513981481</v>
      </c>
      <c r="B1585" s="46" t="s">
        <v>1826</v>
      </c>
      <c r="C1585" s="46">
        <v>8.800224562E9</v>
      </c>
      <c r="D1585" s="46"/>
      <c r="E1585" s="46" t="s">
        <v>15</v>
      </c>
      <c r="F1585" s="46"/>
      <c r="G1585" s="46" t="s">
        <v>303</v>
      </c>
      <c r="H1585" s="46" t="s">
        <v>706</v>
      </c>
      <c r="I1585" s="46"/>
      <c r="J1585" s="46"/>
      <c r="K1585" s="46" t="str">
        <f>IFERROR(__xludf.DUMMYFUNCTION("if(A1585="""","""",IF(G1585="""",""Myn"",IF(REGEXMATCH(lower(G1585),""mynn""),""Myn"",if(G1585&lt;&gt;"""",""GEMTRE"",""""))))"),"Myn")</f>
        <v>Myn</v>
      </c>
      <c r="L1585" s="46" t="s">
        <v>2000</v>
      </c>
      <c r="M1585" s="48">
        <v>45256.60292824074</v>
      </c>
    </row>
    <row r="1586">
      <c r="A1586" s="47">
        <v>45256.605616608795</v>
      </c>
      <c r="B1586" s="46" t="s">
        <v>1827</v>
      </c>
      <c r="C1586" s="46">
        <v>8.920249661E9</v>
      </c>
      <c r="D1586" s="46"/>
      <c r="E1586" s="46" t="s">
        <v>1828</v>
      </c>
      <c r="F1586" s="46"/>
      <c r="G1586" s="46" t="s">
        <v>303</v>
      </c>
      <c r="H1586" s="46" t="s">
        <v>706</v>
      </c>
      <c r="I1586" s="46"/>
      <c r="J1586" s="46"/>
      <c r="K1586" s="46" t="str">
        <f>IFERROR(__xludf.DUMMYFUNCTION("if(A1586="""","""",IF(G1586="""",""Myn"",IF(REGEXMATCH(lower(G1586),""mynn""),""Myn"",if(G1586&lt;&gt;"""",""GEMTRE"",""""))))"),"Myn")</f>
        <v>Myn</v>
      </c>
      <c r="L1586" s="46" t="s">
        <v>2000</v>
      </c>
      <c r="M1586" s="48">
        <v>45256.604733796295</v>
      </c>
    </row>
    <row r="1587">
      <c r="A1587" s="47">
        <v>45256.605838194446</v>
      </c>
      <c r="B1587" s="46" t="s">
        <v>1829</v>
      </c>
      <c r="C1587" s="46">
        <v>9.741235457E9</v>
      </c>
      <c r="D1587" s="46"/>
      <c r="E1587" s="46"/>
      <c r="F1587" s="46"/>
      <c r="G1587" s="46" t="s">
        <v>303</v>
      </c>
      <c r="H1587" s="46" t="s">
        <v>701</v>
      </c>
      <c r="I1587" s="46"/>
      <c r="J1587" s="46"/>
      <c r="K1587" s="46" t="str">
        <f>IFERROR(__xludf.DUMMYFUNCTION("if(A1587="""","""",IF(G1587="""",""Myn"",IF(REGEXMATCH(lower(G1587),""mynn""),""Myn"",if(G1587&lt;&gt;"""",""GEMTRE"",""""))))"),"Myn")</f>
        <v>Myn</v>
      </c>
      <c r="L1587" s="46" t="s">
        <v>2000</v>
      </c>
      <c r="M1587" s="48">
        <v>45256.605162037034</v>
      </c>
    </row>
    <row r="1588">
      <c r="A1588" s="47">
        <v>45256.6070038426</v>
      </c>
      <c r="B1588" s="46" t="s">
        <v>1830</v>
      </c>
      <c r="C1588" s="46">
        <v>7.835837852E9</v>
      </c>
      <c r="D1588" s="46"/>
      <c r="E1588" s="46" t="s">
        <v>79</v>
      </c>
      <c r="F1588" s="46"/>
      <c r="G1588" s="46" t="s">
        <v>303</v>
      </c>
      <c r="H1588" s="46" t="s">
        <v>706</v>
      </c>
      <c r="I1588" s="46"/>
      <c r="J1588" s="46"/>
      <c r="K1588" s="46" t="str">
        <f>IFERROR(__xludf.DUMMYFUNCTION("if(A1588="""","""",IF(G1588="""",""Myn"",IF(REGEXMATCH(lower(G1588),""mynn""),""Myn"",if(G1588&lt;&gt;"""",""GEMTRE"",""""))))"),"Myn")</f>
        <v>Myn</v>
      </c>
      <c r="L1588" s="46" t="s">
        <v>2000</v>
      </c>
      <c r="M1588" s="48">
        <v>45256.60563657407</v>
      </c>
    </row>
    <row r="1589">
      <c r="A1589" s="47">
        <v>45256.6072741088</v>
      </c>
      <c r="B1589" s="46" t="s">
        <v>1831</v>
      </c>
      <c r="C1589" s="46">
        <v>7.011671826E9</v>
      </c>
      <c r="D1589" s="46"/>
      <c r="E1589" s="46"/>
      <c r="F1589" s="46"/>
      <c r="G1589" s="46" t="s">
        <v>303</v>
      </c>
      <c r="H1589" s="46" t="s">
        <v>701</v>
      </c>
      <c r="I1589" s="46"/>
      <c r="J1589" s="46"/>
      <c r="K1589" s="46" t="str">
        <f>IFERROR(__xludf.DUMMYFUNCTION("if(A1589="""","""",IF(G1589="""",""Myn"",IF(REGEXMATCH(lower(G1589),""mynn""),""Myn"",if(G1589&lt;&gt;"""",""GEMTRE"",""""))))"),"Myn")</f>
        <v>Myn</v>
      </c>
      <c r="L1589" s="46" t="s">
        <v>2000</v>
      </c>
      <c r="M1589" s="48">
        <v>45256.60586805556</v>
      </c>
    </row>
    <row r="1590">
      <c r="A1590" s="47">
        <v>45256.60758861111</v>
      </c>
      <c r="B1590" s="46" t="s">
        <v>1832</v>
      </c>
      <c r="C1590" s="46">
        <v>9.540709013E9</v>
      </c>
      <c r="D1590" s="46"/>
      <c r="E1590" s="46"/>
      <c r="F1590" s="46"/>
      <c r="G1590" s="46" t="s">
        <v>303</v>
      </c>
      <c r="H1590" s="46" t="s">
        <v>701</v>
      </c>
      <c r="I1590" s="46"/>
      <c r="J1590" s="46"/>
      <c r="K1590" s="46" t="str">
        <f>IFERROR(__xludf.DUMMYFUNCTION("if(A1590="""","""",IF(G1590="""",""Myn"",IF(REGEXMATCH(lower(G1590),""mynn""),""Myn"",if(G1590&lt;&gt;"""",""GEMTRE"",""""))))"),"Myn")</f>
        <v>Myn</v>
      </c>
      <c r="L1590" s="46" t="s">
        <v>2000</v>
      </c>
      <c r="M1590" s="48">
        <v>45256.607037037036</v>
      </c>
    </row>
    <row r="1591">
      <c r="A1591" s="47">
        <v>45256.60805724537</v>
      </c>
      <c r="B1591" s="46" t="s">
        <v>1833</v>
      </c>
      <c r="C1591" s="46">
        <v>9.999240355E9</v>
      </c>
      <c r="D1591" s="46"/>
      <c r="E1591" s="46"/>
      <c r="F1591" s="46"/>
      <c r="G1591" s="46" t="s">
        <v>303</v>
      </c>
      <c r="H1591" s="46" t="s">
        <v>701</v>
      </c>
      <c r="I1591" s="46"/>
      <c r="J1591" s="46"/>
      <c r="K1591" s="46" t="str">
        <f>IFERROR(__xludf.DUMMYFUNCTION("if(A1591="""","""",IF(G1591="""",""Myn"",IF(REGEXMATCH(lower(G1591),""mynn""),""Myn"",if(G1591&lt;&gt;"""",""GEMTRE"",""""))))"),"Myn")</f>
        <v>Myn</v>
      </c>
      <c r="L1591" s="46" t="s">
        <v>2000</v>
      </c>
      <c r="M1591" s="48">
        <v>45256.60729166667</v>
      </c>
    </row>
    <row r="1592">
      <c r="A1592" s="47">
        <v>45256.608103506944</v>
      </c>
      <c r="B1592" s="46" t="s">
        <v>966</v>
      </c>
      <c r="C1592" s="46">
        <v>8.130183355E9</v>
      </c>
      <c r="D1592" s="46"/>
      <c r="E1592" s="46" t="s">
        <v>567</v>
      </c>
      <c r="F1592" s="46"/>
      <c r="G1592" s="46" t="s">
        <v>303</v>
      </c>
      <c r="H1592" s="46" t="s">
        <v>706</v>
      </c>
      <c r="I1592" s="46"/>
      <c r="J1592" s="46"/>
      <c r="K1592" s="46" t="str">
        <f>IFERROR(__xludf.DUMMYFUNCTION("if(A1592="""","""",IF(G1592="""",""Myn"",IF(REGEXMATCH(lower(G1592),""mynn""),""Myn"",if(G1592&lt;&gt;"""",""GEMTRE"",""""))))"),"Myn")</f>
        <v>Myn</v>
      </c>
      <c r="L1592" s="46" t="s">
        <v>2000</v>
      </c>
      <c r="M1592" s="48">
        <v>45256.607615740744</v>
      </c>
    </row>
    <row r="1593">
      <c r="A1593" s="47">
        <v>45256.609702511574</v>
      </c>
      <c r="B1593" s="46" t="s">
        <v>1427</v>
      </c>
      <c r="C1593" s="46">
        <v>8.447581175E9</v>
      </c>
      <c r="D1593" s="46"/>
      <c r="E1593" s="46" t="s">
        <v>567</v>
      </c>
      <c r="F1593" s="46"/>
      <c r="G1593" s="46" t="s">
        <v>303</v>
      </c>
      <c r="H1593" s="46" t="s">
        <v>706</v>
      </c>
      <c r="I1593" s="46"/>
      <c r="J1593" s="46"/>
      <c r="K1593" s="46" t="str">
        <f>IFERROR(__xludf.DUMMYFUNCTION("if(A1593="""","""",IF(G1593="""",""Myn"",IF(REGEXMATCH(lower(G1593),""mynn""),""Myn"",if(G1593&lt;&gt;"""",""GEMTRE"",""""))))"),"Myn")</f>
        <v>Myn</v>
      </c>
      <c r="L1593" s="46" t="s">
        <v>2000</v>
      </c>
      <c r="M1593" s="48">
        <v>45256.608078703706</v>
      </c>
    </row>
    <row r="1594">
      <c r="A1594" s="47">
        <v>45256.60987234954</v>
      </c>
      <c r="B1594" s="46" t="s">
        <v>1834</v>
      </c>
      <c r="C1594" s="46">
        <v>9.810292363E9</v>
      </c>
      <c r="D1594" s="46"/>
      <c r="E1594" s="46" t="s">
        <v>1835</v>
      </c>
      <c r="F1594" s="46"/>
      <c r="G1594" s="46" t="s">
        <v>303</v>
      </c>
      <c r="H1594" s="46" t="s">
        <v>706</v>
      </c>
      <c r="I1594" s="46"/>
      <c r="J1594" s="46"/>
      <c r="K1594" s="46" t="str">
        <f>IFERROR(__xludf.DUMMYFUNCTION("if(A1594="""","""",IF(G1594="""",""Myn"",IF(REGEXMATCH(lower(G1594),""mynn""),""Myn"",if(G1594&lt;&gt;"""",""GEMTRE"",""""))))"),"Myn")</f>
        <v>Myn</v>
      </c>
      <c r="L1594" s="46" t="s">
        <v>2000</v>
      </c>
      <c r="M1594" s="48">
        <v>45256.608125</v>
      </c>
    </row>
    <row r="1595">
      <c r="A1595" s="47">
        <v>45256.61160415509</v>
      </c>
      <c r="B1595" s="46" t="s">
        <v>1836</v>
      </c>
      <c r="C1595" s="46">
        <v>9.99102245E9</v>
      </c>
      <c r="D1595" s="46"/>
      <c r="E1595" s="46"/>
      <c r="F1595" s="46"/>
      <c r="G1595" s="46" t="s">
        <v>303</v>
      </c>
      <c r="H1595" s="46" t="s">
        <v>701</v>
      </c>
      <c r="I1595" s="46"/>
      <c r="J1595" s="46"/>
      <c r="K1595" s="46" t="str">
        <f>IFERROR(__xludf.DUMMYFUNCTION("if(A1595="""","""",IF(G1595="""",""Myn"",IF(REGEXMATCH(lower(G1595),""mynn""),""Myn"",if(G1595&lt;&gt;"""",""GEMTRE"",""""))))"),"Myn")</f>
        <v>Myn</v>
      </c>
      <c r="L1595" s="46" t="s">
        <v>2000</v>
      </c>
      <c r="M1595" s="48">
        <v>45256.60973379629</v>
      </c>
    </row>
    <row r="1596">
      <c r="A1596" s="47">
        <v>45256.61204893519</v>
      </c>
      <c r="B1596" s="46" t="s">
        <v>1837</v>
      </c>
      <c r="C1596" s="46">
        <v>8.92012816E9</v>
      </c>
      <c r="D1596" s="46"/>
      <c r="E1596" s="46" t="s">
        <v>879</v>
      </c>
      <c r="F1596" s="46"/>
      <c r="G1596" s="46" t="s">
        <v>303</v>
      </c>
      <c r="H1596" s="46" t="s">
        <v>706</v>
      </c>
      <c r="I1596" s="46"/>
      <c r="J1596" s="46"/>
      <c r="K1596" s="46" t="str">
        <f>IFERROR(__xludf.DUMMYFUNCTION("if(A1596="""","""",IF(G1596="""",""Myn"",IF(REGEXMATCH(lower(G1596),""mynn""),""Myn"",if(G1596&lt;&gt;"""",""GEMTRE"",""""))))"),"Myn")</f>
        <v>Myn</v>
      </c>
      <c r="L1596" s="46" t="s">
        <v>2000</v>
      </c>
      <c r="M1596" s="48">
        <v>45256.60989583333</v>
      </c>
    </row>
    <row r="1597">
      <c r="A1597" s="47">
        <v>45256.613966793986</v>
      </c>
      <c r="B1597" s="46" t="s">
        <v>649</v>
      </c>
      <c r="C1597" s="46">
        <v>7.678339364E9</v>
      </c>
      <c r="D1597" s="46"/>
      <c r="E1597" s="46" t="s">
        <v>879</v>
      </c>
      <c r="F1597" s="46"/>
      <c r="G1597" s="46" t="s">
        <v>303</v>
      </c>
      <c r="H1597" s="46" t="s">
        <v>706</v>
      </c>
      <c r="I1597" s="46"/>
      <c r="J1597" s="46"/>
      <c r="K1597" s="46" t="str">
        <f>IFERROR(__xludf.DUMMYFUNCTION("if(A1597="""","""",IF(G1597="""",""Myn"",IF(REGEXMATCH(lower(G1597),""mynn""),""Myn"",if(G1597&lt;&gt;"""",""GEMTRE"",""""))))"),"Myn")</f>
        <v>Myn</v>
      </c>
      <c r="L1597" s="46" t="s">
        <v>2000</v>
      </c>
      <c r="M1597" s="48">
        <v>45256.61163194444</v>
      </c>
    </row>
    <row r="1598">
      <c r="A1598" s="47">
        <v>45256.614236180554</v>
      </c>
      <c r="B1598" s="46" t="s">
        <v>1838</v>
      </c>
      <c r="C1598" s="46">
        <v>9.21436978E9</v>
      </c>
      <c r="D1598" s="46"/>
      <c r="E1598" s="46"/>
      <c r="F1598" s="46"/>
      <c r="G1598" s="46" t="s">
        <v>303</v>
      </c>
      <c r="H1598" s="46" t="s">
        <v>701</v>
      </c>
      <c r="I1598" s="46"/>
      <c r="J1598" s="46"/>
      <c r="K1598" s="46" t="str">
        <f>IFERROR(__xludf.DUMMYFUNCTION("if(A1598="""","""",IF(G1598="""",""Myn"",IF(REGEXMATCH(lower(G1598),""mynn""),""Myn"",if(G1598&lt;&gt;"""",""GEMTRE"",""""))))"),"Myn")</f>
        <v>Myn</v>
      </c>
      <c r="L1598" s="46" t="s">
        <v>2000</v>
      </c>
      <c r="M1598" s="48">
        <v>45256.61208333333</v>
      </c>
    </row>
    <row r="1599">
      <c r="A1599" s="47">
        <v>45256.621499270834</v>
      </c>
      <c r="B1599" s="46" t="s">
        <v>219</v>
      </c>
      <c r="C1599" s="46">
        <v>8.810545235E9</v>
      </c>
      <c r="D1599" s="46"/>
      <c r="E1599" s="46" t="s">
        <v>79</v>
      </c>
      <c r="F1599" s="46"/>
      <c r="G1599" s="46" t="s">
        <v>303</v>
      </c>
      <c r="H1599" s="46" t="s">
        <v>706</v>
      </c>
      <c r="I1599" s="46"/>
      <c r="J1599" s="46"/>
      <c r="K1599" s="46" t="str">
        <f>IFERROR(__xludf.DUMMYFUNCTION("if(A1599="""","""",IF(G1599="""",""Myn"",IF(REGEXMATCH(lower(G1599),""mynn""),""Myn"",if(G1599&lt;&gt;"""",""GEMTRE"",""""))))"),"Myn")</f>
        <v>Myn</v>
      </c>
      <c r="L1599" s="46" t="s">
        <v>2000</v>
      </c>
      <c r="M1599" s="48">
        <v>45256.61399305556</v>
      </c>
    </row>
    <row r="1600">
      <c r="A1600" s="47">
        <v>45256.62292087963</v>
      </c>
      <c r="B1600" s="46" t="s">
        <v>1839</v>
      </c>
      <c r="C1600" s="46">
        <v>6.395024487E9</v>
      </c>
      <c r="D1600" s="46"/>
      <c r="E1600" s="46"/>
      <c r="F1600" s="46"/>
      <c r="G1600" s="46" t="s">
        <v>303</v>
      </c>
      <c r="H1600" s="46" t="s">
        <v>701</v>
      </c>
      <c r="I1600" s="46"/>
      <c r="J1600" s="46"/>
      <c r="K1600" s="46" t="str">
        <f>IFERROR(__xludf.DUMMYFUNCTION("if(A1600="""","""",IF(G1600="""",""Myn"",IF(REGEXMATCH(lower(G1600),""mynn""),""Myn"",if(G1600&lt;&gt;"""",""GEMTRE"",""""))))"),"Myn")</f>
        <v>Myn</v>
      </c>
      <c r="L1600" s="46" t="s">
        <v>2000</v>
      </c>
      <c r="M1600" s="48">
        <v>45256.614270833335</v>
      </c>
    </row>
    <row r="1601">
      <c r="A1601" s="47">
        <v>45256.62662681713</v>
      </c>
      <c r="B1601" s="46" t="s">
        <v>1840</v>
      </c>
      <c r="C1601" s="46">
        <v>8.384082024E9</v>
      </c>
      <c r="D1601" s="46"/>
      <c r="E1601" s="46" t="s">
        <v>79</v>
      </c>
      <c r="F1601" s="46"/>
      <c r="G1601" s="46" t="s">
        <v>303</v>
      </c>
      <c r="H1601" s="46" t="s">
        <v>706</v>
      </c>
      <c r="I1601" s="46"/>
      <c r="J1601" s="46"/>
      <c r="K1601" s="46" t="str">
        <f>IFERROR(__xludf.DUMMYFUNCTION("if(A1601="""","""",IF(G1601="""",""Myn"",IF(REGEXMATCH(lower(G1601),""mynn""),""Myn"",if(G1601&lt;&gt;"""",""GEMTRE"",""""))))"),"Myn")</f>
        <v>Myn</v>
      </c>
      <c r="L1601" s="46" t="s">
        <v>2000</v>
      </c>
      <c r="M1601" s="48">
        <v>45256.621516203704</v>
      </c>
    </row>
    <row r="1602">
      <c r="A1602" s="47">
        <v>45256.62755685185</v>
      </c>
      <c r="B1602" s="46" t="s">
        <v>1841</v>
      </c>
      <c r="C1602" s="46">
        <v>8.447181611E9</v>
      </c>
      <c r="D1602" s="46"/>
      <c r="E1602" s="46"/>
      <c r="F1602" s="46"/>
      <c r="G1602" s="46" t="s">
        <v>303</v>
      </c>
      <c r="H1602" s="46" t="s">
        <v>701</v>
      </c>
      <c r="I1602" s="46"/>
      <c r="J1602" s="46"/>
      <c r="K1602" s="46" t="str">
        <f>IFERROR(__xludf.DUMMYFUNCTION("if(A1602="""","""",IF(G1602="""",""Myn"",IF(REGEXMATCH(lower(G1602),""mynn""),""Myn"",if(G1602&lt;&gt;"""",""GEMTRE"",""""))))"),"Myn")</f>
        <v>Myn</v>
      </c>
      <c r="L1602" s="46" t="s">
        <v>2000</v>
      </c>
      <c r="M1602" s="48">
        <v>45256.62293981481</v>
      </c>
    </row>
    <row r="1603">
      <c r="A1603" s="47">
        <v>45256.628159224536</v>
      </c>
      <c r="B1603" s="46" t="s">
        <v>252</v>
      </c>
      <c r="C1603" s="46">
        <v>8.920031297E9</v>
      </c>
      <c r="D1603" s="46"/>
      <c r="E1603" s="46" t="s">
        <v>143</v>
      </c>
      <c r="F1603" s="46"/>
      <c r="G1603" s="46" t="s">
        <v>303</v>
      </c>
      <c r="H1603" s="46" t="s">
        <v>706</v>
      </c>
      <c r="I1603" s="46"/>
      <c r="J1603" s="46"/>
      <c r="K1603" s="46" t="str">
        <f>IFERROR(__xludf.DUMMYFUNCTION("if(A1603="""","""",IF(G1603="""",""Myn"",IF(REGEXMATCH(lower(G1603),""mynn""),""Myn"",if(G1603&lt;&gt;"""",""GEMTRE"",""""))))"),"Myn")</f>
        <v>Myn</v>
      </c>
      <c r="L1603" s="46" t="s">
        <v>2000</v>
      </c>
      <c r="M1603" s="48">
        <v>45256.62664351852</v>
      </c>
    </row>
    <row r="1604">
      <c r="A1604" s="47">
        <v>45256.62856398148</v>
      </c>
      <c r="B1604" s="46" t="s">
        <v>1842</v>
      </c>
      <c r="C1604" s="46">
        <v>7.011317685E9</v>
      </c>
      <c r="D1604" s="46"/>
      <c r="E1604" s="46"/>
      <c r="F1604" s="46"/>
      <c r="G1604" s="46" t="s">
        <v>303</v>
      </c>
      <c r="H1604" s="46" t="s">
        <v>701</v>
      </c>
      <c r="I1604" s="46"/>
      <c r="J1604" s="46"/>
      <c r="K1604" s="46" t="str">
        <f>IFERROR(__xludf.DUMMYFUNCTION("if(A1604="""","""",IF(G1604="""",""Myn"",IF(REGEXMATCH(lower(G1604),""mynn""),""Myn"",if(G1604&lt;&gt;"""",""GEMTRE"",""""))))"),"Myn")</f>
        <v>Myn</v>
      </c>
      <c r="L1604" s="46" t="s">
        <v>2000</v>
      </c>
      <c r="M1604" s="48">
        <v>45256.62758101852</v>
      </c>
    </row>
    <row r="1605">
      <c r="A1605" s="47">
        <v>45256.62898865741</v>
      </c>
      <c r="B1605" s="46" t="s">
        <v>1843</v>
      </c>
      <c r="C1605" s="46">
        <v>9.971518201E9</v>
      </c>
      <c r="D1605" s="46"/>
      <c r="E1605" s="46"/>
      <c r="F1605" s="46"/>
      <c r="G1605" s="46" t="s">
        <v>303</v>
      </c>
      <c r="H1605" s="46" t="s">
        <v>701</v>
      </c>
      <c r="I1605" s="46"/>
      <c r="J1605" s="46"/>
      <c r="K1605" s="46" t="str">
        <f>IFERROR(__xludf.DUMMYFUNCTION("if(A1605="""","""",IF(G1605="""",""Myn"",IF(REGEXMATCH(lower(G1605),""mynn""),""Myn"",if(G1605&lt;&gt;"""",""GEMTRE"",""""))))"),"Myn")</f>
        <v>Myn</v>
      </c>
      <c r="L1605" s="46" t="s">
        <v>2000</v>
      </c>
      <c r="M1605" s="48">
        <v>45256.62818287037</v>
      </c>
    </row>
    <row r="1606">
      <c r="A1606" s="47">
        <v>45256.62954019676</v>
      </c>
      <c r="B1606" s="46" t="s">
        <v>1844</v>
      </c>
      <c r="C1606" s="46">
        <v>9.315306715E9</v>
      </c>
      <c r="D1606" s="46"/>
      <c r="E1606" s="46" t="s">
        <v>1139</v>
      </c>
      <c r="F1606" s="46"/>
      <c r="G1606" s="46" t="s">
        <v>303</v>
      </c>
      <c r="H1606" s="46" t="s">
        <v>706</v>
      </c>
      <c r="I1606" s="46"/>
      <c r="J1606" s="46"/>
      <c r="K1606" s="46" t="str">
        <f>IFERROR(__xludf.DUMMYFUNCTION("if(A1606="""","""",IF(G1606="""",""Myn"",IF(REGEXMATCH(lower(G1606),""mynn""),""Myn"",if(G1606&lt;&gt;"""",""GEMTRE"",""""))))"),"Myn")</f>
        <v>Myn</v>
      </c>
      <c r="L1606" s="46" t="s">
        <v>2000</v>
      </c>
      <c r="M1606" s="48">
        <v>45256.628587962965</v>
      </c>
    </row>
    <row r="1607">
      <c r="A1607" s="47">
        <v>45256.63041302083</v>
      </c>
      <c r="B1607" s="46" t="s">
        <v>1845</v>
      </c>
      <c r="C1607" s="46">
        <v>9.650850911E9</v>
      </c>
      <c r="D1607" s="46"/>
      <c r="E1607" s="46" t="s">
        <v>1139</v>
      </c>
      <c r="F1607" s="46"/>
      <c r="G1607" s="46" t="s">
        <v>303</v>
      </c>
      <c r="H1607" s="46" t="s">
        <v>706</v>
      </c>
      <c r="I1607" s="46"/>
      <c r="J1607" s="46"/>
      <c r="K1607" s="46" t="str">
        <f>IFERROR(__xludf.DUMMYFUNCTION("if(A1607="""","""",IF(G1607="""",""Myn"",IF(REGEXMATCH(lower(G1607),""mynn""),""Myn"",if(G1607&lt;&gt;"""",""GEMTRE"",""""))))"),"Myn")</f>
        <v>Myn</v>
      </c>
      <c r="L1607" s="46" t="s">
        <v>2000</v>
      </c>
      <c r="M1607" s="48">
        <v>45256.629016203704</v>
      </c>
    </row>
    <row r="1608">
      <c r="A1608" s="47">
        <v>45256.63365949074</v>
      </c>
      <c r="B1608" s="46" t="s">
        <v>716</v>
      </c>
      <c r="C1608" s="46">
        <v>9.899356565E9</v>
      </c>
      <c r="D1608" s="46"/>
      <c r="E1608" s="46" t="s">
        <v>82</v>
      </c>
      <c r="F1608" s="46"/>
      <c r="G1608" s="46" t="s">
        <v>303</v>
      </c>
      <c r="H1608" s="46" t="s">
        <v>706</v>
      </c>
      <c r="I1608" s="46"/>
      <c r="J1608" s="46"/>
      <c r="K1608" s="46" t="str">
        <f>IFERROR(__xludf.DUMMYFUNCTION("if(A1608="""","""",IF(G1608="""",""Myn"",IF(REGEXMATCH(lower(G1608),""mynn""),""Myn"",if(G1608&lt;&gt;"""",""GEMTRE"",""""))))"),"Myn")</f>
        <v>Myn</v>
      </c>
      <c r="L1608" s="46" t="s">
        <v>2000</v>
      </c>
      <c r="M1608" s="48">
        <v>45256.62957175926</v>
      </c>
    </row>
    <row r="1609">
      <c r="A1609" s="47">
        <v>45256.635095949074</v>
      </c>
      <c r="B1609" s="46" t="s">
        <v>1846</v>
      </c>
      <c r="C1609" s="46">
        <v>9.89117536E9</v>
      </c>
      <c r="D1609" s="46"/>
      <c r="E1609" s="46" t="s">
        <v>1847</v>
      </c>
      <c r="F1609" s="46"/>
      <c r="G1609" s="46" t="s">
        <v>303</v>
      </c>
      <c r="H1609" s="46" t="s">
        <v>706</v>
      </c>
      <c r="I1609" s="46"/>
      <c r="J1609" s="46"/>
      <c r="K1609" s="46" t="str">
        <f>IFERROR(__xludf.DUMMYFUNCTION("if(A1609="""","""",IF(G1609="""",""Myn"",IF(REGEXMATCH(lower(G1609),""mynn""),""Myn"",if(G1609&lt;&gt;"""",""GEMTRE"",""""))))"),"Myn")</f>
        <v>Myn</v>
      </c>
      <c r="L1609" s="46" t="s">
        <v>2000</v>
      </c>
      <c r="M1609" s="48">
        <v>45256.63043981481</v>
      </c>
    </row>
    <row r="1610">
      <c r="A1610" s="47">
        <v>45256.63687760416</v>
      </c>
      <c r="B1610" s="46" t="s">
        <v>1848</v>
      </c>
      <c r="C1610" s="46">
        <v>9.625871071E9</v>
      </c>
      <c r="D1610" s="46"/>
      <c r="E1610" s="46" t="s">
        <v>21</v>
      </c>
      <c r="F1610" s="46"/>
      <c r="G1610" s="46" t="s">
        <v>303</v>
      </c>
      <c r="H1610" s="46" t="s">
        <v>701</v>
      </c>
      <c r="I1610" s="46"/>
      <c r="J1610" s="46"/>
      <c r="K1610" s="46" t="str">
        <f>IFERROR(__xludf.DUMMYFUNCTION("if(A1610="""","""",IF(G1610="""",""Myn"",IF(REGEXMATCH(lower(G1610),""mynn""),""Myn"",if(G1610&lt;&gt;"""",""GEMTRE"",""""))))"),"Myn")</f>
        <v>Myn</v>
      </c>
      <c r="L1610" s="46" t="s">
        <v>2000</v>
      </c>
      <c r="M1610" s="48">
        <v>45256.63369212963</v>
      </c>
    </row>
    <row r="1611">
      <c r="A1611" s="47">
        <v>45256.63762642361</v>
      </c>
      <c r="B1611" s="46" t="s">
        <v>1849</v>
      </c>
      <c r="C1611" s="46">
        <v>8.375086586E9</v>
      </c>
      <c r="D1611" s="46"/>
      <c r="E1611" s="46" t="s">
        <v>51</v>
      </c>
      <c r="F1611" s="46"/>
      <c r="G1611" s="46" t="s">
        <v>303</v>
      </c>
      <c r="H1611" s="46" t="s">
        <v>706</v>
      </c>
      <c r="I1611" s="46"/>
      <c r="J1611" s="46"/>
      <c r="K1611" s="46" t="str">
        <f>IFERROR(__xludf.DUMMYFUNCTION("if(A1611="""","""",IF(G1611="""",""Myn"",IF(REGEXMATCH(lower(G1611),""mynn""),""Myn"",if(G1611&lt;&gt;"""",""GEMTRE"",""""))))"),"Myn")</f>
        <v>Myn</v>
      </c>
      <c r="L1611" s="46" t="s">
        <v>2000</v>
      </c>
      <c r="M1611" s="48">
        <v>45256.63511574074</v>
      </c>
    </row>
    <row r="1612">
      <c r="A1612" s="47">
        <v>45256.63908986111</v>
      </c>
      <c r="B1612" s="46" t="s">
        <v>1850</v>
      </c>
      <c r="C1612" s="46">
        <v>8.130819268E9</v>
      </c>
      <c r="D1612" s="46"/>
      <c r="E1612" s="46"/>
      <c r="F1612" s="46"/>
      <c r="G1612" s="46" t="s">
        <v>303</v>
      </c>
      <c r="H1612" s="46" t="s">
        <v>701</v>
      </c>
      <c r="I1612" s="46"/>
      <c r="J1612" s="46"/>
      <c r="K1612" s="46" t="str">
        <f>IFERROR(__xludf.DUMMYFUNCTION("if(A1612="""","""",IF(G1612="""",""Myn"",IF(REGEXMATCH(lower(G1612),""mynn""),""Myn"",if(G1612&lt;&gt;"""",""GEMTRE"",""""))))"),"Myn")</f>
        <v>Myn</v>
      </c>
      <c r="L1612" s="46" t="s">
        <v>2000</v>
      </c>
      <c r="M1612" s="48">
        <v>45256.63690972222</v>
      </c>
    </row>
    <row r="1613">
      <c r="A1613" s="47">
        <v>45256.64083429398</v>
      </c>
      <c r="B1613" s="46" t="s">
        <v>1851</v>
      </c>
      <c r="C1613" s="46">
        <v>7.406770001E9</v>
      </c>
      <c r="D1613" s="46"/>
      <c r="E1613" s="46" t="s">
        <v>1852</v>
      </c>
      <c r="F1613" s="46"/>
      <c r="G1613" s="46" t="s">
        <v>303</v>
      </c>
      <c r="H1613" s="46" t="s">
        <v>706</v>
      </c>
      <c r="I1613" s="46"/>
      <c r="J1613" s="46"/>
      <c r="K1613" s="46" t="str">
        <f>IFERROR(__xludf.DUMMYFUNCTION("if(A1613="""","""",IF(G1613="""",""Myn"",IF(REGEXMATCH(lower(G1613),""mynn""),""Myn"",if(G1613&lt;&gt;"""",""GEMTRE"",""""))))"),"Myn")</f>
        <v>Myn</v>
      </c>
      <c r="L1613" s="46" t="s">
        <v>2000</v>
      </c>
      <c r="M1613" s="48">
        <v>45256.637650462966</v>
      </c>
    </row>
    <row r="1614">
      <c r="A1614" s="47">
        <v>45256.64118413195</v>
      </c>
      <c r="B1614" s="46" t="s">
        <v>529</v>
      </c>
      <c r="C1614" s="46">
        <v>7.838584066E9</v>
      </c>
      <c r="D1614" s="46"/>
      <c r="E1614" s="46" t="s">
        <v>21</v>
      </c>
      <c r="F1614" s="46"/>
      <c r="G1614" s="46" t="s">
        <v>303</v>
      </c>
      <c r="H1614" s="46" t="s">
        <v>706</v>
      </c>
      <c r="I1614" s="46"/>
      <c r="J1614" s="46"/>
      <c r="K1614" s="46" t="str">
        <f>IFERROR(__xludf.DUMMYFUNCTION("if(A1614="""","""",IF(G1614="""",""Myn"",IF(REGEXMATCH(lower(G1614),""mynn""),""Myn"",if(G1614&lt;&gt;"""",""GEMTRE"",""""))))"),"Myn")</f>
        <v>Myn</v>
      </c>
      <c r="L1614" s="46" t="s">
        <v>2000</v>
      </c>
      <c r="M1614" s="48">
        <v>45256.63912037037</v>
      </c>
    </row>
    <row r="1615">
      <c r="A1615" s="47">
        <v>45256.64187048611</v>
      </c>
      <c r="B1615" s="46" t="s">
        <v>1853</v>
      </c>
      <c r="C1615" s="46">
        <v>9.911680695E9</v>
      </c>
      <c r="D1615" s="46"/>
      <c r="E1615" s="46"/>
      <c r="F1615" s="46"/>
      <c r="G1615" s="46" t="s">
        <v>303</v>
      </c>
      <c r="H1615" s="46" t="s">
        <v>701</v>
      </c>
      <c r="I1615" s="46"/>
      <c r="J1615" s="46"/>
      <c r="K1615" s="46" t="str">
        <f>IFERROR(__xludf.DUMMYFUNCTION("if(A1615="""","""",IF(G1615="""",""Myn"",IF(REGEXMATCH(lower(G1615),""mynn""),""Myn"",if(G1615&lt;&gt;"""",""GEMTRE"",""""))))"),"Myn")</f>
        <v>Myn</v>
      </c>
      <c r="L1615" s="46" t="s">
        <v>2000</v>
      </c>
      <c r="M1615" s="48">
        <v>45256.640856481485</v>
      </c>
    </row>
    <row r="1616">
      <c r="A1616" s="47">
        <v>45256.64458652778</v>
      </c>
      <c r="B1616" s="46" t="s">
        <v>1854</v>
      </c>
      <c r="C1616" s="46">
        <v>9.250940985E9</v>
      </c>
      <c r="D1616" s="46"/>
      <c r="E1616" s="46"/>
      <c r="F1616" s="46"/>
      <c r="G1616" s="46" t="s">
        <v>303</v>
      </c>
      <c r="H1616" s="46" t="s">
        <v>701</v>
      </c>
      <c r="I1616" s="46"/>
      <c r="J1616" s="46"/>
      <c r="K1616" s="46" t="str">
        <f>IFERROR(__xludf.DUMMYFUNCTION("if(A1616="""","""",IF(G1616="""",""Myn"",IF(REGEXMATCH(lower(G1616),""mynn""),""Myn"",if(G1616&lt;&gt;"""",""GEMTRE"",""""))))"),"Myn")</f>
        <v>Myn</v>
      </c>
      <c r="L1616" s="46" t="s">
        <v>2000</v>
      </c>
      <c r="M1616" s="48">
        <v>45256.64121527778</v>
      </c>
    </row>
    <row r="1617">
      <c r="A1617" s="47">
        <v>45256.64694719907</v>
      </c>
      <c r="B1617" s="46" t="s">
        <v>997</v>
      </c>
      <c r="C1617" s="46">
        <v>9.891175666E9</v>
      </c>
      <c r="D1617" s="46"/>
      <c r="E1617" s="46"/>
      <c r="F1617" s="46"/>
      <c r="G1617" s="46" t="s">
        <v>303</v>
      </c>
      <c r="H1617" s="46" t="s">
        <v>701</v>
      </c>
      <c r="I1617" s="46"/>
      <c r="J1617" s="46"/>
      <c r="K1617" s="46" t="str">
        <f>IFERROR(__xludf.DUMMYFUNCTION("if(A1617="""","""",IF(G1617="""",""Myn"",IF(REGEXMATCH(lower(G1617),""mynn""),""Myn"",if(G1617&lt;&gt;"""",""GEMTRE"",""""))))"),"Myn")</f>
        <v>Myn</v>
      </c>
      <c r="L1617" s="46" t="s">
        <v>2000</v>
      </c>
      <c r="M1617" s="48">
        <v>45256.641909722224</v>
      </c>
    </row>
    <row r="1618">
      <c r="A1618" s="47">
        <v>45256.64951682871</v>
      </c>
      <c r="B1618" s="46" t="s">
        <v>1855</v>
      </c>
      <c r="C1618" s="46">
        <v>9.560913841E9</v>
      </c>
      <c r="D1618" s="46"/>
      <c r="E1618" s="46"/>
      <c r="F1618" s="46"/>
      <c r="G1618" s="46" t="s">
        <v>303</v>
      </c>
      <c r="H1618" s="46" t="s">
        <v>701</v>
      </c>
      <c r="I1618" s="46"/>
      <c r="J1618" s="46"/>
      <c r="K1618" s="46" t="str">
        <f>IFERROR(__xludf.DUMMYFUNCTION("if(A1618="""","""",IF(G1618="""",""Myn"",IF(REGEXMATCH(lower(G1618),""mynn""),""Myn"",if(G1618&lt;&gt;"""",""GEMTRE"",""""))))"),"Myn")</f>
        <v>Myn</v>
      </c>
      <c r="L1618" s="46" t="s">
        <v>2000</v>
      </c>
      <c r="M1618" s="48">
        <v>45256.64460648148</v>
      </c>
    </row>
    <row r="1619">
      <c r="A1619" s="47">
        <v>45256.65312636574</v>
      </c>
      <c r="B1619" s="46" t="s">
        <v>1856</v>
      </c>
      <c r="C1619" s="46">
        <v>9.315506023E9</v>
      </c>
      <c r="D1619" s="46"/>
      <c r="E1619" s="46"/>
      <c r="F1619" s="46"/>
      <c r="G1619" s="46" t="s">
        <v>303</v>
      </c>
      <c r="H1619" s="46" t="s">
        <v>701</v>
      </c>
      <c r="I1619" s="46"/>
      <c r="J1619" s="46"/>
      <c r="K1619" s="46" t="str">
        <f>IFERROR(__xludf.DUMMYFUNCTION("if(A1619="""","""",IF(G1619="""",""Myn"",IF(REGEXMATCH(lower(G1619),""mynn""),""Myn"",if(G1619&lt;&gt;"""",""GEMTRE"",""""))))"),"Myn")</f>
        <v>Myn</v>
      </c>
      <c r="L1619" s="46" t="s">
        <v>2000</v>
      </c>
      <c r="M1619" s="48">
        <v>45256.64697916667</v>
      </c>
    </row>
    <row r="1620">
      <c r="A1620" s="47">
        <v>45256.65454001157</v>
      </c>
      <c r="B1620" s="46" t="s">
        <v>1857</v>
      </c>
      <c r="C1620" s="46">
        <v>9.990945214E9</v>
      </c>
      <c r="D1620" s="46"/>
      <c r="E1620" s="46" t="s">
        <v>13</v>
      </c>
      <c r="F1620" s="46"/>
      <c r="G1620" s="46" t="s">
        <v>303</v>
      </c>
      <c r="H1620" s="46" t="s">
        <v>706</v>
      </c>
      <c r="I1620" s="46"/>
      <c r="J1620" s="46"/>
      <c r="K1620" s="46" t="str">
        <f>IFERROR(__xludf.DUMMYFUNCTION("if(A1620="""","""",IF(G1620="""",""Myn"",IF(REGEXMATCH(lower(G1620),""mynn""),""Myn"",if(G1620&lt;&gt;"""",""GEMTRE"",""""))))"),"Myn")</f>
        <v>Myn</v>
      </c>
      <c r="L1620" s="46" t="s">
        <v>2000</v>
      </c>
      <c r="M1620" s="48">
        <v>45256.64954861111</v>
      </c>
    </row>
    <row r="1621">
      <c r="A1621" s="47">
        <v>45256.654789016204</v>
      </c>
      <c r="B1621" s="46" t="s">
        <v>1858</v>
      </c>
      <c r="C1621" s="46">
        <v>9.891093288E9</v>
      </c>
      <c r="D1621" s="46"/>
      <c r="E1621" s="46"/>
      <c r="F1621" s="46"/>
      <c r="G1621" s="46" t="s">
        <v>303</v>
      </c>
      <c r="H1621" s="46" t="s">
        <v>701</v>
      </c>
      <c r="I1621" s="46"/>
      <c r="J1621" s="46"/>
      <c r="K1621" s="46" t="str">
        <f>IFERROR(__xludf.DUMMYFUNCTION("if(A1621="""","""",IF(G1621="""",""Myn"",IF(REGEXMATCH(lower(G1621),""mynn""),""Myn"",if(G1621&lt;&gt;"""",""GEMTRE"",""""))))"),"Myn")</f>
        <v>Myn</v>
      </c>
      <c r="L1621" s="46" t="s">
        <v>2000</v>
      </c>
      <c r="M1621" s="48">
        <v>45256.65314814815</v>
      </c>
    </row>
    <row r="1622">
      <c r="A1622" s="47">
        <v>45256.65624163194</v>
      </c>
      <c r="B1622" s="46" t="s">
        <v>1859</v>
      </c>
      <c r="C1622" s="46">
        <v>7.30333065E9</v>
      </c>
      <c r="D1622" s="46"/>
      <c r="E1622" s="46" t="s">
        <v>879</v>
      </c>
      <c r="F1622" s="46"/>
      <c r="G1622" s="46" t="s">
        <v>303</v>
      </c>
      <c r="H1622" s="46" t="s">
        <v>706</v>
      </c>
      <c r="I1622" s="46"/>
      <c r="J1622" s="46"/>
      <c r="K1622" s="46" t="str">
        <f>IFERROR(__xludf.DUMMYFUNCTION("if(A1622="""","""",IF(G1622="""",""Myn"",IF(REGEXMATCH(lower(G1622),""mynn""),""Myn"",if(G1622&lt;&gt;"""",""GEMTRE"",""""))))"),"Myn")</f>
        <v>Myn</v>
      </c>
      <c r="L1622" s="46" t="s">
        <v>2000</v>
      </c>
      <c r="M1622" s="48">
        <v>45256.65457175926</v>
      </c>
    </row>
    <row r="1623">
      <c r="A1623" s="47">
        <v>45256.65695628472</v>
      </c>
      <c r="B1623" s="46" t="s">
        <v>1860</v>
      </c>
      <c r="C1623" s="46">
        <v>9.899356015E9</v>
      </c>
      <c r="D1623" s="46"/>
      <c r="E1623" s="46" t="s">
        <v>79</v>
      </c>
      <c r="F1623" s="46"/>
      <c r="G1623" s="46" t="s">
        <v>303</v>
      </c>
      <c r="H1623" s="46" t="s">
        <v>706</v>
      </c>
      <c r="I1623" s="46"/>
      <c r="J1623" s="46"/>
      <c r="K1623" s="46" t="str">
        <f>IFERROR(__xludf.DUMMYFUNCTION("if(A1623="""","""",IF(G1623="""",""Myn"",IF(REGEXMATCH(lower(G1623),""mynn""),""Myn"",if(G1623&lt;&gt;"""",""GEMTRE"",""""))))"),"Myn")</f>
        <v>Myn</v>
      </c>
      <c r="L1623" s="46" t="s">
        <v>2000</v>
      </c>
      <c r="M1623" s="48">
        <v>45256.654814814814</v>
      </c>
    </row>
    <row r="1624">
      <c r="A1624" s="47">
        <v>45256.65755567129</v>
      </c>
      <c r="B1624" s="46" t="s">
        <v>1861</v>
      </c>
      <c r="C1624" s="46">
        <v>7.451952904E9</v>
      </c>
      <c r="D1624" s="46"/>
      <c r="E1624" s="46"/>
      <c r="F1624" s="46"/>
      <c r="G1624" s="46" t="s">
        <v>303</v>
      </c>
      <c r="H1624" s="46" t="s">
        <v>701</v>
      </c>
      <c r="I1624" s="46"/>
      <c r="J1624" s="46"/>
      <c r="K1624" s="46" t="str">
        <f>IFERROR(__xludf.DUMMYFUNCTION("if(A1624="""","""",IF(G1624="""",""Myn"",IF(REGEXMATCH(lower(G1624),""mynn""),""Myn"",if(G1624&lt;&gt;"""",""GEMTRE"",""""))))"),"Myn")</f>
        <v>Myn</v>
      </c>
      <c r="L1624" s="46" t="s">
        <v>2000</v>
      </c>
      <c r="M1624" s="48">
        <v>45256.656273148146</v>
      </c>
    </row>
    <row r="1625">
      <c r="A1625" s="47">
        <v>45256.65780177084</v>
      </c>
      <c r="B1625" s="46" t="s">
        <v>907</v>
      </c>
      <c r="C1625" s="46">
        <v>8.218631745E9</v>
      </c>
      <c r="D1625" s="46"/>
      <c r="E1625" s="46" t="s">
        <v>79</v>
      </c>
      <c r="F1625" s="46"/>
      <c r="G1625" s="46" t="s">
        <v>303</v>
      </c>
      <c r="H1625" s="46" t="s">
        <v>706</v>
      </c>
      <c r="I1625" s="46"/>
      <c r="J1625" s="46"/>
      <c r="K1625" s="46" t="str">
        <f>IFERROR(__xludf.DUMMYFUNCTION("if(A1625="""","""",IF(G1625="""",""Myn"",IF(REGEXMATCH(lower(G1625),""mynn""),""Myn"",if(G1625&lt;&gt;"""",""GEMTRE"",""""))))"),"Myn")</f>
        <v>Myn</v>
      </c>
      <c r="L1625" s="46" t="s">
        <v>2000</v>
      </c>
      <c r="M1625" s="48">
        <v>45256.65697916667</v>
      </c>
    </row>
    <row r="1626">
      <c r="A1626" s="47">
        <v>45256.658089895835</v>
      </c>
      <c r="B1626" s="46" t="s">
        <v>1862</v>
      </c>
      <c r="C1626" s="46">
        <v>9.643088041E9</v>
      </c>
      <c r="D1626" s="46"/>
      <c r="E1626" s="46"/>
      <c r="F1626" s="46"/>
      <c r="G1626" s="46" t="s">
        <v>303</v>
      </c>
      <c r="H1626" s="46" t="s">
        <v>701</v>
      </c>
      <c r="I1626" s="46"/>
      <c r="J1626" s="46"/>
      <c r="K1626" s="46" t="str">
        <f>IFERROR(__xludf.DUMMYFUNCTION("if(A1626="""","""",IF(G1626="""",""Myn"",IF(REGEXMATCH(lower(G1626),""mynn""),""Myn"",if(G1626&lt;&gt;"""",""GEMTRE"",""""))))"),"Myn")</f>
        <v>Myn</v>
      </c>
      <c r="L1626" s="46" t="s">
        <v>2000</v>
      </c>
      <c r="M1626" s="48">
        <v>45256.65758101852</v>
      </c>
    </row>
    <row r="1627">
      <c r="A1627" s="47">
        <v>45256.65842479166</v>
      </c>
      <c r="B1627" s="46" t="s">
        <v>1863</v>
      </c>
      <c r="C1627" s="46">
        <v>9.953753268E9</v>
      </c>
      <c r="D1627" s="46"/>
      <c r="E1627" s="46"/>
      <c r="F1627" s="46"/>
      <c r="G1627" s="46" t="s">
        <v>303</v>
      </c>
      <c r="H1627" s="46" t="s">
        <v>706</v>
      </c>
      <c r="I1627" s="46"/>
      <c r="J1627" s="46"/>
      <c r="K1627" s="46" t="str">
        <f>IFERROR(__xludf.DUMMYFUNCTION("if(A1627="""","""",IF(G1627="""",""Myn"",IF(REGEXMATCH(lower(G1627),""mynn""),""Myn"",if(G1627&lt;&gt;"""",""GEMTRE"",""""))))"),"Myn")</f>
        <v>Myn</v>
      </c>
      <c r="L1627" s="46" t="s">
        <v>2000</v>
      </c>
      <c r="M1627" s="48">
        <v>45256.65793981482</v>
      </c>
    </row>
    <row r="1628">
      <c r="A1628" s="47">
        <v>45256.65871716435</v>
      </c>
      <c r="B1628" s="46" t="s">
        <v>161</v>
      </c>
      <c r="C1628" s="46">
        <v>7.065914305E9</v>
      </c>
      <c r="D1628" s="46"/>
      <c r="E1628" s="46"/>
      <c r="F1628" s="46"/>
      <c r="G1628" s="46" t="s">
        <v>303</v>
      </c>
      <c r="H1628" s="46" t="s">
        <v>701</v>
      </c>
      <c r="I1628" s="46"/>
      <c r="J1628" s="46"/>
      <c r="K1628" s="46" t="str">
        <f>IFERROR(__xludf.DUMMYFUNCTION("if(A1628="""","""",IF(G1628="""",""Myn"",IF(REGEXMATCH(lower(G1628),""mynn""),""Myn"",if(G1628&lt;&gt;"""",""GEMTRE"",""""))))"),"Myn")</f>
        <v>Myn</v>
      </c>
      <c r="L1628" s="46" t="s">
        <v>2000</v>
      </c>
      <c r="M1628" s="48">
        <v>45256.658125</v>
      </c>
    </row>
    <row r="1629">
      <c r="A1629" s="47">
        <v>45256.65896083333</v>
      </c>
      <c r="B1629" s="46" t="s">
        <v>1864</v>
      </c>
      <c r="C1629" s="46">
        <v>9.015857505E9</v>
      </c>
      <c r="D1629" s="46"/>
      <c r="E1629" s="46" t="s">
        <v>39</v>
      </c>
      <c r="F1629" s="46"/>
      <c r="G1629" s="46" t="s">
        <v>303</v>
      </c>
      <c r="H1629" s="46" t="s">
        <v>706</v>
      </c>
      <c r="I1629" s="46"/>
      <c r="J1629" s="46"/>
      <c r="K1629" s="46" t="str">
        <f>IFERROR(__xludf.DUMMYFUNCTION("if(A1629="""","""",IF(G1629="""",""Myn"",IF(REGEXMATCH(lower(G1629),""mynn""),""Myn"",if(G1629&lt;&gt;"""",""GEMTRE"",""""))))"),"Myn")</f>
        <v>Myn</v>
      </c>
      <c r="L1629" s="46" t="s">
        <v>2000</v>
      </c>
      <c r="M1629" s="48">
        <v>45256.65844907407</v>
      </c>
    </row>
    <row r="1630">
      <c r="A1630" s="47">
        <v>45256.6589930787</v>
      </c>
      <c r="B1630" s="46" t="s">
        <v>1865</v>
      </c>
      <c r="C1630" s="46">
        <v>8.077188143E9</v>
      </c>
      <c r="D1630" s="46"/>
      <c r="E1630" s="46" t="s">
        <v>79</v>
      </c>
      <c r="F1630" s="46"/>
      <c r="G1630" s="46" t="s">
        <v>303</v>
      </c>
      <c r="H1630" s="46" t="s">
        <v>706</v>
      </c>
      <c r="I1630" s="46"/>
      <c r="J1630" s="46"/>
      <c r="K1630" s="46" t="str">
        <f>IFERROR(__xludf.DUMMYFUNCTION("if(A1630="""","""",IF(G1630="""",""Myn"",IF(REGEXMATCH(lower(G1630),""mynn""),""Myn"",if(G1630&lt;&gt;"""",""GEMTRE"",""""))))"),"Myn")</f>
        <v>Myn</v>
      </c>
      <c r="L1630" s="46" t="s">
        <v>2000</v>
      </c>
      <c r="M1630" s="48">
        <v>45256.658738425926</v>
      </c>
    </row>
    <row r="1631">
      <c r="A1631" s="47">
        <v>45256.6626578125</v>
      </c>
      <c r="B1631" s="46" t="s">
        <v>1866</v>
      </c>
      <c r="C1631" s="46">
        <v>9.811279686E9</v>
      </c>
      <c r="D1631" s="46"/>
      <c r="E1631" s="46" t="s">
        <v>79</v>
      </c>
      <c r="F1631" s="46"/>
      <c r="G1631" s="46" t="s">
        <v>303</v>
      </c>
      <c r="H1631" s="46" t="s">
        <v>706</v>
      </c>
      <c r="I1631" s="46"/>
      <c r="J1631" s="46"/>
      <c r="K1631" s="46" t="str">
        <f>IFERROR(__xludf.DUMMYFUNCTION("if(A1631="""","""",IF(G1631="""",""Myn"",IF(REGEXMATCH(lower(G1631),""mynn""),""Myn"",if(G1631&lt;&gt;"""",""GEMTRE"",""""))))"),"Myn")</f>
        <v>Myn</v>
      </c>
      <c r="L1631" s="46" t="s">
        <v>2000</v>
      </c>
      <c r="M1631" s="48">
        <v>45256.65898148148</v>
      </c>
    </row>
    <row r="1632">
      <c r="A1632" s="47">
        <v>45256.663223344905</v>
      </c>
      <c r="B1632" s="46" t="s">
        <v>1867</v>
      </c>
      <c r="C1632" s="46">
        <v>8.447016952E9</v>
      </c>
      <c r="D1632" s="46"/>
      <c r="E1632" s="46" t="s">
        <v>71</v>
      </c>
      <c r="F1632" s="46"/>
      <c r="G1632" s="46" t="s">
        <v>303</v>
      </c>
      <c r="H1632" s="46" t="s">
        <v>706</v>
      </c>
      <c r="I1632" s="46"/>
      <c r="J1632" s="46"/>
      <c r="K1632" s="46" t="str">
        <f>IFERROR(__xludf.DUMMYFUNCTION("if(A1632="""","""",IF(G1632="""",""Myn"",IF(REGEXMATCH(lower(G1632),""mynn""),""Myn"",if(G1632&lt;&gt;"""",""GEMTRE"",""""))))"),"Myn")</f>
        <v>Myn</v>
      </c>
      <c r="L1632" s="46" t="s">
        <v>2000</v>
      </c>
      <c r="M1632" s="48">
        <v>45256.6590162037</v>
      </c>
    </row>
    <row r="1633">
      <c r="A1633" s="47">
        <v>45256.66766065972</v>
      </c>
      <c r="B1633" s="46" t="s">
        <v>1868</v>
      </c>
      <c r="C1633" s="46">
        <v>9.889797354E9</v>
      </c>
      <c r="D1633" s="46"/>
      <c r="E1633" s="46" t="s">
        <v>13</v>
      </c>
      <c r="F1633" s="46"/>
      <c r="G1633" s="46" t="s">
        <v>303</v>
      </c>
      <c r="H1633" s="46" t="s">
        <v>706</v>
      </c>
      <c r="I1633" s="46"/>
      <c r="J1633" s="46"/>
      <c r="K1633" s="46" t="str">
        <f>IFERROR(__xludf.DUMMYFUNCTION("if(A1633="""","""",IF(G1633="""",""Myn"",IF(REGEXMATCH(lower(G1633),""mynn""),""Myn"",if(G1633&lt;&gt;"""",""GEMTRE"",""""))))"),"Myn")</f>
        <v>Myn</v>
      </c>
      <c r="L1633" s="46" t="s">
        <v>2000</v>
      </c>
      <c r="M1633" s="48">
        <v>45256.66268518518</v>
      </c>
    </row>
    <row r="1634">
      <c r="A1634" s="47">
        <v>45256.67142215278</v>
      </c>
      <c r="B1634" s="46" t="s">
        <v>1869</v>
      </c>
      <c r="C1634" s="46">
        <v>9.268744806E9</v>
      </c>
      <c r="D1634" s="46"/>
      <c r="E1634" s="46" t="s">
        <v>15</v>
      </c>
      <c r="F1634" s="46"/>
      <c r="G1634" s="46" t="s">
        <v>303</v>
      </c>
      <c r="H1634" s="46" t="s">
        <v>706</v>
      </c>
      <c r="I1634" s="46"/>
      <c r="J1634" s="46"/>
      <c r="K1634" s="46" t="str">
        <f>IFERROR(__xludf.DUMMYFUNCTION("if(A1634="""","""",IF(G1634="""",""Myn"",IF(REGEXMATCH(lower(G1634),""mynn""),""Myn"",if(G1634&lt;&gt;"""",""GEMTRE"",""""))))"),"Myn")</f>
        <v>Myn</v>
      </c>
      <c r="L1634" s="46" t="s">
        <v>2000</v>
      </c>
      <c r="M1634" s="48">
        <v>45256.663252314815</v>
      </c>
    </row>
    <row r="1635">
      <c r="A1635" s="47">
        <v>45256.67693241898</v>
      </c>
      <c r="B1635" s="46" t="s">
        <v>1870</v>
      </c>
      <c r="C1635" s="46">
        <v>9.68000603E9</v>
      </c>
      <c r="D1635" s="46"/>
      <c r="E1635" s="46" t="s">
        <v>879</v>
      </c>
      <c r="F1635" s="46"/>
      <c r="G1635" s="46" t="s">
        <v>303</v>
      </c>
      <c r="H1635" s="46" t="s">
        <v>706</v>
      </c>
      <c r="I1635" s="46"/>
      <c r="J1635" s="46"/>
      <c r="K1635" s="46" t="str">
        <f>IFERROR(__xludf.DUMMYFUNCTION("if(A1635="""","""",IF(G1635="""",""Myn"",IF(REGEXMATCH(lower(G1635),""mynn""),""Myn"",if(G1635&lt;&gt;"""",""GEMTRE"",""""))))"),"Myn")</f>
        <v>Myn</v>
      </c>
      <c r="L1635" s="46" t="s">
        <v>2000</v>
      </c>
      <c r="M1635" s="48">
        <v>45256.66768518519</v>
      </c>
    </row>
    <row r="1636">
      <c r="A1636" s="47">
        <v>45256.67716842593</v>
      </c>
      <c r="B1636" s="46" t="s">
        <v>1871</v>
      </c>
      <c r="C1636" s="46">
        <v>9.265290879E9</v>
      </c>
      <c r="D1636" s="46"/>
      <c r="E1636" s="46" t="s">
        <v>1113</v>
      </c>
      <c r="F1636" s="46"/>
      <c r="G1636" s="46" t="s">
        <v>289</v>
      </c>
      <c r="H1636" s="46" t="s">
        <v>701</v>
      </c>
      <c r="I1636" s="46"/>
      <c r="J1636" s="46"/>
      <c r="K1636" s="46" t="str">
        <f>IFERROR(__xludf.DUMMYFUNCTION("if(A1636="""","""",IF(G1636="""",""Myn"",IF(REGEXMATCH(lower(G1636),""mynn""),""Myn"",if(G1636&lt;&gt;"""",""GEMTRE"",""""))))"),"GEMTRE")</f>
        <v>GEMTRE</v>
      </c>
      <c r="L1636" s="46" t="s">
        <v>2001</v>
      </c>
      <c r="M1636" s="48">
        <v>45256.67145833333</v>
      </c>
    </row>
    <row r="1637">
      <c r="A1637" s="47">
        <v>45256.67767380787</v>
      </c>
      <c r="B1637" s="46" t="s">
        <v>1872</v>
      </c>
      <c r="C1637" s="46">
        <v>9.354266303E9</v>
      </c>
      <c r="D1637" s="46"/>
      <c r="E1637" s="46"/>
      <c r="F1637" s="46"/>
      <c r="G1637" s="46" t="s">
        <v>303</v>
      </c>
      <c r="H1637" s="46" t="s">
        <v>701</v>
      </c>
      <c r="I1637" s="46"/>
      <c r="J1637" s="46"/>
      <c r="K1637" s="46" t="str">
        <f>IFERROR(__xludf.DUMMYFUNCTION("if(A1637="""","""",IF(G1637="""",""Myn"",IF(REGEXMATCH(lower(G1637),""mynn""),""Myn"",if(G1637&lt;&gt;"""",""GEMTRE"",""""))))"),"Myn")</f>
        <v>Myn</v>
      </c>
      <c r="L1637" s="46" t="s">
        <v>2000</v>
      </c>
      <c r="M1637" s="48">
        <v>45256.67695601852</v>
      </c>
    </row>
    <row r="1638">
      <c r="A1638" s="47">
        <v>45256.67950824074</v>
      </c>
      <c r="B1638" s="46" t="s">
        <v>63</v>
      </c>
      <c r="C1638" s="46">
        <v>9.910822313E9</v>
      </c>
      <c r="D1638" s="46"/>
      <c r="E1638" s="46"/>
      <c r="F1638" s="46"/>
      <c r="G1638" s="46" t="s">
        <v>303</v>
      </c>
      <c r="H1638" s="46" t="s">
        <v>701</v>
      </c>
      <c r="I1638" s="46"/>
      <c r="J1638" s="46"/>
      <c r="K1638" s="46" t="str">
        <f>IFERROR(__xludf.DUMMYFUNCTION("if(A1638="""","""",IF(G1638="""",""Myn"",IF(REGEXMATCH(lower(G1638),""mynn""),""Myn"",if(G1638&lt;&gt;"""",""GEMTRE"",""""))))"),"Myn")</f>
        <v>Myn</v>
      </c>
      <c r="L1638" s="46" t="s">
        <v>2000</v>
      </c>
      <c r="M1638" s="48">
        <v>45256.6771875</v>
      </c>
    </row>
    <row r="1639">
      <c r="A1639" s="47">
        <v>45256.68050248842</v>
      </c>
      <c r="B1639" s="46" t="s">
        <v>1873</v>
      </c>
      <c r="C1639" s="46">
        <v>8.171613405E9</v>
      </c>
      <c r="D1639" s="46"/>
      <c r="E1639" s="46"/>
      <c r="F1639" s="46"/>
      <c r="G1639" s="46" t="s">
        <v>303</v>
      </c>
      <c r="H1639" s="46" t="s">
        <v>701</v>
      </c>
      <c r="I1639" s="46"/>
      <c r="J1639" s="46"/>
      <c r="K1639" s="46" t="str">
        <f>IFERROR(__xludf.DUMMYFUNCTION("if(A1639="""","""",IF(G1639="""",""Myn"",IF(REGEXMATCH(lower(G1639),""mynn""),""Myn"",if(G1639&lt;&gt;"""",""GEMTRE"",""""))))"),"Myn")</f>
        <v>Myn</v>
      </c>
      <c r="L1639" s="46" t="s">
        <v>2000</v>
      </c>
      <c r="M1639" s="48">
        <v>45256.677708333336</v>
      </c>
    </row>
    <row r="1640">
      <c r="A1640" s="47">
        <v>45256.68168091435</v>
      </c>
      <c r="B1640" s="46" t="s">
        <v>1874</v>
      </c>
      <c r="C1640" s="46">
        <v>9.136053256E9</v>
      </c>
      <c r="D1640" s="46"/>
      <c r="E1640" s="46"/>
      <c r="F1640" s="46"/>
      <c r="G1640" s="46" t="s">
        <v>303</v>
      </c>
      <c r="H1640" s="46" t="s">
        <v>701</v>
      </c>
      <c r="I1640" s="46"/>
      <c r="J1640" s="46"/>
      <c r="K1640" s="46" t="str">
        <f>IFERROR(__xludf.DUMMYFUNCTION("if(A1640="""","""",IF(G1640="""",""Myn"",IF(REGEXMATCH(lower(G1640),""mynn""),""Myn"",if(G1640&lt;&gt;"""",""GEMTRE"",""""))))"),"Myn")</f>
        <v>Myn</v>
      </c>
      <c r="L1640" s="46" t="s">
        <v>2000</v>
      </c>
      <c r="M1640" s="48">
        <v>45256.67953703704</v>
      </c>
    </row>
    <row r="1641">
      <c r="A1641" s="47">
        <v>45256.692977604165</v>
      </c>
      <c r="B1641" s="46" t="s">
        <v>1875</v>
      </c>
      <c r="C1641" s="46">
        <v>8.920796992E9</v>
      </c>
      <c r="D1641" s="46"/>
      <c r="E1641" s="46"/>
      <c r="F1641" s="46"/>
      <c r="G1641" s="46" t="s">
        <v>303</v>
      </c>
      <c r="H1641" s="46" t="s">
        <v>701</v>
      </c>
      <c r="I1641" s="46"/>
      <c r="J1641" s="46"/>
      <c r="K1641" s="46" t="str">
        <f>IFERROR(__xludf.DUMMYFUNCTION("if(A1641="""","""",IF(G1641="""",""Myn"",IF(REGEXMATCH(lower(G1641),""mynn""),""Myn"",if(G1641&lt;&gt;"""",""GEMTRE"",""""))))"),"Myn")</f>
        <v>Myn</v>
      </c>
      <c r="L1641" s="46" t="s">
        <v>2000</v>
      </c>
      <c r="M1641" s="48">
        <v>45256.68052083333</v>
      </c>
    </row>
    <row r="1642">
      <c r="A1642" s="47">
        <v>45256.69346064815</v>
      </c>
      <c r="B1642" s="46" t="s">
        <v>1876</v>
      </c>
      <c r="C1642" s="46">
        <v>9.999144457E9</v>
      </c>
      <c r="D1642" s="46"/>
      <c r="E1642" s="46"/>
      <c r="F1642" s="46"/>
      <c r="G1642" s="46" t="s">
        <v>303</v>
      </c>
      <c r="H1642" s="46" t="s">
        <v>701</v>
      </c>
      <c r="I1642" s="46"/>
      <c r="J1642" s="46"/>
      <c r="K1642" s="46" t="str">
        <f>IFERROR(__xludf.DUMMYFUNCTION("if(A1642="""","""",IF(G1642="""",""Myn"",IF(REGEXMATCH(lower(G1642),""mynn""),""Myn"",if(G1642&lt;&gt;"""",""GEMTRE"",""""))))"),"Myn")</f>
        <v>Myn</v>
      </c>
      <c r="L1642" s="46" t="s">
        <v>2000</v>
      </c>
      <c r="M1642" s="48">
        <v>45256.68171296296</v>
      </c>
    </row>
    <row r="1643">
      <c r="A1643" s="47">
        <v>45256.6962096875</v>
      </c>
      <c r="B1643" s="46" t="s">
        <v>1829</v>
      </c>
      <c r="C1643" s="46">
        <v>9.654858268E9</v>
      </c>
      <c r="D1643" s="46"/>
      <c r="E1643" s="46"/>
      <c r="F1643" s="46"/>
      <c r="G1643" s="46" t="s">
        <v>303</v>
      </c>
      <c r="H1643" s="46" t="s">
        <v>701</v>
      </c>
      <c r="I1643" s="46"/>
      <c r="J1643" s="46"/>
      <c r="K1643" s="46" t="str">
        <f>IFERROR(__xludf.DUMMYFUNCTION("if(A1643="""","""",IF(G1643="""",""Myn"",IF(REGEXMATCH(lower(G1643),""mynn""),""Myn"",if(G1643&lt;&gt;"""",""GEMTRE"",""""))))"),"Myn")</f>
        <v>Myn</v>
      </c>
      <c r="L1643" s="46" t="s">
        <v>2000</v>
      </c>
      <c r="M1643" s="48">
        <v>45256.69300925926</v>
      </c>
    </row>
    <row r="1644">
      <c r="A1644" s="47">
        <v>45256.69652996528</v>
      </c>
      <c r="B1644" s="46" t="s">
        <v>1877</v>
      </c>
      <c r="C1644" s="46">
        <v>9.971655934E9</v>
      </c>
      <c r="D1644" s="46"/>
      <c r="E1644" s="46"/>
      <c r="F1644" s="46"/>
      <c r="G1644" s="46" t="s">
        <v>303</v>
      </c>
      <c r="H1644" s="46" t="s">
        <v>701</v>
      </c>
      <c r="I1644" s="46"/>
      <c r="J1644" s="46"/>
      <c r="K1644" s="46" t="str">
        <f>IFERROR(__xludf.DUMMYFUNCTION("if(A1644="""","""",IF(G1644="""",""Myn"",IF(REGEXMATCH(lower(G1644),""mynn""),""Myn"",if(G1644&lt;&gt;"""",""GEMTRE"",""""))))"),"Myn")</f>
        <v>Myn</v>
      </c>
      <c r="L1644" s="46" t="s">
        <v>2000</v>
      </c>
      <c r="M1644" s="48">
        <v>45256.6934837963</v>
      </c>
    </row>
    <row r="1645">
      <c r="A1645" s="47">
        <v>45256.696687488424</v>
      </c>
      <c r="B1645" s="46" t="s">
        <v>1878</v>
      </c>
      <c r="C1645" s="46">
        <v>9.86878787E9</v>
      </c>
      <c r="D1645" s="46"/>
      <c r="E1645" s="46" t="s">
        <v>1879</v>
      </c>
      <c r="F1645" s="46"/>
      <c r="G1645" s="46" t="s">
        <v>303</v>
      </c>
      <c r="H1645" s="46" t="s">
        <v>706</v>
      </c>
      <c r="I1645" s="46"/>
      <c r="J1645" s="46"/>
      <c r="K1645" s="46" t="str">
        <f>IFERROR(__xludf.DUMMYFUNCTION("if(A1645="""","""",IF(G1645="""",""Myn"",IF(REGEXMATCH(lower(G1645),""mynn""),""Myn"",if(G1645&lt;&gt;"""",""GEMTRE"",""""))))"),"Myn")</f>
        <v>Myn</v>
      </c>
      <c r="L1645" s="46" t="s">
        <v>2000</v>
      </c>
      <c r="M1645" s="48">
        <v>45256.696226851855</v>
      </c>
    </row>
    <row r="1646">
      <c r="A1646" s="47">
        <v>45256.697065960645</v>
      </c>
      <c r="B1646" s="46" t="s">
        <v>1880</v>
      </c>
      <c r="C1646" s="46">
        <v>9.873749607E9</v>
      </c>
      <c r="D1646" s="46"/>
      <c r="E1646" s="46"/>
      <c r="F1646" s="46"/>
      <c r="G1646" s="46" t="s">
        <v>303</v>
      </c>
      <c r="H1646" s="46" t="s">
        <v>701</v>
      </c>
      <c r="I1646" s="46"/>
      <c r="J1646" s="46"/>
      <c r="K1646" s="46" t="str">
        <f>IFERROR(__xludf.DUMMYFUNCTION("if(A1646="""","""",IF(G1646="""",""Myn"",IF(REGEXMATCH(lower(G1646),""mynn""),""Myn"",if(G1646&lt;&gt;"""",""GEMTRE"",""""))))"),"Myn")</f>
        <v>Myn</v>
      </c>
      <c r="L1646" s="46" t="s">
        <v>2000</v>
      </c>
      <c r="M1646" s="48">
        <v>45256.696550925924</v>
      </c>
    </row>
    <row r="1647">
      <c r="A1647" s="47">
        <v>45256.70161596064</v>
      </c>
      <c r="B1647" s="46" t="s">
        <v>1881</v>
      </c>
      <c r="C1647" s="46">
        <v>9.871969581E9</v>
      </c>
      <c r="D1647" s="46"/>
      <c r="E1647" s="46" t="s">
        <v>1882</v>
      </c>
      <c r="F1647" s="46"/>
      <c r="G1647" s="46" t="s">
        <v>303</v>
      </c>
      <c r="H1647" s="46" t="s">
        <v>706</v>
      </c>
      <c r="I1647" s="46"/>
      <c r="J1647" s="46"/>
      <c r="K1647" s="46" t="str">
        <f>IFERROR(__xludf.DUMMYFUNCTION("if(A1647="""","""",IF(G1647="""",""Myn"",IF(REGEXMATCH(lower(G1647),""mynn""),""Myn"",if(G1647&lt;&gt;"""",""GEMTRE"",""""))))"),"Myn")</f>
        <v>Myn</v>
      </c>
      <c r="L1647" s="46" t="s">
        <v>2000</v>
      </c>
      <c r="M1647" s="48">
        <v>45256.69671296296</v>
      </c>
    </row>
    <row r="1648">
      <c r="A1648" s="47">
        <v>45256.704415995366</v>
      </c>
      <c r="B1648" s="46" t="s">
        <v>1883</v>
      </c>
      <c r="C1648" s="46">
        <v>9.911415882E9</v>
      </c>
      <c r="D1648" s="46"/>
      <c r="E1648" s="46" t="s">
        <v>1884</v>
      </c>
      <c r="F1648" s="46"/>
      <c r="G1648" s="46" t="s">
        <v>303</v>
      </c>
      <c r="H1648" s="46" t="s">
        <v>706</v>
      </c>
      <c r="I1648" s="46"/>
      <c r="J1648" s="46"/>
      <c r="K1648" s="46" t="str">
        <f>IFERROR(__xludf.DUMMYFUNCTION("if(A1648="""","""",IF(G1648="""",""Myn"",IF(REGEXMATCH(lower(G1648),""mynn""),""Myn"",if(G1648&lt;&gt;"""",""GEMTRE"",""""))))"),"Myn")</f>
        <v>Myn</v>
      </c>
      <c r="L1648" s="46" t="s">
        <v>2000</v>
      </c>
      <c r="M1648" s="48">
        <v>45256.69709490741</v>
      </c>
    </row>
    <row r="1649">
      <c r="A1649" s="47">
        <v>45256.7045025</v>
      </c>
      <c r="B1649" s="46" t="s">
        <v>1885</v>
      </c>
      <c r="C1649" s="46">
        <v>9.87101012E9</v>
      </c>
      <c r="D1649" s="46"/>
      <c r="E1649" s="46"/>
      <c r="F1649" s="46"/>
      <c r="G1649" s="46" t="s">
        <v>303</v>
      </c>
      <c r="H1649" s="46" t="s">
        <v>701</v>
      </c>
      <c r="I1649" s="46"/>
      <c r="J1649" s="46"/>
      <c r="K1649" s="46" t="str">
        <f>IFERROR(__xludf.DUMMYFUNCTION("if(A1649="""","""",IF(G1649="""",""Myn"",IF(REGEXMATCH(lower(G1649),""mynn""),""Myn"",if(G1649&lt;&gt;"""",""GEMTRE"",""""))))"),"Myn")</f>
        <v>Myn</v>
      </c>
      <c r="L1649" s="46" t="s">
        <v>2000</v>
      </c>
      <c r="M1649" s="48">
        <v>45256.70164351852</v>
      </c>
    </row>
    <row r="1650">
      <c r="A1650" s="47">
        <v>45256.706994340275</v>
      </c>
      <c r="B1650" s="46" t="s">
        <v>1886</v>
      </c>
      <c r="C1650" s="46">
        <v>9.899991666E9</v>
      </c>
      <c r="D1650" s="46"/>
      <c r="E1650" s="46"/>
      <c r="F1650" s="46"/>
      <c r="G1650" s="46" t="s">
        <v>303</v>
      </c>
      <c r="H1650" s="46" t="s">
        <v>701</v>
      </c>
      <c r="I1650" s="46"/>
      <c r="J1650" s="46"/>
      <c r="K1650" s="46" t="str">
        <f>IFERROR(__xludf.DUMMYFUNCTION("if(A1650="""","""",IF(G1650="""",""Myn"",IF(REGEXMATCH(lower(G1650),""mynn""),""Myn"",if(G1650&lt;&gt;"""",""GEMTRE"",""""))))"),"Myn")</f>
        <v>Myn</v>
      </c>
      <c r="L1650" s="46" t="s">
        <v>2000</v>
      </c>
      <c r="M1650" s="48">
        <v>45256.70444444445</v>
      </c>
    </row>
    <row r="1651">
      <c r="A1651" s="47">
        <v>45256.70737506944</v>
      </c>
      <c r="B1651" s="46" t="s">
        <v>1887</v>
      </c>
      <c r="C1651" s="46">
        <v>8.004655555E9</v>
      </c>
      <c r="D1651" s="46"/>
      <c r="E1651" s="46" t="s">
        <v>1888</v>
      </c>
      <c r="F1651" s="46"/>
      <c r="G1651" s="46" t="s">
        <v>303</v>
      </c>
      <c r="H1651" s="46" t="s">
        <v>706</v>
      </c>
      <c r="I1651" s="46"/>
      <c r="J1651" s="46"/>
      <c r="K1651" s="46" t="str">
        <f>IFERROR(__xludf.DUMMYFUNCTION("if(A1651="""","""",IF(G1651="""",""Myn"",IF(REGEXMATCH(lower(G1651),""mynn""),""Myn"",if(G1651&lt;&gt;"""",""GEMTRE"",""""))))"),"Myn")</f>
        <v>Myn</v>
      </c>
      <c r="L1651" s="46" t="s">
        <v>2000</v>
      </c>
      <c r="M1651" s="48">
        <v>45256.70452546296</v>
      </c>
    </row>
    <row r="1652">
      <c r="A1652" s="47">
        <v>45256.71027096065</v>
      </c>
      <c r="B1652" s="46" t="s">
        <v>1889</v>
      </c>
      <c r="C1652" s="46">
        <v>9.891576099E9</v>
      </c>
      <c r="D1652" s="46"/>
      <c r="E1652" s="46" t="s">
        <v>769</v>
      </c>
      <c r="F1652" s="46"/>
      <c r="G1652" s="46" t="s">
        <v>303</v>
      </c>
      <c r="H1652" s="46" t="s">
        <v>706</v>
      </c>
      <c r="I1652" s="46"/>
      <c r="J1652" s="46"/>
      <c r="K1652" s="46" t="str">
        <f>IFERROR(__xludf.DUMMYFUNCTION("if(A1652="""","""",IF(G1652="""",""Myn"",IF(REGEXMATCH(lower(G1652),""mynn""),""Myn"",if(G1652&lt;&gt;"""",""GEMTRE"",""""))))"),"Myn")</f>
        <v>Myn</v>
      </c>
      <c r="L1652" s="46" t="s">
        <v>2000</v>
      </c>
      <c r="M1652" s="48">
        <v>45256.707025462965</v>
      </c>
    </row>
    <row r="1653">
      <c r="A1653" s="47">
        <v>45256.731050393515</v>
      </c>
      <c r="B1653" s="46" t="s">
        <v>1890</v>
      </c>
      <c r="C1653" s="46">
        <v>9.212691224E9</v>
      </c>
      <c r="D1653" s="46"/>
      <c r="E1653" s="46"/>
      <c r="F1653" s="46"/>
      <c r="G1653" s="46" t="s">
        <v>303</v>
      </c>
      <c r="H1653" s="46" t="s">
        <v>701</v>
      </c>
      <c r="I1653" s="46"/>
      <c r="J1653" s="46"/>
      <c r="K1653" s="46" t="str">
        <f>IFERROR(__xludf.DUMMYFUNCTION("if(A1653="""","""",IF(G1653="""",""Myn"",IF(REGEXMATCH(lower(G1653),""mynn""),""Myn"",if(G1653&lt;&gt;"""",""GEMTRE"",""""))))"),"Myn")</f>
        <v>Myn</v>
      </c>
      <c r="L1653" s="46" t="s">
        <v>2000</v>
      </c>
      <c r="M1653" s="48">
        <v>45256.707395833335</v>
      </c>
    </row>
    <row r="1654">
      <c r="A1654" s="47">
        <v>45256.73331319445</v>
      </c>
      <c r="B1654" s="46" t="s">
        <v>1891</v>
      </c>
      <c r="C1654" s="46">
        <v>9.931260165E9</v>
      </c>
      <c r="D1654" s="46"/>
      <c r="E1654" s="46"/>
      <c r="F1654" s="46"/>
      <c r="G1654" s="46" t="s">
        <v>303</v>
      </c>
      <c r="H1654" s="46" t="s">
        <v>701</v>
      </c>
      <c r="I1654" s="46"/>
      <c r="J1654" s="46"/>
      <c r="K1654" s="46" t="str">
        <f>IFERROR(__xludf.DUMMYFUNCTION("if(A1654="""","""",IF(G1654="""",""Myn"",IF(REGEXMATCH(lower(G1654),""mynn""),""Myn"",if(G1654&lt;&gt;"""",""GEMTRE"",""""))))"),"Myn")</f>
        <v>Myn</v>
      </c>
      <c r="L1654" s="46" t="s">
        <v>2000</v>
      </c>
      <c r="M1654" s="48">
        <v>45256.71028935185</v>
      </c>
    </row>
    <row r="1655">
      <c r="A1655" s="47">
        <v>45256.73440631945</v>
      </c>
      <c r="B1655" s="46" t="s">
        <v>534</v>
      </c>
      <c r="C1655" s="46">
        <v>9.958114553E9</v>
      </c>
      <c r="D1655" s="46"/>
      <c r="E1655" s="46" t="s">
        <v>1892</v>
      </c>
      <c r="F1655" s="46"/>
      <c r="G1655" s="46" t="s">
        <v>289</v>
      </c>
      <c r="H1655" s="46" t="s">
        <v>706</v>
      </c>
      <c r="I1655" s="46"/>
      <c r="J1655" s="46"/>
      <c r="K1655" s="46" t="str">
        <f>IFERROR(__xludf.DUMMYFUNCTION("if(A1655="""","""",IF(G1655="""",""Myn"",IF(REGEXMATCH(lower(G1655),""mynn""),""Myn"",if(G1655&lt;&gt;"""",""GEMTRE"",""""))))"),"GEMTRE")</f>
        <v>GEMTRE</v>
      </c>
      <c r="L1655" s="46" t="s">
        <v>2001</v>
      </c>
      <c r="M1655" s="48">
        <v>45256.731099537035</v>
      </c>
    </row>
    <row r="1656">
      <c r="A1656" s="47">
        <v>45256.74012728009</v>
      </c>
      <c r="B1656" s="46" t="s">
        <v>1893</v>
      </c>
      <c r="C1656" s="46">
        <v>8.447569752E9</v>
      </c>
      <c r="D1656" s="46"/>
      <c r="E1656" s="46"/>
      <c r="F1656" s="46"/>
      <c r="G1656" s="46" t="s">
        <v>303</v>
      </c>
      <c r="H1656" s="46" t="s">
        <v>701</v>
      </c>
      <c r="I1656" s="46"/>
      <c r="J1656" s="46"/>
      <c r="K1656" s="46" t="str">
        <f>IFERROR(__xludf.DUMMYFUNCTION("if(A1656="""","""",IF(G1656="""",""Myn"",IF(REGEXMATCH(lower(G1656),""mynn""),""Myn"",if(G1656&lt;&gt;"""",""GEMTRE"",""""))))"),"Myn")</f>
        <v>Myn</v>
      </c>
      <c r="L1656" s="46" t="s">
        <v>2000</v>
      </c>
      <c r="M1656" s="48">
        <v>45256.73333333333</v>
      </c>
    </row>
    <row r="1657">
      <c r="A1657" s="47">
        <v>45256.74383194445</v>
      </c>
      <c r="B1657" s="46" t="s">
        <v>1894</v>
      </c>
      <c r="C1657" s="46">
        <v>9.899387733E9</v>
      </c>
      <c r="D1657" s="46"/>
      <c r="E1657" s="46"/>
      <c r="F1657" s="46"/>
      <c r="G1657" s="46" t="s">
        <v>303</v>
      </c>
      <c r="H1657" s="46" t="s">
        <v>706</v>
      </c>
      <c r="I1657" s="46"/>
      <c r="J1657" s="46"/>
      <c r="K1657" s="46" t="str">
        <f>IFERROR(__xludf.DUMMYFUNCTION("if(A1657="""","""",IF(G1657="""",""Myn"",IF(REGEXMATCH(lower(G1657),""mynn""),""Myn"",if(G1657&lt;&gt;"""",""GEMTRE"",""""))))"),"Myn")</f>
        <v>Myn</v>
      </c>
      <c r="L1657" s="46" t="s">
        <v>2000</v>
      </c>
      <c r="M1657" s="48">
        <v>45256.73443287037</v>
      </c>
    </row>
    <row r="1658">
      <c r="A1658" s="47">
        <v>45256.74797467593</v>
      </c>
      <c r="B1658" s="46" t="s">
        <v>1895</v>
      </c>
      <c r="C1658" s="46">
        <v>9.829598357E9</v>
      </c>
      <c r="D1658" s="46"/>
      <c r="E1658" s="46" t="s">
        <v>1896</v>
      </c>
      <c r="F1658" s="46"/>
      <c r="G1658" s="46" t="s">
        <v>303</v>
      </c>
      <c r="H1658" s="46" t="s">
        <v>706</v>
      </c>
      <c r="I1658" s="46"/>
      <c r="J1658" s="46"/>
      <c r="K1658" s="46" t="str">
        <f>IFERROR(__xludf.DUMMYFUNCTION("if(A1658="""","""",IF(G1658="""",""Myn"",IF(REGEXMATCH(lower(G1658),""mynn""),""Myn"",if(G1658&lt;&gt;"""",""GEMTRE"",""""))))"),"Myn")</f>
        <v>Myn</v>
      </c>
      <c r="L1658" s="46" t="s">
        <v>2000</v>
      </c>
      <c r="M1658" s="48">
        <v>45256.74015046296</v>
      </c>
    </row>
    <row r="1659">
      <c r="A1659" s="47">
        <v>45256.74866295139</v>
      </c>
      <c r="B1659" s="46" t="s">
        <v>1897</v>
      </c>
      <c r="C1659" s="46">
        <v>8.383892097E9</v>
      </c>
      <c r="D1659" s="46"/>
      <c r="E1659" s="46"/>
      <c r="F1659" s="46"/>
      <c r="G1659" s="46" t="s">
        <v>303</v>
      </c>
      <c r="H1659" s="46" t="s">
        <v>701</v>
      </c>
      <c r="I1659" s="46"/>
      <c r="J1659" s="46"/>
      <c r="K1659" s="46" t="str">
        <f>IFERROR(__xludf.DUMMYFUNCTION("if(A1659="""","""",IF(G1659="""",""Myn"",IF(REGEXMATCH(lower(G1659),""mynn""),""Myn"",if(G1659&lt;&gt;"""",""GEMTRE"",""""))))"),"Myn")</f>
        <v>Myn</v>
      </c>
      <c r="L1659" s="46" t="s">
        <v>2000</v>
      </c>
      <c r="M1659" s="48">
        <v>45256.74385416666</v>
      </c>
    </row>
    <row r="1660">
      <c r="A1660" s="47">
        <v>45256.74960390046</v>
      </c>
      <c r="B1660" s="46" t="s">
        <v>1898</v>
      </c>
      <c r="C1660" s="46">
        <v>8.700571292E9</v>
      </c>
      <c r="D1660" s="46"/>
      <c r="E1660" s="46"/>
      <c r="F1660" s="46"/>
      <c r="G1660" s="46" t="s">
        <v>303</v>
      </c>
      <c r="H1660" s="46" t="s">
        <v>701</v>
      </c>
      <c r="I1660" s="46"/>
      <c r="J1660" s="46"/>
      <c r="K1660" s="46" t="str">
        <f>IFERROR(__xludf.DUMMYFUNCTION("if(A1660="""","""",IF(G1660="""",""Myn"",IF(REGEXMATCH(lower(G1660),""mynn""),""Myn"",if(G1660&lt;&gt;"""",""GEMTRE"",""""))))"),"Myn")</f>
        <v>Myn</v>
      </c>
      <c r="L1660" s="46" t="s">
        <v>2000</v>
      </c>
      <c r="M1660" s="48">
        <v>45256.74800925926</v>
      </c>
    </row>
    <row r="1661">
      <c r="A1661" s="47">
        <v>45256.75224890046</v>
      </c>
      <c r="B1661" s="46" t="s">
        <v>569</v>
      </c>
      <c r="C1661" s="46">
        <v>9.711924615E9</v>
      </c>
      <c r="D1661" s="46"/>
      <c r="E1661" s="46" t="s">
        <v>769</v>
      </c>
      <c r="F1661" s="46"/>
      <c r="G1661" s="46" t="s">
        <v>303</v>
      </c>
      <c r="H1661" s="46" t="s">
        <v>706</v>
      </c>
      <c r="I1661" s="46"/>
      <c r="J1661" s="46"/>
      <c r="K1661" s="46" t="str">
        <f>IFERROR(__xludf.DUMMYFUNCTION("if(A1661="""","""",IF(G1661="""",""Myn"",IF(REGEXMATCH(lower(G1661),""mynn""),""Myn"",if(G1661&lt;&gt;"""",""GEMTRE"",""""))))"),"Myn")</f>
        <v>Myn</v>
      </c>
      <c r="L1661" s="46" t="s">
        <v>2000</v>
      </c>
      <c r="M1661" s="48">
        <v>45256.74868055555</v>
      </c>
    </row>
    <row r="1662">
      <c r="A1662" s="47">
        <v>45256.75260486111</v>
      </c>
      <c r="B1662" s="46" t="s">
        <v>1899</v>
      </c>
      <c r="C1662" s="46">
        <v>9.971475902E9</v>
      </c>
      <c r="D1662" s="46"/>
      <c r="E1662" s="46"/>
      <c r="F1662" s="46"/>
      <c r="G1662" s="46" t="s">
        <v>303</v>
      </c>
      <c r="H1662" s="46" t="s">
        <v>701</v>
      </c>
      <c r="I1662" s="46"/>
      <c r="J1662" s="46"/>
      <c r="K1662" s="46" t="str">
        <f>IFERROR(__xludf.DUMMYFUNCTION("if(A1662="""","""",IF(G1662="""",""Myn"",IF(REGEXMATCH(lower(G1662),""mynn""),""Myn"",if(G1662&lt;&gt;"""",""GEMTRE"",""""))))"),"Myn")</f>
        <v>Myn</v>
      </c>
      <c r="L1662" s="46" t="s">
        <v>2000</v>
      </c>
      <c r="M1662" s="48">
        <v>45256.74962962963</v>
      </c>
    </row>
    <row r="1663">
      <c r="A1663" s="47">
        <v>45256.753732916666</v>
      </c>
      <c r="B1663" s="46" t="s">
        <v>1900</v>
      </c>
      <c r="C1663" s="46">
        <v>8.826287066E9</v>
      </c>
      <c r="D1663" s="46"/>
      <c r="E1663" s="46" t="s">
        <v>769</v>
      </c>
      <c r="F1663" s="46"/>
      <c r="G1663" s="46" t="s">
        <v>303</v>
      </c>
      <c r="H1663" s="46" t="s">
        <v>706</v>
      </c>
      <c r="I1663" s="46"/>
      <c r="J1663" s="46"/>
      <c r="K1663" s="46" t="str">
        <f>IFERROR(__xludf.DUMMYFUNCTION("if(A1663="""","""",IF(G1663="""",""Myn"",IF(REGEXMATCH(lower(G1663),""mynn""),""Myn"",if(G1663&lt;&gt;"""",""GEMTRE"",""""))))"),"Myn")</f>
        <v>Myn</v>
      </c>
      <c r="L1663" s="46" t="s">
        <v>2000</v>
      </c>
      <c r="M1663" s="48">
        <v>45256.75226851852</v>
      </c>
    </row>
    <row r="1664">
      <c r="A1664" s="47">
        <v>45256.754612951394</v>
      </c>
      <c r="B1664" s="46" t="s">
        <v>1901</v>
      </c>
      <c r="C1664" s="46">
        <v>9.355092149E9</v>
      </c>
      <c r="D1664" s="46"/>
      <c r="E1664" s="46"/>
      <c r="F1664" s="46"/>
      <c r="G1664" s="46" t="s">
        <v>303</v>
      </c>
      <c r="H1664" s="46" t="s">
        <v>701</v>
      </c>
      <c r="I1664" s="46"/>
      <c r="J1664" s="46"/>
      <c r="K1664" s="46" t="str">
        <f>IFERROR(__xludf.DUMMYFUNCTION("if(A1664="""","""",IF(G1664="""",""Myn"",IF(REGEXMATCH(lower(G1664),""mynn""),""Myn"",if(G1664&lt;&gt;"""",""GEMTRE"",""""))))"),"Myn")</f>
        <v>Myn</v>
      </c>
      <c r="L1664" s="46" t="s">
        <v>2000</v>
      </c>
      <c r="M1664" s="48">
        <v>45256.75263888889</v>
      </c>
    </row>
    <row r="1665">
      <c r="A1665" s="47">
        <v>45256.75631759259</v>
      </c>
      <c r="B1665" s="46" t="s">
        <v>1644</v>
      </c>
      <c r="C1665" s="46">
        <v>7.982522588E9</v>
      </c>
      <c r="D1665" s="46"/>
      <c r="E1665" s="46" t="s">
        <v>1902</v>
      </c>
      <c r="F1665" s="46"/>
      <c r="G1665" s="46" t="s">
        <v>303</v>
      </c>
      <c r="H1665" s="46" t="s">
        <v>706</v>
      </c>
      <c r="I1665" s="46"/>
      <c r="J1665" s="46"/>
      <c r="K1665" s="46" t="str">
        <f>IFERROR(__xludf.DUMMYFUNCTION("if(A1665="""","""",IF(G1665="""",""Myn"",IF(REGEXMATCH(lower(G1665),""mynn""),""Myn"",if(G1665&lt;&gt;"""",""GEMTRE"",""""))))"),"Myn")</f>
        <v>Myn</v>
      </c>
      <c r="L1665" s="46" t="s">
        <v>2000</v>
      </c>
      <c r="M1665" s="48">
        <v>45256.75376157407</v>
      </c>
    </row>
    <row r="1666">
      <c r="A1666" s="47">
        <v>45256.75636079861</v>
      </c>
      <c r="B1666" s="46" t="s">
        <v>1903</v>
      </c>
      <c r="C1666" s="46">
        <v>7.060038887E9</v>
      </c>
      <c r="D1666" s="46"/>
      <c r="E1666" s="46" t="s">
        <v>1904</v>
      </c>
      <c r="F1666" s="46"/>
      <c r="G1666" s="46" t="s">
        <v>289</v>
      </c>
      <c r="H1666" s="46" t="s">
        <v>706</v>
      </c>
      <c r="I1666" s="46"/>
      <c r="J1666" s="46"/>
      <c r="K1666" s="46" t="str">
        <f>IFERROR(__xludf.DUMMYFUNCTION("if(A1666="""","""",IF(G1666="""",""Myn"",IF(REGEXMATCH(lower(G1666),""mynn""),""Myn"",if(G1666&lt;&gt;"""",""GEMTRE"",""""))))"),"GEMTRE")</f>
        <v>GEMTRE</v>
      </c>
      <c r="L1666" s="46" t="s">
        <v>2001</v>
      </c>
      <c r="M1666" s="48">
        <v>45256.754641203705</v>
      </c>
    </row>
    <row r="1667">
      <c r="A1667" s="47">
        <v>45256.75888818287</v>
      </c>
      <c r="B1667" s="46" t="s">
        <v>1905</v>
      </c>
      <c r="C1667" s="46">
        <v>9.811433384E9</v>
      </c>
      <c r="D1667" s="46"/>
      <c r="E1667" s="46"/>
      <c r="F1667" s="46"/>
      <c r="G1667" s="46" t="s">
        <v>303</v>
      </c>
      <c r="H1667" s="46" t="s">
        <v>706</v>
      </c>
      <c r="I1667" s="46"/>
      <c r="J1667" s="46"/>
      <c r="K1667" s="46" t="str">
        <f>IFERROR(__xludf.DUMMYFUNCTION("if(A1667="""","""",IF(G1667="""",""Myn"",IF(REGEXMATCH(lower(G1667),""mynn""),""Myn"",if(G1667&lt;&gt;"""",""GEMTRE"",""""))))"),"Myn")</f>
        <v>Myn</v>
      </c>
      <c r="L1667" s="46" t="s">
        <v>2000</v>
      </c>
      <c r="M1667" s="48">
        <v>45256.75635416667</v>
      </c>
    </row>
    <row r="1668">
      <c r="A1668" s="47">
        <v>45256.759144525466</v>
      </c>
      <c r="B1668" s="46" t="s">
        <v>1906</v>
      </c>
      <c r="C1668" s="46">
        <v>9.911778988E9</v>
      </c>
      <c r="D1668" s="46"/>
      <c r="E1668" s="46"/>
      <c r="F1668" s="46"/>
      <c r="G1668" s="46" t="s">
        <v>303</v>
      </c>
      <c r="H1668" s="46" t="s">
        <v>701</v>
      </c>
      <c r="I1668" s="46"/>
      <c r="J1668" s="46"/>
      <c r="K1668" s="46" t="str">
        <f>IFERROR(__xludf.DUMMYFUNCTION("if(A1668="""","""",IF(G1668="""",""Myn"",IF(REGEXMATCH(lower(G1668),""mynn""),""Myn"",if(G1668&lt;&gt;"""",""GEMTRE"",""""))))"),"Myn")</f>
        <v>Myn</v>
      </c>
      <c r="L1668" s="46" t="s">
        <v>2000</v>
      </c>
      <c r="M1668" s="48">
        <v>45256.756377314814</v>
      </c>
    </row>
    <row r="1669">
      <c r="A1669" s="47">
        <v>45256.768343993055</v>
      </c>
      <c r="B1669" s="46" t="s">
        <v>124</v>
      </c>
      <c r="C1669" s="46">
        <v>9.968385274E9</v>
      </c>
      <c r="D1669" s="46"/>
      <c r="E1669" s="46" t="s">
        <v>71</v>
      </c>
      <c r="F1669" s="46"/>
      <c r="G1669" s="46" t="s">
        <v>303</v>
      </c>
      <c r="H1669" s="46" t="s">
        <v>706</v>
      </c>
      <c r="I1669" s="46"/>
      <c r="J1669" s="46"/>
      <c r="K1669" s="46" t="str">
        <f>IFERROR(__xludf.DUMMYFUNCTION("if(A1669="""","""",IF(G1669="""",""Myn"",IF(REGEXMATCH(lower(G1669),""mynn""),""Myn"",if(G1669&lt;&gt;"""",""GEMTRE"",""""))))"),"Myn")</f>
        <v>Myn</v>
      </c>
      <c r="L1669" s="46" t="s">
        <v>2000</v>
      </c>
      <c r="M1669" s="48">
        <v>45256.75891203704</v>
      </c>
    </row>
    <row r="1670">
      <c r="A1670" s="47">
        <v>45256.769963530096</v>
      </c>
      <c r="B1670" s="46" t="s">
        <v>109</v>
      </c>
      <c r="C1670" s="46">
        <v>9.899105407E9</v>
      </c>
      <c r="D1670" s="46"/>
      <c r="E1670" s="46" t="s">
        <v>51</v>
      </c>
      <c r="F1670" s="46"/>
      <c r="G1670" s="46" t="s">
        <v>303</v>
      </c>
      <c r="H1670" s="46" t="s">
        <v>706</v>
      </c>
      <c r="I1670" s="46"/>
      <c r="J1670" s="46"/>
      <c r="K1670" s="46" t="str">
        <f>IFERROR(__xludf.DUMMYFUNCTION("if(A1670="""","""",IF(G1670="""",""Myn"",IF(REGEXMATCH(lower(G1670),""mynn""),""Myn"",if(G1670&lt;&gt;"""",""GEMTRE"",""""))))"),"Myn")</f>
        <v>Myn</v>
      </c>
      <c r="L1670" s="46" t="s">
        <v>2000</v>
      </c>
      <c r="M1670" s="48">
        <v>45256.759201388886</v>
      </c>
    </row>
    <row r="1671">
      <c r="A1671" s="47">
        <v>45256.77462940972</v>
      </c>
      <c r="B1671" s="46" t="s">
        <v>1907</v>
      </c>
      <c r="C1671" s="46">
        <v>9.311189826E9</v>
      </c>
      <c r="D1671" s="46"/>
      <c r="E1671" s="46"/>
      <c r="F1671" s="46"/>
      <c r="G1671" s="46" t="s">
        <v>303</v>
      </c>
      <c r="H1671" s="46" t="s">
        <v>701</v>
      </c>
      <c r="I1671" s="46"/>
      <c r="J1671" s="46"/>
      <c r="K1671" s="46" t="str">
        <f>IFERROR(__xludf.DUMMYFUNCTION("if(A1671="""","""",IF(G1671="""",""Myn"",IF(REGEXMATCH(lower(G1671),""mynn""),""Myn"",if(G1671&lt;&gt;"""",""GEMTRE"",""""))))"),"Myn")</f>
        <v>Myn</v>
      </c>
      <c r="L1671" s="46" t="s">
        <v>2000</v>
      </c>
      <c r="M1671" s="48">
        <v>45256.768425925926</v>
      </c>
    </row>
    <row r="1672">
      <c r="A1672" s="47">
        <v>45256.77846204861</v>
      </c>
      <c r="B1672" s="46" t="s">
        <v>1908</v>
      </c>
      <c r="C1672" s="46">
        <v>9.157508532E9</v>
      </c>
      <c r="D1672" s="46"/>
      <c r="E1672" s="46" t="s">
        <v>71</v>
      </c>
      <c r="F1672" s="46"/>
      <c r="G1672" s="46" t="s">
        <v>303</v>
      </c>
      <c r="H1672" s="46" t="s">
        <v>706</v>
      </c>
      <c r="I1672" s="46"/>
      <c r="J1672" s="46"/>
      <c r="K1672" s="46" t="str">
        <f>IFERROR(__xludf.DUMMYFUNCTION("if(A1672="""","""",IF(G1672="""",""Myn"",IF(REGEXMATCH(lower(G1672),""mynn""),""Myn"",if(G1672&lt;&gt;"""",""GEMTRE"",""""))))"),"Myn")</f>
        <v>Myn</v>
      </c>
      <c r="L1672" s="46" t="s">
        <v>2000</v>
      </c>
      <c r="M1672" s="48">
        <v>45256.76998842593</v>
      </c>
    </row>
    <row r="1673">
      <c r="A1673" s="47">
        <v>45256.78103475695</v>
      </c>
      <c r="B1673" s="46" t="s">
        <v>1909</v>
      </c>
      <c r="C1673" s="46">
        <v>9.354445455E9</v>
      </c>
      <c r="D1673" s="46"/>
      <c r="E1673" s="46" t="s">
        <v>71</v>
      </c>
      <c r="F1673" s="46"/>
      <c r="G1673" s="46" t="s">
        <v>303</v>
      </c>
      <c r="H1673" s="46" t="s">
        <v>706</v>
      </c>
      <c r="I1673" s="46"/>
      <c r="J1673" s="46"/>
      <c r="K1673" s="46" t="str">
        <f>IFERROR(__xludf.DUMMYFUNCTION("if(A1673="""","""",IF(G1673="""",""Myn"",IF(REGEXMATCH(lower(G1673),""mynn""),""Myn"",if(G1673&lt;&gt;"""",""GEMTRE"",""""))))"),"Myn")</f>
        <v>Myn</v>
      </c>
      <c r="L1673" s="46" t="s">
        <v>2000</v>
      </c>
      <c r="M1673" s="48">
        <v>45256.774675925924</v>
      </c>
    </row>
    <row r="1674">
      <c r="A1674" s="47">
        <v>45256.788154803246</v>
      </c>
      <c r="B1674" s="46" t="s">
        <v>1910</v>
      </c>
      <c r="C1674" s="46">
        <v>9.54088803E9</v>
      </c>
      <c r="D1674" s="46"/>
      <c r="E1674" s="46" t="s">
        <v>424</v>
      </c>
      <c r="F1674" s="46"/>
      <c r="G1674" s="46" t="s">
        <v>303</v>
      </c>
      <c r="H1674" s="46" t="s">
        <v>706</v>
      </c>
      <c r="I1674" s="46"/>
      <c r="J1674" s="46"/>
      <c r="K1674" s="46" t="str">
        <f>IFERROR(__xludf.DUMMYFUNCTION("if(A1674="""","""",IF(G1674="""",""Myn"",IF(REGEXMATCH(lower(G1674),""mynn""),""Myn"",if(G1674&lt;&gt;"""",""GEMTRE"",""""))))"),"Myn")</f>
        <v>Myn</v>
      </c>
      <c r="L1674" s="46" t="s">
        <v>2000</v>
      </c>
      <c r="M1674" s="48">
        <v>45256.77854166667</v>
      </c>
    </row>
    <row r="1675">
      <c r="A1675" s="47">
        <v>45256.791206643524</v>
      </c>
      <c r="B1675" s="46" t="s">
        <v>1911</v>
      </c>
      <c r="C1675" s="46">
        <v>9.430331256E9</v>
      </c>
      <c r="D1675" s="46"/>
      <c r="E1675" s="46" t="s">
        <v>769</v>
      </c>
      <c r="F1675" s="46"/>
      <c r="G1675" s="46" t="s">
        <v>303</v>
      </c>
      <c r="H1675" s="46" t="s">
        <v>706</v>
      </c>
      <c r="I1675" s="46"/>
      <c r="J1675" s="46"/>
      <c r="K1675" s="46" t="str">
        <f>IFERROR(__xludf.DUMMYFUNCTION("if(A1675="""","""",IF(G1675="""",""Myn"",IF(REGEXMATCH(lower(G1675),""mynn""),""Myn"",if(G1675&lt;&gt;"""",""GEMTRE"",""""))))"),"Myn")</f>
        <v>Myn</v>
      </c>
      <c r="L1675" s="46" t="s">
        <v>2000</v>
      </c>
      <c r="M1675" s="48">
        <v>45256.78105324074</v>
      </c>
    </row>
    <row r="1676">
      <c r="A1676" s="47">
        <v>45256.7962247338</v>
      </c>
      <c r="B1676" s="46" t="s">
        <v>1912</v>
      </c>
      <c r="C1676" s="46">
        <v>9.999360204E9</v>
      </c>
      <c r="D1676" s="46"/>
      <c r="E1676" s="46" t="s">
        <v>1913</v>
      </c>
      <c r="F1676" s="46"/>
      <c r="G1676" s="46" t="s">
        <v>303</v>
      </c>
      <c r="H1676" s="46" t="s">
        <v>706</v>
      </c>
      <c r="I1676" s="46"/>
      <c r="J1676" s="46"/>
      <c r="K1676" s="46" t="str">
        <f>IFERROR(__xludf.DUMMYFUNCTION("if(A1676="""","""",IF(G1676="""",""Myn"",IF(REGEXMATCH(lower(G1676),""mynn""),""Myn"",if(G1676&lt;&gt;"""",""GEMTRE"",""""))))"),"Myn")</f>
        <v>Myn</v>
      </c>
      <c r="L1676" s="46" t="s">
        <v>2000</v>
      </c>
      <c r="M1676" s="48">
        <v>45256.78822916667</v>
      </c>
    </row>
    <row r="1677">
      <c r="A1677" s="47">
        <v>45256.81247804398</v>
      </c>
      <c r="B1677" s="46" t="s">
        <v>1914</v>
      </c>
      <c r="C1677" s="46">
        <v>8.595241741E9</v>
      </c>
      <c r="D1677" s="46"/>
      <c r="E1677" s="46"/>
      <c r="F1677" s="46"/>
      <c r="G1677" s="46" t="s">
        <v>303</v>
      </c>
      <c r="H1677" s="46" t="s">
        <v>701</v>
      </c>
      <c r="I1677" s="46"/>
      <c r="J1677" s="46"/>
      <c r="K1677" s="46" t="str">
        <f>IFERROR(__xludf.DUMMYFUNCTION("if(A1677="""","""",IF(G1677="""",""Myn"",IF(REGEXMATCH(lower(G1677),""mynn""),""Myn"",if(G1677&lt;&gt;"""",""GEMTRE"",""""))))"),"Myn")</f>
        <v>Myn</v>
      </c>
      <c r="L1677" s="46" t="s">
        <v>2000</v>
      </c>
      <c r="M1677" s="48">
        <v>45256.79122685185</v>
      </c>
    </row>
    <row r="1678">
      <c r="A1678" s="47">
        <v>45256.81287171296</v>
      </c>
      <c r="B1678" s="46" t="s">
        <v>1915</v>
      </c>
      <c r="C1678" s="46">
        <v>9.540697597E9</v>
      </c>
      <c r="D1678" s="46"/>
      <c r="E1678" s="46"/>
      <c r="F1678" s="46"/>
      <c r="G1678" s="46" t="s">
        <v>303</v>
      </c>
      <c r="H1678" s="46" t="s">
        <v>701</v>
      </c>
      <c r="I1678" s="46"/>
      <c r="J1678" s="46"/>
      <c r="K1678" s="46" t="str">
        <f>IFERROR(__xludf.DUMMYFUNCTION("if(A1678="""","""",IF(G1678="""",""Myn"",IF(REGEXMATCH(lower(G1678),""mynn""),""Myn"",if(G1678&lt;&gt;"""",""GEMTRE"",""""))))"),"Myn")</f>
        <v>Myn</v>
      </c>
      <c r="L1678" s="46" t="s">
        <v>2000</v>
      </c>
      <c r="M1678" s="48">
        <v>45256.79625</v>
      </c>
    </row>
    <row r="1679">
      <c r="A1679" s="47">
        <v>45256.81336552084</v>
      </c>
      <c r="B1679" s="46" t="s">
        <v>1446</v>
      </c>
      <c r="C1679" s="46">
        <v>9.71808476E9</v>
      </c>
      <c r="D1679" s="46"/>
      <c r="E1679" s="46"/>
      <c r="F1679" s="46"/>
      <c r="G1679" s="46" t="s">
        <v>303</v>
      </c>
      <c r="H1679" s="46" t="s">
        <v>701</v>
      </c>
      <c r="I1679" s="46"/>
      <c r="J1679" s="46"/>
      <c r="K1679" s="46" t="str">
        <f>IFERROR(__xludf.DUMMYFUNCTION("if(A1679="""","""",IF(G1679="""",""Myn"",IF(REGEXMATCH(lower(G1679),""mynn""),""Myn"",if(G1679&lt;&gt;"""",""GEMTRE"",""""))))"),"Myn")</f>
        <v>Myn</v>
      </c>
      <c r="L1679" s="46" t="s">
        <v>2000</v>
      </c>
      <c r="M1679" s="48">
        <v>45256.81251157408</v>
      </c>
    </row>
    <row r="1680">
      <c r="A1680" s="47">
        <v>45256.81355402777</v>
      </c>
      <c r="B1680" s="46" t="s">
        <v>1916</v>
      </c>
      <c r="C1680" s="46">
        <v>9.643001645E9</v>
      </c>
      <c r="D1680" s="46"/>
      <c r="E1680" s="46" t="s">
        <v>143</v>
      </c>
      <c r="F1680" s="46"/>
      <c r="G1680" s="46" t="s">
        <v>303</v>
      </c>
      <c r="H1680" s="46" t="s">
        <v>706</v>
      </c>
      <c r="I1680" s="46"/>
      <c r="J1680" s="46"/>
      <c r="K1680" s="46" t="str">
        <f>IFERROR(__xludf.DUMMYFUNCTION("if(A1680="""","""",IF(G1680="""",""Myn"",IF(REGEXMATCH(lower(G1680),""mynn""),""Myn"",if(G1680&lt;&gt;"""",""GEMTRE"",""""))))"),"Myn")</f>
        <v>Myn</v>
      </c>
      <c r="L1680" s="46" t="s">
        <v>2000</v>
      </c>
      <c r="M1680" s="48">
        <v>45256.81290509259</v>
      </c>
    </row>
    <row r="1681">
      <c r="A1681" s="47">
        <v>45256.81376278935</v>
      </c>
      <c r="B1681" s="46" t="s">
        <v>1917</v>
      </c>
      <c r="C1681" s="46">
        <v>9.870484553E9</v>
      </c>
      <c r="D1681" s="46"/>
      <c r="E1681" s="46"/>
      <c r="F1681" s="46"/>
      <c r="G1681" s="46" t="s">
        <v>303</v>
      </c>
      <c r="H1681" s="46" t="s">
        <v>701</v>
      </c>
      <c r="I1681" s="46"/>
      <c r="J1681" s="46"/>
      <c r="K1681" s="46" t="str">
        <f>IFERROR(__xludf.DUMMYFUNCTION("if(A1681="""","""",IF(G1681="""",""Myn"",IF(REGEXMATCH(lower(G1681),""mynn""),""Myn"",if(G1681&lt;&gt;"""",""GEMTRE"",""""))))"),"Myn")</f>
        <v>Myn</v>
      </c>
      <c r="L1681" s="46" t="s">
        <v>2000</v>
      </c>
      <c r="M1681" s="48">
        <v>45256.8133912037</v>
      </c>
    </row>
    <row r="1682">
      <c r="A1682" s="47">
        <v>45256.81419109953</v>
      </c>
      <c r="B1682" s="46" t="s">
        <v>777</v>
      </c>
      <c r="C1682" s="46">
        <v>7.042512737E9</v>
      </c>
      <c r="D1682" s="46"/>
      <c r="E1682" s="46"/>
      <c r="F1682" s="46"/>
      <c r="G1682" s="46" t="s">
        <v>303</v>
      </c>
      <c r="H1682" s="46" t="s">
        <v>701</v>
      </c>
      <c r="I1682" s="46"/>
      <c r="J1682" s="46"/>
      <c r="K1682" s="46" t="str">
        <f>IFERROR(__xludf.DUMMYFUNCTION("if(A1682="""","""",IF(G1682="""",""Myn"",IF(REGEXMATCH(lower(G1682),""mynn""),""Myn"",if(G1682&lt;&gt;"""",""GEMTRE"",""""))))"),"Myn")</f>
        <v>Myn</v>
      </c>
      <c r="L1682" s="46" t="s">
        <v>2000</v>
      </c>
      <c r="M1682" s="48">
        <v>45256.813576388886</v>
      </c>
    </row>
    <row r="1683">
      <c r="A1683" s="47">
        <v>45256.81830555556</v>
      </c>
      <c r="B1683" s="46" t="s">
        <v>1918</v>
      </c>
      <c r="C1683" s="46">
        <v>9.654764065E9</v>
      </c>
      <c r="D1683" s="46"/>
      <c r="E1683" s="46"/>
      <c r="F1683" s="46"/>
      <c r="G1683" s="46" t="s">
        <v>303</v>
      </c>
      <c r="H1683" s="46" t="s">
        <v>701</v>
      </c>
      <c r="I1683" s="46"/>
      <c r="J1683" s="46"/>
      <c r="K1683" s="46" t="str">
        <f>IFERROR(__xludf.DUMMYFUNCTION("if(A1683="""","""",IF(G1683="""",""Myn"",IF(REGEXMATCH(lower(G1683),""mynn""),""Myn"",if(G1683&lt;&gt;"""",""GEMTRE"",""""))))"),"Myn")</f>
        <v>Myn</v>
      </c>
      <c r="L1683" s="46" t="s">
        <v>2000</v>
      </c>
      <c r="M1683" s="48">
        <v>45256.813796296294</v>
      </c>
    </row>
    <row r="1684">
      <c r="A1684" s="47">
        <v>45256.825704386574</v>
      </c>
      <c r="B1684" s="46" t="s">
        <v>1919</v>
      </c>
      <c r="C1684" s="46">
        <v>9.953221888E9</v>
      </c>
      <c r="D1684" s="46"/>
      <c r="E1684" s="46" t="s">
        <v>1920</v>
      </c>
      <c r="F1684" s="46"/>
      <c r="G1684" s="46" t="s">
        <v>303</v>
      </c>
      <c r="H1684" s="46" t="s">
        <v>706</v>
      </c>
      <c r="I1684" s="46"/>
      <c r="J1684" s="46"/>
      <c r="K1684" s="46" t="str">
        <f>IFERROR(__xludf.DUMMYFUNCTION("if(A1684="""","""",IF(G1684="""",""Myn"",IF(REGEXMATCH(lower(G1684),""mynn""),""Myn"",if(G1684&lt;&gt;"""",""GEMTRE"",""""))))"),"Myn")</f>
        <v>Myn</v>
      </c>
      <c r="L1684" s="46" t="s">
        <v>2000</v>
      </c>
      <c r="M1684" s="48">
        <v>45256.81422453704</v>
      </c>
    </row>
    <row r="1685">
      <c r="A1685" s="47">
        <v>45256.83122046296</v>
      </c>
      <c r="B1685" s="46" t="s">
        <v>1353</v>
      </c>
      <c r="C1685" s="46">
        <v>9.582518428E9</v>
      </c>
      <c r="D1685" s="46"/>
      <c r="E1685" s="46"/>
      <c r="F1685" s="46"/>
      <c r="G1685" s="46" t="s">
        <v>303</v>
      </c>
      <c r="H1685" s="46" t="s">
        <v>701</v>
      </c>
      <c r="I1685" s="46"/>
      <c r="J1685" s="46"/>
      <c r="K1685" s="46" t="str">
        <f>IFERROR(__xludf.DUMMYFUNCTION("if(A1685="""","""",IF(G1685="""",""Myn"",IF(REGEXMATCH(lower(G1685),""mynn""),""Myn"",if(G1685&lt;&gt;"""",""GEMTRE"",""""))))"),"Myn")</f>
        <v>Myn</v>
      </c>
      <c r="L1685" s="46" t="s">
        <v>2000</v>
      </c>
      <c r="M1685" s="48">
        <v>45256.818333333336</v>
      </c>
    </row>
    <row r="1686">
      <c r="A1686" s="47">
        <v>45257.48221081018</v>
      </c>
      <c r="B1686" s="46" t="s">
        <v>1921</v>
      </c>
      <c r="C1686" s="46">
        <v>7.600439676E9</v>
      </c>
      <c r="D1686" s="46"/>
      <c r="E1686" s="46"/>
      <c r="F1686" s="46"/>
      <c r="G1686" s="46" t="s">
        <v>303</v>
      </c>
      <c r="H1686" s="46" t="s">
        <v>701</v>
      </c>
      <c r="I1686" s="46"/>
      <c r="J1686" s="46"/>
      <c r="K1686" s="46" t="str">
        <f>IFERROR(__xludf.DUMMYFUNCTION("if(A1686="""","""",IF(G1686="""",""Myn"",IF(REGEXMATCH(lower(G1686),""mynn""),""Myn"",if(G1686&lt;&gt;"""",""GEMTRE"",""""))))"),"Myn")</f>
        <v>Myn</v>
      </c>
      <c r="L1686" s="46" t="s">
        <v>2000</v>
      </c>
      <c r="M1686" s="48">
        <v>45256.825740740744</v>
      </c>
    </row>
    <row r="1687">
      <c r="A1687" s="47">
        <v>45257.49015023148</v>
      </c>
      <c r="B1687" s="46" t="s">
        <v>1131</v>
      </c>
      <c r="C1687" s="46">
        <v>9.968397453E9</v>
      </c>
      <c r="D1687" s="46"/>
      <c r="E1687" s="46" t="s">
        <v>15</v>
      </c>
      <c r="F1687" s="46"/>
      <c r="G1687" s="46" t="s">
        <v>303</v>
      </c>
      <c r="H1687" s="46" t="s">
        <v>706</v>
      </c>
      <c r="I1687" s="46"/>
      <c r="J1687" s="46"/>
      <c r="K1687" s="46" t="str">
        <f>IFERROR(__xludf.DUMMYFUNCTION("if(A1687="""","""",IF(G1687="""",""Myn"",IF(REGEXMATCH(lower(G1687),""mynn""),""Myn"",if(G1687&lt;&gt;"""",""GEMTRE"",""""))))"),"Myn")</f>
        <v>Myn</v>
      </c>
      <c r="L1687" s="46" t="s">
        <v>2000</v>
      </c>
      <c r="M1687" s="48">
        <v>45256.83125</v>
      </c>
    </row>
    <row r="1688">
      <c r="A1688" s="47">
        <v>45257.490528263894</v>
      </c>
      <c r="B1688" s="46" t="s">
        <v>1922</v>
      </c>
      <c r="C1688" s="46">
        <v>7.988646656E9</v>
      </c>
      <c r="D1688" s="46"/>
      <c r="E1688" s="46"/>
      <c r="F1688" s="46"/>
      <c r="G1688" s="46" t="s">
        <v>303</v>
      </c>
      <c r="H1688" s="46" t="s">
        <v>701</v>
      </c>
      <c r="I1688" s="46"/>
      <c r="J1688" s="46"/>
      <c r="K1688" s="46" t="str">
        <f>IFERROR(__xludf.DUMMYFUNCTION("if(A1688="""","""",IF(G1688="""",""Myn"",IF(REGEXMATCH(lower(G1688),""mynn""),""Myn"",if(G1688&lt;&gt;"""",""GEMTRE"",""""))))"),"Myn")</f>
        <v>Myn</v>
      </c>
      <c r="L1688" s="46" t="s">
        <v>2000</v>
      </c>
      <c r="M1688" s="48">
        <v>45257.48228009259</v>
      </c>
    </row>
    <row r="1689">
      <c r="A1689" s="47">
        <v>45257.4927230787</v>
      </c>
      <c r="B1689" s="46" t="s">
        <v>1923</v>
      </c>
      <c r="C1689" s="46">
        <v>7.017387612E9</v>
      </c>
      <c r="D1689" s="46"/>
      <c r="E1689" s="46" t="s">
        <v>15</v>
      </c>
      <c r="F1689" s="46"/>
      <c r="G1689" s="46" t="s">
        <v>303</v>
      </c>
      <c r="H1689" s="46" t="s">
        <v>706</v>
      </c>
      <c r="I1689" s="46"/>
      <c r="J1689" s="46"/>
      <c r="K1689" s="46" t="str">
        <f>IFERROR(__xludf.DUMMYFUNCTION("if(A1689="""","""",IF(G1689="""",""Myn"",IF(REGEXMATCH(lower(G1689),""mynn""),""Myn"",if(G1689&lt;&gt;"""",""GEMTRE"",""""))))"),"Myn")</f>
        <v>Myn</v>
      </c>
      <c r="L1689" s="46" t="s">
        <v>2000</v>
      </c>
      <c r="M1689" s="48">
        <v>45257.49017361111</v>
      </c>
    </row>
    <row r="1690">
      <c r="A1690" s="47">
        <v>45257.50731700231</v>
      </c>
      <c r="B1690" s="46" t="s">
        <v>1924</v>
      </c>
      <c r="C1690" s="46">
        <v>9.811088872E9</v>
      </c>
      <c r="D1690" s="46"/>
      <c r="E1690" s="46" t="s">
        <v>79</v>
      </c>
      <c r="F1690" s="46"/>
      <c r="G1690" s="46" t="s">
        <v>303</v>
      </c>
      <c r="H1690" s="46" t="s">
        <v>706</v>
      </c>
      <c r="I1690" s="46"/>
      <c r="J1690" s="46"/>
      <c r="K1690" s="46" t="str">
        <f>IFERROR(__xludf.DUMMYFUNCTION("if(A1690="""","""",IF(G1690="""",""Myn"",IF(REGEXMATCH(lower(G1690),""mynn""),""Myn"",if(G1690&lt;&gt;"""",""GEMTRE"",""""))))"),"Myn")</f>
        <v>Myn</v>
      </c>
      <c r="L1690" s="46" t="s">
        <v>2000</v>
      </c>
      <c r="M1690" s="48">
        <v>45257.49055555555</v>
      </c>
    </row>
    <row r="1691">
      <c r="A1691" s="47">
        <v>45257.51450196759</v>
      </c>
      <c r="B1691" s="46" t="s">
        <v>1925</v>
      </c>
      <c r="C1691" s="46">
        <v>9.919919819E9</v>
      </c>
      <c r="D1691" s="46"/>
      <c r="E1691" s="46" t="s">
        <v>15</v>
      </c>
      <c r="F1691" s="46"/>
      <c r="G1691" s="46" t="s">
        <v>303</v>
      </c>
      <c r="H1691" s="46" t="s">
        <v>706</v>
      </c>
      <c r="I1691" s="46"/>
      <c r="J1691" s="46"/>
      <c r="K1691" s="46" t="str">
        <f>IFERROR(__xludf.DUMMYFUNCTION("if(A1691="""","""",IF(G1691="""",""Myn"",IF(REGEXMATCH(lower(G1691),""mynn""),""Myn"",if(G1691&lt;&gt;"""",""GEMTRE"",""""))))"),"Myn")</f>
        <v>Myn</v>
      </c>
      <c r="L1691" s="46" t="s">
        <v>2000</v>
      </c>
      <c r="M1691" s="48">
        <v>45257.49275462963</v>
      </c>
    </row>
    <row r="1692">
      <c r="A1692" s="47">
        <v>45257.515569560186</v>
      </c>
      <c r="B1692" s="46" t="s">
        <v>1926</v>
      </c>
      <c r="C1692" s="46">
        <v>8.178051346E9</v>
      </c>
      <c r="D1692" s="46"/>
      <c r="E1692" s="46"/>
      <c r="F1692" s="46"/>
      <c r="G1692" s="46" t="s">
        <v>303</v>
      </c>
      <c r="H1692" s="46" t="s">
        <v>701</v>
      </c>
      <c r="I1692" s="46"/>
      <c r="J1692" s="46"/>
      <c r="K1692" s="46" t="str">
        <f>IFERROR(__xludf.DUMMYFUNCTION("if(A1692="""","""",IF(G1692="""",""Myn"",IF(REGEXMATCH(lower(G1692),""mynn""),""Myn"",if(G1692&lt;&gt;"""",""GEMTRE"",""""))))"),"Myn")</f>
        <v>Myn</v>
      </c>
      <c r="L1692" s="46" t="s">
        <v>2000</v>
      </c>
      <c r="M1692" s="48">
        <v>45257.50734953704</v>
      </c>
    </row>
    <row r="1693">
      <c r="A1693" s="47">
        <v>45257.51572642361</v>
      </c>
      <c r="B1693" s="46" t="s">
        <v>1927</v>
      </c>
      <c r="C1693" s="46">
        <v>9.818990071E9</v>
      </c>
      <c r="D1693" s="46"/>
      <c r="E1693" s="46" t="s">
        <v>15</v>
      </c>
      <c r="F1693" s="46"/>
      <c r="G1693" s="46" t="s">
        <v>303</v>
      </c>
      <c r="H1693" s="46" t="s">
        <v>706</v>
      </c>
      <c r="I1693" s="46"/>
      <c r="J1693" s="46"/>
      <c r="K1693" s="46" t="str">
        <f>IFERROR(__xludf.DUMMYFUNCTION("if(A1693="""","""",IF(G1693="""",""Myn"",IF(REGEXMATCH(lower(G1693),""mynn""),""Myn"",if(G1693&lt;&gt;"""",""GEMTRE"",""""))))"),"Myn")</f>
        <v>Myn</v>
      </c>
      <c r="L1693" s="46" t="s">
        <v>2000</v>
      </c>
      <c r="M1693" s="48">
        <v>45257.51453703704</v>
      </c>
    </row>
    <row r="1694">
      <c r="A1694" s="47">
        <v>45257.515920370366</v>
      </c>
      <c r="B1694" s="46" t="s">
        <v>204</v>
      </c>
      <c r="C1694" s="46">
        <v>9.81897672E9</v>
      </c>
      <c r="D1694" s="46"/>
      <c r="E1694" s="46" t="s">
        <v>79</v>
      </c>
      <c r="F1694" s="46"/>
      <c r="G1694" s="46" t="s">
        <v>303</v>
      </c>
      <c r="H1694" s="46" t="s">
        <v>706</v>
      </c>
      <c r="I1694" s="46"/>
      <c r="J1694" s="46"/>
      <c r="K1694" s="46" t="str">
        <f>IFERROR(__xludf.DUMMYFUNCTION("if(A1694="""","""",IF(G1694="""",""Myn"",IF(REGEXMATCH(lower(G1694),""mynn""),""Myn"",if(G1694&lt;&gt;"""",""GEMTRE"",""""))))"),"Myn")</f>
        <v>Myn</v>
      </c>
      <c r="L1694" s="46" t="s">
        <v>2000</v>
      </c>
      <c r="M1694" s="48">
        <v>45257.515601851854</v>
      </c>
    </row>
    <row r="1695">
      <c r="A1695" s="47">
        <v>45257.52109703704</v>
      </c>
      <c r="B1695" s="46" t="s">
        <v>1928</v>
      </c>
      <c r="C1695" s="46">
        <v>9.899115181E9</v>
      </c>
      <c r="D1695" s="46"/>
      <c r="E1695" s="46"/>
      <c r="F1695" s="46"/>
      <c r="G1695" s="46" t="s">
        <v>303</v>
      </c>
      <c r="H1695" s="46" t="s">
        <v>701</v>
      </c>
      <c r="I1695" s="46"/>
      <c r="J1695" s="46"/>
      <c r="K1695" s="46" t="str">
        <f>IFERROR(__xludf.DUMMYFUNCTION("if(A1695="""","""",IF(G1695="""",""Myn"",IF(REGEXMATCH(lower(G1695),""mynn""),""Myn"",if(G1695&lt;&gt;"""",""GEMTRE"",""""))))"),"Myn")</f>
        <v>Myn</v>
      </c>
      <c r="L1695" s="46" t="s">
        <v>2000</v>
      </c>
      <c r="M1695" s="48">
        <v>45257.515752314815</v>
      </c>
    </row>
    <row r="1696">
      <c r="A1696" s="47">
        <v>45257.52144898148</v>
      </c>
      <c r="B1696" s="46" t="s">
        <v>1929</v>
      </c>
      <c r="C1696" s="46">
        <v>9.311091412E9</v>
      </c>
      <c r="D1696" s="46"/>
      <c r="E1696" s="46" t="s">
        <v>227</v>
      </c>
      <c r="F1696" s="46"/>
      <c r="G1696" s="46" t="s">
        <v>303</v>
      </c>
      <c r="H1696" s="46" t="s">
        <v>706</v>
      </c>
      <c r="I1696" s="46"/>
      <c r="J1696" s="46"/>
      <c r="K1696" s="46" t="str">
        <f>IFERROR(__xludf.DUMMYFUNCTION("if(A1696="""","""",IF(G1696="""",""Myn"",IF(REGEXMATCH(lower(G1696),""mynn""),""Myn"",if(G1696&lt;&gt;"""",""GEMTRE"",""""))))"),"Myn")</f>
        <v>Myn</v>
      </c>
      <c r="L1696" s="46" t="s">
        <v>2000</v>
      </c>
      <c r="M1696" s="48">
        <v>45257.51594907408</v>
      </c>
    </row>
    <row r="1697">
      <c r="A1697" s="47">
        <v>45257.52164237268</v>
      </c>
      <c r="B1697" s="46" t="s">
        <v>1930</v>
      </c>
      <c r="C1697" s="46">
        <v>9.81109422E9</v>
      </c>
      <c r="D1697" s="46"/>
      <c r="E1697" s="46"/>
      <c r="F1697" s="46"/>
      <c r="G1697" s="46" t="s">
        <v>303</v>
      </c>
      <c r="H1697" s="46" t="s">
        <v>701</v>
      </c>
      <c r="I1697" s="46"/>
      <c r="J1697" s="46"/>
      <c r="K1697" s="46" t="str">
        <f>IFERROR(__xludf.DUMMYFUNCTION("if(A1697="""","""",IF(G1697="""",""Myn"",IF(REGEXMATCH(lower(G1697),""mynn""),""Myn"",if(G1697&lt;&gt;"""",""GEMTRE"",""""))))"),"Myn")</f>
        <v>Myn</v>
      </c>
      <c r="L1697" s="46" t="s">
        <v>2000</v>
      </c>
      <c r="M1697" s="48">
        <v>45257.52112268518</v>
      </c>
    </row>
    <row r="1698">
      <c r="A1698" s="47">
        <v>45257.522609004634</v>
      </c>
      <c r="B1698" s="46" t="s">
        <v>1931</v>
      </c>
      <c r="C1698" s="46">
        <v>9.315012431E9</v>
      </c>
      <c r="D1698" s="46"/>
      <c r="E1698" s="46" t="s">
        <v>227</v>
      </c>
      <c r="F1698" s="46"/>
      <c r="G1698" s="46" t="s">
        <v>303</v>
      </c>
      <c r="H1698" s="46" t="s">
        <v>706</v>
      </c>
      <c r="I1698" s="46"/>
      <c r="J1698" s="46"/>
      <c r="K1698" s="46" t="str">
        <f>IFERROR(__xludf.DUMMYFUNCTION("if(A1698="""","""",IF(G1698="""",""Myn"",IF(REGEXMATCH(lower(G1698),""mynn""),""Myn"",if(G1698&lt;&gt;"""",""GEMTRE"",""""))))"),"Myn")</f>
        <v>Myn</v>
      </c>
      <c r="L1698" s="46" t="s">
        <v>2000</v>
      </c>
      <c r="M1698" s="48">
        <v>45257.521469907406</v>
      </c>
    </row>
    <row r="1699">
      <c r="A1699" s="47">
        <v>45257.52511636574</v>
      </c>
      <c r="B1699" s="46" t="s">
        <v>1932</v>
      </c>
      <c r="C1699" s="46">
        <v>9.929020605E9</v>
      </c>
      <c r="D1699" s="46"/>
      <c r="E1699" s="46" t="s">
        <v>227</v>
      </c>
      <c r="F1699" s="46"/>
      <c r="G1699" s="46" t="s">
        <v>303</v>
      </c>
      <c r="H1699" s="46" t="s">
        <v>706</v>
      </c>
      <c r="I1699" s="46"/>
      <c r="J1699" s="46"/>
      <c r="K1699" s="46" t="str">
        <f>IFERROR(__xludf.DUMMYFUNCTION("if(A1699="""","""",IF(G1699="""",""Myn"",IF(REGEXMATCH(lower(G1699),""mynn""),""Myn"",if(G1699&lt;&gt;"""",""GEMTRE"",""""))))"),"Myn")</f>
        <v>Myn</v>
      </c>
      <c r="L1699" s="46" t="s">
        <v>2000</v>
      </c>
      <c r="M1699" s="48">
        <v>45257.52166666667</v>
      </c>
    </row>
    <row r="1700">
      <c r="A1700" s="47">
        <v>45257.53494805556</v>
      </c>
      <c r="B1700" s="46" t="s">
        <v>1933</v>
      </c>
      <c r="C1700" s="46">
        <v>9.289123505E9</v>
      </c>
      <c r="D1700" s="46"/>
      <c r="E1700" s="46"/>
      <c r="F1700" s="46"/>
      <c r="G1700" s="46" t="s">
        <v>303</v>
      </c>
      <c r="H1700" s="46" t="s">
        <v>706</v>
      </c>
      <c r="I1700" s="46"/>
      <c r="J1700" s="46"/>
      <c r="K1700" s="46" t="str">
        <f>IFERROR(__xludf.DUMMYFUNCTION("if(A1700="""","""",IF(G1700="""",""Myn"",IF(REGEXMATCH(lower(G1700),""mynn""),""Myn"",if(G1700&lt;&gt;"""",""GEMTRE"",""""))))"),"Myn")</f>
        <v>Myn</v>
      </c>
      <c r="L1700" s="46" t="s">
        <v>2000</v>
      </c>
      <c r="M1700" s="48">
        <v>45257.522627314815</v>
      </c>
    </row>
    <row r="1701">
      <c r="A1701" s="47">
        <v>45257.536938668985</v>
      </c>
      <c r="B1701" s="46" t="s">
        <v>1934</v>
      </c>
      <c r="C1701" s="46">
        <v>9.015593048E9</v>
      </c>
      <c r="D1701" s="46"/>
      <c r="E1701" s="46" t="s">
        <v>227</v>
      </c>
      <c r="F1701" s="46"/>
      <c r="G1701" s="46" t="s">
        <v>303</v>
      </c>
      <c r="H1701" s="46" t="s">
        <v>706</v>
      </c>
      <c r="I1701" s="46"/>
      <c r="J1701" s="46"/>
      <c r="K1701" s="46" t="str">
        <f>IFERROR(__xludf.DUMMYFUNCTION("if(A1701="""","""",IF(G1701="""",""Myn"",IF(REGEXMATCH(lower(G1701),""mynn""),""Myn"",if(G1701&lt;&gt;"""",""GEMTRE"",""""))))"),"Myn")</f>
        <v>Myn</v>
      </c>
      <c r="L1701" s="46" t="s">
        <v>2000</v>
      </c>
      <c r="M1701" s="48">
        <v>45257.52513888889</v>
      </c>
    </row>
    <row r="1702">
      <c r="A1702" s="47">
        <v>45257.54076876157</v>
      </c>
      <c r="B1702" s="46" t="s">
        <v>1935</v>
      </c>
      <c r="C1702" s="46">
        <v>9.599310295E9</v>
      </c>
      <c r="D1702" s="46"/>
      <c r="E1702" s="46"/>
      <c r="F1702" s="46"/>
      <c r="G1702" s="46" t="s">
        <v>303</v>
      </c>
      <c r="H1702" s="46" t="s">
        <v>701</v>
      </c>
      <c r="I1702" s="46"/>
      <c r="J1702" s="46"/>
      <c r="K1702" s="46" t="str">
        <f>IFERROR(__xludf.DUMMYFUNCTION("if(A1702="""","""",IF(G1702="""",""Myn"",IF(REGEXMATCH(lower(G1702),""mynn""),""Myn"",if(G1702&lt;&gt;"""",""GEMTRE"",""""))))"),"Myn")</f>
        <v>Myn</v>
      </c>
      <c r="L1702" s="46" t="s">
        <v>2000</v>
      </c>
      <c r="M1702" s="48">
        <v>45257.53497685185</v>
      </c>
    </row>
    <row r="1703">
      <c r="A1703" s="47">
        <v>45257.54117402778</v>
      </c>
      <c r="B1703" s="46" t="s">
        <v>1936</v>
      </c>
      <c r="C1703" s="46">
        <v>9.008182463E9</v>
      </c>
      <c r="D1703" s="46"/>
      <c r="E1703" s="46" t="s">
        <v>15</v>
      </c>
      <c r="F1703" s="46"/>
      <c r="G1703" s="46" t="s">
        <v>303</v>
      </c>
      <c r="H1703" s="46" t="s">
        <v>706</v>
      </c>
      <c r="I1703" s="46"/>
      <c r="J1703" s="46"/>
      <c r="K1703" s="46" t="str">
        <f>IFERROR(__xludf.DUMMYFUNCTION("if(A1703="""","""",IF(G1703="""",""Myn"",IF(REGEXMATCH(lower(G1703),""mynn""),""Myn"",if(G1703&lt;&gt;"""",""GEMTRE"",""""))))"),"Myn")</f>
        <v>Myn</v>
      </c>
      <c r="L1703" s="46" t="s">
        <v>2000</v>
      </c>
      <c r="M1703" s="48">
        <v>45257.53695601852</v>
      </c>
    </row>
    <row r="1704">
      <c r="A1704" s="47">
        <v>45257.54523050926</v>
      </c>
      <c r="B1704" s="46" t="s">
        <v>1937</v>
      </c>
      <c r="C1704" s="46">
        <v>9.818100754E9</v>
      </c>
      <c r="D1704" s="46"/>
      <c r="E1704" s="46" t="s">
        <v>793</v>
      </c>
      <c r="F1704" s="46"/>
      <c r="G1704" s="46" t="s">
        <v>303</v>
      </c>
      <c r="H1704" s="46" t="s">
        <v>706</v>
      </c>
      <c r="I1704" s="46"/>
      <c r="J1704" s="46"/>
      <c r="K1704" s="46" t="str">
        <f>IFERROR(__xludf.DUMMYFUNCTION("if(A1704="""","""",IF(G1704="""",""Myn"",IF(REGEXMATCH(lower(G1704),""mynn""),""Myn"",if(G1704&lt;&gt;"""",""GEMTRE"",""""))))"),"Myn")</f>
        <v>Myn</v>
      </c>
      <c r="L1704" s="46" t="s">
        <v>2000</v>
      </c>
      <c r="M1704" s="48">
        <v>45257.54079861111</v>
      </c>
    </row>
    <row r="1705">
      <c r="A1705" s="47">
        <v>45257.5463852199</v>
      </c>
      <c r="B1705" s="46" t="s">
        <v>845</v>
      </c>
      <c r="C1705" s="46">
        <v>9.999209552E9</v>
      </c>
      <c r="D1705" s="46"/>
      <c r="E1705" s="46" t="s">
        <v>1938</v>
      </c>
      <c r="F1705" s="46"/>
      <c r="G1705" s="46" t="s">
        <v>303</v>
      </c>
      <c r="H1705" s="46" t="s">
        <v>706</v>
      </c>
      <c r="I1705" s="46"/>
      <c r="J1705" s="46"/>
      <c r="K1705" s="46" t="str">
        <f>IFERROR(__xludf.DUMMYFUNCTION("if(A1705="""","""",IF(G1705="""",""Myn"",IF(REGEXMATCH(lower(G1705),""mynn""),""Myn"",if(G1705&lt;&gt;"""",""GEMTRE"",""""))))"),"Myn")</f>
        <v>Myn</v>
      </c>
      <c r="L1705" s="46" t="s">
        <v>2000</v>
      </c>
      <c r="M1705" s="48">
        <v>45257.54119212963</v>
      </c>
    </row>
    <row r="1706">
      <c r="A1706" s="47">
        <v>45257.55023652778</v>
      </c>
      <c r="B1706" s="46" t="s">
        <v>1382</v>
      </c>
      <c r="C1706" s="46">
        <v>8.86106739E9</v>
      </c>
      <c r="D1706" s="46"/>
      <c r="E1706" s="46"/>
      <c r="F1706" s="46"/>
      <c r="G1706" s="46" t="s">
        <v>303</v>
      </c>
      <c r="H1706" s="46" t="s">
        <v>706</v>
      </c>
      <c r="I1706" s="46"/>
      <c r="J1706" s="46"/>
      <c r="K1706" s="46" t="str">
        <f>IFERROR(__xludf.DUMMYFUNCTION("if(A1706="""","""",IF(G1706="""",""Myn"",IF(REGEXMATCH(lower(G1706),""mynn""),""Myn"",if(G1706&lt;&gt;"""",""GEMTRE"",""""))))"),"Myn")</f>
        <v>Myn</v>
      </c>
      <c r="L1706" s="46" t="s">
        <v>2000</v>
      </c>
      <c r="M1706" s="48">
        <v>45257.54525462963</v>
      </c>
    </row>
    <row r="1707">
      <c r="A1707" s="47">
        <v>45257.55067591435</v>
      </c>
      <c r="B1707" s="46" t="s">
        <v>812</v>
      </c>
      <c r="C1707" s="46">
        <v>9.368074051E9</v>
      </c>
      <c r="D1707" s="46"/>
      <c r="E1707" s="46" t="s">
        <v>608</v>
      </c>
      <c r="F1707" s="46"/>
      <c r="G1707" s="46" t="s">
        <v>303</v>
      </c>
      <c r="H1707" s="46" t="s">
        <v>706</v>
      </c>
      <c r="I1707" s="46"/>
      <c r="J1707" s="46"/>
      <c r="K1707" s="46" t="str">
        <f>IFERROR(__xludf.DUMMYFUNCTION("if(A1707="""","""",IF(G1707="""",""Myn"",IF(REGEXMATCH(lower(G1707),""mynn""),""Myn"",if(G1707&lt;&gt;"""",""GEMTRE"",""""))))"),"Myn")</f>
        <v>Myn</v>
      </c>
      <c r="L1707" s="46" t="s">
        <v>2000</v>
      </c>
      <c r="M1707" s="48">
        <v>45257.54640046296</v>
      </c>
    </row>
    <row r="1708">
      <c r="A1708" s="47">
        <v>45257.55269309028</v>
      </c>
      <c r="B1708" s="46" t="s">
        <v>1930</v>
      </c>
      <c r="C1708" s="46">
        <v>7.042107044E9</v>
      </c>
      <c r="D1708" s="46"/>
      <c r="E1708" s="46"/>
      <c r="F1708" s="46"/>
      <c r="G1708" s="46" t="s">
        <v>303</v>
      </c>
      <c r="H1708" s="46" t="s">
        <v>701</v>
      </c>
      <c r="I1708" s="46"/>
      <c r="J1708" s="46"/>
      <c r="K1708" s="46" t="str">
        <f>IFERROR(__xludf.DUMMYFUNCTION("if(A1708="""","""",IF(G1708="""",""Myn"",IF(REGEXMATCH(lower(G1708),""mynn""),""Myn"",if(G1708&lt;&gt;"""",""GEMTRE"",""""))))"),"Myn")</f>
        <v>Myn</v>
      </c>
      <c r="L1708" s="46" t="s">
        <v>2000</v>
      </c>
      <c r="M1708" s="48">
        <v>45257.5502662037</v>
      </c>
    </row>
    <row r="1709">
      <c r="A1709" s="47">
        <v>45257.553265486116</v>
      </c>
      <c r="B1709" s="46" t="s">
        <v>254</v>
      </c>
      <c r="C1709" s="46">
        <v>9.81855742E9</v>
      </c>
      <c r="D1709" s="46"/>
      <c r="E1709" s="46"/>
      <c r="F1709" s="46"/>
      <c r="G1709" s="46" t="s">
        <v>303</v>
      </c>
      <c r="H1709" s="46" t="s">
        <v>701</v>
      </c>
      <c r="I1709" s="46"/>
      <c r="J1709" s="46"/>
      <c r="K1709" s="46" t="str">
        <f>IFERROR(__xludf.DUMMYFUNCTION("if(A1709="""","""",IF(G1709="""",""Myn"",IF(REGEXMATCH(lower(G1709),""mynn""),""Myn"",if(G1709&lt;&gt;"""",""GEMTRE"",""""))))"),"Myn")</f>
        <v>Myn</v>
      </c>
      <c r="L1709" s="46" t="s">
        <v>2000</v>
      </c>
      <c r="M1709" s="48">
        <v>45257.550717592596</v>
      </c>
    </row>
    <row r="1710">
      <c r="A1710" s="47">
        <v>45257.554184849534</v>
      </c>
      <c r="B1710" s="46" t="s">
        <v>1258</v>
      </c>
      <c r="C1710" s="46">
        <v>9.289072884E9</v>
      </c>
      <c r="D1710" s="46"/>
      <c r="E1710" s="46"/>
      <c r="F1710" s="46"/>
      <c r="G1710" s="46" t="s">
        <v>303</v>
      </c>
      <c r="H1710" s="46" t="s">
        <v>701</v>
      </c>
      <c r="I1710" s="46"/>
      <c r="J1710" s="46"/>
      <c r="K1710" s="46" t="str">
        <f>IFERROR(__xludf.DUMMYFUNCTION("if(A1710="""","""",IF(G1710="""",""Myn"",IF(REGEXMATCH(lower(G1710),""mynn""),""Myn"",if(G1710&lt;&gt;"""",""GEMTRE"",""""))))"),"Myn")</f>
        <v>Myn</v>
      </c>
      <c r="L1710" s="46" t="s">
        <v>2000</v>
      </c>
      <c r="M1710" s="48">
        <v>45257.552719907406</v>
      </c>
    </row>
    <row r="1711">
      <c r="A1711" s="47">
        <v>45257.5542637037</v>
      </c>
      <c r="B1711" s="46" t="s">
        <v>1939</v>
      </c>
      <c r="C1711" s="46">
        <v>9.211015518E9</v>
      </c>
      <c r="D1711" s="46"/>
      <c r="E1711" s="46"/>
      <c r="F1711" s="46"/>
      <c r="G1711" s="46" t="s">
        <v>303</v>
      </c>
      <c r="H1711" s="46" t="s">
        <v>701</v>
      </c>
      <c r="I1711" s="46"/>
      <c r="J1711" s="46"/>
      <c r="K1711" s="46" t="str">
        <f>IFERROR(__xludf.DUMMYFUNCTION("if(A1711="""","""",IF(G1711="""",""Myn"",IF(REGEXMATCH(lower(G1711),""mynn""),""Myn"",if(G1711&lt;&gt;"""",""GEMTRE"",""""))))"),"Myn")</f>
        <v>Myn</v>
      </c>
      <c r="L1711" s="46" t="s">
        <v>2000</v>
      </c>
      <c r="M1711" s="48">
        <v>45257.55328703704</v>
      </c>
    </row>
    <row r="1712">
      <c r="A1712" s="47">
        <v>45257.554270057866</v>
      </c>
      <c r="B1712" s="46" t="s">
        <v>1940</v>
      </c>
      <c r="C1712" s="46">
        <v>8.745000456E9</v>
      </c>
      <c r="D1712" s="46"/>
      <c r="E1712" s="46" t="s">
        <v>15</v>
      </c>
      <c r="F1712" s="46"/>
      <c r="G1712" s="46" t="s">
        <v>303</v>
      </c>
      <c r="H1712" s="46" t="s">
        <v>706</v>
      </c>
      <c r="I1712" s="46"/>
      <c r="J1712" s="46"/>
      <c r="K1712" s="46" t="str">
        <f>IFERROR(__xludf.DUMMYFUNCTION("if(A1712="""","""",IF(G1712="""",""Myn"",IF(REGEXMATCH(lower(G1712),""mynn""),""Myn"",if(G1712&lt;&gt;"""",""GEMTRE"",""""))))"),"Myn")</f>
        <v>Myn</v>
      </c>
      <c r="L1712" s="46" t="s">
        <v>2000</v>
      </c>
      <c r="M1712" s="48">
        <v>45257.55421296296</v>
      </c>
    </row>
    <row r="1713">
      <c r="A1713" s="47">
        <v>45257.554427916664</v>
      </c>
      <c r="B1713" s="46" t="s">
        <v>1941</v>
      </c>
      <c r="C1713" s="46">
        <v>8.586821399E9</v>
      </c>
      <c r="D1713" s="46"/>
      <c r="E1713" s="46"/>
      <c r="F1713" s="46"/>
      <c r="G1713" s="46" t="s">
        <v>303</v>
      </c>
      <c r="H1713" s="46" t="s">
        <v>701</v>
      </c>
      <c r="I1713" s="46"/>
      <c r="J1713" s="46"/>
      <c r="K1713" s="46" t="str">
        <f>IFERROR(__xludf.DUMMYFUNCTION("if(A1713="""","""",IF(G1713="""",""Myn"",IF(REGEXMATCH(lower(G1713),""mynn""),""Myn"",if(G1713&lt;&gt;"""",""GEMTRE"",""""))))"),"Myn")</f>
        <v>Myn</v>
      </c>
      <c r="L1713" s="46" t="s">
        <v>2000</v>
      </c>
      <c r="M1713" s="48">
        <v>45257.554293981484</v>
      </c>
    </row>
    <row r="1714">
      <c r="A1714" s="47">
        <v>45257.55476320602</v>
      </c>
      <c r="B1714" s="46" t="s">
        <v>653</v>
      </c>
      <c r="C1714" s="46">
        <v>9.81124108E9</v>
      </c>
      <c r="D1714" s="46"/>
      <c r="E1714" s="46"/>
      <c r="F1714" s="46"/>
      <c r="G1714" s="46" t="s">
        <v>303</v>
      </c>
      <c r="H1714" s="46" t="s">
        <v>701</v>
      </c>
      <c r="I1714" s="46"/>
      <c r="J1714" s="46"/>
      <c r="K1714" s="46" t="str">
        <f>IFERROR(__xludf.DUMMYFUNCTION("if(A1714="""","""",IF(G1714="""",""Myn"",IF(REGEXMATCH(lower(G1714),""mynn""),""Myn"",if(G1714&lt;&gt;"""",""GEMTRE"",""""))))"),"Myn")</f>
        <v>Myn</v>
      </c>
      <c r="L1714" s="46" t="s">
        <v>2000</v>
      </c>
      <c r="M1714" s="48">
        <v>45257.554293981484</v>
      </c>
    </row>
    <row r="1715">
      <c r="A1715" s="47">
        <v>45257.555072187504</v>
      </c>
      <c r="B1715" s="46" t="s">
        <v>1942</v>
      </c>
      <c r="C1715" s="46">
        <v>7.400055455E9</v>
      </c>
      <c r="D1715" s="46"/>
      <c r="E1715" s="46"/>
      <c r="F1715" s="46"/>
      <c r="G1715" s="46" t="s">
        <v>303</v>
      </c>
      <c r="H1715" s="46" t="s">
        <v>701</v>
      </c>
      <c r="I1715" s="46"/>
      <c r="J1715" s="46"/>
      <c r="K1715" s="46" t="str">
        <f>IFERROR(__xludf.DUMMYFUNCTION("if(A1715="""","""",IF(G1715="""",""Myn"",IF(REGEXMATCH(lower(G1715),""mynn""),""Myn"",if(G1715&lt;&gt;"""",""GEMTRE"",""""))))"),"Myn")</f>
        <v>Myn</v>
      </c>
      <c r="L1715" s="46" t="s">
        <v>2000</v>
      </c>
      <c r="M1715" s="48">
        <v>45257.554444444446</v>
      </c>
    </row>
    <row r="1716">
      <c r="A1716" s="47">
        <v>45257.55534303241</v>
      </c>
      <c r="B1716" s="46" t="s">
        <v>1943</v>
      </c>
      <c r="C1716" s="46">
        <v>9.910835432E9</v>
      </c>
      <c r="D1716" s="46"/>
      <c r="E1716" s="46" t="s">
        <v>15</v>
      </c>
      <c r="F1716" s="46"/>
      <c r="G1716" s="46" t="s">
        <v>303</v>
      </c>
      <c r="H1716" s="46" t="s">
        <v>706</v>
      </c>
      <c r="I1716" s="46"/>
      <c r="J1716" s="46"/>
      <c r="K1716" s="46" t="str">
        <f>IFERROR(__xludf.DUMMYFUNCTION("if(A1716="""","""",IF(G1716="""",""Myn"",IF(REGEXMATCH(lower(G1716),""mynn""),""Myn"",if(G1716&lt;&gt;"""",""GEMTRE"",""""))))"),"Myn")</f>
        <v>Myn</v>
      </c>
      <c r="L1716" s="46" t="s">
        <v>2000</v>
      </c>
      <c r="M1716" s="48">
        <v>45257.55479166667</v>
      </c>
    </row>
    <row r="1717">
      <c r="A1717" s="47">
        <v>45257.55537011574</v>
      </c>
      <c r="B1717" s="46" t="s">
        <v>1944</v>
      </c>
      <c r="C1717" s="46">
        <v>9.452147983E9</v>
      </c>
      <c r="D1717" s="46"/>
      <c r="E1717" s="46"/>
      <c r="F1717" s="46"/>
      <c r="G1717" s="46" t="s">
        <v>303</v>
      </c>
      <c r="H1717" s="46" t="s">
        <v>701</v>
      </c>
      <c r="I1717" s="46"/>
      <c r="J1717" s="46"/>
      <c r="K1717" s="46" t="str">
        <f>IFERROR(__xludf.DUMMYFUNCTION("if(A1717="""","""",IF(G1717="""",""Myn"",IF(REGEXMATCH(lower(G1717),""mynn""),""Myn"",if(G1717&lt;&gt;"""",""GEMTRE"",""""))))"),"Myn")</f>
        <v>Myn</v>
      </c>
      <c r="L1717" s="46" t="s">
        <v>2000</v>
      </c>
      <c r="M1717" s="48">
        <v>45257.55510416667</v>
      </c>
    </row>
    <row r="1718">
      <c r="A1718" s="47">
        <v>45257.55563805556</v>
      </c>
      <c r="B1718" s="46" t="s">
        <v>1573</v>
      </c>
      <c r="C1718" s="46">
        <v>9.990114995E9</v>
      </c>
      <c r="D1718" s="46"/>
      <c r="E1718" s="46"/>
      <c r="F1718" s="46"/>
      <c r="G1718" s="46" t="s">
        <v>303</v>
      </c>
      <c r="H1718" s="46" t="s">
        <v>701</v>
      </c>
      <c r="I1718" s="46"/>
      <c r="J1718" s="46"/>
      <c r="K1718" s="46" t="str">
        <f>IFERROR(__xludf.DUMMYFUNCTION("if(A1718="""","""",IF(G1718="""",""Myn"",IF(REGEXMATCH(lower(G1718),""mynn""),""Myn"",if(G1718&lt;&gt;"""",""GEMTRE"",""""))))"),"Myn")</f>
        <v>Myn</v>
      </c>
      <c r="L1718" s="46" t="s">
        <v>2000</v>
      </c>
      <c r="M1718" s="48">
        <v>45257.55537037037</v>
      </c>
    </row>
    <row r="1719">
      <c r="A1719" s="47">
        <v>45257.555735312504</v>
      </c>
      <c r="B1719" s="46" t="s">
        <v>1945</v>
      </c>
      <c r="C1719" s="46">
        <v>8.368631932E9</v>
      </c>
      <c r="D1719" s="46"/>
      <c r="E1719" s="46"/>
      <c r="F1719" s="46"/>
      <c r="G1719" s="46" t="s">
        <v>303</v>
      </c>
      <c r="H1719" s="46" t="s">
        <v>701</v>
      </c>
      <c r="I1719" s="46"/>
      <c r="J1719" s="46"/>
      <c r="K1719" s="46" t="str">
        <f>IFERROR(__xludf.DUMMYFUNCTION("if(A1719="""","""",IF(G1719="""",""Myn"",IF(REGEXMATCH(lower(G1719),""mynn""),""Myn"",if(G1719&lt;&gt;"""",""GEMTRE"",""""))))"),"Myn")</f>
        <v>Myn</v>
      </c>
      <c r="L1719" s="46" t="s">
        <v>2000</v>
      </c>
      <c r="M1719" s="48">
        <v>45257.555393518516</v>
      </c>
    </row>
    <row r="1720">
      <c r="A1720" s="47">
        <v>45257.55596965278</v>
      </c>
      <c r="B1720" s="46" t="s">
        <v>1946</v>
      </c>
      <c r="C1720" s="46">
        <v>9.450361751E9</v>
      </c>
      <c r="D1720" s="46"/>
      <c r="E1720" s="46"/>
      <c r="F1720" s="46"/>
      <c r="G1720" s="46" t="s">
        <v>303</v>
      </c>
      <c r="H1720" s="46" t="s">
        <v>701</v>
      </c>
      <c r="I1720" s="46"/>
      <c r="J1720" s="46"/>
      <c r="K1720" s="46" t="str">
        <f>IFERROR(__xludf.DUMMYFUNCTION("if(A1720="""","""",IF(G1720="""",""Myn"",IF(REGEXMATCH(lower(G1720),""mynn""),""Myn"",if(G1720&lt;&gt;"""",""GEMTRE"",""""))))"),"Myn")</f>
        <v>Myn</v>
      </c>
      <c r="L1720" s="46" t="s">
        <v>2000</v>
      </c>
      <c r="M1720" s="48">
        <v>45257.555659722224</v>
      </c>
    </row>
    <row r="1721">
      <c r="A1721" s="47">
        <v>45257.55719075231</v>
      </c>
      <c r="B1721" s="46" t="s">
        <v>1947</v>
      </c>
      <c r="C1721" s="46">
        <v>9.5829322E9</v>
      </c>
      <c r="D1721" s="46"/>
      <c r="E1721" s="46" t="s">
        <v>15</v>
      </c>
      <c r="F1721" s="46"/>
      <c r="G1721" s="46" t="s">
        <v>303</v>
      </c>
      <c r="H1721" s="46" t="s">
        <v>706</v>
      </c>
      <c r="I1721" s="46"/>
      <c r="J1721" s="46"/>
      <c r="K1721" s="46" t="str">
        <f>IFERROR(__xludf.DUMMYFUNCTION("if(A1721="""","""",IF(G1721="""",""Myn"",IF(REGEXMATCH(lower(G1721),""mynn""),""Myn"",if(G1721&lt;&gt;"""",""GEMTRE"",""""))))"),"Myn")</f>
        <v>Myn</v>
      </c>
      <c r="L1721" s="46" t="s">
        <v>2000</v>
      </c>
      <c r="M1721" s="48">
        <v>45257.555763888886</v>
      </c>
    </row>
    <row r="1722">
      <c r="A1722" s="47">
        <v>45257.55749851852</v>
      </c>
      <c r="B1722" s="46" t="s">
        <v>1948</v>
      </c>
      <c r="C1722" s="46">
        <v>9.213140444E9</v>
      </c>
      <c r="D1722" s="46"/>
      <c r="E1722" s="46" t="s">
        <v>15</v>
      </c>
      <c r="F1722" s="46"/>
      <c r="G1722" s="46" t="s">
        <v>303</v>
      </c>
      <c r="H1722" s="46" t="s">
        <v>706</v>
      </c>
      <c r="I1722" s="46"/>
      <c r="J1722" s="46"/>
      <c r="K1722" s="46" t="str">
        <f>IFERROR(__xludf.DUMMYFUNCTION("if(A1722="""","""",IF(G1722="""",""Myn"",IF(REGEXMATCH(lower(G1722),""mynn""),""Myn"",if(G1722&lt;&gt;"""",""GEMTRE"",""""))))"),"Myn")</f>
        <v>Myn</v>
      </c>
      <c r="L1722" s="46" t="s">
        <v>2000</v>
      </c>
      <c r="M1722" s="48">
        <v>45257.555983796294</v>
      </c>
    </row>
    <row r="1723">
      <c r="A1723" s="47">
        <v>45257.558051747685</v>
      </c>
      <c r="B1723" s="46" t="s">
        <v>207</v>
      </c>
      <c r="C1723" s="46">
        <v>8.882886386E9</v>
      </c>
      <c r="D1723" s="46"/>
      <c r="E1723" s="46" t="s">
        <v>15</v>
      </c>
      <c r="F1723" s="46"/>
      <c r="G1723" s="46" t="s">
        <v>303</v>
      </c>
      <c r="H1723" s="46" t="s">
        <v>706</v>
      </c>
      <c r="I1723" s="46"/>
      <c r="J1723" s="46"/>
      <c r="K1723" s="46" t="str">
        <f>IFERROR(__xludf.DUMMYFUNCTION("if(A1723="""","""",IF(G1723="""",""Myn"",IF(REGEXMATCH(lower(G1723),""mynn""),""Myn"",if(G1723&lt;&gt;"""",""GEMTRE"",""""))))"),"Myn")</f>
        <v>Myn</v>
      </c>
      <c r="L1723" s="46" t="s">
        <v>2000</v>
      </c>
      <c r="M1723" s="48">
        <v>45257.55721064815</v>
      </c>
    </row>
    <row r="1724">
      <c r="A1724" s="47">
        <v>45257.5588602662</v>
      </c>
      <c r="B1724" s="46" t="s">
        <v>1949</v>
      </c>
      <c r="C1724" s="46">
        <v>9.582604063E9</v>
      </c>
      <c r="D1724" s="46"/>
      <c r="E1724" s="46" t="s">
        <v>15</v>
      </c>
      <c r="F1724" s="46"/>
      <c r="G1724" s="46" t="s">
        <v>303</v>
      </c>
      <c r="H1724" s="46" t="s">
        <v>706</v>
      </c>
      <c r="I1724" s="46"/>
      <c r="J1724" s="46"/>
      <c r="K1724" s="46" t="str">
        <f>IFERROR(__xludf.DUMMYFUNCTION("if(A1724="""","""",IF(G1724="""",""Myn"",IF(REGEXMATCH(lower(G1724),""mynn""),""Myn"",if(G1724&lt;&gt;"""",""GEMTRE"",""""))))"),"Myn")</f>
        <v>Myn</v>
      </c>
      <c r="L1724" s="46" t="s">
        <v>2000</v>
      </c>
      <c r="M1724" s="48">
        <v>45257.55752314815</v>
      </c>
    </row>
    <row r="1725">
      <c r="A1725" s="47">
        <v>45257.55887807871</v>
      </c>
      <c r="B1725" s="46" t="s">
        <v>1950</v>
      </c>
      <c r="C1725" s="46">
        <v>9.86844001E9</v>
      </c>
      <c r="D1725" s="46"/>
      <c r="E1725" s="46" t="s">
        <v>1951</v>
      </c>
      <c r="F1725" s="46"/>
      <c r="G1725" s="46" t="s">
        <v>303</v>
      </c>
      <c r="H1725" s="46" t="s">
        <v>706</v>
      </c>
      <c r="I1725" s="46"/>
      <c r="J1725" s="46"/>
      <c r="K1725" s="46" t="str">
        <f>IFERROR(__xludf.DUMMYFUNCTION("if(A1725="""","""",IF(G1725="""",""Myn"",IF(REGEXMATCH(lower(G1725),""mynn""),""Myn"",if(G1725&lt;&gt;"""",""GEMTRE"",""""))))"),"Myn")</f>
        <v>Myn</v>
      </c>
      <c r="L1725" s="46" t="s">
        <v>2000</v>
      </c>
      <c r="M1725" s="48">
        <v>45257.5580787037</v>
      </c>
    </row>
    <row r="1726">
      <c r="A1726" s="47">
        <v>45257.55918658565</v>
      </c>
      <c r="B1726" s="46" t="s">
        <v>1952</v>
      </c>
      <c r="C1726" s="46">
        <v>9.873282856E9</v>
      </c>
      <c r="D1726" s="46"/>
      <c r="E1726" s="46"/>
      <c r="F1726" s="46"/>
      <c r="G1726" s="46" t="s">
        <v>303</v>
      </c>
      <c r="H1726" s="46" t="s">
        <v>701</v>
      </c>
      <c r="I1726" s="46"/>
      <c r="J1726" s="46"/>
      <c r="K1726" s="46" t="str">
        <f>IFERROR(__xludf.DUMMYFUNCTION("if(A1726="""","""",IF(G1726="""",""Myn"",IF(REGEXMATCH(lower(G1726),""mynn""),""Myn"",if(G1726&lt;&gt;"""",""GEMTRE"",""""))))"),"Myn")</f>
        <v>Myn</v>
      </c>
      <c r="L1726" s="46" t="s">
        <v>2000</v>
      </c>
      <c r="M1726" s="48">
        <v>45257.55888888889</v>
      </c>
    </row>
    <row r="1727">
      <c r="A1727" s="47">
        <v>45257.57290054398</v>
      </c>
      <c r="B1727" s="46" t="s">
        <v>1953</v>
      </c>
      <c r="C1727" s="46">
        <v>9.810784755E9</v>
      </c>
      <c r="D1727" s="46"/>
      <c r="E1727" s="46" t="s">
        <v>1902</v>
      </c>
      <c r="F1727" s="46"/>
      <c r="G1727" s="46" t="s">
        <v>303</v>
      </c>
      <c r="H1727" s="46" t="s">
        <v>706</v>
      </c>
      <c r="I1727" s="46"/>
      <c r="J1727" s="46"/>
      <c r="K1727" s="46" t="str">
        <f>IFERROR(__xludf.DUMMYFUNCTION("if(A1727="""","""",IF(G1727="""",""Myn"",IF(REGEXMATCH(lower(G1727),""mynn""),""Myn"",if(G1727&lt;&gt;"""",""GEMTRE"",""""))))"),"Myn")</f>
        <v>Myn</v>
      </c>
      <c r="L1727" s="46" t="s">
        <v>2000</v>
      </c>
      <c r="M1727" s="48">
        <v>45257.55888888889</v>
      </c>
    </row>
    <row r="1728">
      <c r="A1728" s="47">
        <v>45257.57585270834</v>
      </c>
      <c r="B1728" s="46" t="s">
        <v>518</v>
      </c>
      <c r="C1728" s="46">
        <v>9.810233837E9</v>
      </c>
      <c r="D1728" s="46"/>
      <c r="E1728" s="46" t="s">
        <v>15</v>
      </c>
      <c r="F1728" s="46"/>
      <c r="G1728" s="46" t="s">
        <v>303</v>
      </c>
      <c r="H1728" s="46" t="s">
        <v>706</v>
      </c>
      <c r="I1728" s="46"/>
      <c r="J1728" s="46"/>
      <c r="K1728" s="46" t="str">
        <f>IFERROR(__xludf.DUMMYFUNCTION("if(A1728="""","""",IF(G1728="""",""Myn"",IF(REGEXMATCH(lower(G1728),""mynn""),""Myn"",if(G1728&lt;&gt;"""",""GEMTRE"",""""))))"),"Myn")</f>
        <v>Myn</v>
      </c>
      <c r="L1728" s="46" t="s">
        <v>2000</v>
      </c>
      <c r="M1728" s="48">
        <v>45257.559212962966</v>
      </c>
    </row>
    <row r="1729">
      <c r="A1729" s="47">
        <v>45257.58175798611</v>
      </c>
      <c r="B1729" s="46" t="s">
        <v>1954</v>
      </c>
      <c r="C1729" s="46">
        <v>9.87311333E9</v>
      </c>
      <c r="D1729" s="46"/>
      <c r="E1729" s="46" t="s">
        <v>15</v>
      </c>
      <c r="F1729" s="46"/>
      <c r="G1729" s="46" t="s">
        <v>303</v>
      </c>
      <c r="H1729" s="46" t="s">
        <v>706</v>
      </c>
      <c r="I1729" s="46"/>
      <c r="J1729" s="46"/>
      <c r="K1729" s="46" t="str">
        <f>IFERROR(__xludf.DUMMYFUNCTION("if(A1729="""","""",IF(G1729="""",""Myn"",IF(REGEXMATCH(lower(G1729),""mynn""),""Myn"",if(G1729&lt;&gt;"""",""GEMTRE"",""""))))"),"Myn")</f>
        <v>Myn</v>
      </c>
      <c r="L1729" s="46" t="s">
        <v>2000</v>
      </c>
      <c r="M1729" s="48">
        <v>45257.57292824074</v>
      </c>
    </row>
    <row r="1730">
      <c r="A1730" s="47">
        <v>45257.58750241898</v>
      </c>
      <c r="B1730" s="46" t="s">
        <v>1955</v>
      </c>
      <c r="C1730" s="46">
        <v>9.9582715E9</v>
      </c>
      <c r="D1730" s="46"/>
      <c r="E1730" s="46" t="s">
        <v>227</v>
      </c>
      <c r="F1730" s="46"/>
      <c r="G1730" s="46" t="s">
        <v>303</v>
      </c>
      <c r="H1730" s="46" t="s">
        <v>706</v>
      </c>
      <c r="I1730" s="46"/>
      <c r="J1730" s="46"/>
      <c r="K1730" s="46" t="str">
        <f>IFERROR(__xludf.DUMMYFUNCTION("if(A1730="""","""",IF(G1730="""",""Myn"",IF(REGEXMATCH(lower(G1730),""mynn""),""Myn"",if(G1730&lt;&gt;"""",""GEMTRE"",""""))))"),"Myn")</f>
        <v>Myn</v>
      </c>
      <c r="L1730" s="46" t="s">
        <v>2000</v>
      </c>
      <c r="M1730" s="48">
        <v>45257.57587962963</v>
      </c>
    </row>
    <row r="1731">
      <c r="A1731" s="47">
        <v>45257.593671145834</v>
      </c>
      <c r="B1731" s="46" t="s">
        <v>1956</v>
      </c>
      <c r="C1731" s="46">
        <v>9.871001452E9</v>
      </c>
      <c r="D1731" s="46"/>
      <c r="E1731" s="46" t="s">
        <v>891</v>
      </c>
      <c r="F1731" s="46"/>
      <c r="G1731" s="46" t="s">
        <v>303</v>
      </c>
      <c r="H1731" s="46" t="s">
        <v>706</v>
      </c>
      <c r="I1731" s="46"/>
      <c r="J1731" s="46"/>
      <c r="K1731" s="46" t="str">
        <f>IFERROR(__xludf.DUMMYFUNCTION("if(A1731="""","""",IF(G1731="""",""Myn"",IF(REGEXMATCH(lower(G1731),""mynn""),""Myn"",if(G1731&lt;&gt;"""",""GEMTRE"",""""))))"),"Myn")</f>
        <v>Myn</v>
      </c>
      <c r="L1731" s="46" t="s">
        <v>2000</v>
      </c>
      <c r="M1731" s="48">
        <v>45257.58179398148</v>
      </c>
    </row>
    <row r="1732">
      <c r="A1732" s="47">
        <v>45257.6028274537</v>
      </c>
      <c r="B1732" s="46" t="s">
        <v>1957</v>
      </c>
      <c r="C1732" s="46">
        <v>8.800687106E9</v>
      </c>
      <c r="D1732" s="46"/>
      <c r="E1732" s="46" t="s">
        <v>481</v>
      </c>
      <c r="F1732" s="46"/>
      <c r="G1732" s="46" t="s">
        <v>303</v>
      </c>
      <c r="H1732" s="46" t="s">
        <v>706</v>
      </c>
      <c r="I1732" s="46"/>
      <c r="J1732" s="46"/>
      <c r="K1732" s="46" t="str">
        <f>IFERROR(__xludf.DUMMYFUNCTION("if(A1732="""","""",IF(G1732="""",""Myn"",IF(REGEXMATCH(lower(G1732),""mynn""),""Myn"",if(G1732&lt;&gt;"""",""GEMTRE"",""""))))"),"Myn")</f>
        <v>Myn</v>
      </c>
      <c r="L1732" s="46" t="s">
        <v>2000</v>
      </c>
      <c r="M1732" s="48">
        <v>45257.587534722225</v>
      </c>
    </row>
    <row r="1733">
      <c r="A1733" s="47">
        <v>45257.60514025463</v>
      </c>
      <c r="B1733" s="46" t="s">
        <v>1958</v>
      </c>
      <c r="C1733" s="46">
        <v>7.078167187E9</v>
      </c>
      <c r="D1733" s="46"/>
      <c r="E1733" s="46" t="s">
        <v>227</v>
      </c>
      <c r="F1733" s="46"/>
      <c r="G1733" s="46" t="s">
        <v>303</v>
      </c>
      <c r="H1733" s="46" t="s">
        <v>706</v>
      </c>
      <c r="I1733" s="46"/>
      <c r="J1733" s="46"/>
      <c r="K1733" s="46" t="str">
        <f>IFERROR(__xludf.DUMMYFUNCTION("if(A1733="""","""",IF(G1733="""",""Myn"",IF(REGEXMATCH(lower(G1733),""mynn""),""Myn"",if(G1733&lt;&gt;"""",""GEMTRE"",""""))))"),"Myn")</f>
        <v>Myn</v>
      </c>
      <c r="L1733" s="46" t="s">
        <v>2000</v>
      </c>
      <c r="M1733" s="48">
        <v>45257.59369212963</v>
      </c>
    </row>
    <row r="1734">
      <c r="A1734" s="47">
        <v>45257.61250870371</v>
      </c>
      <c r="B1734" s="46" t="s">
        <v>1959</v>
      </c>
      <c r="C1734" s="46">
        <v>9.821619733E9</v>
      </c>
      <c r="D1734" s="46"/>
      <c r="E1734" s="46" t="s">
        <v>79</v>
      </c>
      <c r="F1734" s="46"/>
      <c r="G1734" s="46" t="s">
        <v>303</v>
      </c>
      <c r="H1734" s="46" t="s">
        <v>706</v>
      </c>
      <c r="I1734" s="46"/>
      <c r="J1734" s="46"/>
      <c r="K1734" s="46" t="str">
        <f>IFERROR(__xludf.DUMMYFUNCTION("if(A1734="""","""",IF(G1734="""",""Myn"",IF(REGEXMATCH(lower(G1734),""mynn""),""Myn"",if(G1734&lt;&gt;"""",""GEMTRE"",""""))))"),"Myn")</f>
        <v>Myn</v>
      </c>
      <c r="L1734" s="46" t="s">
        <v>2000</v>
      </c>
      <c r="M1734" s="48">
        <v>45257.602858796294</v>
      </c>
    </row>
    <row r="1735">
      <c r="A1735" s="47">
        <v>45257.61275236111</v>
      </c>
      <c r="B1735" s="46" t="s">
        <v>1960</v>
      </c>
      <c r="C1735" s="46">
        <v>9.310206232E9</v>
      </c>
      <c r="D1735" s="46"/>
      <c r="E1735" s="46"/>
      <c r="F1735" s="46"/>
      <c r="G1735" s="46" t="s">
        <v>303</v>
      </c>
      <c r="H1735" s="46" t="s">
        <v>706</v>
      </c>
      <c r="I1735" s="46"/>
      <c r="J1735" s="46"/>
      <c r="K1735" s="46" t="str">
        <f>IFERROR(__xludf.DUMMYFUNCTION("if(A1735="""","""",IF(G1735="""",""Myn"",IF(REGEXMATCH(lower(G1735),""mynn""),""Myn"",if(G1735&lt;&gt;"""",""GEMTRE"",""""))))"),"Myn")</f>
        <v>Myn</v>
      </c>
      <c r="L1735" s="46" t="s">
        <v>2000</v>
      </c>
      <c r="M1735" s="48">
        <v>45257.605208333334</v>
      </c>
    </row>
    <row r="1736">
      <c r="A1736" s="47">
        <v>45257.61898195602</v>
      </c>
      <c r="B1736" s="46" t="s">
        <v>1961</v>
      </c>
      <c r="C1736" s="46">
        <v>9.413303502E9</v>
      </c>
      <c r="D1736" s="46"/>
      <c r="E1736" s="46" t="s">
        <v>15</v>
      </c>
      <c r="F1736" s="46"/>
      <c r="G1736" s="46" t="s">
        <v>303</v>
      </c>
      <c r="H1736" s="46" t="s">
        <v>706</v>
      </c>
      <c r="I1736" s="46"/>
      <c r="J1736" s="46"/>
      <c r="K1736" s="46" t="str">
        <f>IFERROR(__xludf.DUMMYFUNCTION("if(A1736="""","""",IF(G1736="""",""Myn"",IF(REGEXMATCH(lower(G1736),""mynn""),""Myn"",if(G1736&lt;&gt;"""",""GEMTRE"",""""))))"),"Myn")</f>
        <v>Myn</v>
      </c>
      <c r="L1736" s="46" t="s">
        <v>2000</v>
      </c>
      <c r="M1736" s="48">
        <v>45257.61253472222</v>
      </c>
    </row>
    <row r="1737">
      <c r="A1737" s="47">
        <v>45257.6256989699</v>
      </c>
      <c r="B1737" s="46" t="s">
        <v>1962</v>
      </c>
      <c r="C1737" s="46">
        <v>8.745000081E9</v>
      </c>
      <c r="D1737" s="46"/>
      <c r="E1737" s="46" t="s">
        <v>15</v>
      </c>
      <c r="F1737" s="46"/>
      <c r="G1737" s="46" t="s">
        <v>303</v>
      </c>
      <c r="H1737" s="46" t="s">
        <v>706</v>
      </c>
      <c r="I1737" s="46"/>
      <c r="J1737" s="46"/>
      <c r="K1737" s="46" t="str">
        <f>IFERROR(__xludf.DUMMYFUNCTION("if(A1737="""","""",IF(G1737="""",""Myn"",IF(REGEXMATCH(lower(G1737),""mynn""),""Myn"",if(G1737&lt;&gt;"""",""GEMTRE"",""""))))"),"Myn")</f>
        <v>Myn</v>
      </c>
      <c r="L1737" s="46" t="s">
        <v>2000</v>
      </c>
      <c r="M1737" s="48">
        <v>45257.61277777778</v>
      </c>
    </row>
    <row r="1738">
      <c r="A1738" s="47">
        <v>45257.65718875</v>
      </c>
      <c r="B1738" s="46" t="s">
        <v>1963</v>
      </c>
      <c r="C1738" s="46">
        <v>9.81062895E9</v>
      </c>
      <c r="D1738" s="46"/>
      <c r="E1738" s="46" t="s">
        <v>1964</v>
      </c>
      <c r="F1738" s="46"/>
      <c r="G1738" s="46" t="s">
        <v>303</v>
      </c>
      <c r="H1738" s="46" t="s">
        <v>706</v>
      </c>
      <c r="I1738" s="46"/>
      <c r="J1738" s="46"/>
      <c r="K1738" s="46" t="str">
        <f>IFERROR(__xludf.DUMMYFUNCTION("if(A1738="""","""",IF(G1738="""",""Myn"",IF(REGEXMATCH(lower(G1738),""mynn""),""Myn"",if(G1738&lt;&gt;"""",""GEMTRE"",""""))))"),"Myn")</f>
        <v>Myn</v>
      </c>
      <c r="L1738" s="46" t="s">
        <v>2000</v>
      </c>
      <c r="M1738" s="48">
        <v>45257.6190162037</v>
      </c>
    </row>
    <row r="1739">
      <c r="A1739" s="47">
        <v>45257.66256065972</v>
      </c>
      <c r="B1739" s="46" t="s">
        <v>1965</v>
      </c>
      <c r="C1739" s="46">
        <v>9.58224393E9</v>
      </c>
      <c r="D1739" s="46" t="s">
        <v>1966</v>
      </c>
      <c r="E1739" s="46" t="s">
        <v>1967</v>
      </c>
      <c r="F1739" s="46"/>
      <c r="G1739" s="46" t="s">
        <v>289</v>
      </c>
      <c r="H1739" s="46" t="s">
        <v>701</v>
      </c>
      <c r="I1739" s="46"/>
      <c r="J1739" s="46"/>
      <c r="K1739" s="46" t="str">
        <f>IFERROR(__xludf.DUMMYFUNCTION("if(A1739="""","""",IF(G1739="""",""Myn"",IF(REGEXMATCH(lower(G1739),""mynn""),""Myn"",if(G1739&lt;&gt;"""",""GEMTRE"",""""))))"),"GEMTRE")</f>
        <v>GEMTRE</v>
      </c>
      <c r="L1739" s="46" t="s">
        <v>2001</v>
      </c>
      <c r="M1739" s="48">
        <v>45257.62572916667</v>
      </c>
    </row>
    <row r="1740">
      <c r="A1740" s="47">
        <v>45257.662814166666</v>
      </c>
      <c r="B1740" s="46" t="s">
        <v>1968</v>
      </c>
      <c r="C1740" s="46">
        <v>8.44740694E9</v>
      </c>
      <c r="D1740" s="46" t="s">
        <v>1969</v>
      </c>
      <c r="E1740" s="46" t="s">
        <v>51</v>
      </c>
      <c r="F1740" s="46"/>
      <c r="G1740" s="46" t="s">
        <v>303</v>
      </c>
      <c r="H1740" s="46" t="s">
        <v>701</v>
      </c>
      <c r="I1740" s="46"/>
      <c r="J1740" s="46"/>
      <c r="K1740" s="46" t="str">
        <f>IFERROR(__xludf.DUMMYFUNCTION("if(A1740="""","""",IF(G1740="""",""Myn"",IF(REGEXMATCH(lower(G1740),""mynn""),""Myn"",if(G1740&lt;&gt;"""",""GEMTRE"",""""))))"),"Myn")</f>
        <v>Myn</v>
      </c>
      <c r="L1740" s="46" t="s">
        <v>2000</v>
      </c>
      <c r="M1740" s="48">
        <v>45257.65723379629</v>
      </c>
    </row>
    <row r="1741">
      <c r="A1741" s="47">
        <v>45257.69374174769</v>
      </c>
      <c r="B1741" s="46" t="s">
        <v>1078</v>
      </c>
      <c r="C1741" s="46">
        <v>9.871317684E9</v>
      </c>
      <c r="D1741" s="46"/>
      <c r="E1741" s="46" t="s">
        <v>79</v>
      </c>
      <c r="F1741" s="46"/>
      <c r="G1741" s="46" t="s">
        <v>303</v>
      </c>
      <c r="H1741" s="46" t="s">
        <v>706</v>
      </c>
      <c r="I1741" s="46"/>
      <c r="J1741" s="46"/>
      <c r="K1741" s="46" t="str">
        <f>IFERROR(__xludf.DUMMYFUNCTION("if(A1741="""","""",IF(G1741="""",""Myn"",IF(REGEXMATCH(lower(G1741),""mynn""),""Myn"",if(G1741&lt;&gt;"""",""GEMTRE"",""""))))"),"Myn")</f>
        <v>Myn</v>
      </c>
      <c r="L1741" s="46" t="s">
        <v>2000</v>
      </c>
      <c r="M1741" s="48">
        <v>45257.66259259259</v>
      </c>
    </row>
    <row r="1742">
      <c r="A1742" s="47">
        <v>45257.69437224537</v>
      </c>
      <c r="B1742" s="46" t="s">
        <v>363</v>
      </c>
      <c r="C1742" s="46">
        <v>9.718920872E9</v>
      </c>
      <c r="D1742" s="46"/>
      <c r="E1742" s="46" t="s">
        <v>79</v>
      </c>
      <c r="F1742" s="46"/>
      <c r="G1742" s="46" t="s">
        <v>303</v>
      </c>
      <c r="H1742" s="46" t="s">
        <v>706</v>
      </c>
      <c r="I1742" s="46"/>
      <c r="J1742" s="46"/>
      <c r="K1742" s="46" t="str">
        <f>IFERROR(__xludf.DUMMYFUNCTION("if(A1742="""","""",IF(G1742="""",""Myn"",IF(REGEXMATCH(lower(G1742),""mynn""),""Myn"",if(G1742&lt;&gt;"""",""GEMTRE"",""""))))"),"Myn")</f>
        <v>Myn</v>
      </c>
      <c r="L1742" s="46" t="s">
        <v>2000</v>
      </c>
      <c r="M1742" s="48">
        <v>45257.662835648145</v>
      </c>
    </row>
    <row r="1743">
      <c r="A1743" s="47">
        <v>45257.694948564815</v>
      </c>
      <c r="B1743" s="46" t="s">
        <v>1970</v>
      </c>
      <c r="C1743" s="46">
        <v>9.953130766E9</v>
      </c>
      <c r="D1743" s="46"/>
      <c r="E1743" s="46" t="s">
        <v>879</v>
      </c>
      <c r="F1743" s="46"/>
      <c r="G1743" s="46" t="s">
        <v>303</v>
      </c>
      <c r="H1743" s="46" t="s">
        <v>706</v>
      </c>
      <c r="I1743" s="46"/>
      <c r="J1743" s="46"/>
      <c r="K1743" s="46" t="str">
        <f>IFERROR(__xludf.DUMMYFUNCTION("if(A1743="""","""",IF(G1743="""",""Myn"",IF(REGEXMATCH(lower(G1743),""mynn""),""Myn"",if(G1743&lt;&gt;"""",""GEMTRE"",""""))))"),"Myn")</f>
        <v>Myn</v>
      </c>
      <c r="L1743" s="46" t="s">
        <v>2000</v>
      </c>
      <c r="M1743" s="48">
        <v>45257.693773148145</v>
      </c>
    </row>
    <row r="1744">
      <c r="A1744" s="47">
        <v>45257.695200567134</v>
      </c>
      <c r="B1744" s="46" t="s">
        <v>1617</v>
      </c>
      <c r="C1744" s="46">
        <v>9.899606045E9</v>
      </c>
      <c r="D1744" s="46"/>
      <c r="E1744" s="46" t="s">
        <v>1971</v>
      </c>
      <c r="F1744" s="46"/>
      <c r="G1744" s="46" t="s">
        <v>303</v>
      </c>
      <c r="H1744" s="46" t="s">
        <v>706</v>
      </c>
      <c r="I1744" s="46"/>
      <c r="J1744" s="46"/>
      <c r="K1744" s="46" t="str">
        <f>IFERROR(__xludf.DUMMYFUNCTION("if(A1744="""","""",IF(G1744="""",""Myn"",IF(REGEXMATCH(lower(G1744),""mynn""),""Myn"",if(G1744&lt;&gt;"""",""GEMTRE"",""""))))"),"Myn")</f>
        <v>Myn</v>
      </c>
      <c r="L1744" s="46" t="s">
        <v>2000</v>
      </c>
      <c r="M1744" s="48">
        <v>45257.694398148145</v>
      </c>
    </row>
    <row r="1745">
      <c r="A1745" s="47">
        <v>45257.69825289352</v>
      </c>
      <c r="B1745" s="46" t="s">
        <v>1972</v>
      </c>
      <c r="C1745" s="46">
        <v>9.350894952E9</v>
      </c>
      <c r="D1745" s="46"/>
      <c r="E1745" s="46" t="s">
        <v>15</v>
      </c>
      <c r="F1745" s="46"/>
      <c r="G1745" s="46" t="s">
        <v>303</v>
      </c>
      <c r="H1745" s="46" t="s">
        <v>706</v>
      </c>
      <c r="I1745" s="46"/>
      <c r="J1745" s="46"/>
      <c r="K1745" s="46" t="str">
        <f>IFERROR(__xludf.DUMMYFUNCTION("if(A1745="""","""",IF(G1745="""",""Myn"",IF(REGEXMATCH(lower(G1745),""mynn""),""Myn"",if(G1745&lt;&gt;"""",""GEMTRE"",""""))))"),"Myn")</f>
        <v>Myn</v>
      </c>
      <c r="L1745" s="46" t="s">
        <v>2000</v>
      </c>
      <c r="M1745" s="48">
        <v>45257.695</v>
      </c>
    </row>
    <row r="1746">
      <c r="A1746" s="47">
        <v>45257.70164170139</v>
      </c>
      <c r="B1746" s="46" t="s">
        <v>1973</v>
      </c>
      <c r="C1746" s="46">
        <v>8.209613964E9</v>
      </c>
      <c r="D1746" s="46"/>
      <c r="E1746" s="46" t="s">
        <v>227</v>
      </c>
      <c r="F1746" s="46"/>
      <c r="G1746" s="46" t="s">
        <v>303</v>
      </c>
      <c r="H1746" s="46" t="s">
        <v>706</v>
      </c>
      <c r="I1746" s="46"/>
      <c r="J1746" s="46"/>
      <c r="K1746" s="46" t="str">
        <f>IFERROR(__xludf.DUMMYFUNCTION("if(A1746="""","""",IF(G1746="""",""Myn"",IF(REGEXMATCH(lower(G1746),""mynn""),""Myn"",if(G1746&lt;&gt;"""",""GEMTRE"",""""))))"),"Myn")</f>
        <v>Myn</v>
      </c>
      <c r="L1746" s="46" t="s">
        <v>2000</v>
      </c>
      <c r="M1746" s="48">
        <v>45257.695555555554</v>
      </c>
    </row>
    <row r="1747">
      <c r="A1747" s="47">
        <v>45257.70856385417</v>
      </c>
      <c r="B1747" s="46" t="s">
        <v>1974</v>
      </c>
      <c r="C1747" s="46">
        <v>9.755511248E9</v>
      </c>
      <c r="D1747" s="46"/>
      <c r="E1747" s="46"/>
      <c r="F1747" s="46"/>
      <c r="G1747" s="46" t="s">
        <v>303</v>
      </c>
      <c r="H1747" s="46" t="s">
        <v>1035</v>
      </c>
      <c r="I1747" s="46"/>
      <c r="J1747" s="46"/>
      <c r="K1747" s="46" t="str">
        <f>IFERROR(__xludf.DUMMYFUNCTION("if(A1747="""","""",IF(G1747="""",""Myn"",IF(REGEXMATCH(lower(G1747),""mynn""),""Myn"",if(G1747&lt;&gt;"""",""GEMTRE"",""""))))"),"Myn")</f>
        <v>Myn</v>
      </c>
      <c r="L1747" s="46" t="s">
        <v>2000</v>
      </c>
      <c r="M1747" s="48">
        <v>45257.698275462964</v>
      </c>
    </row>
    <row r="1748">
      <c r="A1748" s="47">
        <v>45257.709822881945</v>
      </c>
      <c r="B1748" s="46" t="s">
        <v>1975</v>
      </c>
      <c r="C1748" s="46">
        <v>9.810198602E9</v>
      </c>
      <c r="D1748" s="46"/>
      <c r="E1748" s="46"/>
      <c r="F1748" s="46"/>
      <c r="G1748" s="46" t="s">
        <v>303</v>
      </c>
      <c r="H1748" s="46" t="s">
        <v>701</v>
      </c>
      <c r="I1748" s="46"/>
      <c r="J1748" s="46"/>
      <c r="K1748" s="46" t="str">
        <f>IFERROR(__xludf.DUMMYFUNCTION("if(A1748="""","""",IF(G1748="""",""Myn"",IF(REGEXMATCH(lower(G1748),""mynn""),""Myn"",if(G1748&lt;&gt;"""",""GEMTRE"",""""))))"),"Myn")</f>
        <v>Myn</v>
      </c>
      <c r="L1748" s="46" t="s">
        <v>2000</v>
      </c>
      <c r="M1748" s="48">
        <v>45257.70166666667</v>
      </c>
    </row>
    <row r="1749">
      <c r="A1749" s="47">
        <v>45257.710376724535</v>
      </c>
      <c r="B1749" s="46" t="s">
        <v>1976</v>
      </c>
      <c r="C1749" s="46">
        <v>7.669993921E9</v>
      </c>
      <c r="D1749" s="46"/>
      <c r="E1749" s="46"/>
      <c r="F1749" s="46"/>
      <c r="G1749" s="46" t="s">
        <v>303</v>
      </c>
      <c r="H1749" s="46" t="s">
        <v>701</v>
      </c>
      <c r="I1749" s="46"/>
      <c r="J1749" s="46"/>
      <c r="K1749" s="46" t="str">
        <f>IFERROR(__xludf.DUMMYFUNCTION("if(A1749="""","""",IF(G1749="""",""Myn"",IF(REGEXMATCH(lower(G1749),""mynn""),""Myn"",if(G1749&lt;&gt;"""",""GEMTRE"",""""))))"),"Myn")</f>
        <v>Myn</v>
      </c>
      <c r="L1749" s="46" t="s">
        <v>2000</v>
      </c>
      <c r="M1749" s="48">
        <v>45257.708599537036</v>
      </c>
    </row>
    <row r="1750">
      <c r="A1750" s="47">
        <v>45257.71071684027</v>
      </c>
      <c r="B1750" s="46" t="s">
        <v>1977</v>
      </c>
      <c r="C1750" s="46">
        <v>7.827657624E9</v>
      </c>
      <c r="D1750" s="46"/>
      <c r="E1750" s="46"/>
      <c r="F1750" s="46"/>
      <c r="G1750" s="46" t="s">
        <v>303</v>
      </c>
      <c r="H1750" s="46" t="s">
        <v>701</v>
      </c>
      <c r="I1750" s="46"/>
      <c r="J1750" s="46"/>
      <c r="K1750" s="46" t="str">
        <f>IFERROR(__xludf.DUMMYFUNCTION("if(A1750="""","""",IF(G1750="""",""Myn"",IF(REGEXMATCH(lower(G1750),""mynn""),""Myn"",if(G1750&lt;&gt;"""",""GEMTRE"",""""))))"),"Myn")</f>
        <v>Myn</v>
      </c>
      <c r="L1750" s="46" t="s">
        <v>2000</v>
      </c>
      <c r="M1750" s="48">
        <v>45257.70984953704</v>
      </c>
    </row>
    <row r="1751">
      <c r="A1751" s="47">
        <v>45257.71142414352</v>
      </c>
      <c r="B1751" s="46" t="s">
        <v>1907</v>
      </c>
      <c r="C1751" s="46">
        <v>7.982281122E9</v>
      </c>
      <c r="D1751" s="46"/>
      <c r="E1751" s="46"/>
      <c r="F1751" s="46"/>
      <c r="G1751" s="46" t="s">
        <v>303</v>
      </c>
      <c r="H1751" s="46" t="s">
        <v>701</v>
      </c>
      <c r="I1751" s="46"/>
      <c r="J1751" s="46"/>
      <c r="K1751" s="46" t="str">
        <f>IFERROR(__xludf.DUMMYFUNCTION("if(A1751="""","""",IF(G1751="""",""Myn"",IF(REGEXMATCH(lower(G1751),""mynn""),""Myn"",if(G1751&lt;&gt;"""",""GEMTRE"",""""))))"),"Myn")</f>
        <v>Myn</v>
      </c>
      <c r="L1751" s="46" t="s">
        <v>2000</v>
      </c>
      <c r="M1751" s="48">
        <v>45257.710393518515</v>
      </c>
    </row>
    <row r="1752">
      <c r="A1752" s="47">
        <v>45257.711699629624</v>
      </c>
      <c r="B1752" s="46" t="s">
        <v>1978</v>
      </c>
      <c r="C1752" s="46">
        <v>8.178421518E9</v>
      </c>
      <c r="D1752" s="46"/>
      <c r="E1752" s="46" t="s">
        <v>1979</v>
      </c>
      <c r="F1752" s="49" t="s">
        <v>1980</v>
      </c>
      <c r="G1752" s="46" t="s">
        <v>303</v>
      </c>
      <c r="H1752" s="46" t="s">
        <v>706</v>
      </c>
      <c r="I1752" s="46"/>
      <c r="J1752" s="46"/>
      <c r="K1752" s="46" t="str">
        <f>IFERROR(__xludf.DUMMYFUNCTION("if(A1752="""","""",IF(G1752="""",""Myn"",IF(REGEXMATCH(lower(G1752),""mynn""),""Myn"",if(G1752&lt;&gt;"""",""GEMTRE"",""""))))"),"Myn")</f>
        <v>Myn</v>
      </c>
      <c r="L1752" s="46" t="s">
        <v>2000</v>
      </c>
      <c r="M1752" s="48">
        <v>45257.71074074074</v>
      </c>
    </row>
    <row r="1753">
      <c r="A1753" s="47">
        <v>45257.71796202546</v>
      </c>
      <c r="B1753" s="46" t="s">
        <v>1981</v>
      </c>
      <c r="C1753" s="46">
        <v>9.31288009E9</v>
      </c>
      <c r="D1753" s="46"/>
      <c r="E1753" s="46" t="s">
        <v>1982</v>
      </c>
      <c r="F1753" s="49" t="s">
        <v>1983</v>
      </c>
      <c r="G1753" s="46" t="s">
        <v>303</v>
      </c>
      <c r="H1753" s="46" t="s">
        <v>706</v>
      </c>
      <c r="I1753" s="46"/>
      <c r="J1753" s="46"/>
      <c r="K1753" s="46" t="str">
        <f>IFERROR(__xludf.DUMMYFUNCTION("if(A1753="""","""",IF(G1753="""",""Myn"",IF(REGEXMATCH(lower(G1753),""mynn""),""Myn"",if(G1753&lt;&gt;"""",""GEMTRE"",""""))))"),"Myn")</f>
        <v>Myn</v>
      </c>
      <c r="L1753" s="46" t="s">
        <v>2000</v>
      </c>
      <c r="M1753" s="48">
        <v>45257.71144675926</v>
      </c>
    </row>
    <row r="1754">
      <c r="A1754" s="47">
        <v>45257.73423090277</v>
      </c>
      <c r="B1754" s="46" t="s">
        <v>470</v>
      </c>
      <c r="C1754" s="46">
        <v>8.557001311E9</v>
      </c>
      <c r="D1754" s="46"/>
      <c r="E1754" s="46" t="s">
        <v>1984</v>
      </c>
      <c r="F1754" s="46"/>
      <c r="G1754" s="46" t="s">
        <v>303</v>
      </c>
      <c r="H1754" s="46" t="s">
        <v>706</v>
      </c>
      <c r="I1754" s="46"/>
      <c r="J1754" s="46"/>
      <c r="K1754" s="46" t="str">
        <f>IFERROR(__xludf.DUMMYFUNCTION("if(A1754="""","""",IF(G1754="""",""Myn"",IF(REGEXMATCH(lower(G1754),""mynn""),""Myn"",if(G1754&lt;&gt;"""",""GEMTRE"",""""))))"),"Myn")</f>
        <v>Myn</v>
      </c>
      <c r="L1754" s="46" t="s">
        <v>2000</v>
      </c>
      <c r="M1754" s="48">
        <v>45257.71172453704</v>
      </c>
    </row>
    <row r="1755">
      <c r="A1755" s="47">
        <v>45257.73787921296</v>
      </c>
      <c r="B1755" s="46" t="s">
        <v>1985</v>
      </c>
      <c r="C1755" s="46">
        <v>9.810230004E9</v>
      </c>
      <c r="D1755" s="46"/>
      <c r="E1755" s="46" t="s">
        <v>1986</v>
      </c>
      <c r="F1755" s="46"/>
      <c r="G1755" s="46" t="s">
        <v>303</v>
      </c>
      <c r="H1755" s="46" t="s">
        <v>706</v>
      </c>
      <c r="I1755" s="46"/>
      <c r="J1755" s="46"/>
      <c r="K1755" s="46" t="str">
        <f>IFERROR(__xludf.DUMMYFUNCTION("if(A1755="""","""",IF(G1755="""",""Myn"",IF(REGEXMATCH(lower(G1755),""mynn""),""Myn"",if(G1755&lt;&gt;"""",""GEMTRE"",""""))))"),"Myn")</f>
        <v>Myn</v>
      </c>
      <c r="L1755" s="46" t="s">
        <v>2000</v>
      </c>
      <c r="M1755" s="48">
        <v>45257.717986111114</v>
      </c>
    </row>
    <row r="1756">
      <c r="A1756" s="47">
        <v>45257.740284375</v>
      </c>
      <c r="B1756" s="46" t="s">
        <v>432</v>
      </c>
      <c r="C1756" s="46">
        <v>9.990299038E9</v>
      </c>
      <c r="D1756" s="46"/>
      <c r="E1756" s="46" t="s">
        <v>46</v>
      </c>
      <c r="F1756" s="46"/>
      <c r="G1756" s="46" t="s">
        <v>303</v>
      </c>
      <c r="H1756" s="46" t="s">
        <v>706</v>
      </c>
      <c r="I1756" s="46"/>
      <c r="J1756" s="46"/>
      <c r="K1756" s="46" t="str">
        <f>IFERROR(__xludf.DUMMYFUNCTION("if(A1756="""","""",IF(G1756="""",""Myn"",IF(REGEXMATCH(lower(G1756),""mynn""),""Myn"",if(G1756&lt;&gt;"""",""GEMTRE"",""""))))"),"Myn")</f>
        <v>Myn</v>
      </c>
      <c r="L1756" s="46" t="s">
        <v>2000</v>
      </c>
      <c r="M1756" s="48">
        <v>45257.734247685185</v>
      </c>
    </row>
    <row r="1757">
      <c r="A1757" s="47">
        <v>45257.75615724537</v>
      </c>
      <c r="B1757" s="46" t="s">
        <v>1987</v>
      </c>
      <c r="C1757" s="46">
        <v>9.650346035E9</v>
      </c>
      <c r="D1757" s="46"/>
      <c r="E1757" s="46" t="s">
        <v>891</v>
      </c>
      <c r="F1757" s="46"/>
      <c r="G1757" s="46" t="s">
        <v>303</v>
      </c>
      <c r="H1757" s="46" t="s">
        <v>706</v>
      </c>
      <c r="I1757" s="46"/>
      <c r="J1757" s="46"/>
      <c r="K1757" s="46" t="str">
        <f>IFERROR(__xludf.DUMMYFUNCTION("if(A1757="""","""",IF(G1757="""",""Myn"",IF(REGEXMATCH(lower(G1757),""mynn""),""Myn"",if(G1757&lt;&gt;"""",""GEMTRE"",""""))))"),"Myn")</f>
        <v>Myn</v>
      </c>
      <c r="L1757" s="46" t="s">
        <v>2000</v>
      </c>
      <c r="M1757" s="48">
        <v>45257.737905092596</v>
      </c>
    </row>
    <row r="1758">
      <c r="A1758" s="47">
        <v>45257.768110439814</v>
      </c>
      <c r="B1758" s="46" t="s">
        <v>1988</v>
      </c>
      <c r="C1758" s="46">
        <v>7.732998256E9</v>
      </c>
      <c r="D1758" s="46"/>
      <c r="E1758" s="46"/>
      <c r="F1758" s="46"/>
      <c r="G1758" s="46" t="s">
        <v>303</v>
      </c>
      <c r="H1758" s="46" t="s">
        <v>701</v>
      </c>
      <c r="I1758" s="46"/>
      <c r="J1758" s="46"/>
      <c r="K1758" s="46" t="str">
        <f>IFERROR(__xludf.DUMMYFUNCTION("if(A1758="""","""",IF(G1758="""",""Myn"",IF(REGEXMATCH(lower(G1758),""mynn""),""Myn"",if(G1758&lt;&gt;"""",""GEMTRE"",""""))))"),"Myn")</f>
        <v>Myn</v>
      </c>
      <c r="L1758" s="46" t="s">
        <v>2000</v>
      </c>
      <c r="M1758" s="48">
        <v>45257.7403125</v>
      </c>
    </row>
    <row r="1759">
      <c r="A1759" s="47">
        <v>45257.806027094906</v>
      </c>
      <c r="B1759" s="46" t="s">
        <v>1989</v>
      </c>
      <c r="C1759" s="46">
        <v>8.178225347E9</v>
      </c>
      <c r="D1759" s="46"/>
      <c r="E1759" s="46" t="s">
        <v>1990</v>
      </c>
      <c r="F1759" s="46"/>
      <c r="G1759" s="46" t="s">
        <v>303</v>
      </c>
      <c r="H1759" s="46" t="s">
        <v>706</v>
      </c>
      <c r="I1759" s="46"/>
      <c r="J1759" s="46"/>
      <c r="K1759" s="46" t="str">
        <f>IFERROR(__xludf.DUMMYFUNCTION("if(A1759="""","""",IF(G1759="""",""Myn"",IF(REGEXMATCH(lower(G1759),""mynn""),""Myn"",if(G1759&lt;&gt;"""",""GEMTRE"",""""))))"),"Myn")</f>
        <v>Myn</v>
      </c>
      <c r="L1759" s="46" t="s">
        <v>2000</v>
      </c>
      <c r="M1759" s="48">
        <v>45257.75618055555</v>
      </c>
    </row>
    <row r="1760">
      <c r="A1760" s="46"/>
      <c r="B1760" s="46"/>
      <c r="C1760" s="46"/>
      <c r="D1760" s="46"/>
      <c r="E1760" s="46"/>
      <c r="F1760" s="46"/>
      <c r="G1760" s="46"/>
      <c r="H1760" s="46"/>
      <c r="I1760" s="46"/>
      <c r="J1760" s="46"/>
      <c r="K1760" s="46" t="str">
        <f>IFERROR(__xludf.DUMMYFUNCTION("if(A1760="""","""",IF(G1760="""",""Myn"",IF(REGEXMATCH(lower(G1760),""mynn""),""Myn"",if(G1760&lt;&gt;"""",""GEMTRE"",""""))))"),"")</f>
        <v/>
      </c>
      <c r="L1760" s="46" t="s">
        <v>2002</v>
      </c>
      <c r="M1760" s="48">
        <v>45257.76813657407</v>
      </c>
    </row>
    <row r="1761">
      <c r="A1761" s="46"/>
      <c r="B1761" s="46"/>
      <c r="C1761" s="46"/>
      <c r="D1761" s="46"/>
      <c r="E1761" s="46"/>
      <c r="F1761" s="46"/>
      <c r="G1761" s="46"/>
      <c r="H1761" s="46"/>
      <c r="I1761" s="46"/>
      <c r="J1761" s="46"/>
      <c r="K1761" s="46" t="str">
        <f>IFERROR(__xludf.DUMMYFUNCTION("if(A1761="""","""",IF(G1761="""",""Myn"",IF(REGEXMATCH(lower(G1761),""mynn""),""Myn"",if(G1761&lt;&gt;"""",""GEMTRE"",""""))))"),"")</f>
        <v/>
      </c>
      <c r="L1761" s="46" t="s">
        <v>2002</v>
      </c>
      <c r="M1761" s="48">
        <v>45257.80604166666</v>
      </c>
    </row>
    <row r="1762">
      <c r="A1762" s="46"/>
      <c r="B1762" s="46"/>
      <c r="C1762" s="46"/>
      <c r="D1762" s="46"/>
      <c r="E1762" s="46"/>
      <c r="F1762" s="46"/>
      <c r="G1762" s="46"/>
      <c r="H1762" s="46"/>
      <c r="I1762" s="46"/>
      <c r="J1762" s="46"/>
      <c r="K1762" s="46" t="str">
        <f>IFERROR(__xludf.DUMMYFUNCTION("if(A1762="""","""",IF(G1762="""",""Myn"",IF(REGEXMATCH(lower(G1762),""mynn""),""Myn"",if(G1762&lt;&gt;"""",""GEMTRE"",""""))))"),"")</f>
        <v/>
      </c>
      <c r="L1762" s="46" t="s">
        <v>2002</v>
      </c>
    </row>
    <row r="1763">
      <c r="A1763" s="46"/>
      <c r="B1763" s="46"/>
      <c r="C1763" s="46"/>
      <c r="D1763" s="46"/>
      <c r="E1763" s="46"/>
      <c r="F1763" s="46"/>
      <c r="G1763" s="46"/>
      <c r="H1763" s="46"/>
      <c r="I1763" s="46"/>
      <c r="J1763" s="46"/>
      <c r="K1763" s="46" t="str">
        <f>IFERROR(__xludf.DUMMYFUNCTION("if(A1763="""","""",IF(G1763="""",""Myn"",IF(REGEXMATCH(lower(G1763),""mynn""),""Myn"",if(G1763&lt;&gt;"""",""GEMTRE"",""""))))"),"")</f>
        <v/>
      </c>
      <c r="L1763" s="46" t="s">
        <v>2002</v>
      </c>
    </row>
    <row r="1764">
      <c r="A1764" s="46"/>
      <c r="B1764" s="46"/>
      <c r="C1764" s="46"/>
      <c r="D1764" s="46"/>
      <c r="E1764" s="46"/>
      <c r="F1764" s="46"/>
      <c r="G1764" s="46"/>
      <c r="H1764" s="46"/>
      <c r="I1764" s="46"/>
      <c r="J1764" s="46"/>
      <c r="K1764" s="46" t="str">
        <f>IFERROR(__xludf.DUMMYFUNCTION("if(A1764="""","""",IF(G1764="""",""Myn"",IF(REGEXMATCH(lower(G1764),""mynn""),""Myn"",if(G1764&lt;&gt;"""",""GEMTRE"",""""))))"),"")</f>
        <v/>
      </c>
      <c r="L1764" s="46" t="s">
        <v>2002</v>
      </c>
    </row>
    <row r="1765">
      <c r="A1765" s="46"/>
      <c r="B1765" s="46"/>
      <c r="C1765" s="46"/>
      <c r="D1765" s="46"/>
      <c r="E1765" s="46"/>
      <c r="F1765" s="46"/>
      <c r="G1765" s="46"/>
      <c r="H1765" s="46"/>
      <c r="I1765" s="46"/>
      <c r="J1765" s="46"/>
      <c r="K1765" s="46" t="str">
        <f>IFERROR(__xludf.DUMMYFUNCTION("if(A1765="""","""",IF(G1765="""",""Myn"",IF(REGEXMATCH(lower(G1765),""mynn""),""Myn"",if(G1765&lt;&gt;"""",""GEMTRE"",""""))))"),"")</f>
        <v/>
      </c>
      <c r="L1765" s="46" t="s">
        <v>2002</v>
      </c>
    </row>
    <row r="1766">
      <c r="A1766" s="46"/>
      <c r="B1766" s="46"/>
      <c r="C1766" s="46"/>
      <c r="D1766" s="46"/>
      <c r="E1766" s="46"/>
      <c r="F1766" s="46"/>
      <c r="G1766" s="46"/>
      <c r="H1766" s="46"/>
      <c r="I1766" s="46"/>
      <c r="J1766" s="46"/>
      <c r="K1766" s="46" t="str">
        <f>IFERROR(__xludf.DUMMYFUNCTION("if(A1766="""","""",IF(G1766="""",""Myn"",IF(REGEXMATCH(lower(G1766),""mynn""),""Myn"",if(G1766&lt;&gt;"""",""GEMTRE"",""""))))"),"")</f>
        <v/>
      </c>
      <c r="L1766" s="46" t="s">
        <v>2002</v>
      </c>
    </row>
    <row r="1767">
      <c r="A1767" s="46"/>
      <c r="B1767" s="46"/>
      <c r="C1767" s="46"/>
      <c r="D1767" s="46"/>
      <c r="E1767" s="46"/>
      <c r="F1767" s="46"/>
      <c r="G1767" s="46"/>
      <c r="H1767" s="46"/>
      <c r="I1767" s="46"/>
      <c r="J1767" s="46"/>
      <c r="K1767" s="46" t="str">
        <f>IFERROR(__xludf.DUMMYFUNCTION("if(A1767="""","""",IF(G1767="""",""Myn"",IF(REGEXMATCH(lower(G1767),""mynn""),""Myn"",if(G1767&lt;&gt;"""",""GEMTRE"",""""))))"),"")</f>
        <v/>
      </c>
      <c r="L1767" s="46" t="s">
        <v>2002</v>
      </c>
    </row>
    <row r="1768">
      <c r="A1768" s="46"/>
      <c r="B1768" s="46"/>
      <c r="C1768" s="46"/>
      <c r="D1768" s="46"/>
      <c r="E1768" s="46"/>
      <c r="F1768" s="46"/>
      <c r="G1768" s="46"/>
      <c r="H1768" s="46"/>
      <c r="I1768" s="46"/>
      <c r="J1768" s="46"/>
      <c r="K1768" s="46" t="str">
        <f>IFERROR(__xludf.DUMMYFUNCTION("if(A1768="""","""",IF(G1768="""",""Myn"",IF(REGEXMATCH(lower(G1768),""mynn""),""Myn"",if(G1768&lt;&gt;"""",""GEMTRE"",""""))))"),"")</f>
        <v/>
      </c>
      <c r="L1768" s="46" t="s">
        <v>2002</v>
      </c>
    </row>
    <row r="1769">
      <c r="A1769" s="46"/>
      <c r="B1769" s="46"/>
      <c r="C1769" s="46"/>
      <c r="D1769" s="46"/>
      <c r="E1769" s="46"/>
      <c r="F1769" s="46"/>
      <c r="G1769" s="46"/>
      <c r="H1769" s="46"/>
      <c r="I1769" s="46"/>
      <c r="J1769" s="46"/>
      <c r="K1769" s="46" t="str">
        <f>IFERROR(__xludf.DUMMYFUNCTION("if(A1769="""","""",IF(G1769="""",""Myn"",IF(REGEXMATCH(lower(G1769),""mynn""),""Myn"",if(G1769&lt;&gt;"""",""GEMTRE"",""""))))"),"")</f>
        <v/>
      </c>
      <c r="L1769" s="46" t="s">
        <v>2002</v>
      </c>
    </row>
    <row r="1770">
      <c r="A1770" s="46"/>
      <c r="B1770" s="46"/>
      <c r="C1770" s="46"/>
      <c r="D1770" s="46"/>
      <c r="E1770" s="46"/>
      <c r="F1770" s="46"/>
      <c r="G1770" s="46"/>
      <c r="H1770" s="46"/>
      <c r="I1770" s="46"/>
      <c r="J1770" s="46"/>
      <c r="K1770" s="46" t="str">
        <f>IFERROR(__xludf.DUMMYFUNCTION("if(A1770="""","""",IF(G1770="""",""Myn"",IF(REGEXMATCH(lower(G1770),""mynn""),""Myn"",if(G1770&lt;&gt;"""",""GEMTRE"",""""))))"),"")</f>
        <v/>
      </c>
      <c r="L1770" s="46" t="s">
        <v>2002</v>
      </c>
    </row>
    <row r="1771">
      <c r="A1771" s="46"/>
      <c r="B1771" s="46"/>
      <c r="C1771" s="46"/>
      <c r="D1771" s="46"/>
      <c r="E1771" s="46"/>
      <c r="F1771" s="46"/>
      <c r="G1771" s="46"/>
      <c r="H1771" s="46"/>
      <c r="I1771" s="46"/>
      <c r="J1771" s="46"/>
      <c r="K1771" s="46" t="str">
        <f>IFERROR(__xludf.DUMMYFUNCTION("if(A1771="""","""",IF(G1771="""",""Myn"",IF(REGEXMATCH(lower(G1771),""mynn""),""Myn"",if(G1771&lt;&gt;"""",""GEMTRE"",""""))))"),"")</f>
        <v/>
      </c>
      <c r="L1771" s="46" t="s">
        <v>2002</v>
      </c>
    </row>
    <row r="1772">
      <c r="A1772" s="46"/>
      <c r="B1772" s="46"/>
      <c r="C1772" s="46"/>
      <c r="D1772" s="46"/>
      <c r="E1772" s="46"/>
      <c r="F1772" s="46"/>
      <c r="G1772" s="46"/>
      <c r="H1772" s="46"/>
      <c r="I1772" s="46"/>
      <c r="J1772" s="46"/>
      <c r="K1772" s="46" t="str">
        <f>IFERROR(__xludf.DUMMYFUNCTION("if(A1772="""","""",IF(G1772="""",""Myn"",IF(REGEXMATCH(lower(G1772),""mynn""),""Myn"",if(G1772&lt;&gt;"""",""GEMTRE"",""""))))"),"")</f>
        <v/>
      </c>
      <c r="L1772" s="46" t="s">
        <v>2002</v>
      </c>
    </row>
    <row r="1773">
      <c r="A1773" s="46"/>
      <c r="B1773" s="46"/>
      <c r="C1773" s="46"/>
      <c r="D1773" s="46"/>
      <c r="E1773" s="46"/>
      <c r="F1773" s="46"/>
      <c r="G1773" s="46"/>
      <c r="H1773" s="46"/>
      <c r="I1773" s="46"/>
      <c r="J1773" s="46"/>
      <c r="K1773" s="46" t="str">
        <f>IFERROR(__xludf.DUMMYFUNCTION("if(A1773="""","""",IF(G1773="""",""Myn"",IF(REGEXMATCH(lower(G1773),""mynn""),""Myn"",if(G1773&lt;&gt;"""",""GEMTRE"",""""))))"),"")</f>
        <v/>
      </c>
      <c r="L1773" s="46" t="s">
        <v>2002</v>
      </c>
    </row>
    <row r="1774">
      <c r="A1774" s="46"/>
      <c r="B1774" s="46"/>
      <c r="C1774" s="46"/>
      <c r="D1774" s="46"/>
      <c r="E1774" s="46"/>
      <c r="F1774" s="46"/>
      <c r="G1774" s="46"/>
      <c r="H1774" s="46"/>
      <c r="I1774" s="46"/>
      <c r="J1774" s="46"/>
      <c r="K1774" s="46" t="str">
        <f>IFERROR(__xludf.DUMMYFUNCTION("if(A1774="""","""",IF(G1774="""",""Myn"",IF(REGEXMATCH(lower(G1774),""mynn""),""Myn"",if(G1774&lt;&gt;"""",""GEMTRE"",""""))))"),"")</f>
        <v/>
      </c>
      <c r="L1774" s="46" t="s">
        <v>2002</v>
      </c>
    </row>
    <row r="1775">
      <c r="A1775" s="46"/>
      <c r="B1775" s="46"/>
      <c r="C1775" s="46"/>
      <c r="D1775" s="46"/>
      <c r="E1775" s="46"/>
      <c r="F1775" s="46"/>
      <c r="G1775" s="46"/>
      <c r="H1775" s="46"/>
      <c r="I1775" s="46"/>
      <c r="J1775" s="46"/>
      <c r="K1775" s="46" t="str">
        <f>IFERROR(__xludf.DUMMYFUNCTION("if(A1775="""","""",IF(G1775="""",""Myn"",IF(REGEXMATCH(lower(G1775),""mynn""),""Myn"",if(G1775&lt;&gt;"""",""GEMTRE"",""""))))"),"")</f>
        <v/>
      </c>
      <c r="L1775" s="46" t="s">
        <v>2002</v>
      </c>
    </row>
    <row r="1776">
      <c r="A1776" s="46"/>
      <c r="B1776" s="46"/>
      <c r="C1776" s="46"/>
      <c r="D1776" s="46"/>
      <c r="E1776" s="46"/>
      <c r="F1776" s="46"/>
      <c r="G1776" s="46"/>
      <c r="H1776" s="46"/>
      <c r="I1776" s="46"/>
      <c r="J1776" s="46"/>
      <c r="K1776" s="46" t="str">
        <f>IFERROR(__xludf.DUMMYFUNCTION("if(A1776="""","""",IF(G1776="""",""Myn"",IF(REGEXMATCH(lower(G1776),""mynn""),""Myn"",if(G1776&lt;&gt;"""",""GEMTRE"",""""))))"),"")</f>
        <v/>
      </c>
      <c r="L1776" s="46" t="s">
        <v>2002</v>
      </c>
    </row>
    <row r="1777">
      <c r="A1777" s="46"/>
      <c r="B1777" s="46"/>
      <c r="C1777" s="46"/>
      <c r="D1777" s="46"/>
      <c r="E1777" s="46"/>
      <c r="F1777" s="46"/>
      <c r="G1777" s="46"/>
      <c r="H1777" s="46"/>
      <c r="I1777" s="46"/>
      <c r="J1777" s="46"/>
      <c r="K1777" s="46" t="str">
        <f>IFERROR(__xludf.DUMMYFUNCTION("if(A1777="""","""",IF(G1777="""",""Myn"",IF(REGEXMATCH(lower(G1777),""mynn""),""Myn"",if(G1777&lt;&gt;"""",""GEMTRE"",""""))))"),"")</f>
        <v/>
      </c>
      <c r="L1777" s="46" t="s">
        <v>2002</v>
      </c>
    </row>
    <row r="1778">
      <c r="A1778" s="46"/>
      <c r="B1778" s="46"/>
      <c r="C1778" s="46"/>
      <c r="D1778" s="46"/>
      <c r="E1778" s="46"/>
      <c r="F1778" s="46"/>
      <c r="G1778" s="46"/>
      <c r="H1778" s="46"/>
      <c r="I1778" s="46"/>
      <c r="J1778" s="46"/>
      <c r="K1778" s="46" t="str">
        <f>IFERROR(__xludf.DUMMYFUNCTION("if(A1778="""","""",IF(G1778="""",""Myn"",IF(REGEXMATCH(lower(G1778),""mynn""),""Myn"",if(G1778&lt;&gt;"""",""GEMTRE"",""""))))"),"")</f>
        <v/>
      </c>
      <c r="L1778" s="46" t="s">
        <v>2002</v>
      </c>
    </row>
    <row r="1779">
      <c r="A1779" s="46"/>
      <c r="B1779" s="46"/>
      <c r="C1779" s="46"/>
      <c r="D1779" s="46"/>
      <c r="E1779" s="46"/>
      <c r="F1779" s="46"/>
      <c r="G1779" s="46"/>
      <c r="H1779" s="46"/>
      <c r="I1779" s="46"/>
      <c r="J1779" s="46"/>
      <c r="K1779" s="46" t="str">
        <f>IFERROR(__xludf.DUMMYFUNCTION("if(A1779="""","""",IF(G1779="""",""Myn"",IF(REGEXMATCH(lower(G1779),""mynn""),""Myn"",if(G1779&lt;&gt;"""",""GEMTRE"",""""))))"),"")</f>
        <v/>
      </c>
      <c r="L1779" s="46" t="s">
        <v>2002</v>
      </c>
    </row>
    <row r="1780">
      <c r="A1780" s="46"/>
      <c r="B1780" s="46"/>
      <c r="C1780" s="46"/>
      <c r="D1780" s="46"/>
      <c r="E1780" s="46"/>
      <c r="F1780" s="46"/>
      <c r="G1780" s="46"/>
      <c r="H1780" s="46"/>
      <c r="I1780" s="46"/>
      <c r="J1780" s="46"/>
      <c r="K1780" s="46" t="str">
        <f>IFERROR(__xludf.DUMMYFUNCTION("if(A1780="""","""",IF(G1780="""",""Myn"",IF(REGEXMATCH(lower(G1780),""mynn""),""Myn"",if(G1780&lt;&gt;"""",""GEMTRE"",""""))))"),"")</f>
        <v/>
      </c>
      <c r="L1780" s="46" t="s">
        <v>2002</v>
      </c>
    </row>
    <row r="1781">
      <c r="A1781" s="46"/>
      <c r="B1781" s="46"/>
      <c r="C1781" s="46"/>
      <c r="D1781" s="46"/>
      <c r="E1781" s="46"/>
      <c r="F1781" s="46"/>
      <c r="G1781" s="46"/>
      <c r="H1781" s="46"/>
      <c r="I1781" s="46"/>
      <c r="J1781" s="46"/>
      <c r="K1781" s="46" t="str">
        <f>IFERROR(__xludf.DUMMYFUNCTION("if(A1781="""","""",IF(G1781="""",""Myn"",IF(REGEXMATCH(lower(G1781),""mynn""),""Myn"",if(G1781&lt;&gt;"""",""GEMTRE"",""""))))"),"")</f>
        <v/>
      </c>
      <c r="L1781" s="46" t="s">
        <v>2002</v>
      </c>
    </row>
    <row r="1782">
      <c r="A1782" s="46"/>
      <c r="B1782" s="46"/>
      <c r="C1782" s="46"/>
      <c r="D1782" s="46"/>
      <c r="E1782" s="46"/>
      <c r="F1782" s="46"/>
      <c r="G1782" s="46"/>
      <c r="H1782" s="46"/>
      <c r="I1782" s="46"/>
      <c r="J1782" s="46"/>
      <c r="K1782" s="46" t="str">
        <f>IFERROR(__xludf.DUMMYFUNCTION("if(A1782="""","""",IF(G1782="""",""Myn"",IF(REGEXMATCH(lower(G1782),""mynn""),""Myn"",if(G1782&lt;&gt;"""",""GEMTRE"",""""))))"),"")</f>
        <v/>
      </c>
      <c r="L1782" s="46" t="s">
        <v>2002</v>
      </c>
    </row>
    <row r="1783">
      <c r="A1783" s="46"/>
      <c r="B1783" s="46"/>
      <c r="C1783" s="46"/>
      <c r="D1783" s="46"/>
      <c r="E1783" s="46"/>
      <c r="F1783" s="46"/>
      <c r="G1783" s="46"/>
      <c r="H1783" s="46"/>
      <c r="I1783" s="46"/>
      <c r="J1783" s="46"/>
      <c r="K1783" s="46" t="str">
        <f>IFERROR(__xludf.DUMMYFUNCTION("if(A1783="""","""",IF(G1783="""",""Myn"",IF(REGEXMATCH(lower(G1783),""mynn""),""Myn"",if(G1783&lt;&gt;"""",""GEMTRE"",""""))))"),"")</f>
        <v/>
      </c>
      <c r="L1783" s="46" t="s">
        <v>2002</v>
      </c>
    </row>
    <row r="1784">
      <c r="A1784" s="46"/>
      <c r="B1784" s="46"/>
      <c r="C1784" s="46"/>
      <c r="D1784" s="46"/>
      <c r="E1784" s="46"/>
      <c r="F1784" s="46"/>
      <c r="G1784" s="46"/>
      <c r="H1784" s="46"/>
      <c r="I1784" s="46"/>
      <c r="J1784" s="46"/>
      <c r="K1784" s="46" t="str">
        <f>IFERROR(__xludf.DUMMYFUNCTION("if(A1784="""","""",IF(G1784="""",""Myn"",IF(REGEXMATCH(lower(G1784),""mynn""),""Myn"",if(G1784&lt;&gt;"""",""GEMTRE"",""""))))"),"")</f>
        <v/>
      </c>
      <c r="L1784" s="46" t="s">
        <v>2002</v>
      </c>
    </row>
    <row r="1785">
      <c r="A1785" s="46"/>
      <c r="B1785" s="46"/>
      <c r="C1785" s="46"/>
      <c r="D1785" s="46"/>
      <c r="E1785" s="46"/>
      <c r="F1785" s="46"/>
      <c r="G1785" s="46"/>
      <c r="H1785" s="46"/>
      <c r="I1785" s="46"/>
      <c r="J1785" s="46"/>
      <c r="K1785" s="46" t="str">
        <f>IFERROR(__xludf.DUMMYFUNCTION("if(A1785="""","""",IF(G1785="""",""Myn"",IF(REGEXMATCH(lower(G1785),""mynn""),""Myn"",if(G1785&lt;&gt;"""",""GEMTRE"",""""))))"),"")</f>
        <v/>
      </c>
      <c r="L1785" s="46" t="s">
        <v>2002</v>
      </c>
    </row>
    <row r="1786">
      <c r="A1786" s="46"/>
      <c r="B1786" s="46"/>
      <c r="C1786" s="46"/>
      <c r="D1786" s="46"/>
      <c r="E1786" s="46"/>
      <c r="F1786" s="46"/>
      <c r="G1786" s="46"/>
      <c r="H1786" s="46"/>
      <c r="I1786" s="46"/>
      <c r="J1786" s="46"/>
      <c r="K1786" s="46" t="str">
        <f>IFERROR(__xludf.DUMMYFUNCTION("if(A1786="""","""",IF(G1786="""",""Myn"",IF(REGEXMATCH(lower(G1786),""mynn""),""Myn"",if(G1786&lt;&gt;"""",""GEMTRE"",""""))))"),"")</f>
        <v/>
      </c>
      <c r="L1786" s="46" t="s">
        <v>2002</v>
      </c>
    </row>
    <row r="1787">
      <c r="A1787" s="46"/>
      <c r="B1787" s="46"/>
      <c r="C1787" s="46"/>
      <c r="D1787" s="46"/>
      <c r="E1787" s="46"/>
      <c r="F1787" s="46"/>
      <c r="G1787" s="46"/>
      <c r="H1787" s="46"/>
      <c r="I1787" s="46"/>
      <c r="J1787" s="46"/>
      <c r="K1787" s="46" t="str">
        <f>IFERROR(__xludf.DUMMYFUNCTION("if(A1787="""","""",IF(G1787="""",""Myn"",IF(REGEXMATCH(lower(G1787),""mynn""),""Myn"",if(G1787&lt;&gt;"""",""GEMTRE"",""""))))"),"")</f>
        <v/>
      </c>
      <c r="L1787" s="46" t="s">
        <v>2002</v>
      </c>
    </row>
    <row r="1788">
      <c r="A1788" s="46"/>
      <c r="B1788" s="46"/>
      <c r="C1788" s="46"/>
      <c r="D1788" s="46"/>
      <c r="E1788" s="46"/>
      <c r="F1788" s="46"/>
      <c r="G1788" s="46"/>
      <c r="H1788" s="46"/>
      <c r="I1788" s="46"/>
      <c r="J1788" s="46"/>
      <c r="K1788" s="46" t="str">
        <f>IFERROR(__xludf.DUMMYFUNCTION("if(A1788="""","""",IF(G1788="""",""Myn"",IF(REGEXMATCH(lower(G1788),""mynn""),""Myn"",if(G1788&lt;&gt;"""",""GEMTRE"",""""))))"),"")</f>
        <v/>
      </c>
      <c r="L1788" s="46" t="s">
        <v>2002</v>
      </c>
    </row>
    <row r="1789">
      <c r="A1789" s="46"/>
      <c r="B1789" s="46"/>
      <c r="C1789" s="46"/>
      <c r="D1789" s="46"/>
      <c r="E1789" s="46"/>
      <c r="F1789" s="46"/>
      <c r="G1789" s="46"/>
      <c r="H1789" s="46"/>
      <c r="I1789" s="46"/>
      <c r="J1789" s="46"/>
      <c r="K1789" s="46" t="str">
        <f>IFERROR(__xludf.DUMMYFUNCTION("if(A1789="""","""",IF(G1789="""",""Myn"",IF(REGEXMATCH(lower(G1789),""mynn""),""Myn"",if(G1789&lt;&gt;"""",""GEMTRE"",""""))))"),"")</f>
        <v/>
      </c>
      <c r="L1789" s="46" t="s">
        <v>2002</v>
      </c>
    </row>
    <row r="1790">
      <c r="A1790" s="46"/>
      <c r="B1790" s="46"/>
      <c r="C1790" s="46"/>
      <c r="D1790" s="46"/>
      <c r="E1790" s="46"/>
      <c r="F1790" s="46"/>
      <c r="G1790" s="46"/>
      <c r="H1790" s="46"/>
      <c r="I1790" s="46"/>
      <c r="J1790" s="46"/>
      <c r="K1790" s="46" t="str">
        <f>IFERROR(__xludf.DUMMYFUNCTION("if(A1790="""","""",IF(G1790="""",""Myn"",IF(REGEXMATCH(lower(G1790),""mynn""),""Myn"",if(G1790&lt;&gt;"""",""GEMTRE"",""""))))"),"")</f>
        <v/>
      </c>
      <c r="L1790" s="46" t="s">
        <v>2002</v>
      </c>
    </row>
    <row r="1791">
      <c r="A1791" s="46"/>
      <c r="B1791" s="46"/>
      <c r="C1791" s="46"/>
      <c r="D1791" s="46"/>
      <c r="E1791" s="46"/>
      <c r="F1791" s="46"/>
      <c r="G1791" s="46"/>
      <c r="H1791" s="46"/>
      <c r="I1791" s="46"/>
      <c r="J1791" s="46"/>
      <c r="K1791" s="46" t="str">
        <f>IFERROR(__xludf.DUMMYFUNCTION("if(A1791="""","""",IF(G1791="""",""Myn"",IF(REGEXMATCH(lower(G1791),""mynn""),""Myn"",if(G1791&lt;&gt;"""",""GEMTRE"",""""))))"),"")</f>
        <v/>
      </c>
      <c r="L1791" s="46" t="s">
        <v>2002</v>
      </c>
    </row>
    <row r="1792">
      <c r="A1792" s="46"/>
      <c r="B1792" s="46"/>
      <c r="C1792" s="46"/>
      <c r="D1792" s="46"/>
      <c r="E1792" s="46"/>
      <c r="F1792" s="46"/>
      <c r="G1792" s="46"/>
      <c r="H1792" s="46"/>
      <c r="I1792" s="46"/>
      <c r="J1792" s="46"/>
      <c r="K1792" s="46" t="str">
        <f>IFERROR(__xludf.DUMMYFUNCTION("if(A1792="""","""",IF(G1792="""",""Myn"",IF(REGEXMATCH(lower(G1792),""mynn""),""Myn"",if(G1792&lt;&gt;"""",""GEMTRE"",""""))))"),"")</f>
        <v/>
      </c>
      <c r="L1792" s="46" t="s">
        <v>2002</v>
      </c>
    </row>
    <row r="1793">
      <c r="A1793" s="46"/>
      <c r="B1793" s="46"/>
      <c r="C1793" s="46"/>
      <c r="D1793" s="46"/>
      <c r="E1793" s="46"/>
      <c r="F1793" s="46"/>
      <c r="G1793" s="46"/>
      <c r="H1793" s="46"/>
      <c r="I1793" s="46"/>
      <c r="J1793" s="46"/>
      <c r="K1793" s="46" t="str">
        <f>IFERROR(__xludf.DUMMYFUNCTION("if(A1793="""","""",IF(G1793="""",""Myn"",IF(REGEXMATCH(lower(G1793),""mynn""),""Myn"",if(G1793&lt;&gt;"""",""GEMTRE"",""""))))"),"")</f>
        <v/>
      </c>
      <c r="L1793" s="46" t="s">
        <v>2002</v>
      </c>
    </row>
    <row r="1794">
      <c r="A1794" s="46"/>
      <c r="B1794" s="46"/>
      <c r="C1794" s="46"/>
      <c r="D1794" s="46"/>
      <c r="E1794" s="46"/>
      <c r="F1794" s="46"/>
      <c r="G1794" s="46"/>
      <c r="H1794" s="46"/>
      <c r="I1794" s="46"/>
      <c r="J1794" s="46"/>
      <c r="K1794" s="46" t="str">
        <f>IFERROR(__xludf.DUMMYFUNCTION("if(A1794="""","""",IF(G1794="""",""Myn"",IF(REGEXMATCH(lower(G1794),""mynn""),""Myn"",if(G1794&lt;&gt;"""",""GEMTRE"",""""))))"),"")</f>
        <v/>
      </c>
      <c r="L1794" s="46" t="s">
        <v>2002</v>
      </c>
    </row>
    <row r="1795">
      <c r="A1795" s="46"/>
      <c r="B1795" s="46"/>
      <c r="C1795" s="46"/>
      <c r="D1795" s="46"/>
      <c r="E1795" s="46"/>
      <c r="F1795" s="46"/>
      <c r="G1795" s="46"/>
      <c r="H1795" s="46"/>
      <c r="I1795" s="46"/>
      <c r="J1795" s="46"/>
      <c r="K1795" s="46" t="str">
        <f>IFERROR(__xludf.DUMMYFUNCTION("if(A1795="""","""",IF(G1795="""",""Myn"",IF(REGEXMATCH(lower(G1795),""mynn""),""Myn"",if(G1795&lt;&gt;"""",""GEMTRE"",""""))))"),"")</f>
        <v/>
      </c>
      <c r="L1795" s="46" t="s">
        <v>2002</v>
      </c>
    </row>
    <row r="1796">
      <c r="A1796" s="46"/>
      <c r="B1796" s="46"/>
      <c r="C1796" s="46"/>
      <c r="D1796" s="46"/>
      <c r="E1796" s="46"/>
      <c r="F1796" s="46"/>
      <c r="G1796" s="46"/>
      <c r="H1796" s="46"/>
      <c r="I1796" s="46"/>
      <c r="J1796" s="46"/>
      <c r="K1796" s="46" t="str">
        <f>IFERROR(__xludf.DUMMYFUNCTION("if(A1796="""","""",IF(G1796="""",""Myn"",IF(REGEXMATCH(lower(G1796),""mynn""),""Myn"",if(G1796&lt;&gt;"""",""GEMTRE"",""""))))"),"")</f>
        <v/>
      </c>
      <c r="L1796" s="46" t="s">
        <v>2002</v>
      </c>
    </row>
    <row r="1797">
      <c r="A1797" s="46"/>
      <c r="B1797" s="46"/>
      <c r="C1797" s="46"/>
      <c r="D1797" s="46"/>
      <c r="E1797" s="46"/>
      <c r="F1797" s="46"/>
      <c r="G1797" s="46"/>
      <c r="H1797" s="46"/>
      <c r="I1797" s="46"/>
      <c r="J1797" s="46"/>
      <c r="K1797" s="46" t="str">
        <f>IFERROR(__xludf.DUMMYFUNCTION("if(A1797="""","""",IF(G1797="""",""Myn"",IF(REGEXMATCH(lower(G1797),""mynn""),""Myn"",if(G1797&lt;&gt;"""",""GEMTRE"",""""))))"),"")</f>
        <v/>
      </c>
      <c r="L1797" s="46" t="s">
        <v>2002</v>
      </c>
    </row>
    <row r="1798">
      <c r="A1798" s="46"/>
      <c r="B1798" s="46"/>
      <c r="C1798" s="46"/>
      <c r="D1798" s="46"/>
      <c r="E1798" s="46"/>
      <c r="F1798" s="46"/>
      <c r="G1798" s="46"/>
      <c r="H1798" s="46"/>
      <c r="I1798" s="46"/>
      <c r="J1798" s="46"/>
      <c r="K1798" s="46" t="str">
        <f>IFERROR(__xludf.DUMMYFUNCTION("if(A1798="""","""",IF(G1798="""",""Myn"",IF(REGEXMATCH(lower(G1798),""mynn""),""Myn"",if(G1798&lt;&gt;"""",""GEMTRE"",""""))))"),"")</f>
        <v/>
      </c>
      <c r="L1798" s="46" t="s">
        <v>2002</v>
      </c>
    </row>
    <row r="1799">
      <c r="A1799" s="46"/>
      <c r="B1799" s="46"/>
      <c r="C1799" s="46"/>
      <c r="D1799" s="46"/>
      <c r="E1799" s="46"/>
      <c r="F1799" s="46"/>
      <c r="G1799" s="46"/>
      <c r="H1799" s="46"/>
      <c r="I1799" s="46"/>
      <c r="J1799" s="46"/>
      <c r="K1799" s="46" t="str">
        <f>IFERROR(__xludf.DUMMYFUNCTION("if(A1799="""","""",IF(G1799="""",""Myn"",IF(REGEXMATCH(lower(G1799),""mynn""),""Myn"",if(G1799&lt;&gt;"""",""GEMTRE"",""""))))"),"")</f>
        <v/>
      </c>
      <c r="L1799" s="46" t="s">
        <v>2002</v>
      </c>
    </row>
    <row r="1800">
      <c r="A1800" s="46"/>
      <c r="B1800" s="46"/>
      <c r="C1800" s="46"/>
      <c r="D1800" s="46"/>
      <c r="E1800" s="46"/>
      <c r="F1800" s="46"/>
      <c r="G1800" s="46"/>
      <c r="H1800" s="46"/>
      <c r="I1800" s="46"/>
      <c r="J1800" s="46"/>
      <c r="K1800" s="46" t="str">
        <f>IFERROR(__xludf.DUMMYFUNCTION("if(A1800="""","""",IF(G1800="""",""Myn"",IF(REGEXMATCH(lower(G1800),""mynn""),""Myn"",if(G1800&lt;&gt;"""",""GEMTRE"",""""))))"),"")</f>
        <v/>
      </c>
      <c r="L1800" s="46" t="s">
        <v>2002</v>
      </c>
    </row>
    <row r="1801">
      <c r="A1801" s="46"/>
      <c r="B1801" s="46"/>
      <c r="C1801" s="46"/>
      <c r="D1801" s="46"/>
      <c r="E1801" s="46"/>
      <c r="F1801" s="46"/>
      <c r="G1801" s="46"/>
      <c r="H1801" s="46"/>
      <c r="I1801" s="46"/>
      <c r="J1801" s="46"/>
      <c r="K1801" s="46" t="str">
        <f>IFERROR(__xludf.DUMMYFUNCTION("if(A1801="""","""",IF(G1801="""",""Myn"",IF(REGEXMATCH(lower(G1801),""mynn""),""Myn"",if(G1801&lt;&gt;"""",""GEMTRE"",""""))))"),"")</f>
        <v/>
      </c>
      <c r="L1801" s="46" t="s">
        <v>2002</v>
      </c>
    </row>
    <row r="1802">
      <c r="A1802" s="46"/>
      <c r="B1802" s="46"/>
      <c r="C1802" s="46"/>
      <c r="D1802" s="46"/>
      <c r="E1802" s="46"/>
      <c r="F1802" s="46"/>
      <c r="G1802" s="46"/>
      <c r="H1802" s="46"/>
      <c r="I1802" s="46"/>
      <c r="J1802" s="46"/>
      <c r="K1802" s="46" t="str">
        <f>IFERROR(__xludf.DUMMYFUNCTION("if(A1802="""","""",IF(G1802="""",""Myn"",IF(REGEXMATCH(lower(G1802),""mynn""),""Myn"",if(G1802&lt;&gt;"""",""GEMTRE"",""""))))"),"")</f>
        <v/>
      </c>
      <c r="L1802" s="46" t="s">
        <v>2002</v>
      </c>
    </row>
    <row r="1803">
      <c r="A1803" s="46"/>
      <c r="B1803" s="46"/>
      <c r="C1803" s="46"/>
      <c r="D1803" s="46"/>
      <c r="E1803" s="46"/>
      <c r="F1803" s="46"/>
      <c r="G1803" s="46"/>
      <c r="H1803" s="46"/>
      <c r="I1803" s="46"/>
      <c r="J1803" s="46"/>
      <c r="K1803" s="46" t="str">
        <f>IFERROR(__xludf.DUMMYFUNCTION("if(A1803="""","""",IF(G1803="""",""Myn"",IF(REGEXMATCH(lower(G1803),""mynn""),""Myn"",if(G1803&lt;&gt;"""",""GEMTRE"",""""))))"),"")</f>
        <v/>
      </c>
      <c r="L1803" s="46" t="s">
        <v>2002</v>
      </c>
    </row>
    <row r="1804">
      <c r="A1804" s="46"/>
      <c r="B1804" s="46"/>
      <c r="C1804" s="46"/>
      <c r="D1804" s="46"/>
      <c r="E1804" s="46"/>
      <c r="F1804" s="46"/>
      <c r="G1804" s="46"/>
      <c r="H1804" s="46"/>
      <c r="I1804" s="46"/>
      <c r="J1804" s="46"/>
      <c r="K1804" s="46" t="str">
        <f>IFERROR(__xludf.DUMMYFUNCTION("if(A1804="""","""",IF(G1804="""",""Myn"",IF(REGEXMATCH(lower(G1804),""mynn""),""Myn"",if(G1804&lt;&gt;"""",""GEMTRE"",""""))))"),"")</f>
        <v/>
      </c>
      <c r="L1804" s="46" t="s">
        <v>2002</v>
      </c>
    </row>
    <row r="1805">
      <c r="A1805" s="46"/>
      <c r="B1805" s="46"/>
      <c r="C1805" s="46"/>
      <c r="D1805" s="46"/>
      <c r="E1805" s="46"/>
      <c r="F1805" s="46"/>
      <c r="G1805" s="46"/>
      <c r="H1805" s="46"/>
      <c r="I1805" s="46"/>
      <c r="J1805" s="46"/>
      <c r="K1805" s="46" t="str">
        <f>IFERROR(__xludf.DUMMYFUNCTION("if(A1805="""","""",IF(G1805="""",""Myn"",IF(REGEXMATCH(lower(G1805),""mynn""),""Myn"",if(G1805&lt;&gt;"""",""GEMTRE"",""""))))"),"")</f>
        <v/>
      </c>
      <c r="L1805" s="46" t="s">
        <v>2002</v>
      </c>
    </row>
    <row r="1806">
      <c r="A1806" s="46"/>
      <c r="B1806" s="46"/>
      <c r="C1806" s="46"/>
      <c r="D1806" s="46"/>
      <c r="E1806" s="46"/>
      <c r="F1806" s="46"/>
      <c r="G1806" s="46"/>
      <c r="H1806" s="46"/>
      <c r="I1806" s="46"/>
      <c r="J1806" s="46"/>
      <c r="K1806" s="46" t="str">
        <f>IFERROR(__xludf.DUMMYFUNCTION("if(A1806="""","""",IF(G1806="""",""Myn"",IF(REGEXMATCH(lower(G1806),""mynn""),""Myn"",if(G1806&lt;&gt;"""",""GEMTRE"",""""))))"),"")</f>
        <v/>
      </c>
      <c r="L1806" s="46" t="s">
        <v>2002</v>
      </c>
    </row>
    <row r="1807">
      <c r="A1807" s="46"/>
      <c r="B1807" s="46"/>
      <c r="C1807" s="46"/>
      <c r="D1807" s="46"/>
      <c r="E1807" s="46"/>
      <c r="F1807" s="46"/>
      <c r="G1807" s="46"/>
      <c r="H1807" s="46"/>
      <c r="I1807" s="46"/>
      <c r="J1807" s="46"/>
      <c r="K1807" s="46" t="str">
        <f>IFERROR(__xludf.DUMMYFUNCTION("if(A1807="""","""",IF(G1807="""",""Myn"",IF(REGEXMATCH(lower(G1807),""mynn""),""Myn"",if(G1807&lt;&gt;"""",""GEMTRE"",""""))))"),"")</f>
        <v/>
      </c>
      <c r="L1807" s="46" t="s">
        <v>2002</v>
      </c>
    </row>
    <row r="1808">
      <c r="A1808" s="46"/>
      <c r="B1808" s="46"/>
      <c r="C1808" s="46"/>
      <c r="D1808" s="46"/>
      <c r="E1808" s="46"/>
      <c r="F1808" s="46"/>
      <c r="G1808" s="46"/>
      <c r="H1808" s="46"/>
      <c r="I1808" s="46"/>
      <c r="J1808" s="46"/>
      <c r="K1808" s="46" t="str">
        <f>IFERROR(__xludf.DUMMYFUNCTION("if(A1808="""","""",IF(G1808="""",""Myn"",IF(REGEXMATCH(lower(G1808),""mynn""),""Myn"",if(G1808&lt;&gt;"""",""GEMTRE"",""""))))"),"")</f>
        <v/>
      </c>
      <c r="L1808" s="46" t="s">
        <v>2002</v>
      </c>
    </row>
    <row r="1809">
      <c r="A1809" s="46"/>
      <c r="B1809" s="46"/>
      <c r="C1809" s="46"/>
      <c r="D1809" s="46"/>
      <c r="E1809" s="46"/>
      <c r="F1809" s="46"/>
      <c r="G1809" s="46"/>
      <c r="H1809" s="46"/>
      <c r="I1809" s="46"/>
      <c r="J1809" s="46"/>
      <c r="K1809" s="46" t="str">
        <f>IFERROR(__xludf.DUMMYFUNCTION("if(A1809="""","""",IF(G1809="""",""Myn"",IF(REGEXMATCH(lower(G1809),""mynn""),""Myn"",if(G1809&lt;&gt;"""",""GEMTRE"",""""))))"),"")</f>
        <v/>
      </c>
      <c r="L1809" s="46" t="s">
        <v>2002</v>
      </c>
    </row>
    <row r="1810">
      <c r="A1810" s="46"/>
      <c r="B1810" s="46"/>
      <c r="C1810" s="46"/>
      <c r="D1810" s="46"/>
      <c r="E1810" s="46"/>
      <c r="F1810" s="46"/>
      <c r="G1810" s="46"/>
      <c r="H1810" s="46"/>
      <c r="I1810" s="46"/>
      <c r="J1810" s="46"/>
      <c r="K1810" s="46" t="str">
        <f>IFERROR(__xludf.DUMMYFUNCTION("if(A1810="""","""",IF(G1810="""",""Myn"",IF(REGEXMATCH(lower(G1810),""mynn""),""Myn"",if(G1810&lt;&gt;"""",""GEMTRE"",""""))))"),"")</f>
        <v/>
      </c>
      <c r="L1810" s="46" t="s">
        <v>2002</v>
      </c>
    </row>
    <row r="1811">
      <c r="A1811" s="46"/>
      <c r="B1811" s="46"/>
      <c r="C1811" s="46"/>
      <c r="D1811" s="46"/>
      <c r="E1811" s="46"/>
      <c r="F1811" s="46"/>
      <c r="G1811" s="46"/>
      <c r="H1811" s="46"/>
      <c r="I1811" s="46"/>
      <c r="J1811" s="46"/>
      <c r="K1811" s="46" t="str">
        <f>IFERROR(__xludf.DUMMYFUNCTION("if(A1811="""","""",IF(G1811="""",""Myn"",IF(REGEXMATCH(lower(G1811),""mynn""),""Myn"",if(G1811&lt;&gt;"""",""GEMTRE"",""""))))"),"")</f>
        <v/>
      </c>
      <c r="L1811" s="46" t="s">
        <v>2002</v>
      </c>
    </row>
    <row r="1812">
      <c r="A1812" s="46"/>
      <c r="B1812" s="46"/>
      <c r="C1812" s="46"/>
      <c r="D1812" s="46"/>
      <c r="E1812" s="46"/>
      <c r="F1812" s="46"/>
      <c r="G1812" s="46"/>
      <c r="H1812" s="46"/>
      <c r="I1812" s="46"/>
      <c r="J1812" s="46"/>
      <c r="K1812" s="46" t="str">
        <f>IFERROR(__xludf.DUMMYFUNCTION("if(A1812="""","""",IF(G1812="""",""Myn"",IF(REGEXMATCH(lower(G1812),""mynn""),""Myn"",if(G1812&lt;&gt;"""",""GEMTRE"",""""))))"),"")</f>
        <v/>
      </c>
      <c r="L1812" s="46" t="s">
        <v>2002</v>
      </c>
    </row>
    <row r="1813">
      <c r="A1813" s="46"/>
      <c r="B1813" s="46"/>
      <c r="C1813" s="46"/>
      <c r="D1813" s="46"/>
      <c r="E1813" s="46"/>
      <c r="F1813" s="46"/>
      <c r="G1813" s="46"/>
      <c r="H1813" s="46"/>
      <c r="I1813" s="46"/>
      <c r="J1813" s="46"/>
      <c r="K1813" s="46" t="str">
        <f>IFERROR(__xludf.DUMMYFUNCTION("if(A1813="""","""",IF(G1813="""",""Myn"",IF(REGEXMATCH(lower(G1813),""mynn""),""Myn"",if(G1813&lt;&gt;"""",""GEMTRE"",""""))))"),"")</f>
        <v/>
      </c>
      <c r="L1813" s="46" t="s">
        <v>2002</v>
      </c>
    </row>
    <row r="1814">
      <c r="A1814" s="46"/>
      <c r="B1814" s="46"/>
      <c r="C1814" s="46"/>
      <c r="D1814" s="46"/>
      <c r="E1814" s="46"/>
      <c r="F1814" s="46"/>
      <c r="G1814" s="46"/>
      <c r="H1814" s="46"/>
      <c r="I1814" s="46"/>
      <c r="J1814" s="46"/>
      <c r="K1814" s="46" t="str">
        <f>IFERROR(__xludf.DUMMYFUNCTION("if(A1814="""","""",IF(G1814="""",""Myn"",IF(REGEXMATCH(lower(G1814),""mynn""),""Myn"",if(G1814&lt;&gt;"""",""GEMTRE"",""""))))"),"")</f>
        <v/>
      </c>
      <c r="L1814" s="46" t="s">
        <v>2002</v>
      </c>
    </row>
    <row r="1815">
      <c r="A1815" s="46"/>
      <c r="B1815" s="46"/>
      <c r="C1815" s="46"/>
      <c r="D1815" s="46"/>
      <c r="E1815" s="46"/>
      <c r="F1815" s="46"/>
      <c r="G1815" s="46"/>
      <c r="H1815" s="46"/>
      <c r="I1815" s="46"/>
      <c r="J1815" s="46"/>
      <c r="K1815" s="46" t="str">
        <f>IFERROR(__xludf.DUMMYFUNCTION("if(A1815="""","""",IF(G1815="""",""Myn"",IF(REGEXMATCH(lower(G1815),""mynn""),""Myn"",if(G1815&lt;&gt;"""",""GEMTRE"",""""))))"),"")</f>
        <v/>
      </c>
      <c r="L1815" s="46" t="s">
        <v>2002</v>
      </c>
    </row>
    <row r="1816">
      <c r="A1816" s="46"/>
      <c r="B1816" s="46"/>
      <c r="C1816" s="46"/>
      <c r="D1816" s="46"/>
      <c r="E1816" s="46"/>
      <c r="F1816" s="46"/>
      <c r="G1816" s="46"/>
      <c r="H1816" s="46"/>
      <c r="I1816" s="46"/>
      <c r="J1816" s="46"/>
      <c r="K1816" s="46" t="str">
        <f>IFERROR(__xludf.DUMMYFUNCTION("if(A1816="""","""",IF(G1816="""",""Myn"",IF(REGEXMATCH(lower(G1816),""mynn""),""Myn"",if(G1816&lt;&gt;"""",""GEMTRE"",""""))))"),"")</f>
        <v/>
      </c>
      <c r="L1816" s="46" t="s">
        <v>2002</v>
      </c>
    </row>
    <row r="1817">
      <c r="A1817" s="46"/>
      <c r="B1817" s="46"/>
      <c r="C1817" s="46"/>
      <c r="D1817" s="46"/>
      <c r="E1817" s="46"/>
      <c r="F1817" s="46"/>
      <c r="G1817" s="46"/>
      <c r="H1817" s="46"/>
      <c r="I1817" s="46"/>
      <c r="J1817" s="46"/>
      <c r="K1817" s="46" t="str">
        <f>IFERROR(__xludf.DUMMYFUNCTION("if(A1817="""","""",IF(G1817="""",""Myn"",IF(REGEXMATCH(lower(G1817),""mynn""),""Myn"",if(G1817&lt;&gt;"""",""GEMTRE"",""""))))"),"")</f>
        <v/>
      </c>
      <c r="L1817" s="46" t="s">
        <v>2002</v>
      </c>
    </row>
    <row r="1818">
      <c r="A1818" s="46"/>
      <c r="B1818" s="46"/>
      <c r="C1818" s="46"/>
      <c r="D1818" s="46"/>
      <c r="E1818" s="46"/>
      <c r="F1818" s="46"/>
      <c r="G1818" s="46"/>
      <c r="H1818" s="46"/>
      <c r="I1818" s="46"/>
      <c r="J1818" s="46"/>
      <c r="K1818" s="46" t="str">
        <f>IFERROR(__xludf.DUMMYFUNCTION("if(A1818="""","""",IF(G1818="""",""Myn"",IF(REGEXMATCH(lower(G1818),""mynn""),""Myn"",if(G1818&lt;&gt;"""",""GEMTRE"",""""))))"),"")</f>
        <v/>
      </c>
      <c r="L1818" s="46" t="s">
        <v>2002</v>
      </c>
    </row>
    <row r="1819">
      <c r="A1819" s="46"/>
      <c r="B1819" s="46"/>
      <c r="C1819" s="46"/>
      <c r="D1819" s="46"/>
      <c r="E1819" s="46"/>
      <c r="F1819" s="46"/>
      <c r="G1819" s="46"/>
      <c r="H1819" s="46"/>
      <c r="I1819" s="46"/>
      <c r="J1819" s="46"/>
      <c r="K1819" s="46" t="str">
        <f>IFERROR(__xludf.DUMMYFUNCTION("if(A1819="""","""",IF(G1819="""",""Myn"",IF(REGEXMATCH(lower(G1819),""mynn""),""Myn"",if(G1819&lt;&gt;"""",""GEMTRE"",""""))))"),"")</f>
        <v/>
      </c>
      <c r="L1819" s="46" t="s">
        <v>2002</v>
      </c>
    </row>
    <row r="1820">
      <c r="A1820" s="46"/>
      <c r="B1820" s="46"/>
      <c r="C1820" s="46"/>
      <c r="D1820" s="46"/>
      <c r="E1820" s="46"/>
      <c r="F1820" s="46"/>
      <c r="G1820" s="46"/>
      <c r="H1820" s="46"/>
      <c r="I1820" s="46"/>
      <c r="J1820" s="46"/>
      <c r="K1820" s="46" t="str">
        <f>IFERROR(__xludf.DUMMYFUNCTION("if(A1820="""","""",IF(G1820="""",""Myn"",IF(REGEXMATCH(lower(G1820),""mynn""),""Myn"",if(G1820&lt;&gt;"""",""GEMTRE"",""""))))"),"")</f>
        <v/>
      </c>
      <c r="L1820" s="46" t="s">
        <v>2002</v>
      </c>
    </row>
    <row r="1821">
      <c r="A1821" s="46"/>
      <c r="B1821" s="46"/>
      <c r="C1821" s="46"/>
      <c r="D1821" s="46"/>
      <c r="E1821" s="46"/>
      <c r="F1821" s="46"/>
      <c r="G1821" s="46"/>
      <c r="H1821" s="46"/>
      <c r="I1821" s="46"/>
      <c r="J1821" s="46"/>
      <c r="K1821" s="46" t="str">
        <f>IFERROR(__xludf.DUMMYFUNCTION("if(A1821="""","""",IF(G1821="""",""Myn"",IF(REGEXMATCH(lower(G1821),""mynn""),""Myn"",if(G1821&lt;&gt;"""",""GEMTRE"",""""))))"),"")</f>
        <v/>
      </c>
      <c r="L1821" s="46" t="s">
        <v>2002</v>
      </c>
    </row>
    <row r="1822">
      <c r="A1822" s="46"/>
      <c r="B1822" s="46"/>
      <c r="C1822" s="46"/>
      <c r="D1822" s="46"/>
      <c r="E1822" s="46"/>
      <c r="F1822" s="46"/>
      <c r="G1822" s="46"/>
      <c r="H1822" s="46"/>
      <c r="I1822" s="46"/>
      <c r="J1822" s="46"/>
      <c r="K1822" s="46" t="str">
        <f>IFERROR(__xludf.DUMMYFUNCTION("if(A1822="""","""",IF(G1822="""",""Myn"",IF(REGEXMATCH(lower(G1822),""mynn""),""Myn"",if(G1822&lt;&gt;"""",""GEMTRE"",""""))))"),"")</f>
        <v/>
      </c>
      <c r="L1822" s="46" t="s">
        <v>2002</v>
      </c>
    </row>
    <row r="1823">
      <c r="A1823" s="46"/>
      <c r="B1823" s="46"/>
      <c r="C1823" s="46"/>
      <c r="D1823" s="46"/>
      <c r="E1823" s="46"/>
      <c r="F1823" s="46"/>
      <c r="G1823" s="46"/>
      <c r="H1823" s="46"/>
      <c r="I1823" s="46"/>
      <c r="J1823" s="46"/>
      <c r="K1823" s="46" t="str">
        <f>IFERROR(__xludf.DUMMYFUNCTION("if(A1823="""","""",IF(G1823="""",""Myn"",IF(REGEXMATCH(lower(G1823),""mynn""),""Myn"",if(G1823&lt;&gt;"""",""GEMTRE"",""""))))"),"")</f>
        <v/>
      </c>
      <c r="L1823" s="46" t="s">
        <v>2002</v>
      </c>
    </row>
    <row r="1824">
      <c r="A1824" s="46"/>
      <c r="B1824" s="46"/>
      <c r="C1824" s="46"/>
      <c r="D1824" s="46"/>
      <c r="E1824" s="46"/>
      <c r="F1824" s="46"/>
      <c r="G1824" s="46"/>
      <c r="H1824" s="46"/>
      <c r="I1824" s="46"/>
      <c r="J1824" s="46"/>
      <c r="K1824" s="46" t="str">
        <f>IFERROR(__xludf.DUMMYFUNCTION("if(A1824="""","""",IF(G1824="""",""Myn"",IF(REGEXMATCH(lower(G1824),""mynn""),""Myn"",if(G1824&lt;&gt;"""",""GEMTRE"",""""))))"),"")</f>
        <v/>
      </c>
      <c r="L1824" s="46" t="s">
        <v>2002</v>
      </c>
    </row>
    <row r="1825">
      <c r="A1825" s="46"/>
      <c r="B1825" s="46"/>
      <c r="C1825" s="46"/>
      <c r="D1825" s="46"/>
      <c r="E1825" s="46"/>
      <c r="F1825" s="46"/>
      <c r="G1825" s="46"/>
      <c r="H1825" s="46"/>
      <c r="I1825" s="46"/>
      <c r="J1825" s="46"/>
      <c r="K1825" s="46" t="str">
        <f>IFERROR(__xludf.DUMMYFUNCTION("if(A1825="""","""",IF(G1825="""",""Myn"",IF(REGEXMATCH(lower(G1825),""mynn""),""Myn"",if(G1825&lt;&gt;"""",""GEMTRE"",""""))))"),"")</f>
        <v/>
      </c>
      <c r="L1825" s="46" t="s">
        <v>2002</v>
      </c>
    </row>
    <row r="1826">
      <c r="A1826" s="46"/>
      <c r="B1826" s="46"/>
      <c r="C1826" s="46"/>
      <c r="D1826" s="46"/>
      <c r="E1826" s="46"/>
      <c r="F1826" s="46"/>
      <c r="G1826" s="46"/>
      <c r="H1826" s="46"/>
      <c r="I1826" s="46"/>
      <c r="J1826" s="46"/>
      <c r="K1826" s="46" t="str">
        <f>IFERROR(__xludf.DUMMYFUNCTION("if(A1826="""","""",IF(G1826="""",""Myn"",IF(REGEXMATCH(lower(G1826),""mynn""),""Myn"",if(G1826&lt;&gt;"""",""GEMTRE"",""""))))"),"")</f>
        <v/>
      </c>
      <c r="L1826" s="46" t="s">
        <v>2002</v>
      </c>
    </row>
    <row r="1827">
      <c r="A1827" s="46"/>
      <c r="B1827" s="46"/>
      <c r="C1827" s="46"/>
      <c r="D1827" s="46"/>
      <c r="E1827" s="46"/>
      <c r="F1827" s="46"/>
      <c r="G1827" s="46"/>
      <c r="H1827" s="46"/>
      <c r="I1827" s="46"/>
      <c r="J1827" s="46"/>
      <c r="K1827" s="46" t="str">
        <f>IFERROR(__xludf.DUMMYFUNCTION("if(A1827="""","""",IF(G1827="""",""Myn"",IF(REGEXMATCH(lower(G1827),""mynn""),""Myn"",if(G1827&lt;&gt;"""",""GEMTRE"",""""))))"),"")</f>
        <v/>
      </c>
      <c r="L1827" s="46" t="s">
        <v>2002</v>
      </c>
    </row>
    <row r="1828">
      <c r="A1828" s="46"/>
      <c r="B1828" s="46"/>
      <c r="C1828" s="46"/>
      <c r="D1828" s="46"/>
      <c r="E1828" s="46"/>
      <c r="F1828" s="46"/>
      <c r="G1828" s="46"/>
      <c r="H1828" s="46"/>
      <c r="I1828" s="46"/>
      <c r="J1828" s="46"/>
      <c r="K1828" s="46" t="str">
        <f>IFERROR(__xludf.DUMMYFUNCTION("if(A1828="""","""",IF(G1828="""",""Myn"",IF(REGEXMATCH(lower(G1828),""mynn""),""Myn"",if(G1828&lt;&gt;"""",""GEMTRE"",""""))))"),"")</f>
        <v/>
      </c>
      <c r="L1828" s="46" t="s">
        <v>2002</v>
      </c>
    </row>
    <row r="1829">
      <c r="A1829" s="46"/>
      <c r="B1829" s="46"/>
      <c r="C1829" s="46"/>
      <c r="D1829" s="46"/>
      <c r="E1829" s="46"/>
      <c r="F1829" s="46"/>
      <c r="G1829" s="46"/>
      <c r="H1829" s="46"/>
      <c r="I1829" s="46"/>
      <c r="J1829" s="46"/>
      <c r="K1829" s="46" t="str">
        <f>IFERROR(__xludf.DUMMYFUNCTION("if(A1829="""","""",IF(G1829="""",""Myn"",IF(REGEXMATCH(lower(G1829),""mynn""),""Myn"",if(G1829&lt;&gt;"""",""GEMTRE"",""""))))"),"")</f>
        <v/>
      </c>
      <c r="L1829" s="46" t="s">
        <v>2002</v>
      </c>
    </row>
    <row r="1830">
      <c r="A1830" s="46"/>
      <c r="B1830" s="46"/>
      <c r="C1830" s="46"/>
      <c r="D1830" s="46"/>
      <c r="E1830" s="46"/>
      <c r="F1830" s="46"/>
      <c r="G1830" s="46"/>
      <c r="H1830" s="46"/>
      <c r="I1830" s="46"/>
      <c r="J1830" s="46"/>
      <c r="K1830" s="46" t="str">
        <f>IFERROR(__xludf.DUMMYFUNCTION("if(A1830="""","""",IF(G1830="""",""Myn"",IF(REGEXMATCH(lower(G1830),""mynn""),""Myn"",if(G1830&lt;&gt;"""",""GEMTRE"",""""))))"),"")</f>
        <v/>
      </c>
      <c r="L1830" s="46" t="s">
        <v>2002</v>
      </c>
    </row>
    <row r="1831">
      <c r="A1831" s="46"/>
      <c r="B1831" s="46"/>
      <c r="C1831" s="46"/>
      <c r="D1831" s="46"/>
      <c r="E1831" s="46"/>
      <c r="F1831" s="46"/>
      <c r="G1831" s="46"/>
      <c r="H1831" s="46"/>
      <c r="I1831" s="46"/>
      <c r="J1831" s="46"/>
      <c r="K1831" s="46" t="str">
        <f>IFERROR(__xludf.DUMMYFUNCTION("if(A1831="""","""",IF(G1831="""",""Myn"",IF(REGEXMATCH(lower(G1831),""mynn""),""Myn"",if(G1831&lt;&gt;"""",""GEMTRE"",""""))))"),"")</f>
        <v/>
      </c>
      <c r="L1831" s="46" t="s">
        <v>2002</v>
      </c>
    </row>
    <row r="1832">
      <c r="A1832" s="46"/>
      <c r="B1832" s="46"/>
      <c r="C1832" s="46"/>
      <c r="D1832" s="46"/>
      <c r="E1832" s="46"/>
      <c r="F1832" s="46"/>
      <c r="G1832" s="46"/>
      <c r="H1832" s="46"/>
      <c r="I1832" s="46"/>
      <c r="J1832" s="46"/>
      <c r="K1832" s="46" t="str">
        <f>IFERROR(__xludf.DUMMYFUNCTION("if(A1832="""","""",IF(G1832="""",""Myn"",IF(REGEXMATCH(lower(G1832),""mynn""),""Myn"",if(G1832&lt;&gt;"""",""GEMTRE"",""""))))"),"")</f>
        <v/>
      </c>
      <c r="L1832" s="46" t="s">
        <v>2002</v>
      </c>
    </row>
    <row r="1833">
      <c r="A1833" s="46"/>
      <c r="B1833" s="46"/>
      <c r="C1833" s="46"/>
      <c r="D1833" s="46"/>
      <c r="E1833" s="46"/>
      <c r="F1833" s="46"/>
      <c r="G1833" s="46"/>
      <c r="H1833" s="46"/>
      <c r="I1833" s="46"/>
      <c r="J1833" s="46"/>
      <c r="K1833" s="46" t="str">
        <f>IFERROR(__xludf.DUMMYFUNCTION("if(A1833="""","""",IF(G1833="""",""Myn"",IF(REGEXMATCH(lower(G1833),""mynn""),""Myn"",if(G1833&lt;&gt;"""",""GEMTRE"",""""))))"),"")</f>
        <v/>
      </c>
      <c r="L1833" s="46" t="s">
        <v>2002</v>
      </c>
    </row>
    <row r="1834">
      <c r="A1834" s="46"/>
      <c r="B1834" s="46"/>
      <c r="C1834" s="46"/>
      <c r="D1834" s="46"/>
      <c r="E1834" s="46"/>
      <c r="F1834" s="46"/>
      <c r="G1834" s="46"/>
      <c r="H1834" s="46"/>
      <c r="I1834" s="46"/>
      <c r="J1834" s="46"/>
      <c r="K1834" s="46" t="str">
        <f>IFERROR(__xludf.DUMMYFUNCTION("if(A1834="""","""",IF(G1834="""",""Myn"",IF(REGEXMATCH(lower(G1834),""mynn""),""Myn"",if(G1834&lt;&gt;"""",""GEMTRE"",""""))))"),"")</f>
        <v/>
      </c>
      <c r="L1834" s="46" t="s">
        <v>2002</v>
      </c>
    </row>
    <row r="1835">
      <c r="A1835" s="46"/>
      <c r="B1835" s="46"/>
      <c r="C1835" s="46"/>
      <c r="D1835" s="46"/>
      <c r="E1835" s="46"/>
      <c r="F1835" s="46"/>
      <c r="G1835" s="46"/>
      <c r="H1835" s="46"/>
      <c r="I1835" s="46"/>
      <c r="J1835" s="46"/>
      <c r="K1835" s="46" t="str">
        <f>IFERROR(__xludf.DUMMYFUNCTION("if(A1835="""","""",IF(G1835="""",""Myn"",IF(REGEXMATCH(lower(G1835),""mynn""),""Myn"",if(G1835&lt;&gt;"""",""GEMTRE"",""""))))"),"")</f>
        <v/>
      </c>
      <c r="L1835" s="46" t="s">
        <v>2002</v>
      </c>
    </row>
    <row r="1836">
      <c r="A1836" s="46"/>
      <c r="B1836" s="46"/>
      <c r="C1836" s="46"/>
      <c r="D1836" s="46"/>
      <c r="E1836" s="46"/>
      <c r="F1836" s="46"/>
      <c r="G1836" s="46"/>
      <c r="H1836" s="46"/>
      <c r="I1836" s="46"/>
      <c r="J1836" s="46"/>
      <c r="K1836" s="46" t="str">
        <f>IFERROR(__xludf.DUMMYFUNCTION("if(A1836="""","""",IF(G1836="""",""Myn"",IF(REGEXMATCH(lower(G1836),""mynn""),""Myn"",if(G1836&lt;&gt;"""",""GEMTRE"",""""))))"),"")</f>
        <v/>
      </c>
      <c r="L1836" s="46" t="s">
        <v>2002</v>
      </c>
    </row>
    <row r="1837">
      <c r="A1837" s="46"/>
      <c r="B1837" s="46"/>
      <c r="C1837" s="46"/>
      <c r="D1837" s="46"/>
      <c r="E1837" s="46"/>
      <c r="F1837" s="46"/>
      <c r="G1837" s="46"/>
      <c r="H1837" s="46"/>
      <c r="I1837" s="46"/>
      <c r="J1837" s="46"/>
      <c r="K1837" s="46" t="str">
        <f>IFERROR(__xludf.DUMMYFUNCTION("if(A1837="""","""",IF(G1837="""",""Myn"",IF(REGEXMATCH(lower(G1837),""mynn""),""Myn"",if(G1837&lt;&gt;"""",""GEMTRE"",""""))))"),"")</f>
        <v/>
      </c>
      <c r="L1837" s="46" t="s">
        <v>2002</v>
      </c>
    </row>
    <row r="1838">
      <c r="A1838" s="46"/>
      <c r="B1838" s="46"/>
      <c r="C1838" s="46"/>
      <c r="D1838" s="46"/>
      <c r="E1838" s="46"/>
      <c r="F1838" s="46"/>
      <c r="G1838" s="46"/>
      <c r="H1838" s="46"/>
      <c r="I1838" s="46"/>
      <c r="J1838" s="46"/>
      <c r="K1838" s="46" t="str">
        <f>IFERROR(__xludf.DUMMYFUNCTION("if(A1838="""","""",IF(G1838="""",""Myn"",IF(REGEXMATCH(lower(G1838),""mynn""),""Myn"",if(G1838&lt;&gt;"""",""GEMTRE"",""""))))"),"")</f>
        <v/>
      </c>
      <c r="L1838" s="46" t="s">
        <v>2002</v>
      </c>
    </row>
    <row r="1839">
      <c r="A1839" s="46"/>
      <c r="B1839" s="46"/>
      <c r="C1839" s="46"/>
      <c r="D1839" s="46"/>
      <c r="E1839" s="46"/>
      <c r="F1839" s="46"/>
      <c r="G1839" s="46"/>
      <c r="H1839" s="46"/>
      <c r="I1839" s="46"/>
      <c r="J1839" s="46"/>
      <c r="K1839" s="46" t="str">
        <f>IFERROR(__xludf.DUMMYFUNCTION("if(A1839="""","""",IF(G1839="""",""Myn"",IF(REGEXMATCH(lower(G1839),""mynn""),""Myn"",if(G1839&lt;&gt;"""",""GEMTRE"",""""))))"),"")</f>
        <v/>
      </c>
      <c r="L1839" s="46" t="s">
        <v>2002</v>
      </c>
    </row>
    <row r="1840">
      <c r="A1840" s="46"/>
      <c r="B1840" s="46"/>
      <c r="C1840" s="46"/>
      <c r="D1840" s="46"/>
      <c r="E1840" s="46"/>
      <c r="F1840" s="46"/>
      <c r="G1840" s="46"/>
      <c r="H1840" s="46"/>
      <c r="I1840" s="46"/>
      <c r="J1840" s="46"/>
      <c r="K1840" s="46" t="str">
        <f>IFERROR(__xludf.DUMMYFUNCTION("if(A1840="""","""",IF(G1840="""",""Myn"",IF(REGEXMATCH(lower(G1840),""mynn""),""Myn"",if(G1840&lt;&gt;"""",""GEMTRE"",""""))))"),"")</f>
        <v/>
      </c>
      <c r="L1840" s="46" t="s">
        <v>2002</v>
      </c>
    </row>
    <row r="1841">
      <c r="A1841" s="46"/>
      <c r="B1841" s="46"/>
      <c r="C1841" s="46"/>
      <c r="D1841" s="46"/>
      <c r="E1841" s="46"/>
      <c r="F1841" s="46"/>
      <c r="G1841" s="46"/>
      <c r="H1841" s="46"/>
      <c r="I1841" s="46"/>
      <c r="J1841" s="46"/>
      <c r="K1841" s="46" t="str">
        <f>IFERROR(__xludf.DUMMYFUNCTION("if(A1841="""","""",IF(G1841="""",""Myn"",IF(REGEXMATCH(lower(G1841),""mynn""),""Myn"",if(G1841&lt;&gt;"""",""GEMTRE"",""""))))"),"")</f>
        <v/>
      </c>
      <c r="L1841" s="46" t="s">
        <v>2002</v>
      </c>
    </row>
    <row r="1842">
      <c r="A1842" s="46"/>
      <c r="B1842" s="46"/>
      <c r="C1842" s="46"/>
      <c r="D1842" s="46"/>
      <c r="E1842" s="46"/>
      <c r="F1842" s="46"/>
      <c r="G1842" s="46"/>
      <c r="H1842" s="46"/>
      <c r="I1842" s="46"/>
      <c r="J1842" s="46"/>
      <c r="K1842" s="46" t="str">
        <f>IFERROR(__xludf.DUMMYFUNCTION("if(A1842="""","""",IF(G1842="""",""Myn"",IF(REGEXMATCH(lower(G1842),""mynn""),""Myn"",if(G1842&lt;&gt;"""",""GEMTRE"",""""))))"),"")</f>
        <v/>
      </c>
      <c r="L1842" s="46" t="s">
        <v>2002</v>
      </c>
    </row>
    <row r="1843">
      <c r="A1843" s="46"/>
      <c r="B1843" s="46"/>
      <c r="C1843" s="46"/>
      <c r="D1843" s="46"/>
      <c r="E1843" s="46"/>
      <c r="F1843" s="46"/>
      <c r="G1843" s="46"/>
      <c r="H1843" s="46"/>
      <c r="I1843" s="46"/>
      <c r="J1843" s="46"/>
      <c r="K1843" s="46" t="str">
        <f>IFERROR(__xludf.DUMMYFUNCTION("if(A1843="""","""",IF(G1843="""",""Myn"",IF(REGEXMATCH(lower(G1843),""mynn""),""Myn"",if(G1843&lt;&gt;"""",""GEMTRE"",""""))))"),"")</f>
        <v/>
      </c>
      <c r="L1843" s="46" t="s">
        <v>2002</v>
      </c>
    </row>
    <row r="1844">
      <c r="A1844" s="46"/>
      <c r="B1844" s="46"/>
      <c r="C1844" s="46"/>
      <c r="D1844" s="46"/>
      <c r="E1844" s="46"/>
      <c r="F1844" s="46"/>
      <c r="G1844" s="46"/>
      <c r="H1844" s="46"/>
      <c r="I1844" s="46"/>
      <c r="J1844" s="46"/>
      <c r="K1844" s="46" t="str">
        <f>IFERROR(__xludf.DUMMYFUNCTION("if(A1844="""","""",IF(G1844="""",""Myn"",IF(REGEXMATCH(lower(G1844),""mynn""),""Myn"",if(G1844&lt;&gt;"""",""GEMTRE"",""""))))"),"")</f>
        <v/>
      </c>
      <c r="L1844" s="46" t="s">
        <v>2002</v>
      </c>
    </row>
    <row r="1845">
      <c r="A1845" s="46"/>
      <c r="B1845" s="46"/>
      <c r="C1845" s="46"/>
      <c r="D1845" s="46"/>
      <c r="E1845" s="46"/>
      <c r="F1845" s="46"/>
      <c r="G1845" s="46"/>
      <c r="H1845" s="46"/>
      <c r="I1845" s="46"/>
      <c r="J1845" s="46"/>
      <c r="K1845" s="46" t="str">
        <f>IFERROR(__xludf.DUMMYFUNCTION("if(A1845="""","""",IF(G1845="""",""Myn"",IF(REGEXMATCH(lower(G1845),""mynn""),""Myn"",if(G1845&lt;&gt;"""",""GEMTRE"",""""))))"),"")</f>
        <v/>
      </c>
      <c r="L1845" s="46" t="s">
        <v>2002</v>
      </c>
    </row>
    <row r="1846">
      <c r="A1846" s="46"/>
      <c r="B1846" s="46"/>
      <c r="C1846" s="46"/>
      <c r="D1846" s="46"/>
      <c r="E1846" s="46"/>
      <c r="F1846" s="46"/>
      <c r="G1846" s="46"/>
      <c r="H1846" s="46"/>
      <c r="I1846" s="46"/>
      <c r="J1846" s="46"/>
      <c r="K1846" s="46" t="str">
        <f>IFERROR(__xludf.DUMMYFUNCTION("if(A1846="""","""",IF(G1846="""",""Myn"",IF(REGEXMATCH(lower(G1846),""mynn""),""Myn"",if(G1846&lt;&gt;"""",""GEMTRE"",""""))))"),"")</f>
        <v/>
      </c>
      <c r="L1846" s="46" t="s">
        <v>2002</v>
      </c>
    </row>
    <row r="1847">
      <c r="A1847" s="46"/>
      <c r="B1847" s="46"/>
      <c r="C1847" s="46"/>
      <c r="D1847" s="46"/>
      <c r="E1847" s="46"/>
      <c r="F1847" s="46"/>
      <c r="G1847" s="46"/>
      <c r="H1847" s="46"/>
      <c r="I1847" s="46"/>
      <c r="J1847" s="46"/>
      <c r="K1847" s="46" t="str">
        <f>IFERROR(__xludf.DUMMYFUNCTION("if(A1847="""","""",IF(G1847="""",""Myn"",IF(REGEXMATCH(lower(G1847),""mynn""),""Myn"",if(G1847&lt;&gt;"""",""GEMTRE"",""""))))"),"")</f>
        <v/>
      </c>
      <c r="L1847" s="46" t="s">
        <v>2002</v>
      </c>
    </row>
    <row r="1848">
      <c r="A1848" s="46"/>
      <c r="B1848" s="46"/>
      <c r="C1848" s="46"/>
      <c r="D1848" s="46"/>
      <c r="E1848" s="46"/>
      <c r="F1848" s="46"/>
      <c r="G1848" s="46"/>
      <c r="H1848" s="46"/>
      <c r="I1848" s="46"/>
      <c r="J1848" s="46"/>
      <c r="K1848" s="46" t="str">
        <f>IFERROR(__xludf.DUMMYFUNCTION("if(A1848="""","""",IF(G1848="""",""Myn"",IF(REGEXMATCH(lower(G1848),""mynn""),""Myn"",if(G1848&lt;&gt;"""",""GEMTRE"",""""))))"),"")</f>
        <v/>
      </c>
      <c r="L1848" s="46" t="s">
        <v>2002</v>
      </c>
    </row>
    <row r="1849">
      <c r="A1849" s="46"/>
      <c r="B1849" s="46"/>
      <c r="C1849" s="46"/>
      <c r="D1849" s="46"/>
      <c r="E1849" s="46"/>
      <c r="F1849" s="46"/>
      <c r="G1849" s="46"/>
      <c r="H1849" s="46"/>
      <c r="I1849" s="46"/>
      <c r="J1849" s="46"/>
      <c r="K1849" s="46" t="str">
        <f>IFERROR(__xludf.DUMMYFUNCTION("if(A1849="""","""",IF(G1849="""",""Myn"",IF(REGEXMATCH(lower(G1849),""mynn""),""Myn"",if(G1849&lt;&gt;"""",""GEMTRE"",""""))))"),"")</f>
        <v/>
      </c>
      <c r="L1849" s="46" t="s">
        <v>2002</v>
      </c>
    </row>
    <row r="1850">
      <c r="A1850" s="46"/>
      <c r="B1850" s="46"/>
      <c r="C1850" s="46"/>
      <c r="D1850" s="46"/>
      <c r="E1850" s="46"/>
      <c r="F1850" s="46"/>
      <c r="G1850" s="46"/>
      <c r="H1850" s="46"/>
      <c r="I1850" s="46"/>
      <c r="J1850" s="46"/>
      <c r="K1850" s="46" t="str">
        <f>IFERROR(__xludf.DUMMYFUNCTION("if(A1850="""","""",IF(G1850="""",""Myn"",IF(REGEXMATCH(lower(G1850),""mynn""),""Myn"",if(G1850&lt;&gt;"""",""GEMTRE"",""""))))"),"")</f>
        <v/>
      </c>
      <c r="L1850" s="46" t="s">
        <v>2002</v>
      </c>
    </row>
    <row r="1851">
      <c r="A1851" s="46"/>
      <c r="B1851" s="46"/>
      <c r="C1851" s="46"/>
      <c r="D1851" s="46"/>
      <c r="E1851" s="46"/>
      <c r="F1851" s="46"/>
      <c r="G1851" s="46"/>
      <c r="H1851" s="46"/>
      <c r="I1851" s="46"/>
      <c r="J1851" s="46"/>
      <c r="K1851" s="46" t="str">
        <f>IFERROR(__xludf.DUMMYFUNCTION("if(A1851="""","""",IF(G1851="""",""Myn"",IF(REGEXMATCH(lower(G1851),""mynn""),""Myn"",if(G1851&lt;&gt;"""",""GEMTRE"",""""))))"),"")</f>
        <v/>
      </c>
      <c r="L1851" s="46" t="s">
        <v>2002</v>
      </c>
    </row>
    <row r="1852">
      <c r="A1852" s="46"/>
      <c r="B1852" s="46"/>
      <c r="C1852" s="46"/>
      <c r="D1852" s="46"/>
      <c r="E1852" s="46"/>
      <c r="F1852" s="46"/>
      <c r="G1852" s="46"/>
      <c r="H1852" s="46"/>
      <c r="I1852" s="46"/>
      <c r="J1852" s="46"/>
      <c r="K1852" s="46" t="str">
        <f>IFERROR(__xludf.DUMMYFUNCTION("if(A1852="""","""",IF(G1852="""",""Myn"",IF(REGEXMATCH(lower(G1852),""mynn""),""Myn"",if(G1852&lt;&gt;"""",""GEMTRE"",""""))))"),"")</f>
        <v/>
      </c>
      <c r="L1852" s="46" t="s">
        <v>2002</v>
      </c>
    </row>
    <row r="1853">
      <c r="A1853" s="46"/>
      <c r="B1853" s="46"/>
      <c r="C1853" s="46"/>
      <c r="D1853" s="46"/>
      <c r="E1853" s="46"/>
      <c r="F1853" s="46"/>
      <c r="G1853" s="46"/>
      <c r="H1853" s="46"/>
      <c r="I1853" s="46"/>
      <c r="J1853" s="46"/>
      <c r="K1853" s="46" t="str">
        <f>IFERROR(__xludf.DUMMYFUNCTION("if(A1853="""","""",IF(G1853="""",""Myn"",IF(REGEXMATCH(lower(G1853),""mynn""),""Myn"",if(G1853&lt;&gt;"""",""GEMTRE"",""""))))"),"")</f>
        <v/>
      </c>
      <c r="L1853" s="46" t="s">
        <v>2002</v>
      </c>
    </row>
    <row r="1854">
      <c r="A1854" s="46"/>
      <c r="B1854" s="46"/>
      <c r="C1854" s="46"/>
      <c r="D1854" s="46"/>
      <c r="E1854" s="46"/>
      <c r="F1854" s="46"/>
      <c r="G1854" s="46"/>
      <c r="H1854" s="46"/>
      <c r="I1854" s="46"/>
      <c r="J1854" s="46"/>
      <c r="K1854" s="46" t="str">
        <f>IFERROR(__xludf.DUMMYFUNCTION("if(A1854="""","""",IF(G1854="""",""Myn"",IF(REGEXMATCH(lower(G1854),""mynn""),""Myn"",if(G1854&lt;&gt;"""",""GEMTRE"",""""))))"),"")</f>
        <v/>
      </c>
      <c r="L1854" s="46" t="s">
        <v>2002</v>
      </c>
    </row>
    <row r="1855">
      <c r="A1855" s="46"/>
      <c r="B1855" s="46"/>
      <c r="C1855" s="46"/>
      <c r="D1855" s="46"/>
      <c r="E1855" s="46"/>
      <c r="F1855" s="46"/>
      <c r="G1855" s="46"/>
      <c r="H1855" s="46"/>
      <c r="I1855" s="46"/>
      <c r="J1855" s="46"/>
      <c r="K1855" s="46" t="str">
        <f>IFERROR(__xludf.DUMMYFUNCTION("if(A1855="""","""",IF(G1855="""",""Myn"",IF(REGEXMATCH(lower(G1855),""mynn""),""Myn"",if(G1855&lt;&gt;"""",""GEMTRE"",""""))))"),"")</f>
        <v/>
      </c>
      <c r="L1855" s="46" t="s">
        <v>2002</v>
      </c>
    </row>
    <row r="1856">
      <c r="A1856" s="46"/>
      <c r="B1856" s="46"/>
      <c r="C1856" s="46"/>
      <c r="D1856" s="46"/>
      <c r="E1856" s="46"/>
      <c r="F1856" s="46"/>
      <c r="G1856" s="46"/>
      <c r="H1856" s="46"/>
      <c r="I1856" s="46"/>
      <c r="J1856" s="46"/>
      <c r="K1856" s="46" t="str">
        <f>IFERROR(__xludf.DUMMYFUNCTION("if(A1856="""","""",IF(G1856="""",""Myn"",IF(REGEXMATCH(lower(G1856),""mynn""),""Myn"",if(G1856&lt;&gt;"""",""GEMTRE"",""""))))"),"")</f>
        <v/>
      </c>
      <c r="L1856" s="46" t="s">
        <v>2002</v>
      </c>
    </row>
    <row r="1857">
      <c r="A1857" s="46"/>
      <c r="B1857" s="46"/>
      <c r="C1857" s="46"/>
      <c r="D1857" s="46"/>
      <c r="E1857" s="46"/>
      <c r="F1857" s="46"/>
      <c r="G1857" s="46"/>
      <c r="H1857" s="46"/>
      <c r="I1857" s="46"/>
      <c r="J1857" s="46"/>
      <c r="K1857" s="46" t="str">
        <f>IFERROR(__xludf.DUMMYFUNCTION("if(A1857="""","""",IF(G1857="""",""Myn"",IF(REGEXMATCH(lower(G1857),""mynn""),""Myn"",if(G1857&lt;&gt;"""",""GEMTRE"",""""))))"),"")</f>
        <v/>
      </c>
      <c r="L1857" s="46" t="s">
        <v>2002</v>
      </c>
    </row>
    <row r="1858">
      <c r="A1858" s="46"/>
      <c r="B1858" s="46"/>
      <c r="C1858" s="46"/>
      <c r="D1858" s="46"/>
      <c r="E1858" s="46"/>
      <c r="F1858" s="46"/>
      <c r="G1858" s="46"/>
      <c r="H1858" s="46"/>
      <c r="I1858" s="46"/>
      <c r="J1858" s="46"/>
      <c r="K1858" s="46" t="str">
        <f>IFERROR(__xludf.DUMMYFUNCTION("if(A1858="""","""",IF(G1858="""",""Myn"",IF(REGEXMATCH(lower(G1858),""mynn""),""Myn"",if(G1858&lt;&gt;"""",""GEMTRE"",""""))))"),"")</f>
        <v/>
      </c>
      <c r="L1858" s="46" t="s">
        <v>2002</v>
      </c>
    </row>
    <row r="1859">
      <c r="A1859" s="46"/>
      <c r="B1859" s="46"/>
      <c r="C1859" s="46"/>
      <c r="D1859" s="46"/>
      <c r="E1859" s="46"/>
      <c r="F1859" s="46"/>
      <c r="G1859" s="46"/>
      <c r="H1859" s="46"/>
      <c r="I1859" s="46"/>
      <c r="J1859" s="46"/>
      <c r="K1859" s="46" t="str">
        <f>IFERROR(__xludf.DUMMYFUNCTION("if(A1859="""","""",IF(G1859="""",""Myn"",IF(REGEXMATCH(lower(G1859),""mynn""),""Myn"",if(G1859&lt;&gt;"""",""GEMTRE"",""""))))"),"")</f>
        <v/>
      </c>
      <c r="L1859" s="46" t="s">
        <v>2002</v>
      </c>
    </row>
    <row r="1860">
      <c r="K1860" s="46" t="str">
        <f>IFERROR(__xludf.DUMMYFUNCTION("if(A1860="""","""",IF(G1860="""",""Myn"",IF(REGEXMATCH(lower(G1860),""mynn""),""Myn"",if(G1860&lt;&gt;"""",""GEMTRE"",""""))))"),"")</f>
        <v/>
      </c>
      <c r="L1860" s="46" t="s">
        <v>2002</v>
      </c>
    </row>
    <row r="1861">
      <c r="K1861" s="46" t="str">
        <f>IFERROR(__xludf.DUMMYFUNCTION("if(A1861="""","""",IF(G1861="""",""Myn"",IF(REGEXMATCH(lower(G1861),""mynn""),""Myn"",if(G1861&lt;&gt;"""",""GEMTRE"",""""))))"),"")</f>
        <v/>
      </c>
      <c r="L1861" s="46" t="s">
        <v>2002</v>
      </c>
    </row>
    <row r="1862">
      <c r="K1862" s="46" t="str">
        <f>IFERROR(__xludf.DUMMYFUNCTION("if(A1862="""","""",IF(G1862="""",""Myn"",IF(REGEXMATCH(lower(G1862),""mynn""),""Myn"",if(G1862&lt;&gt;"""",""GEMTRE"",""""))))"),"")</f>
        <v/>
      </c>
      <c r="L1862" s="46" t="s">
        <v>2002</v>
      </c>
    </row>
    <row r="1863">
      <c r="K1863" s="46" t="str">
        <f>IFERROR(__xludf.DUMMYFUNCTION("if(A1863="""","""",IF(G1863="""",""Myn"",IF(REGEXMATCH(lower(G1863),""mynn""),""Myn"",if(G1863&lt;&gt;"""",""GEMTRE"",""""))))"),"")</f>
        <v/>
      </c>
      <c r="L1863" s="46" t="s">
        <v>2002</v>
      </c>
    </row>
    <row r="1864">
      <c r="K1864" s="46" t="str">
        <f>IFERROR(__xludf.DUMMYFUNCTION("if(A1864="""","""",IF(G1864="""",""Myn"",IF(REGEXMATCH(lower(G1864),""mynn""),""Myn"",if(G1864&lt;&gt;"""",""GEMTRE"",""""))))"),"")</f>
        <v/>
      </c>
      <c r="L1864" s="46" t="s">
        <v>2002</v>
      </c>
    </row>
    <row r="1865">
      <c r="K1865" s="46" t="str">
        <f>IFERROR(__xludf.DUMMYFUNCTION("if(A1865="""","""",IF(G1865="""",""Myn"",IF(REGEXMATCH(lower(G1865),""mynn""),""Myn"",if(G1865&lt;&gt;"""",""GEMTRE"",""""))))"),"")</f>
        <v/>
      </c>
      <c r="L1865" s="46" t="s">
        <v>2002</v>
      </c>
    </row>
  </sheetData>
  <hyperlinks>
    <hyperlink r:id="rId1" ref="F17"/>
    <hyperlink r:id="rId2" ref="F27"/>
    <hyperlink r:id="rId3" ref="F44"/>
    <hyperlink r:id="rId4" ref="F45"/>
    <hyperlink r:id="rId5" ref="E67"/>
    <hyperlink r:id="rId6" ref="F92"/>
    <hyperlink r:id="rId7" ref="D116"/>
    <hyperlink r:id="rId8" ref="F116"/>
    <hyperlink r:id="rId9" ref="F135"/>
    <hyperlink r:id="rId10" ref="F139"/>
    <hyperlink r:id="rId11" ref="F141"/>
    <hyperlink r:id="rId12" ref="F142"/>
    <hyperlink r:id="rId13" ref="F143"/>
    <hyperlink r:id="rId14" ref="F148"/>
    <hyperlink r:id="rId15" ref="F151"/>
    <hyperlink r:id="rId16" ref="F153"/>
    <hyperlink r:id="rId17" ref="F203"/>
    <hyperlink r:id="rId18" ref="F205"/>
    <hyperlink r:id="rId19" ref="F207"/>
    <hyperlink r:id="rId20" ref="F235"/>
    <hyperlink r:id="rId21" ref="F270"/>
    <hyperlink r:id="rId22" ref="F272"/>
    <hyperlink r:id="rId23" ref="D274"/>
    <hyperlink r:id="rId24" ref="F288"/>
    <hyperlink r:id="rId25" ref="F347"/>
    <hyperlink r:id="rId26" ref="F353"/>
    <hyperlink r:id="rId27" ref="F500"/>
    <hyperlink r:id="rId28" ref="F522"/>
    <hyperlink r:id="rId29" ref="F580"/>
    <hyperlink r:id="rId30" ref="F636"/>
    <hyperlink r:id="rId31" ref="F703"/>
    <hyperlink r:id="rId32" ref="F739"/>
    <hyperlink r:id="rId33" ref="F889"/>
    <hyperlink r:id="rId34" ref="F1057"/>
    <hyperlink r:id="rId35" ref="F1247"/>
    <hyperlink r:id="rId36" ref="F1259"/>
    <hyperlink r:id="rId37" ref="F1321"/>
    <hyperlink r:id="rId38" ref="F1325"/>
    <hyperlink r:id="rId39" ref="F1451"/>
    <hyperlink r:id="rId40" ref="F1752"/>
    <hyperlink r:id="rId41" ref="F1753"/>
  </hyperlinks>
  <drawing r:id="rId4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13"/>
    <col customWidth="1" min="3" max="3" width="38.5"/>
    <col customWidth="1" min="4" max="4" width="28.5"/>
    <col customWidth="1" min="5" max="5" width="51.88"/>
    <col customWidth="1" min="6" max="7" width="71.38"/>
    <col customWidth="1" hidden="1" min="8" max="8" width="32.88"/>
    <col hidden="1" min="9" max="29" width="12.63"/>
  </cols>
  <sheetData>
    <row r="1">
      <c r="A1" s="50" t="s">
        <v>2003</v>
      </c>
      <c r="B1" s="50" t="s">
        <v>2004</v>
      </c>
      <c r="C1" s="51" t="s">
        <v>2005</v>
      </c>
      <c r="D1" s="52" t="s">
        <v>2006</v>
      </c>
      <c r="E1" s="53" t="s">
        <v>2007</v>
      </c>
      <c r="F1" s="53"/>
      <c r="G1" s="53"/>
      <c r="H1" s="5" t="s">
        <v>2008</v>
      </c>
      <c r="I1" s="5" t="s">
        <v>2009</v>
      </c>
    </row>
    <row r="2">
      <c r="A2" s="54">
        <v>1.0</v>
      </c>
      <c r="B2" s="54">
        <v>0.0</v>
      </c>
      <c r="C2" s="55" t="s">
        <v>2010</v>
      </c>
      <c r="D2" s="56"/>
      <c r="I2" s="5" t="s">
        <v>2011</v>
      </c>
      <c r="J2" s="5" t="s">
        <v>2012</v>
      </c>
    </row>
    <row r="3">
      <c r="A3" s="54">
        <v>2.0</v>
      </c>
      <c r="B3" s="54">
        <v>3.0</v>
      </c>
      <c r="C3" s="57" t="s">
        <v>2013</v>
      </c>
      <c r="D3" s="56"/>
      <c r="E3" s="58"/>
      <c r="F3" s="5"/>
      <c r="G3" s="5"/>
      <c r="I3" s="5" t="s">
        <v>2014</v>
      </c>
      <c r="J3" s="5" t="s">
        <v>2012</v>
      </c>
    </row>
    <row r="4">
      <c r="A4" s="59">
        <v>3.0</v>
      </c>
      <c r="B4" s="59">
        <v>5.0</v>
      </c>
      <c r="C4" s="60" t="s">
        <v>2015</v>
      </c>
      <c r="D4" s="56"/>
      <c r="E4" s="61" t="s">
        <v>2016</v>
      </c>
      <c r="F4" s="5"/>
      <c r="G4" s="5"/>
    </row>
    <row r="5">
      <c r="A5" s="59">
        <v>4.0</v>
      </c>
      <c r="B5" s="59">
        <v>7.0</v>
      </c>
      <c r="C5" s="60" t="s">
        <v>2017</v>
      </c>
      <c r="D5" s="56"/>
      <c r="F5" s="5"/>
      <c r="G5" s="5"/>
    </row>
    <row r="6">
      <c r="A6" s="62">
        <v>5.0</v>
      </c>
      <c r="B6" s="62">
        <v>10.0</v>
      </c>
      <c r="C6" s="60" t="s">
        <v>2018</v>
      </c>
      <c r="F6" s="5"/>
      <c r="G6" s="5"/>
    </row>
    <row r="7">
      <c r="A7" s="62">
        <v>6.0</v>
      </c>
      <c r="B7" s="62">
        <v>21.0</v>
      </c>
      <c r="C7" s="60" t="s">
        <v>2019</v>
      </c>
      <c r="D7" s="56"/>
      <c r="F7" s="5"/>
      <c r="G7" s="5"/>
    </row>
    <row r="8">
      <c r="A8" s="62"/>
      <c r="B8" s="62"/>
      <c r="C8" s="63"/>
      <c r="D8" s="56"/>
      <c r="F8" s="5"/>
      <c r="G8" s="5"/>
    </row>
    <row r="9">
      <c r="A9" s="62"/>
      <c r="B9" s="62"/>
      <c r="C9" s="64"/>
      <c r="D9" s="56"/>
      <c r="F9" s="5"/>
      <c r="G9" s="5"/>
    </row>
    <row r="10">
      <c r="A10" s="62"/>
      <c r="B10" s="62"/>
      <c r="C10" s="64"/>
      <c r="D10" s="56"/>
      <c r="F10" s="5"/>
      <c r="G10" s="5"/>
    </row>
    <row r="11">
      <c r="A11" s="62"/>
      <c r="B11" s="62"/>
      <c r="C11" s="64"/>
      <c r="D11" s="56"/>
      <c r="F11" s="5"/>
      <c r="G11" s="5"/>
    </row>
    <row r="12">
      <c r="A12" s="62"/>
      <c r="B12" s="62"/>
      <c r="C12" s="64"/>
      <c r="D12" s="56"/>
      <c r="F12" s="5"/>
      <c r="G12" s="5"/>
    </row>
    <row r="13">
      <c r="A13" s="62"/>
      <c r="B13" s="62"/>
      <c r="C13" s="64"/>
      <c r="D13" s="56"/>
      <c r="F13" s="5"/>
      <c r="G13" s="5"/>
    </row>
    <row r="14">
      <c r="A14" s="62"/>
      <c r="B14" s="62"/>
      <c r="C14" s="64"/>
      <c r="D14" s="56"/>
      <c r="F14" s="5"/>
      <c r="G14" s="5"/>
    </row>
    <row r="15">
      <c r="A15" s="62"/>
      <c r="B15" s="62"/>
      <c r="C15" s="64"/>
      <c r="D15" s="56"/>
      <c r="F15" s="5"/>
      <c r="G15" s="5"/>
    </row>
    <row r="16">
      <c r="A16" s="62"/>
      <c r="B16" s="62"/>
      <c r="C16" s="64"/>
      <c r="D16" s="56"/>
      <c r="F16" s="5"/>
      <c r="G16" s="5"/>
    </row>
    <row r="17">
      <c r="A17" s="62"/>
      <c r="B17" s="62"/>
      <c r="C17" s="64"/>
      <c r="D17" s="56"/>
      <c r="F17" s="5"/>
      <c r="G17" s="5"/>
    </row>
    <row r="18">
      <c r="A18" s="62"/>
      <c r="B18" s="62"/>
      <c r="C18" s="64"/>
      <c r="D18" s="56"/>
      <c r="F18" s="5"/>
      <c r="G18" s="5"/>
    </row>
    <row r="19">
      <c r="A19" s="62"/>
      <c r="B19" s="62"/>
      <c r="C19" s="64"/>
      <c r="D19" s="56"/>
      <c r="F19" s="5"/>
      <c r="G19" s="5"/>
    </row>
    <row r="20">
      <c r="A20" s="62"/>
      <c r="B20" s="62"/>
      <c r="C20" s="64"/>
      <c r="D20" s="56"/>
      <c r="F20" s="5"/>
      <c r="G20" s="5"/>
    </row>
    <row r="21">
      <c r="A21" s="62"/>
      <c r="B21" s="62"/>
      <c r="C21" s="64"/>
      <c r="D21" s="56"/>
      <c r="F21" s="5"/>
      <c r="G21" s="5"/>
    </row>
    <row r="22">
      <c r="A22" s="62"/>
      <c r="B22" s="62"/>
      <c r="C22" s="64"/>
      <c r="D22" s="56"/>
      <c r="F22" s="5"/>
      <c r="G22" s="5"/>
    </row>
    <row r="23">
      <c r="A23" s="62"/>
      <c r="B23" s="62"/>
      <c r="C23" s="64"/>
      <c r="D23" s="56"/>
      <c r="F23" s="5"/>
      <c r="G23" s="5"/>
    </row>
    <row r="24">
      <c r="A24" s="62"/>
      <c r="B24" s="62"/>
      <c r="C24" s="64"/>
      <c r="D24" s="56"/>
      <c r="F24" s="5"/>
      <c r="G24" s="5"/>
    </row>
    <row r="25">
      <c r="A25" s="62"/>
      <c r="B25" s="62"/>
      <c r="C25" s="65"/>
      <c r="D25" s="56"/>
      <c r="F25" s="5"/>
      <c r="G25" s="5"/>
    </row>
    <row r="26">
      <c r="A26" s="62"/>
      <c r="B26" s="62"/>
      <c r="C26" s="65"/>
      <c r="D26" s="56"/>
      <c r="F26" s="5"/>
      <c r="G26" s="5"/>
    </row>
    <row r="27">
      <c r="A27" s="62"/>
      <c r="B27" s="62"/>
      <c r="C27" s="65"/>
      <c r="D27" s="56"/>
      <c r="F27" s="5"/>
      <c r="G27" s="5"/>
    </row>
    <row r="28">
      <c r="A28" s="62"/>
      <c r="B28" s="62"/>
      <c r="C28" s="65"/>
      <c r="D28" s="56"/>
      <c r="F28" s="5"/>
      <c r="G28" s="5"/>
    </row>
    <row r="29">
      <c r="A29" s="62"/>
      <c r="B29" s="62"/>
      <c r="C29" s="65"/>
      <c r="D29" s="56"/>
      <c r="F29" s="5"/>
      <c r="G29" s="5"/>
    </row>
    <row r="30">
      <c r="A30" s="62"/>
      <c r="B30" s="62"/>
      <c r="C30" s="65"/>
      <c r="D30" s="56"/>
      <c r="F30" s="5"/>
      <c r="G30" s="5"/>
    </row>
    <row r="31">
      <c r="A31" s="62"/>
      <c r="B31" s="62"/>
      <c r="C31" s="65"/>
      <c r="D31" s="56"/>
      <c r="F31" s="5"/>
      <c r="G31" s="5"/>
    </row>
    <row r="32">
      <c r="A32" s="62"/>
      <c r="B32" s="62"/>
      <c r="C32" s="65"/>
      <c r="D32" s="56"/>
      <c r="F32" s="5"/>
      <c r="G32" s="5"/>
    </row>
    <row r="33">
      <c r="A33" s="62"/>
      <c r="B33" s="62"/>
      <c r="C33" s="65"/>
      <c r="D33" s="56"/>
      <c r="F33" s="5"/>
      <c r="G33" s="5"/>
    </row>
    <row r="34">
      <c r="A34" s="62"/>
      <c r="B34" s="62"/>
      <c r="C34" s="65"/>
      <c r="D34" s="56"/>
      <c r="F34" s="5"/>
      <c r="G34" s="5"/>
    </row>
    <row r="35">
      <c r="A35" s="62"/>
      <c r="B35" s="62"/>
      <c r="C35" s="65"/>
      <c r="D35" s="56"/>
      <c r="F35" s="5"/>
      <c r="G35" s="5"/>
    </row>
    <row r="36">
      <c r="A36" s="62"/>
      <c r="B36" s="62"/>
      <c r="C36" s="65"/>
      <c r="D36" s="56"/>
      <c r="F36" s="5"/>
      <c r="G36" s="5"/>
    </row>
    <row r="37">
      <c r="A37" s="62"/>
      <c r="B37" s="62"/>
      <c r="C37" s="65"/>
      <c r="D37" s="56"/>
      <c r="F37" s="5"/>
      <c r="G37" s="5"/>
    </row>
    <row r="38">
      <c r="A38" s="62"/>
      <c r="B38" s="62"/>
      <c r="C38" s="65"/>
      <c r="D38" s="56"/>
      <c r="F38" s="5"/>
      <c r="G38" s="5"/>
    </row>
    <row r="39">
      <c r="A39" s="62"/>
      <c r="B39" s="62"/>
      <c r="C39" s="65"/>
      <c r="D39" s="56"/>
      <c r="F39" s="5"/>
      <c r="G39" s="5"/>
    </row>
    <row r="40">
      <c r="A40" s="62"/>
      <c r="B40" s="62"/>
      <c r="C40" s="65"/>
      <c r="D40" s="56"/>
      <c r="F40" s="5"/>
      <c r="G40" s="5"/>
    </row>
    <row r="41">
      <c r="A41" s="62"/>
      <c r="B41" s="62"/>
      <c r="C41" s="65"/>
      <c r="D41" s="56"/>
      <c r="F41" s="5"/>
      <c r="G41" s="5"/>
    </row>
    <row r="42">
      <c r="A42" s="62"/>
      <c r="B42" s="62"/>
      <c r="C42" s="65"/>
      <c r="D42" s="56"/>
      <c r="F42" s="5"/>
      <c r="G42" s="5"/>
    </row>
    <row r="43">
      <c r="A43" s="62"/>
      <c r="B43" s="62"/>
      <c r="C43" s="65"/>
      <c r="D43" s="56"/>
      <c r="F43" s="5"/>
      <c r="G43" s="5"/>
    </row>
    <row r="44">
      <c r="A44" s="62"/>
      <c r="B44" s="62"/>
      <c r="C44" s="65"/>
      <c r="D44" s="56"/>
      <c r="F44" s="5"/>
      <c r="G44" s="5"/>
    </row>
    <row r="45">
      <c r="A45" s="62"/>
      <c r="B45" s="62"/>
      <c r="C45" s="65"/>
      <c r="D45" s="56"/>
      <c r="F45" s="5"/>
      <c r="G45" s="5"/>
    </row>
    <row r="46">
      <c r="A46" s="62"/>
      <c r="B46" s="62"/>
      <c r="C46" s="65"/>
      <c r="D46" s="56"/>
      <c r="F46" s="5"/>
      <c r="G46" s="5"/>
    </row>
    <row r="47">
      <c r="A47" s="62"/>
      <c r="B47" s="62"/>
      <c r="C47" s="65"/>
      <c r="D47" s="56"/>
      <c r="F47" s="5"/>
      <c r="G47" s="5"/>
    </row>
    <row r="48">
      <c r="A48" s="62"/>
      <c r="B48" s="62"/>
      <c r="C48" s="65"/>
      <c r="D48" s="56"/>
      <c r="F48" s="5"/>
      <c r="G48" s="5"/>
    </row>
    <row r="49">
      <c r="A49" s="62"/>
      <c r="B49" s="62"/>
      <c r="C49" s="65"/>
      <c r="D49" s="56"/>
      <c r="F49" s="5"/>
      <c r="G49" s="5"/>
    </row>
    <row r="50">
      <c r="A50" s="62"/>
      <c r="B50" s="62"/>
      <c r="C50" s="65"/>
      <c r="D50" s="56"/>
      <c r="F50" s="5"/>
      <c r="G50" s="5"/>
    </row>
    <row r="51">
      <c r="A51" s="62"/>
      <c r="B51" s="62"/>
      <c r="C51" s="66"/>
      <c r="D51" s="56"/>
    </row>
    <row r="52">
      <c r="A52" s="62"/>
      <c r="B52" s="62"/>
      <c r="C52" s="66"/>
      <c r="D52" s="56"/>
    </row>
    <row r="53">
      <c r="A53" s="62"/>
      <c r="B53" s="62"/>
      <c r="C53" s="66"/>
      <c r="D53" s="56"/>
    </row>
    <row r="54">
      <c r="A54" s="62"/>
      <c r="B54" s="62"/>
      <c r="C54" s="66"/>
      <c r="D54" s="56"/>
    </row>
    <row r="55">
      <c r="A55" s="62"/>
      <c r="B55" s="62"/>
      <c r="C55" s="66"/>
      <c r="D55" s="56"/>
    </row>
    <row r="56">
      <c r="A56" s="62"/>
      <c r="B56" s="62"/>
      <c r="C56" s="66"/>
      <c r="D56" s="56"/>
    </row>
    <row r="57">
      <c r="A57" s="62"/>
      <c r="B57" s="62"/>
      <c r="C57" s="66"/>
      <c r="D57" s="56"/>
    </row>
    <row r="58">
      <c r="A58" s="62"/>
      <c r="B58" s="62"/>
      <c r="C58" s="66"/>
      <c r="D58" s="56"/>
    </row>
    <row r="59">
      <c r="A59" s="62"/>
      <c r="B59" s="62"/>
      <c r="C59" s="66"/>
      <c r="D59" s="56"/>
    </row>
    <row r="60">
      <c r="A60" s="62"/>
      <c r="B60" s="62"/>
      <c r="C60" s="66"/>
      <c r="D60" s="56"/>
    </row>
    <row r="61">
      <c r="A61" s="62"/>
      <c r="B61" s="62"/>
      <c r="C61" s="66"/>
      <c r="D61" s="56"/>
    </row>
    <row r="62">
      <c r="A62" s="62"/>
      <c r="B62" s="62"/>
      <c r="C62" s="66"/>
      <c r="D62" s="56"/>
    </row>
    <row r="63">
      <c r="A63" s="62"/>
      <c r="B63" s="62"/>
      <c r="C63" s="66"/>
      <c r="D63" s="56"/>
    </row>
    <row r="64">
      <c r="A64" s="62"/>
      <c r="B64" s="62"/>
      <c r="C64" s="66"/>
      <c r="D64" s="56"/>
    </row>
    <row r="65">
      <c r="A65" s="62"/>
      <c r="B65" s="62"/>
      <c r="C65" s="66"/>
      <c r="D65" s="56"/>
    </row>
    <row r="66">
      <c r="A66" s="62"/>
      <c r="B66" s="62"/>
      <c r="C66" s="66"/>
      <c r="D66" s="56"/>
    </row>
    <row r="67">
      <c r="A67" s="62"/>
      <c r="B67" s="62"/>
      <c r="C67" s="66"/>
      <c r="D67" s="56"/>
    </row>
    <row r="68">
      <c r="A68" s="62"/>
      <c r="B68" s="62"/>
      <c r="C68" s="66"/>
      <c r="D68" s="56"/>
    </row>
    <row r="69">
      <c r="A69" s="62"/>
      <c r="B69" s="62"/>
      <c r="C69" s="66"/>
      <c r="D69" s="56"/>
    </row>
    <row r="70">
      <c r="A70" s="62"/>
      <c r="B70" s="62"/>
      <c r="C70" s="66"/>
      <c r="D70" s="56"/>
    </row>
    <row r="71">
      <c r="A71" s="62"/>
      <c r="B71" s="62"/>
      <c r="C71" s="66"/>
      <c r="D71" s="56"/>
    </row>
    <row r="72">
      <c r="A72" s="62"/>
      <c r="B72" s="62"/>
      <c r="C72" s="66"/>
      <c r="D72" s="56"/>
    </row>
    <row r="73">
      <c r="A73" s="62"/>
      <c r="B73" s="62"/>
      <c r="C73" s="66"/>
      <c r="D73" s="56"/>
    </row>
    <row r="74">
      <c r="A74" s="62"/>
      <c r="B74" s="62"/>
      <c r="C74" s="66"/>
      <c r="D74" s="56"/>
    </row>
    <row r="75">
      <c r="A75" s="62"/>
      <c r="B75" s="62"/>
      <c r="C75" s="66"/>
      <c r="D75" s="56"/>
    </row>
    <row r="76">
      <c r="A76" s="62"/>
      <c r="B76" s="62"/>
      <c r="C76" s="66"/>
      <c r="D76" s="56"/>
    </row>
    <row r="77">
      <c r="A77" s="62"/>
      <c r="B77" s="62"/>
      <c r="C77" s="66"/>
      <c r="D77" s="56"/>
    </row>
    <row r="78">
      <c r="A78" s="62"/>
      <c r="B78" s="62"/>
      <c r="C78" s="66"/>
      <c r="D78" s="56"/>
    </row>
    <row r="79">
      <c r="A79" s="62"/>
      <c r="B79" s="62"/>
      <c r="C79" s="66"/>
      <c r="D79" s="56"/>
    </row>
    <row r="80">
      <c r="A80" s="62"/>
      <c r="B80" s="62"/>
      <c r="C80" s="66"/>
      <c r="D80" s="56"/>
    </row>
    <row r="81">
      <c r="A81" s="62"/>
      <c r="B81" s="62"/>
      <c r="C81" s="66"/>
      <c r="D81" s="56"/>
    </row>
    <row r="82">
      <c r="A82" s="62"/>
      <c r="B82" s="62"/>
      <c r="C82" s="66"/>
      <c r="D82" s="56"/>
    </row>
    <row r="83">
      <c r="A83" s="62"/>
      <c r="B83" s="62"/>
      <c r="C83" s="66"/>
      <c r="D83" s="56"/>
    </row>
    <row r="84">
      <c r="A84" s="62"/>
      <c r="B84" s="62"/>
      <c r="C84" s="66"/>
      <c r="D84" s="56"/>
    </row>
    <row r="85">
      <c r="A85" s="62"/>
      <c r="B85" s="62"/>
      <c r="C85" s="66"/>
      <c r="D85" s="56"/>
    </row>
    <row r="86">
      <c r="A86" s="62"/>
      <c r="B86" s="62"/>
      <c r="C86" s="66"/>
      <c r="D86" s="56"/>
    </row>
    <row r="87">
      <c r="A87" s="62"/>
      <c r="B87" s="62"/>
      <c r="C87" s="66"/>
      <c r="D87" s="56"/>
    </row>
    <row r="88">
      <c r="A88" s="62"/>
      <c r="B88" s="62"/>
      <c r="C88" s="66"/>
      <c r="D88" s="56"/>
    </row>
    <row r="89">
      <c r="A89" s="62"/>
      <c r="B89" s="62"/>
      <c r="C89" s="66"/>
      <c r="D89" s="56"/>
    </row>
    <row r="90">
      <c r="A90" s="62"/>
      <c r="B90" s="62"/>
      <c r="C90" s="66"/>
      <c r="D90" s="56"/>
    </row>
    <row r="91">
      <c r="A91" s="62"/>
      <c r="B91" s="62"/>
      <c r="C91" s="66"/>
      <c r="D91" s="56"/>
    </row>
    <row r="92">
      <c r="A92" s="62"/>
      <c r="B92" s="62"/>
      <c r="C92" s="66"/>
      <c r="D92" s="56"/>
    </row>
    <row r="93">
      <c r="A93" s="62"/>
      <c r="B93" s="62"/>
      <c r="C93" s="66"/>
      <c r="D93" s="56"/>
    </row>
    <row r="94">
      <c r="A94" s="62"/>
      <c r="B94" s="62"/>
      <c r="C94" s="66"/>
      <c r="D94" s="56"/>
    </row>
    <row r="95">
      <c r="A95" s="62"/>
      <c r="B95" s="62"/>
      <c r="C95" s="66"/>
      <c r="D95" s="56"/>
    </row>
    <row r="96">
      <c r="A96" s="62"/>
      <c r="B96" s="62"/>
      <c r="C96" s="66"/>
      <c r="D96" s="56"/>
    </row>
    <row r="97">
      <c r="A97" s="62"/>
      <c r="B97" s="62"/>
      <c r="C97" s="66"/>
      <c r="D97" s="56"/>
    </row>
    <row r="98">
      <c r="A98" s="62"/>
      <c r="B98" s="62"/>
      <c r="C98" s="66"/>
      <c r="D98" s="56"/>
    </row>
    <row r="99">
      <c r="A99" s="62"/>
      <c r="B99" s="62"/>
      <c r="C99" s="66"/>
      <c r="D99" s="56"/>
    </row>
    <row r="100">
      <c r="A100" s="62"/>
      <c r="B100" s="62"/>
      <c r="C100" s="66"/>
      <c r="D100" s="56"/>
    </row>
    <row r="101">
      <c r="A101" s="62"/>
      <c r="B101" s="62"/>
      <c r="C101" s="66"/>
      <c r="D101" s="56"/>
    </row>
    <row r="102">
      <c r="A102" s="67"/>
      <c r="B102" s="67"/>
      <c r="C102" s="66"/>
      <c r="D102" s="56"/>
    </row>
    <row r="103">
      <c r="A103" s="67"/>
      <c r="B103" s="67"/>
      <c r="C103" s="66"/>
      <c r="D103" s="56"/>
    </row>
    <row r="104">
      <c r="A104" s="67"/>
      <c r="B104" s="67"/>
      <c r="C104" s="66"/>
      <c r="D104" s="56"/>
    </row>
    <row r="105">
      <c r="A105" s="67"/>
      <c r="B105" s="67"/>
      <c r="C105" s="66"/>
      <c r="D105" s="56"/>
    </row>
    <row r="106">
      <c r="A106" s="67"/>
      <c r="B106" s="67"/>
      <c r="C106" s="66"/>
      <c r="D106" s="56"/>
    </row>
    <row r="107">
      <c r="A107" s="67"/>
      <c r="B107" s="67"/>
      <c r="C107" s="66"/>
      <c r="D107" s="56"/>
    </row>
    <row r="108">
      <c r="A108" s="67"/>
      <c r="B108" s="67"/>
      <c r="C108" s="66"/>
      <c r="D108" s="56"/>
    </row>
    <row r="109">
      <c r="A109" s="67"/>
      <c r="B109" s="67"/>
      <c r="C109" s="66"/>
      <c r="D109" s="56"/>
    </row>
    <row r="110">
      <c r="A110" s="67"/>
      <c r="B110" s="67"/>
      <c r="C110" s="66"/>
      <c r="D110" s="56"/>
    </row>
    <row r="111">
      <c r="A111" s="67"/>
      <c r="B111" s="67"/>
      <c r="C111" s="66"/>
      <c r="D111" s="56"/>
    </row>
    <row r="112">
      <c r="A112" s="67"/>
      <c r="B112" s="67"/>
      <c r="C112" s="66"/>
      <c r="D112" s="56"/>
    </row>
    <row r="113">
      <c r="A113" s="67"/>
      <c r="B113" s="67"/>
      <c r="C113" s="66"/>
      <c r="D113" s="56"/>
    </row>
    <row r="114">
      <c r="A114" s="67"/>
      <c r="B114" s="67"/>
      <c r="C114" s="66"/>
      <c r="D114" s="56"/>
    </row>
    <row r="115">
      <c r="A115" s="67"/>
      <c r="B115" s="67"/>
      <c r="C115" s="66"/>
      <c r="D115" s="56"/>
    </row>
    <row r="116">
      <c r="A116" s="67"/>
      <c r="B116" s="67"/>
      <c r="C116" s="66"/>
      <c r="D116" s="56"/>
    </row>
    <row r="117">
      <c r="A117" s="67"/>
      <c r="B117" s="67"/>
      <c r="C117" s="66"/>
      <c r="D117" s="56"/>
    </row>
    <row r="118">
      <c r="A118" s="67"/>
      <c r="B118" s="67"/>
      <c r="C118" s="66"/>
      <c r="D118" s="56"/>
    </row>
    <row r="119">
      <c r="A119" s="67"/>
      <c r="B119" s="67"/>
      <c r="C119" s="66"/>
      <c r="D119" s="56"/>
    </row>
    <row r="120">
      <c r="A120" s="67"/>
      <c r="B120" s="67"/>
      <c r="C120" s="66"/>
      <c r="D120" s="56"/>
    </row>
    <row r="121">
      <c r="A121" s="67"/>
      <c r="B121" s="67"/>
      <c r="C121" s="66"/>
      <c r="D121" s="56"/>
    </row>
    <row r="122">
      <c r="A122" s="67"/>
      <c r="B122" s="67"/>
      <c r="C122" s="66"/>
      <c r="D122" s="56"/>
    </row>
    <row r="123">
      <c r="A123" s="67"/>
      <c r="B123" s="67"/>
      <c r="C123" s="66"/>
      <c r="D123" s="56"/>
    </row>
    <row r="124">
      <c r="A124" s="67"/>
      <c r="B124" s="67"/>
      <c r="C124" s="66"/>
      <c r="D124" s="56"/>
    </row>
    <row r="125">
      <c r="A125" s="67"/>
      <c r="B125" s="67"/>
      <c r="C125" s="66"/>
      <c r="D125" s="56"/>
    </row>
    <row r="126">
      <c r="A126" s="67"/>
      <c r="B126" s="67"/>
      <c r="C126" s="66"/>
      <c r="D126" s="56"/>
    </row>
    <row r="127">
      <c r="A127" s="67"/>
      <c r="B127" s="67"/>
      <c r="C127" s="66"/>
      <c r="D127" s="56"/>
    </row>
    <row r="128">
      <c r="A128" s="67"/>
      <c r="B128" s="67"/>
      <c r="C128" s="66"/>
      <c r="D128" s="56"/>
    </row>
    <row r="129">
      <c r="A129" s="67"/>
      <c r="B129" s="67"/>
      <c r="C129" s="66"/>
      <c r="D129" s="56"/>
    </row>
    <row r="130">
      <c r="A130" s="67"/>
      <c r="B130" s="67"/>
      <c r="C130" s="66"/>
      <c r="D130" s="56"/>
    </row>
    <row r="131">
      <c r="A131" s="67"/>
      <c r="B131" s="67"/>
      <c r="C131" s="66"/>
      <c r="D131" s="56"/>
    </row>
    <row r="132">
      <c r="A132" s="67"/>
      <c r="B132" s="67"/>
      <c r="C132" s="66"/>
      <c r="D132" s="56"/>
    </row>
    <row r="133">
      <c r="A133" s="67"/>
      <c r="B133" s="67"/>
      <c r="C133" s="66"/>
      <c r="D133" s="56"/>
    </row>
    <row r="134">
      <c r="A134" s="67"/>
      <c r="B134" s="67"/>
      <c r="C134" s="66"/>
      <c r="D134" s="56"/>
    </row>
    <row r="135">
      <c r="A135" s="67"/>
      <c r="B135" s="67"/>
      <c r="C135" s="66"/>
      <c r="D135" s="56"/>
    </row>
    <row r="136">
      <c r="A136" s="67"/>
      <c r="B136" s="67"/>
      <c r="C136" s="66"/>
      <c r="D136" s="56"/>
    </row>
    <row r="137">
      <c r="A137" s="67"/>
      <c r="B137" s="67"/>
      <c r="C137" s="66"/>
      <c r="D137" s="56"/>
    </row>
    <row r="138">
      <c r="A138" s="67"/>
      <c r="B138" s="67"/>
      <c r="C138" s="66"/>
      <c r="D138" s="56"/>
    </row>
    <row r="139">
      <c r="A139" s="67"/>
      <c r="B139" s="67"/>
      <c r="C139" s="66"/>
      <c r="D139" s="56"/>
    </row>
    <row r="140">
      <c r="A140" s="67"/>
      <c r="B140" s="67"/>
      <c r="C140" s="66"/>
      <c r="D140" s="56"/>
    </row>
    <row r="141">
      <c r="A141" s="67"/>
      <c r="B141" s="67"/>
      <c r="C141" s="66"/>
      <c r="D141" s="56"/>
    </row>
    <row r="142">
      <c r="A142" s="67"/>
      <c r="B142" s="67"/>
      <c r="C142" s="66"/>
      <c r="D142" s="56"/>
    </row>
    <row r="143">
      <c r="A143" s="67"/>
      <c r="B143" s="67"/>
      <c r="C143" s="66"/>
      <c r="D143" s="56"/>
    </row>
    <row r="144">
      <c r="A144" s="67"/>
      <c r="B144" s="67"/>
      <c r="C144" s="66"/>
      <c r="D144" s="56"/>
    </row>
    <row r="145">
      <c r="A145" s="67"/>
      <c r="B145" s="67"/>
      <c r="C145" s="66"/>
      <c r="D145" s="56"/>
    </row>
    <row r="146">
      <c r="A146" s="67"/>
      <c r="B146" s="67"/>
      <c r="C146" s="66"/>
      <c r="D146" s="56"/>
    </row>
    <row r="147">
      <c r="A147" s="67"/>
      <c r="B147" s="67"/>
      <c r="C147" s="66"/>
      <c r="D147" s="56"/>
    </row>
    <row r="148">
      <c r="A148" s="67"/>
      <c r="B148" s="67"/>
      <c r="C148" s="66"/>
      <c r="D148" s="56"/>
    </row>
    <row r="149">
      <c r="A149" s="67"/>
      <c r="B149" s="67"/>
      <c r="C149" s="66"/>
      <c r="D149" s="56"/>
    </row>
    <row r="150">
      <c r="A150" s="67"/>
      <c r="B150" s="67"/>
      <c r="C150" s="66"/>
      <c r="D150" s="56"/>
    </row>
    <row r="151">
      <c r="A151" s="67"/>
      <c r="B151" s="67"/>
      <c r="C151" s="66"/>
      <c r="D151" s="56"/>
    </row>
    <row r="152">
      <c r="A152" s="67"/>
      <c r="B152" s="67"/>
      <c r="C152" s="66"/>
      <c r="D152" s="56"/>
    </row>
    <row r="153">
      <c r="A153" s="67"/>
      <c r="B153" s="67"/>
      <c r="C153" s="66"/>
      <c r="D153" s="56"/>
    </row>
    <row r="154">
      <c r="A154" s="67"/>
      <c r="B154" s="67"/>
      <c r="C154" s="66"/>
      <c r="D154" s="56"/>
    </row>
    <row r="155">
      <c r="A155" s="67"/>
      <c r="B155" s="67"/>
      <c r="C155" s="66"/>
      <c r="D155" s="56"/>
    </row>
    <row r="156">
      <c r="A156" s="67"/>
      <c r="B156" s="67"/>
      <c r="C156" s="66"/>
      <c r="D156" s="56"/>
    </row>
    <row r="157">
      <c r="A157" s="67"/>
      <c r="B157" s="67"/>
      <c r="C157" s="66"/>
      <c r="D157" s="56"/>
    </row>
    <row r="158">
      <c r="A158" s="67"/>
      <c r="B158" s="67"/>
      <c r="C158" s="66"/>
      <c r="D158" s="56"/>
    </row>
    <row r="159">
      <c r="A159" s="67"/>
      <c r="B159" s="67"/>
      <c r="C159" s="66"/>
      <c r="D159" s="56"/>
    </row>
    <row r="160">
      <c r="A160" s="67"/>
      <c r="B160" s="67"/>
      <c r="C160" s="66"/>
      <c r="D160" s="56"/>
    </row>
    <row r="161">
      <c r="A161" s="67"/>
      <c r="B161" s="67"/>
      <c r="C161" s="66"/>
      <c r="D161" s="56"/>
    </row>
    <row r="162">
      <c r="A162" s="67"/>
      <c r="B162" s="67"/>
      <c r="C162" s="66"/>
      <c r="D162" s="56"/>
    </row>
    <row r="163">
      <c r="A163" s="67"/>
      <c r="B163" s="67"/>
      <c r="C163" s="66"/>
      <c r="D163" s="56"/>
    </row>
    <row r="164">
      <c r="A164" s="67"/>
      <c r="B164" s="67"/>
      <c r="C164" s="66"/>
      <c r="D164" s="56"/>
    </row>
    <row r="165">
      <c r="A165" s="67"/>
      <c r="B165" s="67"/>
      <c r="C165" s="66"/>
      <c r="D165" s="56"/>
    </row>
    <row r="166">
      <c r="A166" s="67"/>
      <c r="B166" s="67"/>
      <c r="C166" s="66"/>
      <c r="D166" s="56"/>
    </row>
    <row r="167">
      <c r="A167" s="67"/>
      <c r="B167" s="67"/>
      <c r="C167" s="66"/>
      <c r="D167" s="56"/>
    </row>
    <row r="168">
      <c r="A168" s="67"/>
      <c r="B168" s="67"/>
      <c r="C168" s="66"/>
      <c r="D168" s="56"/>
    </row>
    <row r="169">
      <c r="A169" s="67"/>
      <c r="B169" s="67"/>
      <c r="C169" s="66"/>
      <c r="D169" s="56"/>
    </row>
    <row r="170">
      <c r="A170" s="67"/>
      <c r="B170" s="67"/>
      <c r="C170" s="66"/>
      <c r="D170" s="56"/>
    </row>
    <row r="171">
      <c r="A171" s="67"/>
      <c r="B171" s="67"/>
      <c r="C171" s="66"/>
      <c r="D171" s="56"/>
    </row>
    <row r="172">
      <c r="A172" s="67"/>
      <c r="B172" s="67"/>
      <c r="C172" s="66"/>
      <c r="D172" s="56"/>
    </row>
    <row r="173">
      <c r="A173" s="67"/>
      <c r="B173" s="67"/>
      <c r="C173" s="66"/>
      <c r="D173" s="56"/>
    </row>
    <row r="174">
      <c r="A174" s="67"/>
      <c r="B174" s="67"/>
      <c r="C174" s="66"/>
      <c r="D174" s="56"/>
    </row>
    <row r="175">
      <c r="A175" s="67"/>
      <c r="B175" s="67"/>
      <c r="C175" s="66"/>
      <c r="D175" s="56"/>
    </row>
    <row r="176">
      <c r="A176" s="67"/>
      <c r="B176" s="67"/>
      <c r="C176" s="66"/>
      <c r="D176" s="56"/>
    </row>
    <row r="177">
      <c r="A177" s="67"/>
      <c r="B177" s="67"/>
      <c r="C177" s="66"/>
      <c r="D177" s="56"/>
    </row>
    <row r="178">
      <c r="A178" s="67"/>
      <c r="B178" s="67"/>
      <c r="C178" s="66"/>
      <c r="D178" s="56"/>
    </row>
    <row r="179">
      <c r="A179" s="67"/>
      <c r="B179" s="67"/>
      <c r="C179" s="66"/>
      <c r="D179" s="56"/>
    </row>
    <row r="180">
      <c r="A180" s="67"/>
      <c r="B180" s="67"/>
      <c r="C180" s="66"/>
      <c r="D180" s="56"/>
    </row>
    <row r="181">
      <c r="A181" s="67"/>
      <c r="B181" s="67"/>
      <c r="C181" s="66"/>
      <c r="D181" s="56"/>
    </row>
    <row r="182">
      <c r="A182" s="67"/>
      <c r="B182" s="67"/>
      <c r="C182" s="66"/>
      <c r="D182" s="56"/>
    </row>
    <row r="183">
      <c r="A183" s="67"/>
      <c r="B183" s="67"/>
      <c r="C183" s="66"/>
      <c r="D183" s="56"/>
    </row>
    <row r="184">
      <c r="A184" s="67"/>
      <c r="B184" s="67"/>
      <c r="C184" s="66"/>
      <c r="D184" s="56"/>
    </row>
    <row r="185">
      <c r="A185" s="67"/>
      <c r="B185" s="67"/>
      <c r="C185" s="66"/>
      <c r="D185" s="56"/>
    </row>
    <row r="186">
      <c r="A186" s="67"/>
      <c r="B186" s="67"/>
      <c r="C186" s="66"/>
      <c r="D186" s="56"/>
    </row>
    <row r="187">
      <c r="A187" s="67"/>
      <c r="B187" s="67"/>
      <c r="C187" s="66"/>
      <c r="D187" s="56"/>
    </row>
    <row r="188">
      <c r="A188" s="67"/>
      <c r="B188" s="67"/>
      <c r="C188" s="66"/>
      <c r="D188" s="56"/>
    </row>
    <row r="189">
      <c r="A189" s="67"/>
      <c r="B189" s="67"/>
      <c r="C189" s="66"/>
      <c r="D189" s="56"/>
    </row>
    <row r="190">
      <c r="A190" s="67"/>
      <c r="B190" s="67"/>
      <c r="C190" s="66"/>
      <c r="D190" s="56"/>
    </row>
    <row r="191">
      <c r="A191" s="67"/>
      <c r="B191" s="67"/>
      <c r="C191" s="66"/>
      <c r="D191" s="56"/>
    </row>
    <row r="192">
      <c r="A192" s="67"/>
      <c r="B192" s="67"/>
      <c r="C192" s="66"/>
      <c r="D192" s="56"/>
    </row>
    <row r="193">
      <c r="A193" s="67"/>
      <c r="B193" s="67"/>
      <c r="C193" s="66"/>
      <c r="D193" s="56"/>
    </row>
    <row r="194">
      <c r="A194" s="67"/>
      <c r="B194" s="67"/>
      <c r="C194" s="66"/>
      <c r="D194" s="56"/>
    </row>
    <row r="195">
      <c r="A195" s="67"/>
      <c r="B195" s="67"/>
      <c r="C195" s="66"/>
      <c r="D195" s="56"/>
    </row>
    <row r="196">
      <c r="A196" s="67"/>
      <c r="B196" s="67"/>
      <c r="C196" s="66"/>
      <c r="D196" s="56"/>
    </row>
    <row r="197">
      <c r="A197" s="67"/>
      <c r="B197" s="67"/>
      <c r="C197" s="66"/>
      <c r="D197" s="56"/>
    </row>
    <row r="198">
      <c r="A198" s="67"/>
      <c r="B198" s="67"/>
      <c r="C198" s="66"/>
      <c r="D198" s="56"/>
    </row>
    <row r="199">
      <c r="A199" s="67"/>
      <c r="B199" s="67"/>
      <c r="C199" s="66"/>
      <c r="D199" s="56"/>
    </row>
    <row r="200">
      <c r="A200" s="67"/>
      <c r="B200" s="67"/>
      <c r="C200" s="66"/>
      <c r="D200" s="56"/>
    </row>
    <row r="201">
      <c r="A201" s="67"/>
      <c r="B201" s="67"/>
      <c r="C201" s="66"/>
      <c r="D201" s="56"/>
    </row>
    <row r="202">
      <c r="A202" s="67"/>
      <c r="B202" s="67"/>
      <c r="C202" s="66"/>
      <c r="D202" s="56"/>
    </row>
    <row r="203">
      <c r="A203" s="67"/>
      <c r="B203" s="67"/>
      <c r="C203" s="66"/>
      <c r="D203" s="56"/>
    </row>
    <row r="204">
      <c r="A204" s="67"/>
      <c r="B204" s="67"/>
      <c r="C204" s="66"/>
      <c r="D204" s="56"/>
    </row>
    <row r="205">
      <c r="A205" s="67"/>
      <c r="B205" s="67"/>
      <c r="C205" s="66"/>
      <c r="D205" s="56"/>
    </row>
    <row r="206">
      <c r="A206" s="67"/>
      <c r="B206" s="67"/>
      <c r="C206" s="66"/>
      <c r="D206" s="56"/>
    </row>
    <row r="207">
      <c r="A207" s="67"/>
      <c r="B207" s="67"/>
      <c r="C207" s="66"/>
      <c r="D207" s="56"/>
    </row>
    <row r="208">
      <c r="A208" s="67"/>
      <c r="B208" s="67"/>
      <c r="C208" s="66"/>
      <c r="D208" s="56"/>
    </row>
    <row r="209">
      <c r="A209" s="67"/>
      <c r="B209" s="67"/>
      <c r="C209" s="66"/>
      <c r="D209" s="56"/>
    </row>
    <row r="210">
      <c r="A210" s="67"/>
      <c r="B210" s="67"/>
      <c r="C210" s="66"/>
      <c r="D210" s="56"/>
    </row>
    <row r="211">
      <c r="A211" s="67"/>
      <c r="B211" s="67"/>
      <c r="C211" s="66"/>
      <c r="D211" s="56"/>
    </row>
    <row r="212">
      <c r="A212" s="67"/>
      <c r="B212" s="67"/>
      <c r="C212" s="66"/>
      <c r="D212" s="56"/>
    </row>
    <row r="213">
      <c r="A213" s="67"/>
      <c r="B213" s="67"/>
      <c r="C213" s="66"/>
      <c r="D213" s="56"/>
    </row>
    <row r="214">
      <c r="A214" s="67"/>
      <c r="B214" s="67"/>
      <c r="C214" s="66"/>
      <c r="D214" s="56"/>
    </row>
    <row r="215">
      <c r="A215" s="67"/>
      <c r="B215" s="67"/>
      <c r="C215" s="66"/>
      <c r="D215" s="56"/>
    </row>
    <row r="216">
      <c r="A216" s="67"/>
      <c r="B216" s="67"/>
      <c r="C216" s="66"/>
      <c r="D216" s="56"/>
    </row>
    <row r="217">
      <c r="A217" s="67"/>
      <c r="B217" s="67"/>
      <c r="C217" s="66"/>
      <c r="D217" s="56"/>
    </row>
    <row r="218">
      <c r="A218" s="67"/>
      <c r="B218" s="67"/>
      <c r="C218" s="66"/>
      <c r="D218" s="56"/>
    </row>
    <row r="219">
      <c r="A219" s="67"/>
      <c r="B219" s="67"/>
      <c r="C219" s="66"/>
      <c r="D219" s="56"/>
    </row>
    <row r="220">
      <c r="A220" s="67"/>
      <c r="B220" s="67"/>
      <c r="C220" s="66"/>
      <c r="D220" s="56"/>
    </row>
    <row r="221">
      <c r="A221" s="67"/>
      <c r="B221" s="67"/>
      <c r="C221" s="66"/>
      <c r="D221" s="56"/>
    </row>
    <row r="222">
      <c r="A222" s="67"/>
      <c r="B222" s="67"/>
      <c r="C222" s="66"/>
      <c r="D222" s="56"/>
    </row>
    <row r="223">
      <c r="A223" s="67"/>
      <c r="B223" s="67"/>
      <c r="C223" s="66"/>
      <c r="D223" s="56"/>
    </row>
    <row r="224">
      <c r="A224" s="67"/>
      <c r="B224" s="67"/>
      <c r="C224" s="66"/>
      <c r="D224" s="56"/>
    </row>
    <row r="225">
      <c r="A225" s="67"/>
      <c r="B225" s="67"/>
      <c r="C225" s="66"/>
      <c r="D225" s="56"/>
    </row>
    <row r="226">
      <c r="A226" s="67"/>
      <c r="B226" s="67"/>
      <c r="C226" s="66"/>
      <c r="D226" s="56"/>
    </row>
    <row r="227">
      <c r="A227" s="67"/>
      <c r="B227" s="67"/>
      <c r="C227" s="66"/>
      <c r="D227" s="56"/>
    </row>
    <row r="228">
      <c r="A228" s="67"/>
      <c r="B228" s="67"/>
      <c r="C228" s="66"/>
      <c r="D228" s="56"/>
    </row>
    <row r="229">
      <c r="A229" s="67"/>
      <c r="B229" s="67"/>
      <c r="C229" s="66"/>
      <c r="D229" s="56"/>
    </row>
    <row r="230">
      <c r="A230" s="67"/>
      <c r="B230" s="67"/>
      <c r="C230" s="66"/>
      <c r="D230" s="56"/>
    </row>
    <row r="231">
      <c r="A231" s="67"/>
      <c r="B231" s="67"/>
      <c r="C231" s="66"/>
      <c r="D231" s="56"/>
    </row>
    <row r="232">
      <c r="A232" s="67"/>
      <c r="B232" s="67"/>
      <c r="C232" s="66"/>
      <c r="D232" s="56"/>
    </row>
    <row r="233">
      <c r="A233" s="67"/>
      <c r="B233" s="67"/>
      <c r="C233" s="66"/>
      <c r="D233" s="56"/>
    </row>
    <row r="234">
      <c r="A234" s="67"/>
      <c r="B234" s="67"/>
      <c r="C234" s="66"/>
      <c r="D234" s="56"/>
    </row>
    <row r="235">
      <c r="A235" s="67"/>
      <c r="B235" s="67"/>
      <c r="C235" s="66"/>
      <c r="D235" s="56"/>
    </row>
    <row r="236">
      <c r="A236" s="67"/>
      <c r="B236" s="67"/>
      <c r="C236" s="66"/>
      <c r="D236" s="56"/>
    </row>
    <row r="237">
      <c r="A237" s="67"/>
      <c r="B237" s="67"/>
      <c r="C237" s="66"/>
      <c r="D237" s="56"/>
    </row>
    <row r="238">
      <c r="A238" s="67"/>
      <c r="B238" s="67"/>
      <c r="C238" s="66"/>
      <c r="D238" s="56"/>
    </row>
    <row r="239">
      <c r="A239" s="67"/>
      <c r="B239" s="67"/>
      <c r="C239" s="66"/>
      <c r="D239" s="56"/>
    </row>
    <row r="240">
      <c r="A240" s="67"/>
      <c r="B240" s="67"/>
      <c r="C240" s="66"/>
      <c r="D240" s="56"/>
    </row>
    <row r="241">
      <c r="A241" s="67"/>
      <c r="B241" s="67"/>
      <c r="C241" s="66"/>
      <c r="D241" s="56"/>
    </row>
    <row r="242">
      <c r="A242" s="67"/>
      <c r="B242" s="67"/>
      <c r="C242" s="66"/>
      <c r="D242" s="56"/>
    </row>
    <row r="243">
      <c r="A243" s="67"/>
      <c r="B243" s="67"/>
      <c r="C243" s="66"/>
      <c r="D243" s="56"/>
    </row>
    <row r="244">
      <c r="A244" s="67"/>
      <c r="B244" s="67"/>
      <c r="C244" s="66"/>
      <c r="D244" s="56"/>
    </row>
    <row r="245">
      <c r="A245" s="67"/>
      <c r="B245" s="67"/>
      <c r="C245" s="66"/>
      <c r="D245" s="56"/>
    </row>
    <row r="246">
      <c r="A246" s="67"/>
      <c r="B246" s="67"/>
      <c r="C246" s="66"/>
      <c r="D246" s="56"/>
    </row>
    <row r="247">
      <c r="A247" s="67"/>
      <c r="B247" s="67"/>
      <c r="C247" s="66"/>
      <c r="D247" s="56"/>
    </row>
    <row r="248">
      <c r="A248" s="67"/>
      <c r="B248" s="67"/>
      <c r="C248" s="66"/>
      <c r="D248" s="56"/>
    </row>
    <row r="249">
      <c r="A249" s="67"/>
      <c r="B249" s="67"/>
      <c r="C249" s="66"/>
      <c r="D249" s="56"/>
    </row>
    <row r="250">
      <c r="A250" s="67"/>
      <c r="B250" s="67"/>
      <c r="C250" s="66"/>
      <c r="D250" s="56"/>
    </row>
    <row r="251">
      <c r="A251" s="67"/>
      <c r="B251" s="67"/>
      <c r="C251" s="66"/>
      <c r="D251" s="56"/>
    </row>
    <row r="252">
      <c r="A252" s="67"/>
      <c r="B252" s="67"/>
      <c r="C252" s="66"/>
      <c r="D252" s="56"/>
    </row>
    <row r="253">
      <c r="A253" s="67"/>
      <c r="B253" s="67"/>
      <c r="C253" s="66"/>
      <c r="D253" s="56"/>
    </row>
    <row r="254">
      <c r="A254" s="67"/>
      <c r="B254" s="67"/>
      <c r="C254" s="66"/>
      <c r="D254" s="56"/>
    </row>
    <row r="255">
      <c r="A255" s="67"/>
      <c r="B255" s="67"/>
      <c r="C255" s="66"/>
      <c r="D255" s="56"/>
    </row>
    <row r="256">
      <c r="A256" s="67"/>
      <c r="B256" s="67"/>
      <c r="C256" s="66"/>
      <c r="D256" s="56"/>
    </row>
    <row r="257">
      <c r="A257" s="67"/>
      <c r="B257" s="67"/>
      <c r="C257" s="66"/>
      <c r="D257" s="56"/>
    </row>
    <row r="258">
      <c r="A258" s="67"/>
      <c r="B258" s="67"/>
      <c r="C258" s="66"/>
      <c r="D258" s="56"/>
    </row>
    <row r="259">
      <c r="A259" s="67"/>
      <c r="B259" s="67"/>
      <c r="C259" s="66"/>
      <c r="D259" s="56"/>
    </row>
    <row r="260">
      <c r="A260" s="67"/>
      <c r="B260" s="67"/>
      <c r="C260" s="66"/>
      <c r="D260" s="56"/>
    </row>
    <row r="261">
      <c r="A261" s="67"/>
      <c r="B261" s="67"/>
      <c r="C261" s="66"/>
      <c r="D261" s="56"/>
    </row>
    <row r="262">
      <c r="A262" s="67"/>
      <c r="B262" s="67"/>
      <c r="C262" s="66"/>
      <c r="D262" s="56"/>
    </row>
    <row r="263">
      <c r="A263" s="67"/>
      <c r="B263" s="67"/>
      <c r="C263" s="66"/>
      <c r="D263" s="56"/>
    </row>
    <row r="264">
      <c r="A264" s="67"/>
      <c r="B264" s="67"/>
      <c r="C264" s="66"/>
      <c r="D264" s="56"/>
    </row>
    <row r="265">
      <c r="A265" s="67"/>
      <c r="B265" s="67"/>
      <c r="C265" s="66"/>
      <c r="D265" s="56"/>
    </row>
    <row r="266">
      <c r="A266" s="67"/>
      <c r="B266" s="67"/>
      <c r="C266" s="66"/>
      <c r="D266" s="56"/>
    </row>
    <row r="267">
      <c r="A267" s="67"/>
      <c r="B267" s="67"/>
      <c r="C267" s="66"/>
      <c r="D267" s="56"/>
    </row>
    <row r="268">
      <c r="A268" s="67"/>
      <c r="B268" s="67"/>
      <c r="C268" s="66"/>
      <c r="D268" s="56"/>
    </row>
    <row r="269">
      <c r="A269" s="67"/>
      <c r="B269" s="67"/>
      <c r="C269" s="66"/>
      <c r="D269" s="56"/>
    </row>
    <row r="270">
      <c r="A270" s="67"/>
      <c r="B270" s="67"/>
      <c r="C270" s="66"/>
      <c r="D270" s="56"/>
    </row>
    <row r="271">
      <c r="A271" s="67"/>
      <c r="B271" s="67"/>
      <c r="C271" s="66"/>
      <c r="D271" s="56"/>
    </row>
    <row r="272">
      <c r="A272" s="67"/>
      <c r="B272" s="67"/>
      <c r="C272" s="66"/>
      <c r="D272" s="56"/>
    </row>
    <row r="273">
      <c r="A273" s="67"/>
      <c r="B273" s="67"/>
      <c r="C273" s="66"/>
      <c r="D273" s="56"/>
    </row>
    <row r="274">
      <c r="A274" s="67"/>
      <c r="B274" s="67"/>
      <c r="C274" s="66"/>
      <c r="D274" s="56"/>
    </row>
    <row r="275">
      <c r="A275" s="67"/>
      <c r="B275" s="67"/>
      <c r="C275" s="66"/>
      <c r="D275" s="56"/>
    </row>
    <row r="276">
      <c r="A276" s="67"/>
      <c r="B276" s="67"/>
      <c r="C276" s="66"/>
      <c r="D276" s="56"/>
    </row>
    <row r="277">
      <c r="A277" s="67"/>
      <c r="B277" s="67"/>
      <c r="C277" s="66"/>
      <c r="D277" s="56"/>
    </row>
    <row r="278">
      <c r="A278" s="67"/>
      <c r="B278" s="67"/>
      <c r="C278" s="66"/>
      <c r="D278" s="56"/>
    </row>
    <row r="279">
      <c r="A279" s="67"/>
      <c r="B279" s="67"/>
      <c r="C279" s="66"/>
      <c r="D279" s="56"/>
    </row>
    <row r="280">
      <c r="A280" s="67"/>
      <c r="B280" s="67"/>
      <c r="C280" s="66"/>
      <c r="D280" s="56"/>
    </row>
    <row r="281">
      <c r="A281" s="67"/>
      <c r="B281" s="67"/>
      <c r="C281" s="66"/>
      <c r="D281" s="56"/>
    </row>
    <row r="282">
      <c r="A282" s="67"/>
      <c r="B282" s="67"/>
      <c r="C282" s="66"/>
      <c r="D282" s="56"/>
    </row>
    <row r="283">
      <c r="A283" s="67"/>
      <c r="B283" s="67"/>
      <c r="C283" s="66"/>
      <c r="D283" s="56"/>
    </row>
    <row r="284">
      <c r="A284" s="67"/>
      <c r="B284" s="67"/>
      <c r="C284" s="66"/>
      <c r="D284" s="56"/>
    </row>
    <row r="285">
      <c r="A285" s="67"/>
      <c r="B285" s="67"/>
      <c r="C285" s="66"/>
      <c r="D285" s="56"/>
    </row>
    <row r="286">
      <c r="A286" s="67"/>
      <c r="B286" s="67"/>
      <c r="C286" s="66"/>
      <c r="D286" s="56"/>
    </row>
    <row r="287">
      <c r="A287" s="67"/>
      <c r="B287" s="67"/>
      <c r="C287" s="66"/>
      <c r="D287" s="56"/>
    </row>
    <row r="288">
      <c r="A288" s="67"/>
      <c r="B288" s="67"/>
      <c r="C288" s="66"/>
      <c r="D288" s="56"/>
    </row>
    <row r="289">
      <c r="A289" s="67"/>
      <c r="B289" s="67"/>
      <c r="C289" s="66"/>
      <c r="D289" s="56"/>
    </row>
    <row r="290">
      <c r="A290" s="67"/>
      <c r="B290" s="67"/>
      <c r="C290" s="66"/>
      <c r="D290" s="56"/>
    </row>
    <row r="291">
      <c r="A291" s="67"/>
      <c r="B291" s="67"/>
      <c r="C291" s="66"/>
      <c r="D291" s="56"/>
    </row>
    <row r="292">
      <c r="A292" s="67"/>
      <c r="B292" s="67"/>
      <c r="C292" s="66"/>
      <c r="D292" s="56"/>
    </row>
    <row r="293">
      <c r="A293" s="67"/>
      <c r="B293" s="67"/>
      <c r="C293" s="66"/>
      <c r="D293" s="56"/>
    </row>
    <row r="294">
      <c r="A294" s="67"/>
      <c r="B294" s="67"/>
      <c r="C294" s="66"/>
      <c r="D294" s="56"/>
    </row>
    <row r="295">
      <c r="A295" s="67"/>
      <c r="B295" s="67"/>
      <c r="C295" s="66"/>
      <c r="D295" s="56"/>
    </row>
    <row r="296">
      <c r="A296" s="67"/>
      <c r="B296" s="67"/>
      <c r="C296" s="66"/>
      <c r="D296" s="56"/>
    </row>
    <row r="297">
      <c r="A297" s="67"/>
      <c r="B297" s="67"/>
      <c r="C297" s="66"/>
      <c r="D297" s="56"/>
    </row>
    <row r="298">
      <c r="A298" s="67"/>
      <c r="B298" s="67"/>
      <c r="C298" s="66"/>
      <c r="D298" s="56"/>
    </row>
    <row r="299">
      <c r="A299" s="67"/>
      <c r="B299" s="67"/>
      <c r="C299" s="66"/>
      <c r="D299" s="56"/>
    </row>
    <row r="300">
      <c r="A300" s="67"/>
      <c r="B300" s="67"/>
      <c r="C300" s="66"/>
      <c r="D300" s="56"/>
    </row>
    <row r="301">
      <c r="A301" s="67"/>
      <c r="B301" s="67"/>
      <c r="C301" s="66"/>
      <c r="D301" s="56"/>
    </row>
    <row r="302">
      <c r="A302" s="67"/>
      <c r="B302" s="67"/>
      <c r="C302" s="66"/>
      <c r="D302" s="56"/>
    </row>
    <row r="303">
      <c r="A303" s="67"/>
      <c r="B303" s="67"/>
      <c r="C303" s="66"/>
      <c r="D303" s="56"/>
    </row>
    <row r="304">
      <c r="A304" s="67"/>
      <c r="B304" s="67"/>
      <c r="C304" s="66"/>
      <c r="D304" s="56"/>
    </row>
    <row r="305">
      <c r="A305" s="67"/>
      <c r="B305" s="67"/>
      <c r="C305" s="66"/>
      <c r="D305" s="56"/>
    </row>
    <row r="306">
      <c r="A306" s="67"/>
      <c r="B306" s="67"/>
      <c r="C306" s="66"/>
      <c r="D306" s="56"/>
    </row>
    <row r="307">
      <c r="A307" s="67"/>
      <c r="B307" s="67"/>
      <c r="C307" s="66"/>
      <c r="D307" s="56"/>
    </row>
    <row r="308">
      <c r="A308" s="67"/>
      <c r="B308" s="67"/>
      <c r="C308" s="66"/>
      <c r="D308" s="56"/>
    </row>
    <row r="309">
      <c r="A309" s="67"/>
      <c r="B309" s="67"/>
      <c r="C309" s="66"/>
      <c r="D309" s="56"/>
    </row>
    <row r="310">
      <c r="A310" s="67"/>
      <c r="B310" s="67"/>
      <c r="C310" s="66"/>
      <c r="D310" s="56"/>
    </row>
    <row r="311">
      <c r="A311" s="67"/>
      <c r="B311" s="67"/>
      <c r="C311" s="66"/>
      <c r="D311" s="56"/>
    </row>
    <row r="312">
      <c r="A312" s="67"/>
      <c r="B312" s="67"/>
      <c r="C312" s="66"/>
      <c r="D312" s="56"/>
    </row>
    <row r="313">
      <c r="A313" s="67"/>
      <c r="B313" s="67"/>
      <c r="C313" s="66"/>
      <c r="D313" s="56"/>
    </row>
    <row r="314">
      <c r="A314" s="67"/>
      <c r="B314" s="67"/>
      <c r="C314" s="66"/>
      <c r="D314" s="56"/>
    </row>
    <row r="315">
      <c r="A315" s="67"/>
      <c r="B315" s="67"/>
      <c r="C315" s="66"/>
      <c r="D315" s="56"/>
    </row>
    <row r="316">
      <c r="A316" s="67"/>
      <c r="B316" s="67"/>
      <c r="C316" s="66"/>
      <c r="D316" s="56"/>
    </row>
    <row r="317">
      <c r="A317" s="67"/>
      <c r="B317" s="67"/>
      <c r="C317" s="66"/>
      <c r="D317" s="56"/>
    </row>
    <row r="318">
      <c r="A318" s="67"/>
      <c r="B318" s="67"/>
      <c r="C318" s="66"/>
      <c r="D318" s="56"/>
    </row>
    <row r="319">
      <c r="A319" s="67"/>
      <c r="B319" s="67"/>
      <c r="C319" s="66"/>
      <c r="D319" s="56"/>
    </row>
    <row r="320">
      <c r="A320" s="67"/>
      <c r="B320" s="67"/>
      <c r="C320" s="66"/>
      <c r="D320" s="56"/>
    </row>
    <row r="321">
      <c r="A321" s="67"/>
      <c r="B321" s="67"/>
      <c r="C321" s="66"/>
      <c r="D321" s="56"/>
    </row>
    <row r="322">
      <c r="A322" s="67"/>
      <c r="B322" s="67"/>
      <c r="C322" s="66"/>
      <c r="D322" s="56"/>
    </row>
    <row r="323">
      <c r="A323" s="67"/>
      <c r="B323" s="67"/>
      <c r="C323" s="66"/>
      <c r="D323" s="56"/>
    </row>
    <row r="324">
      <c r="A324" s="67"/>
      <c r="B324" s="67"/>
      <c r="C324" s="66"/>
      <c r="D324" s="56"/>
    </row>
    <row r="325">
      <c r="A325" s="67"/>
      <c r="B325" s="67"/>
      <c r="C325" s="66"/>
      <c r="D325" s="56"/>
    </row>
    <row r="326">
      <c r="A326" s="67"/>
      <c r="B326" s="67"/>
      <c r="C326" s="66"/>
      <c r="D326" s="56"/>
    </row>
    <row r="327">
      <c r="A327" s="67"/>
      <c r="B327" s="67"/>
      <c r="C327" s="66"/>
      <c r="D327" s="56"/>
    </row>
    <row r="328">
      <c r="A328" s="67"/>
      <c r="B328" s="67"/>
      <c r="C328" s="66"/>
      <c r="D328" s="56"/>
    </row>
    <row r="329">
      <c r="A329" s="67"/>
      <c r="B329" s="67"/>
      <c r="C329" s="66"/>
      <c r="D329" s="56"/>
    </row>
    <row r="330">
      <c r="A330" s="67"/>
      <c r="B330" s="67"/>
      <c r="C330" s="66"/>
      <c r="D330" s="56"/>
    </row>
    <row r="331">
      <c r="A331" s="67"/>
      <c r="B331" s="67"/>
      <c r="C331" s="66"/>
      <c r="D331" s="56"/>
    </row>
    <row r="332">
      <c r="A332" s="67"/>
      <c r="B332" s="67"/>
      <c r="C332" s="66"/>
      <c r="D332" s="56"/>
    </row>
    <row r="333">
      <c r="A333" s="67"/>
      <c r="B333" s="67"/>
      <c r="C333" s="66"/>
      <c r="D333" s="56"/>
    </row>
    <row r="334">
      <c r="A334" s="67"/>
      <c r="B334" s="67"/>
      <c r="C334" s="66"/>
      <c r="D334" s="56"/>
    </row>
    <row r="335">
      <c r="A335" s="67"/>
      <c r="B335" s="67"/>
      <c r="C335" s="66"/>
      <c r="D335" s="56"/>
    </row>
    <row r="336">
      <c r="A336" s="67"/>
      <c r="B336" s="67"/>
      <c r="C336" s="66"/>
      <c r="D336" s="56"/>
    </row>
    <row r="337">
      <c r="A337" s="67"/>
      <c r="B337" s="67"/>
      <c r="C337" s="66"/>
      <c r="D337" s="56"/>
    </row>
    <row r="338">
      <c r="A338" s="67"/>
      <c r="B338" s="67"/>
      <c r="C338" s="66"/>
      <c r="D338" s="56"/>
    </row>
    <row r="339">
      <c r="A339" s="67"/>
      <c r="B339" s="67"/>
      <c r="C339" s="66"/>
      <c r="D339" s="56"/>
    </row>
    <row r="340">
      <c r="A340" s="67"/>
      <c r="B340" s="67"/>
      <c r="C340" s="66"/>
      <c r="D340" s="56"/>
    </row>
    <row r="341">
      <c r="A341" s="67"/>
      <c r="B341" s="67"/>
      <c r="C341" s="66"/>
      <c r="D341" s="56"/>
    </row>
    <row r="342">
      <c r="A342" s="67"/>
      <c r="B342" s="67"/>
      <c r="C342" s="66"/>
      <c r="D342" s="56"/>
    </row>
    <row r="343">
      <c r="A343" s="67"/>
      <c r="B343" s="67"/>
      <c r="C343" s="66"/>
      <c r="D343" s="56"/>
    </row>
    <row r="344">
      <c r="A344" s="67"/>
      <c r="B344" s="67"/>
      <c r="C344" s="66"/>
      <c r="D344" s="56"/>
    </row>
    <row r="345">
      <c r="A345" s="67"/>
      <c r="B345" s="67"/>
      <c r="C345" s="66"/>
      <c r="D345" s="56"/>
    </row>
    <row r="346">
      <c r="A346" s="67"/>
      <c r="B346" s="67"/>
      <c r="C346" s="66"/>
      <c r="D346" s="56"/>
    </row>
    <row r="347">
      <c r="A347" s="67"/>
      <c r="B347" s="67"/>
      <c r="C347" s="66"/>
      <c r="D347" s="56"/>
    </row>
    <row r="348">
      <c r="A348" s="67"/>
      <c r="B348" s="67"/>
      <c r="C348" s="66"/>
      <c r="D348" s="56"/>
    </row>
    <row r="349">
      <c r="A349" s="67"/>
      <c r="B349" s="67"/>
      <c r="C349" s="66"/>
      <c r="D349" s="56"/>
    </row>
    <row r="350">
      <c r="A350" s="67"/>
      <c r="B350" s="67"/>
      <c r="C350" s="66"/>
      <c r="D350" s="56"/>
    </row>
    <row r="351">
      <c r="A351" s="67"/>
      <c r="B351" s="67"/>
      <c r="C351" s="66"/>
      <c r="D351" s="56"/>
    </row>
    <row r="352">
      <c r="A352" s="67"/>
      <c r="B352" s="67"/>
      <c r="C352" s="66"/>
      <c r="D352" s="56"/>
    </row>
    <row r="353">
      <c r="A353" s="67"/>
      <c r="B353" s="67"/>
      <c r="C353" s="66"/>
      <c r="D353" s="56"/>
    </row>
    <row r="354">
      <c r="A354" s="67"/>
      <c r="B354" s="67"/>
      <c r="C354" s="66"/>
      <c r="D354" s="56"/>
    </row>
    <row r="355">
      <c r="A355" s="67"/>
      <c r="B355" s="67"/>
      <c r="C355" s="66"/>
      <c r="D355" s="56"/>
    </row>
    <row r="356">
      <c r="A356" s="67"/>
      <c r="B356" s="67"/>
      <c r="C356" s="66"/>
      <c r="D356" s="56"/>
    </row>
    <row r="357">
      <c r="A357" s="67"/>
      <c r="B357" s="67"/>
      <c r="C357" s="66"/>
      <c r="D357" s="56"/>
    </row>
    <row r="358">
      <c r="A358" s="67"/>
      <c r="B358" s="67"/>
      <c r="C358" s="66"/>
      <c r="D358" s="56"/>
    </row>
    <row r="359">
      <c r="A359" s="67"/>
      <c r="B359" s="67"/>
      <c r="C359" s="66"/>
      <c r="D359" s="56"/>
    </row>
    <row r="360">
      <c r="A360" s="67"/>
      <c r="B360" s="67"/>
      <c r="C360" s="66"/>
      <c r="D360" s="56"/>
    </row>
    <row r="361">
      <c r="A361" s="67"/>
      <c r="B361" s="67"/>
      <c r="C361" s="66"/>
      <c r="D361" s="56"/>
    </row>
    <row r="362">
      <c r="A362" s="67"/>
      <c r="B362" s="67"/>
      <c r="C362" s="66"/>
      <c r="D362" s="56"/>
    </row>
    <row r="363">
      <c r="A363" s="67"/>
      <c r="B363" s="67"/>
      <c r="C363" s="66"/>
      <c r="D363" s="56"/>
    </row>
    <row r="364">
      <c r="A364" s="67"/>
      <c r="B364" s="67"/>
      <c r="C364" s="66"/>
      <c r="D364" s="56"/>
    </row>
    <row r="365">
      <c r="A365" s="67"/>
      <c r="B365" s="67"/>
      <c r="C365" s="66"/>
      <c r="D365" s="56"/>
    </row>
    <row r="366">
      <c r="A366" s="67"/>
      <c r="B366" s="67"/>
      <c r="C366" s="66"/>
      <c r="D366" s="56"/>
    </row>
    <row r="367">
      <c r="A367" s="67"/>
      <c r="B367" s="67"/>
      <c r="C367" s="66"/>
      <c r="D367" s="56"/>
    </row>
    <row r="368">
      <c r="A368" s="67"/>
      <c r="B368" s="67"/>
      <c r="C368" s="66"/>
      <c r="D368" s="56"/>
    </row>
    <row r="369">
      <c r="A369" s="67"/>
      <c r="B369" s="67"/>
      <c r="C369" s="66"/>
      <c r="D369" s="56"/>
    </row>
    <row r="370">
      <c r="A370" s="67"/>
      <c r="B370" s="67"/>
      <c r="C370" s="66"/>
      <c r="D370" s="56"/>
    </row>
    <row r="371">
      <c r="A371" s="67"/>
      <c r="B371" s="67"/>
      <c r="C371" s="66"/>
      <c r="D371" s="56"/>
    </row>
    <row r="372">
      <c r="A372" s="67"/>
      <c r="B372" s="67"/>
      <c r="C372" s="66"/>
      <c r="D372" s="56"/>
    </row>
    <row r="373">
      <c r="A373" s="67"/>
      <c r="B373" s="67"/>
      <c r="C373" s="66"/>
      <c r="D373" s="56"/>
    </row>
    <row r="374">
      <c r="A374" s="67"/>
      <c r="B374" s="67"/>
      <c r="C374" s="66"/>
      <c r="D374" s="56"/>
    </row>
    <row r="375">
      <c r="A375" s="67"/>
      <c r="B375" s="67"/>
      <c r="C375" s="66"/>
      <c r="D375" s="56"/>
    </row>
    <row r="376">
      <c r="A376" s="67"/>
      <c r="B376" s="67"/>
      <c r="C376" s="66"/>
      <c r="D376" s="56"/>
    </row>
    <row r="377">
      <c r="A377" s="67"/>
      <c r="B377" s="67"/>
      <c r="C377" s="66"/>
      <c r="D377" s="56"/>
    </row>
    <row r="378">
      <c r="A378" s="67"/>
      <c r="B378" s="67"/>
      <c r="C378" s="66"/>
      <c r="D378" s="56"/>
    </row>
    <row r="379">
      <c r="A379" s="67"/>
      <c r="B379" s="67"/>
      <c r="C379" s="66"/>
      <c r="D379" s="56"/>
    </row>
    <row r="380">
      <c r="A380" s="67"/>
      <c r="B380" s="67"/>
      <c r="C380" s="66"/>
      <c r="D380" s="56"/>
    </row>
    <row r="381">
      <c r="A381" s="67"/>
      <c r="B381" s="67"/>
      <c r="C381" s="66"/>
      <c r="D381" s="56"/>
    </row>
    <row r="382">
      <c r="A382" s="67"/>
      <c r="B382" s="67"/>
      <c r="C382" s="66"/>
      <c r="D382" s="56"/>
    </row>
    <row r="383">
      <c r="A383" s="67"/>
      <c r="B383" s="67"/>
      <c r="C383" s="66"/>
      <c r="D383" s="56"/>
    </row>
    <row r="384">
      <c r="A384" s="67"/>
      <c r="B384" s="67"/>
      <c r="C384" s="66"/>
      <c r="D384" s="56"/>
    </row>
    <row r="385">
      <c r="A385" s="67"/>
      <c r="B385" s="67"/>
      <c r="C385" s="66"/>
      <c r="D385" s="56"/>
    </row>
    <row r="386">
      <c r="A386" s="67"/>
      <c r="B386" s="67"/>
      <c r="C386" s="66"/>
      <c r="D386" s="56"/>
    </row>
    <row r="387">
      <c r="A387" s="67"/>
      <c r="B387" s="67"/>
      <c r="C387" s="66"/>
      <c r="D387" s="56"/>
    </row>
    <row r="388">
      <c r="A388" s="67"/>
      <c r="B388" s="67"/>
      <c r="C388" s="66"/>
      <c r="D388" s="56"/>
    </row>
    <row r="389">
      <c r="A389" s="67"/>
      <c r="B389" s="67"/>
      <c r="C389" s="66"/>
      <c r="D389" s="56"/>
    </row>
    <row r="390">
      <c r="A390" s="67"/>
      <c r="B390" s="67"/>
      <c r="C390" s="66"/>
      <c r="D390" s="56"/>
    </row>
    <row r="391">
      <c r="A391" s="67"/>
      <c r="B391" s="67"/>
      <c r="C391" s="66"/>
      <c r="D391" s="56"/>
    </row>
    <row r="392">
      <c r="A392" s="67"/>
      <c r="B392" s="67"/>
      <c r="C392" s="66"/>
      <c r="D392" s="56"/>
    </row>
    <row r="393">
      <c r="A393" s="67"/>
      <c r="B393" s="67"/>
      <c r="C393" s="66"/>
      <c r="D393" s="56"/>
    </row>
    <row r="394">
      <c r="A394" s="67"/>
      <c r="B394" s="67"/>
      <c r="C394" s="66"/>
      <c r="D394" s="56"/>
    </row>
    <row r="395">
      <c r="A395" s="67"/>
      <c r="B395" s="67"/>
      <c r="C395" s="66"/>
      <c r="D395" s="56"/>
    </row>
    <row r="396">
      <c r="A396" s="67"/>
      <c r="B396" s="67"/>
      <c r="C396" s="66"/>
      <c r="D396" s="56"/>
    </row>
    <row r="397">
      <c r="A397" s="67"/>
      <c r="B397" s="67"/>
      <c r="C397" s="66"/>
      <c r="D397" s="56"/>
    </row>
    <row r="398">
      <c r="A398" s="67"/>
      <c r="B398" s="67"/>
      <c r="C398" s="66"/>
      <c r="D398" s="56"/>
    </row>
    <row r="399">
      <c r="A399" s="67"/>
      <c r="B399" s="67"/>
      <c r="C399" s="66"/>
      <c r="D399" s="56"/>
    </row>
    <row r="400">
      <c r="A400" s="67"/>
      <c r="B400" s="67"/>
      <c r="C400" s="66"/>
      <c r="D400" s="56"/>
    </row>
    <row r="401">
      <c r="A401" s="67"/>
      <c r="B401" s="67"/>
      <c r="C401" s="66"/>
      <c r="D401" s="56"/>
    </row>
    <row r="402">
      <c r="A402" s="67"/>
      <c r="B402" s="67"/>
      <c r="C402" s="66"/>
      <c r="D402" s="56"/>
    </row>
    <row r="403">
      <c r="A403" s="67"/>
      <c r="B403" s="67"/>
      <c r="C403" s="66"/>
      <c r="D403" s="56"/>
    </row>
    <row r="404">
      <c r="A404" s="67"/>
      <c r="B404" s="67"/>
      <c r="C404" s="66"/>
      <c r="D404" s="56"/>
    </row>
    <row r="405">
      <c r="A405" s="67"/>
      <c r="B405" s="67"/>
      <c r="C405" s="66"/>
      <c r="D405" s="56"/>
    </row>
    <row r="406">
      <c r="A406" s="67"/>
      <c r="B406" s="67"/>
      <c r="C406" s="66"/>
      <c r="D406" s="56"/>
    </row>
    <row r="407">
      <c r="A407" s="67"/>
      <c r="B407" s="67"/>
      <c r="C407" s="66"/>
      <c r="D407" s="56"/>
    </row>
    <row r="408">
      <c r="A408" s="67"/>
      <c r="B408" s="67"/>
      <c r="C408" s="66"/>
      <c r="D408" s="56"/>
    </row>
    <row r="409">
      <c r="A409" s="67"/>
      <c r="B409" s="67"/>
      <c r="C409" s="66"/>
      <c r="D409" s="56"/>
    </row>
    <row r="410">
      <c r="A410" s="67"/>
      <c r="B410" s="67"/>
      <c r="C410" s="66"/>
      <c r="D410" s="56"/>
    </row>
    <row r="411">
      <c r="A411" s="67"/>
      <c r="B411" s="67"/>
      <c r="C411" s="66"/>
      <c r="D411" s="56"/>
    </row>
    <row r="412">
      <c r="A412" s="67"/>
      <c r="B412" s="67"/>
      <c r="C412" s="66"/>
      <c r="D412" s="56"/>
    </row>
    <row r="413">
      <c r="A413" s="67"/>
      <c r="B413" s="67"/>
      <c r="C413" s="66"/>
      <c r="D413" s="56"/>
    </row>
    <row r="414">
      <c r="A414" s="67"/>
      <c r="B414" s="67"/>
      <c r="C414" s="66"/>
      <c r="D414" s="56"/>
    </row>
    <row r="415">
      <c r="A415" s="67"/>
      <c r="B415" s="67"/>
      <c r="C415" s="66"/>
      <c r="D415" s="56"/>
    </row>
    <row r="416">
      <c r="A416" s="67"/>
      <c r="B416" s="67"/>
      <c r="C416" s="66"/>
      <c r="D416" s="56"/>
    </row>
    <row r="417">
      <c r="A417" s="67"/>
      <c r="B417" s="67"/>
      <c r="C417" s="66"/>
      <c r="D417" s="56"/>
    </row>
    <row r="418">
      <c r="A418" s="67"/>
      <c r="B418" s="67"/>
      <c r="C418" s="66"/>
      <c r="D418" s="56"/>
    </row>
    <row r="419">
      <c r="A419" s="67"/>
      <c r="B419" s="67"/>
      <c r="C419" s="66"/>
      <c r="D419" s="56"/>
    </row>
    <row r="420">
      <c r="A420" s="67"/>
      <c r="B420" s="67"/>
      <c r="C420" s="66"/>
      <c r="D420" s="56"/>
    </row>
    <row r="421">
      <c r="A421" s="67"/>
      <c r="B421" s="67"/>
      <c r="C421" s="66"/>
      <c r="D421" s="56"/>
    </row>
    <row r="422">
      <c r="A422" s="67"/>
      <c r="B422" s="67"/>
      <c r="C422" s="66"/>
      <c r="D422" s="56"/>
    </row>
    <row r="423">
      <c r="A423" s="67"/>
      <c r="B423" s="67"/>
      <c r="C423" s="66"/>
      <c r="D423" s="56"/>
    </row>
    <row r="424">
      <c r="A424" s="67"/>
      <c r="B424" s="67"/>
      <c r="C424" s="66"/>
      <c r="D424" s="56"/>
    </row>
    <row r="425">
      <c r="A425" s="67"/>
      <c r="B425" s="67"/>
      <c r="C425" s="66"/>
      <c r="D425" s="56"/>
    </row>
    <row r="426">
      <c r="A426" s="67"/>
      <c r="B426" s="67"/>
      <c r="C426" s="66"/>
      <c r="D426" s="56"/>
    </row>
    <row r="427">
      <c r="A427" s="67"/>
      <c r="B427" s="67"/>
      <c r="C427" s="66"/>
      <c r="D427" s="56"/>
    </row>
    <row r="428">
      <c r="A428" s="67"/>
      <c r="B428" s="67"/>
      <c r="C428" s="66"/>
      <c r="D428" s="56"/>
    </row>
    <row r="429">
      <c r="A429" s="67"/>
      <c r="B429" s="67"/>
      <c r="C429" s="66"/>
      <c r="D429" s="56"/>
    </row>
    <row r="430">
      <c r="A430" s="67"/>
      <c r="B430" s="67"/>
      <c r="C430" s="66"/>
      <c r="D430" s="56"/>
    </row>
    <row r="431">
      <c r="A431" s="67"/>
      <c r="B431" s="67"/>
      <c r="C431" s="66"/>
      <c r="D431" s="56"/>
    </row>
    <row r="432">
      <c r="A432" s="67"/>
      <c r="B432" s="67"/>
      <c r="C432" s="66"/>
      <c r="D432" s="56"/>
    </row>
    <row r="433">
      <c r="A433" s="67"/>
      <c r="B433" s="67"/>
      <c r="C433" s="66"/>
      <c r="D433" s="56"/>
    </row>
    <row r="434">
      <c r="A434" s="67"/>
      <c r="B434" s="67"/>
      <c r="C434" s="66"/>
      <c r="D434" s="56"/>
    </row>
    <row r="435">
      <c r="A435" s="67"/>
      <c r="B435" s="67"/>
      <c r="C435" s="66"/>
      <c r="D435" s="56"/>
    </row>
    <row r="436">
      <c r="A436" s="67"/>
      <c r="B436" s="67"/>
      <c r="C436" s="66"/>
      <c r="D436" s="56"/>
    </row>
    <row r="437">
      <c r="A437" s="67"/>
      <c r="B437" s="67"/>
      <c r="C437" s="66"/>
      <c r="D437" s="56"/>
    </row>
    <row r="438">
      <c r="A438" s="67"/>
      <c r="B438" s="67"/>
      <c r="C438" s="66"/>
      <c r="D438" s="56"/>
    </row>
    <row r="439">
      <c r="A439" s="67"/>
      <c r="B439" s="67"/>
      <c r="C439" s="66"/>
      <c r="D439" s="56"/>
    </row>
    <row r="440">
      <c r="A440" s="67"/>
      <c r="B440" s="67"/>
      <c r="C440" s="66"/>
      <c r="D440" s="56"/>
    </row>
    <row r="441">
      <c r="A441" s="67"/>
      <c r="B441" s="67"/>
      <c r="C441" s="66"/>
      <c r="D441" s="56"/>
    </row>
    <row r="442">
      <c r="A442" s="67"/>
      <c r="B442" s="67"/>
      <c r="C442" s="66"/>
      <c r="D442" s="56"/>
    </row>
    <row r="443">
      <c r="A443" s="67"/>
      <c r="B443" s="67"/>
      <c r="C443" s="66"/>
      <c r="D443" s="56"/>
    </row>
    <row r="444">
      <c r="A444" s="67"/>
      <c r="B444" s="67"/>
      <c r="C444" s="66"/>
      <c r="D444" s="56"/>
    </row>
    <row r="445">
      <c r="A445" s="67"/>
      <c r="B445" s="67"/>
      <c r="C445" s="66"/>
      <c r="D445" s="56"/>
    </row>
    <row r="446">
      <c r="A446" s="67"/>
      <c r="B446" s="67"/>
      <c r="C446" s="66"/>
      <c r="D446" s="56"/>
    </row>
    <row r="447">
      <c r="A447" s="67"/>
      <c r="B447" s="67"/>
      <c r="C447" s="66"/>
      <c r="D447" s="56"/>
    </row>
    <row r="448">
      <c r="A448" s="67"/>
      <c r="B448" s="67"/>
      <c r="C448" s="66"/>
      <c r="D448" s="56"/>
    </row>
    <row r="449">
      <c r="A449" s="67"/>
      <c r="B449" s="67"/>
      <c r="C449" s="66"/>
      <c r="D449" s="56"/>
    </row>
    <row r="450">
      <c r="A450" s="67"/>
      <c r="B450" s="67"/>
      <c r="C450" s="66"/>
      <c r="D450" s="56"/>
    </row>
    <row r="451">
      <c r="A451" s="67"/>
      <c r="B451" s="67"/>
      <c r="C451" s="66"/>
      <c r="D451" s="56"/>
    </row>
    <row r="452">
      <c r="A452" s="67"/>
      <c r="B452" s="67"/>
      <c r="C452" s="66"/>
      <c r="D452" s="56"/>
    </row>
    <row r="453">
      <c r="A453" s="67"/>
      <c r="B453" s="67"/>
      <c r="C453" s="66"/>
      <c r="D453" s="56"/>
    </row>
    <row r="454">
      <c r="A454" s="67"/>
      <c r="B454" s="67"/>
      <c r="C454" s="66"/>
      <c r="D454" s="56"/>
    </row>
    <row r="455">
      <c r="A455" s="67"/>
      <c r="B455" s="67"/>
      <c r="C455" s="66"/>
      <c r="D455" s="56"/>
    </row>
    <row r="456">
      <c r="A456" s="67"/>
      <c r="B456" s="67"/>
      <c r="C456" s="66"/>
      <c r="D456" s="56"/>
    </row>
    <row r="457">
      <c r="A457" s="67"/>
      <c r="B457" s="67"/>
      <c r="C457" s="66"/>
      <c r="D457" s="56"/>
    </row>
    <row r="458">
      <c r="A458" s="67"/>
      <c r="B458" s="67"/>
      <c r="C458" s="66"/>
      <c r="D458" s="56"/>
    </row>
    <row r="459">
      <c r="A459" s="67"/>
      <c r="B459" s="67"/>
      <c r="C459" s="66"/>
      <c r="D459" s="56"/>
    </row>
    <row r="460">
      <c r="A460" s="67"/>
      <c r="B460" s="67"/>
      <c r="C460" s="66"/>
      <c r="D460" s="56"/>
    </row>
    <row r="461">
      <c r="A461" s="67"/>
      <c r="B461" s="67"/>
      <c r="C461" s="66"/>
      <c r="D461" s="56"/>
    </row>
    <row r="462">
      <c r="A462" s="67"/>
      <c r="B462" s="67"/>
      <c r="C462" s="66"/>
      <c r="D462" s="56"/>
    </row>
    <row r="463">
      <c r="A463" s="67"/>
      <c r="B463" s="67"/>
      <c r="C463" s="66"/>
      <c r="D463" s="56"/>
    </row>
    <row r="464">
      <c r="A464" s="67"/>
      <c r="B464" s="67"/>
      <c r="C464" s="66"/>
      <c r="D464" s="56"/>
    </row>
    <row r="465">
      <c r="A465" s="67"/>
      <c r="B465" s="67"/>
      <c r="C465" s="66"/>
      <c r="D465" s="56"/>
    </row>
    <row r="466">
      <c r="A466" s="67"/>
      <c r="B466" s="67"/>
      <c r="C466" s="66"/>
      <c r="D466" s="56"/>
    </row>
    <row r="467">
      <c r="A467" s="67"/>
      <c r="B467" s="67"/>
      <c r="C467" s="66"/>
      <c r="D467" s="56"/>
    </row>
    <row r="468">
      <c r="A468" s="67"/>
      <c r="B468" s="67"/>
      <c r="C468" s="66"/>
      <c r="D468" s="56"/>
    </row>
    <row r="469">
      <c r="A469" s="67"/>
      <c r="B469" s="67"/>
      <c r="C469" s="66"/>
      <c r="D469" s="56"/>
    </row>
    <row r="470">
      <c r="A470" s="67"/>
      <c r="B470" s="67"/>
      <c r="C470" s="66"/>
      <c r="D470" s="56"/>
    </row>
    <row r="471">
      <c r="A471" s="67"/>
      <c r="B471" s="67"/>
      <c r="C471" s="66"/>
      <c r="D471" s="56"/>
    </row>
    <row r="472">
      <c r="A472" s="67"/>
      <c r="B472" s="67"/>
      <c r="C472" s="66"/>
      <c r="D472" s="56"/>
    </row>
    <row r="473">
      <c r="A473" s="67"/>
      <c r="B473" s="67"/>
      <c r="C473" s="66"/>
      <c r="D473" s="56"/>
    </row>
    <row r="474">
      <c r="A474" s="67"/>
      <c r="B474" s="67"/>
      <c r="C474" s="66"/>
      <c r="D474" s="56"/>
    </row>
    <row r="475">
      <c r="A475" s="67"/>
      <c r="B475" s="67"/>
      <c r="C475" s="66"/>
      <c r="D475" s="56"/>
    </row>
    <row r="476">
      <c r="A476" s="67"/>
      <c r="B476" s="67"/>
      <c r="C476" s="66"/>
      <c r="D476" s="56"/>
    </row>
    <row r="477">
      <c r="A477" s="67"/>
      <c r="B477" s="67"/>
      <c r="C477" s="66"/>
      <c r="D477" s="56"/>
    </row>
    <row r="478">
      <c r="A478" s="67"/>
      <c r="B478" s="67"/>
      <c r="C478" s="66"/>
      <c r="D478" s="56"/>
    </row>
    <row r="479">
      <c r="A479" s="67"/>
      <c r="B479" s="67"/>
      <c r="C479" s="66"/>
      <c r="D479" s="56"/>
    </row>
    <row r="480">
      <c r="A480" s="67"/>
      <c r="B480" s="67"/>
      <c r="C480" s="66"/>
      <c r="D480" s="56"/>
    </row>
    <row r="481">
      <c r="A481" s="67"/>
      <c r="B481" s="67"/>
      <c r="C481" s="66"/>
      <c r="D481" s="56"/>
    </row>
    <row r="482">
      <c r="A482" s="67"/>
      <c r="B482" s="67"/>
      <c r="C482" s="66"/>
      <c r="D482" s="56"/>
    </row>
    <row r="483">
      <c r="A483" s="67"/>
      <c r="B483" s="67"/>
      <c r="C483" s="66"/>
      <c r="D483" s="56"/>
    </row>
    <row r="484">
      <c r="A484" s="67"/>
      <c r="B484" s="67"/>
      <c r="C484" s="66"/>
      <c r="D484" s="56"/>
    </row>
    <row r="485">
      <c r="A485" s="67"/>
      <c r="B485" s="67"/>
      <c r="C485" s="66"/>
      <c r="D485" s="56"/>
    </row>
    <row r="486">
      <c r="A486" s="67"/>
      <c r="B486" s="67"/>
      <c r="C486" s="66"/>
      <c r="D486" s="56"/>
    </row>
    <row r="487">
      <c r="A487" s="67"/>
      <c r="B487" s="67"/>
      <c r="C487" s="66"/>
      <c r="D487" s="56"/>
    </row>
    <row r="488">
      <c r="A488" s="67"/>
      <c r="B488" s="67"/>
      <c r="C488" s="66"/>
      <c r="D488" s="56"/>
    </row>
    <row r="489">
      <c r="A489" s="67"/>
      <c r="B489" s="67"/>
      <c r="C489" s="66"/>
      <c r="D489" s="56"/>
    </row>
    <row r="490">
      <c r="A490" s="67"/>
      <c r="B490" s="67"/>
      <c r="C490" s="66"/>
      <c r="D490" s="56"/>
    </row>
    <row r="491">
      <c r="A491" s="67"/>
      <c r="B491" s="67"/>
      <c r="C491" s="66"/>
      <c r="D491" s="56"/>
    </row>
    <row r="492">
      <c r="A492" s="67"/>
      <c r="B492" s="67"/>
      <c r="C492" s="66"/>
      <c r="D492" s="56"/>
    </row>
    <row r="493">
      <c r="A493" s="67"/>
      <c r="B493" s="67"/>
      <c r="C493" s="66"/>
      <c r="D493" s="56"/>
    </row>
    <row r="494">
      <c r="A494" s="67"/>
      <c r="B494" s="67"/>
      <c r="C494" s="66"/>
      <c r="D494" s="56"/>
    </row>
    <row r="495">
      <c r="A495" s="67"/>
      <c r="B495" s="67"/>
      <c r="C495" s="66"/>
      <c r="D495" s="56"/>
    </row>
    <row r="496">
      <c r="A496" s="67"/>
      <c r="B496" s="67"/>
      <c r="C496" s="66"/>
      <c r="D496" s="56"/>
    </row>
    <row r="497">
      <c r="A497" s="67"/>
      <c r="B497" s="67"/>
      <c r="C497" s="66"/>
      <c r="D497" s="56"/>
    </row>
    <row r="498">
      <c r="A498" s="67"/>
      <c r="B498" s="67"/>
      <c r="C498" s="66"/>
      <c r="D498" s="56"/>
    </row>
    <row r="499">
      <c r="A499" s="67"/>
      <c r="B499" s="67"/>
      <c r="C499" s="66"/>
      <c r="D499" s="56"/>
    </row>
    <row r="500">
      <c r="A500" s="67"/>
      <c r="B500" s="67"/>
      <c r="C500" s="66"/>
      <c r="D500" s="56"/>
    </row>
    <row r="501">
      <c r="A501" s="67"/>
      <c r="B501" s="67"/>
      <c r="C501" s="66"/>
      <c r="D501" s="56"/>
    </row>
    <row r="502">
      <c r="A502" s="67"/>
      <c r="B502" s="67"/>
      <c r="C502" s="66"/>
      <c r="D502" s="56"/>
    </row>
    <row r="503">
      <c r="A503" s="67"/>
      <c r="B503" s="67"/>
      <c r="C503" s="66"/>
      <c r="D503" s="56"/>
    </row>
    <row r="504">
      <c r="A504" s="67"/>
      <c r="B504" s="67"/>
      <c r="C504" s="66"/>
      <c r="D504" s="56"/>
    </row>
    <row r="505">
      <c r="A505" s="67"/>
      <c r="B505" s="67"/>
      <c r="C505" s="66"/>
      <c r="D505" s="56"/>
    </row>
    <row r="506">
      <c r="A506" s="67"/>
      <c r="B506" s="67"/>
      <c r="C506" s="66"/>
      <c r="D506" s="56"/>
    </row>
    <row r="507">
      <c r="A507" s="67"/>
      <c r="B507" s="67"/>
      <c r="C507" s="66"/>
      <c r="D507" s="56"/>
    </row>
    <row r="508">
      <c r="A508" s="67"/>
      <c r="B508" s="67"/>
      <c r="C508" s="66"/>
      <c r="D508" s="56"/>
    </row>
    <row r="509">
      <c r="A509" s="67"/>
      <c r="B509" s="67"/>
      <c r="C509" s="66"/>
      <c r="D509" s="56"/>
    </row>
    <row r="510">
      <c r="A510" s="67"/>
      <c r="B510" s="67"/>
      <c r="C510" s="66"/>
      <c r="D510" s="56"/>
    </row>
    <row r="511">
      <c r="A511" s="67"/>
      <c r="B511" s="67"/>
      <c r="C511" s="66"/>
      <c r="D511" s="56"/>
    </row>
    <row r="512">
      <c r="A512" s="67"/>
      <c r="B512" s="67"/>
      <c r="C512" s="66"/>
      <c r="D512" s="56"/>
    </row>
    <row r="513">
      <c r="A513" s="67"/>
      <c r="B513" s="67"/>
      <c r="C513" s="66"/>
      <c r="D513" s="56"/>
    </row>
    <row r="514">
      <c r="A514" s="67"/>
      <c r="B514" s="67"/>
      <c r="C514" s="66"/>
      <c r="D514" s="56"/>
    </row>
    <row r="515">
      <c r="A515" s="67"/>
      <c r="B515" s="67"/>
      <c r="C515" s="66"/>
      <c r="D515" s="56"/>
    </row>
    <row r="516">
      <c r="A516" s="67"/>
      <c r="B516" s="67"/>
      <c r="C516" s="66"/>
      <c r="D516" s="56"/>
    </row>
    <row r="517">
      <c r="A517" s="67"/>
      <c r="B517" s="67"/>
      <c r="C517" s="66"/>
      <c r="D517" s="56"/>
    </row>
    <row r="518">
      <c r="A518" s="67"/>
      <c r="B518" s="67"/>
      <c r="C518" s="66"/>
      <c r="D518" s="56"/>
    </row>
    <row r="519">
      <c r="A519" s="67"/>
      <c r="B519" s="67"/>
      <c r="C519" s="66"/>
      <c r="D519" s="56"/>
    </row>
    <row r="520">
      <c r="A520" s="67"/>
      <c r="B520" s="67"/>
      <c r="C520" s="66"/>
      <c r="D520" s="56"/>
    </row>
    <row r="521">
      <c r="A521" s="67"/>
      <c r="B521" s="67"/>
      <c r="C521" s="66"/>
      <c r="D521" s="56"/>
    </row>
    <row r="522">
      <c r="A522" s="67"/>
      <c r="B522" s="67"/>
      <c r="C522" s="66"/>
      <c r="D522" s="56"/>
    </row>
    <row r="523">
      <c r="A523" s="67"/>
      <c r="B523" s="67"/>
      <c r="C523" s="66"/>
      <c r="D523" s="56"/>
    </row>
    <row r="524">
      <c r="A524" s="67"/>
      <c r="B524" s="67"/>
      <c r="C524" s="66"/>
      <c r="D524" s="56"/>
    </row>
    <row r="525">
      <c r="A525" s="67"/>
      <c r="B525" s="67"/>
      <c r="C525" s="66"/>
      <c r="D525" s="56"/>
    </row>
    <row r="526">
      <c r="A526" s="67"/>
      <c r="B526" s="67"/>
      <c r="C526" s="66"/>
      <c r="D526" s="56"/>
    </row>
    <row r="527">
      <c r="A527" s="67"/>
      <c r="B527" s="67"/>
      <c r="C527" s="66"/>
      <c r="D527" s="56"/>
    </row>
    <row r="528">
      <c r="A528" s="67"/>
      <c r="B528" s="67"/>
      <c r="C528" s="66"/>
      <c r="D528" s="56"/>
    </row>
    <row r="529">
      <c r="A529" s="67"/>
      <c r="B529" s="67"/>
      <c r="C529" s="66"/>
      <c r="D529" s="56"/>
    </row>
    <row r="530">
      <c r="A530" s="67"/>
      <c r="B530" s="67"/>
      <c r="C530" s="66"/>
      <c r="D530" s="56"/>
    </row>
    <row r="531">
      <c r="A531" s="67"/>
      <c r="B531" s="67"/>
      <c r="C531" s="66"/>
      <c r="D531" s="56"/>
    </row>
    <row r="532">
      <c r="A532" s="67"/>
      <c r="B532" s="67"/>
      <c r="C532" s="66"/>
      <c r="D532" s="56"/>
    </row>
    <row r="533">
      <c r="A533" s="67"/>
      <c r="B533" s="67"/>
      <c r="C533" s="66"/>
      <c r="D533" s="56"/>
    </row>
    <row r="534">
      <c r="A534" s="67"/>
      <c r="B534" s="67"/>
      <c r="C534" s="66"/>
      <c r="D534" s="56"/>
    </row>
    <row r="535">
      <c r="A535" s="67"/>
      <c r="B535" s="67"/>
      <c r="C535" s="66"/>
      <c r="D535" s="56"/>
    </row>
    <row r="536">
      <c r="A536" s="67"/>
      <c r="B536" s="67"/>
      <c r="C536" s="66"/>
      <c r="D536" s="56"/>
    </row>
    <row r="537">
      <c r="A537" s="67"/>
      <c r="B537" s="67"/>
      <c r="C537" s="66"/>
      <c r="D537" s="56"/>
    </row>
    <row r="538">
      <c r="A538" s="67"/>
      <c r="B538" s="67"/>
      <c r="C538" s="66"/>
      <c r="D538" s="56"/>
    </row>
    <row r="539">
      <c r="A539" s="67"/>
      <c r="B539" s="67"/>
      <c r="C539" s="66"/>
      <c r="D539" s="56"/>
    </row>
    <row r="540">
      <c r="A540" s="67"/>
      <c r="B540" s="67"/>
      <c r="C540" s="66"/>
      <c r="D540" s="56"/>
    </row>
    <row r="541">
      <c r="A541" s="67"/>
      <c r="B541" s="67"/>
      <c r="C541" s="66"/>
      <c r="D541" s="56"/>
    </row>
    <row r="542">
      <c r="A542" s="67"/>
      <c r="B542" s="67"/>
      <c r="C542" s="66"/>
      <c r="D542" s="56"/>
    </row>
    <row r="543">
      <c r="A543" s="67"/>
      <c r="B543" s="67"/>
      <c r="C543" s="66"/>
      <c r="D543" s="56"/>
    </row>
    <row r="544">
      <c r="A544" s="67"/>
      <c r="B544" s="67"/>
      <c r="C544" s="66"/>
      <c r="D544" s="56"/>
    </row>
    <row r="545">
      <c r="A545" s="67"/>
      <c r="B545" s="67"/>
      <c r="C545" s="66"/>
      <c r="D545" s="56"/>
    </row>
    <row r="546">
      <c r="A546" s="67"/>
      <c r="B546" s="67"/>
      <c r="C546" s="66"/>
      <c r="D546" s="56"/>
    </row>
    <row r="547">
      <c r="A547" s="67"/>
      <c r="B547" s="67"/>
      <c r="C547" s="66"/>
      <c r="D547" s="56"/>
    </row>
    <row r="548">
      <c r="A548" s="67"/>
      <c r="B548" s="67"/>
      <c r="C548" s="66"/>
      <c r="D548" s="56"/>
    </row>
    <row r="549">
      <c r="A549" s="67"/>
      <c r="B549" s="67"/>
      <c r="C549" s="66"/>
      <c r="D549" s="56"/>
    </row>
    <row r="550">
      <c r="A550" s="67"/>
      <c r="B550" s="67"/>
      <c r="C550" s="66"/>
      <c r="D550" s="56"/>
    </row>
    <row r="551">
      <c r="A551" s="67"/>
      <c r="B551" s="67"/>
      <c r="C551" s="66"/>
      <c r="D551" s="56"/>
    </row>
    <row r="552">
      <c r="A552" s="67"/>
      <c r="B552" s="67"/>
      <c r="C552" s="66"/>
      <c r="D552" s="56"/>
    </row>
    <row r="553">
      <c r="A553" s="67"/>
      <c r="B553" s="67"/>
      <c r="C553" s="66"/>
      <c r="D553" s="56"/>
    </row>
    <row r="554">
      <c r="A554" s="67"/>
      <c r="B554" s="67"/>
      <c r="C554" s="66"/>
      <c r="D554" s="56"/>
    </row>
    <row r="555">
      <c r="A555" s="67"/>
      <c r="B555" s="67"/>
      <c r="C555" s="66"/>
      <c r="D555" s="56"/>
    </row>
    <row r="556">
      <c r="A556" s="67"/>
      <c r="B556" s="67"/>
      <c r="C556" s="66"/>
      <c r="D556" s="56"/>
    </row>
    <row r="557">
      <c r="A557" s="67"/>
      <c r="B557" s="67"/>
      <c r="C557" s="66"/>
      <c r="D557" s="56"/>
    </row>
    <row r="558">
      <c r="A558" s="67"/>
      <c r="B558" s="67"/>
      <c r="C558" s="66"/>
      <c r="D558" s="56"/>
    </row>
    <row r="559">
      <c r="A559" s="67"/>
      <c r="B559" s="67"/>
      <c r="C559" s="66"/>
      <c r="D559" s="56"/>
    </row>
    <row r="560">
      <c r="A560" s="67"/>
      <c r="B560" s="67"/>
      <c r="C560" s="66"/>
      <c r="D560" s="56"/>
    </row>
    <row r="561">
      <c r="A561" s="67"/>
      <c r="B561" s="67"/>
      <c r="C561" s="66"/>
      <c r="D561" s="56"/>
    </row>
    <row r="562">
      <c r="A562" s="67"/>
      <c r="B562" s="67"/>
      <c r="C562" s="66"/>
      <c r="D562" s="56"/>
    </row>
    <row r="563">
      <c r="A563" s="67"/>
      <c r="B563" s="67"/>
      <c r="C563" s="66"/>
      <c r="D563" s="56"/>
    </row>
    <row r="564">
      <c r="A564" s="67"/>
      <c r="B564" s="67"/>
      <c r="C564" s="66"/>
      <c r="D564" s="56"/>
    </row>
    <row r="565">
      <c r="A565" s="67"/>
      <c r="B565" s="67"/>
      <c r="C565" s="66"/>
      <c r="D565" s="56"/>
    </row>
    <row r="566">
      <c r="A566" s="67"/>
      <c r="B566" s="67"/>
      <c r="C566" s="66"/>
      <c r="D566" s="56"/>
    </row>
    <row r="567">
      <c r="A567" s="67"/>
      <c r="B567" s="67"/>
      <c r="C567" s="66"/>
      <c r="D567" s="56"/>
    </row>
    <row r="568">
      <c r="A568" s="67"/>
      <c r="B568" s="67"/>
      <c r="C568" s="66"/>
      <c r="D568" s="56"/>
    </row>
    <row r="569">
      <c r="A569" s="67"/>
      <c r="B569" s="67"/>
      <c r="C569" s="66"/>
      <c r="D569" s="56"/>
    </row>
    <row r="570">
      <c r="A570" s="67"/>
      <c r="B570" s="67"/>
      <c r="C570" s="66"/>
      <c r="D570" s="56"/>
    </row>
    <row r="571">
      <c r="A571" s="67"/>
      <c r="B571" s="67"/>
      <c r="C571" s="66"/>
      <c r="D571" s="56"/>
    </row>
    <row r="572">
      <c r="A572" s="67"/>
      <c r="B572" s="67"/>
      <c r="C572" s="66"/>
      <c r="D572" s="56"/>
    </row>
    <row r="573">
      <c r="A573" s="67"/>
      <c r="B573" s="67"/>
      <c r="C573" s="66"/>
      <c r="D573" s="56"/>
    </row>
    <row r="574">
      <c r="A574" s="67"/>
      <c r="B574" s="67"/>
      <c r="C574" s="66"/>
      <c r="D574" s="56"/>
    </row>
    <row r="575">
      <c r="A575" s="67"/>
      <c r="B575" s="67"/>
      <c r="C575" s="66"/>
      <c r="D575" s="56"/>
    </row>
    <row r="576">
      <c r="A576" s="67"/>
      <c r="B576" s="67"/>
      <c r="C576" s="66"/>
      <c r="D576" s="56"/>
    </row>
    <row r="577">
      <c r="A577" s="67"/>
      <c r="B577" s="67"/>
      <c r="C577" s="66"/>
      <c r="D577" s="56"/>
    </row>
    <row r="578">
      <c r="A578" s="67"/>
      <c r="B578" s="67"/>
      <c r="C578" s="66"/>
      <c r="D578" s="56"/>
    </row>
    <row r="579">
      <c r="A579" s="67"/>
      <c r="B579" s="67"/>
      <c r="C579" s="66"/>
      <c r="D579" s="56"/>
    </row>
    <row r="580">
      <c r="A580" s="67"/>
      <c r="B580" s="67"/>
      <c r="C580" s="66"/>
      <c r="D580" s="56"/>
    </row>
    <row r="581">
      <c r="A581" s="67"/>
      <c r="B581" s="67"/>
      <c r="C581" s="66"/>
      <c r="D581" s="56"/>
    </row>
    <row r="582">
      <c r="A582" s="67"/>
      <c r="B582" s="67"/>
      <c r="C582" s="66"/>
      <c r="D582" s="56"/>
    </row>
    <row r="583">
      <c r="A583" s="67"/>
      <c r="B583" s="67"/>
      <c r="C583" s="66"/>
      <c r="D583" s="56"/>
    </row>
    <row r="584">
      <c r="A584" s="67"/>
      <c r="B584" s="67"/>
      <c r="C584" s="66"/>
      <c r="D584" s="56"/>
    </row>
    <row r="585">
      <c r="A585" s="67"/>
      <c r="B585" s="67"/>
      <c r="C585" s="66"/>
      <c r="D585" s="56"/>
    </row>
    <row r="586">
      <c r="A586" s="67"/>
      <c r="B586" s="67"/>
      <c r="C586" s="66"/>
      <c r="D586" s="56"/>
    </row>
    <row r="587">
      <c r="A587" s="67"/>
      <c r="B587" s="67"/>
      <c r="C587" s="66"/>
      <c r="D587" s="56"/>
    </row>
    <row r="588">
      <c r="A588" s="67"/>
      <c r="B588" s="67"/>
      <c r="C588" s="66"/>
      <c r="D588" s="56"/>
    </row>
    <row r="589">
      <c r="A589" s="67"/>
      <c r="B589" s="67"/>
      <c r="C589" s="66"/>
      <c r="D589" s="56"/>
    </row>
    <row r="590">
      <c r="A590" s="67"/>
      <c r="B590" s="67"/>
      <c r="C590" s="66"/>
      <c r="D590" s="56"/>
    </row>
    <row r="591">
      <c r="A591" s="67"/>
      <c r="B591" s="67"/>
      <c r="C591" s="66"/>
      <c r="D591" s="56"/>
    </row>
    <row r="592">
      <c r="A592" s="67"/>
      <c r="B592" s="67"/>
      <c r="C592" s="66"/>
      <c r="D592" s="56"/>
    </row>
    <row r="593">
      <c r="A593" s="67"/>
      <c r="B593" s="67"/>
      <c r="C593" s="66"/>
      <c r="D593" s="56"/>
    </row>
    <row r="594">
      <c r="A594" s="67"/>
      <c r="B594" s="67"/>
      <c r="C594" s="66"/>
      <c r="D594" s="56"/>
    </row>
    <row r="595">
      <c r="A595" s="67"/>
      <c r="B595" s="67"/>
      <c r="C595" s="66"/>
      <c r="D595" s="56"/>
    </row>
    <row r="596">
      <c r="A596" s="67"/>
      <c r="B596" s="67"/>
      <c r="C596" s="66"/>
      <c r="D596" s="56"/>
    </row>
    <row r="597">
      <c r="A597" s="67"/>
      <c r="B597" s="67"/>
      <c r="C597" s="66"/>
      <c r="D597" s="56"/>
    </row>
    <row r="598">
      <c r="A598" s="67"/>
      <c r="B598" s="67"/>
      <c r="C598" s="66"/>
      <c r="D598" s="56"/>
    </row>
    <row r="599">
      <c r="A599" s="67"/>
      <c r="B599" s="67"/>
      <c r="C599" s="66"/>
      <c r="D599" s="56"/>
    </row>
    <row r="600">
      <c r="A600" s="67"/>
      <c r="B600" s="67"/>
      <c r="C600" s="66"/>
      <c r="D600" s="56"/>
    </row>
    <row r="601">
      <c r="A601" s="67"/>
      <c r="B601" s="67"/>
      <c r="C601" s="66"/>
      <c r="D601" s="56"/>
    </row>
    <row r="602">
      <c r="A602" s="67"/>
      <c r="B602" s="67"/>
      <c r="C602" s="66"/>
      <c r="D602" s="56"/>
    </row>
    <row r="603">
      <c r="A603" s="67"/>
      <c r="B603" s="67"/>
      <c r="C603" s="66"/>
      <c r="D603" s="56"/>
    </row>
    <row r="604">
      <c r="A604" s="67"/>
      <c r="B604" s="67"/>
      <c r="C604" s="66"/>
      <c r="D604" s="56"/>
    </row>
    <row r="605">
      <c r="A605" s="67"/>
      <c r="B605" s="67"/>
      <c r="C605" s="66"/>
      <c r="D605" s="56"/>
    </row>
    <row r="606">
      <c r="A606" s="67"/>
      <c r="B606" s="67"/>
      <c r="C606" s="66"/>
      <c r="D606" s="56"/>
    </row>
    <row r="607">
      <c r="A607" s="67"/>
      <c r="B607" s="67"/>
      <c r="C607" s="66"/>
      <c r="D607" s="56"/>
    </row>
    <row r="608">
      <c r="A608" s="67"/>
      <c r="B608" s="67"/>
      <c r="C608" s="66"/>
      <c r="D608" s="56"/>
    </row>
    <row r="609">
      <c r="A609" s="67"/>
      <c r="B609" s="67"/>
      <c r="C609" s="66"/>
      <c r="D609" s="56"/>
    </row>
    <row r="610">
      <c r="A610" s="67"/>
      <c r="B610" s="67"/>
      <c r="C610" s="66"/>
      <c r="D610" s="56"/>
    </row>
    <row r="611">
      <c r="A611" s="67"/>
      <c r="B611" s="67"/>
      <c r="C611" s="66"/>
      <c r="D611" s="56"/>
    </row>
    <row r="612">
      <c r="A612" s="67"/>
      <c r="B612" s="67"/>
      <c r="C612" s="66"/>
      <c r="D612" s="56"/>
    </row>
    <row r="613">
      <c r="A613" s="67"/>
      <c r="B613" s="67"/>
      <c r="C613" s="66"/>
      <c r="D613" s="56"/>
    </row>
    <row r="614">
      <c r="A614" s="67"/>
      <c r="B614" s="67"/>
      <c r="C614" s="66"/>
      <c r="D614" s="56"/>
    </row>
    <row r="615">
      <c r="A615" s="67"/>
      <c r="B615" s="67"/>
      <c r="C615" s="66"/>
      <c r="D615" s="56"/>
    </row>
    <row r="616">
      <c r="A616" s="67"/>
      <c r="B616" s="67"/>
      <c r="C616" s="66"/>
      <c r="D616" s="56"/>
    </row>
    <row r="617">
      <c r="A617" s="67"/>
      <c r="B617" s="67"/>
      <c r="C617" s="66"/>
      <c r="D617" s="56"/>
    </row>
    <row r="618">
      <c r="A618" s="67"/>
      <c r="B618" s="67"/>
      <c r="C618" s="66"/>
      <c r="D618" s="56"/>
    </row>
    <row r="619">
      <c r="A619" s="67"/>
      <c r="B619" s="67"/>
      <c r="C619" s="66"/>
      <c r="D619" s="56"/>
    </row>
    <row r="620">
      <c r="A620" s="67"/>
      <c r="B620" s="67"/>
      <c r="C620" s="66"/>
      <c r="D620" s="56"/>
    </row>
    <row r="621">
      <c r="A621" s="67"/>
      <c r="B621" s="67"/>
      <c r="C621" s="66"/>
      <c r="D621" s="56"/>
    </row>
    <row r="622">
      <c r="A622" s="67"/>
      <c r="B622" s="67"/>
      <c r="C622" s="66"/>
      <c r="D622" s="56"/>
    </row>
    <row r="623">
      <c r="A623" s="67"/>
      <c r="B623" s="67"/>
      <c r="C623" s="66"/>
      <c r="D623" s="56"/>
    </row>
    <row r="624">
      <c r="A624" s="67"/>
      <c r="B624" s="67"/>
      <c r="C624" s="66"/>
      <c r="D624" s="56"/>
    </row>
    <row r="625">
      <c r="A625" s="67"/>
      <c r="B625" s="67"/>
      <c r="C625" s="66"/>
      <c r="D625" s="56"/>
    </row>
    <row r="626">
      <c r="A626" s="67"/>
      <c r="B626" s="67"/>
      <c r="C626" s="66"/>
      <c r="D626" s="56"/>
    </row>
    <row r="627">
      <c r="A627" s="67"/>
      <c r="B627" s="67"/>
      <c r="C627" s="66"/>
      <c r="D627" s="56"/>
    </row>
    <row r="628">
      <c r="A628" s="67"/>
      <c r="B628" s="67"/>
      <c r="C628" s="66"/>
      <c r="D628" s="56"/>
    </row>
    <row r="629">
      <c r="A629" s="67"/>
      <c r="B629" s="67"/>
      <c r="C629" s="66"/>
      <c r="D629" s="56"/>
    </row>
    <row r="630">
      <c r="A630" s="67"/>
      <c r="B630" s="67"/>
      <c r="C630" s="66"/>
      <c r="D630" s="56"/>
    </row>
    <row r="631">
      <c r="A631" s="67"/>
      <c r="B631" s="67"/>
      <c r="C631" s="66"/>
      <c r="D631" s="56"/>
    </row>
    <row r="632">
      <c r="A632" s="67"/>
      <c r="B632" s="67"/>
      <c r="C632" s="66"/>
      <c r="D632" s="56"/>
    </row>
    <row r="633">
      <c r="A633" s="67"/>
      <c r="B633" s="67"/>
      <c r="C633" s="66"/>
      <c r="D633" s="56"/>
    </row>
    <row r="634">
      <c r="A634" s="67"/>
      <c r="B634" s="67"/>
      <c r="C634" s="66"/>
      <c r="D634" s="56"/>
    </row>
    <row r="635">
      <c r="A635" s="67"/>
      <c r="B635" s="67"/>
      <c r="C635" s="66"/>
      <c r="D635" s="56"/>
    </row>
    <row r="636">
      <c r="A636" s="67"/>
      <c r="B636" s="67"/>
      <c r="C636" s="66"/>
      <c r="D636" s="56"/>
    </row>
    <row r="637">
      <c r="A637" s="67"/>
      <c r="B637" s="67"/>
      <c r="C637" s="66"/>
      <c r="D637" s="56"/>
    </row>
    <row r="638">
      <c r="A638" s="67"/>
      <c r="B638" s="67"/>
      <c r="C638" s="66"/>
      <c r="D638" s="56"/>
    </row>
    <row r="639">
      <c r="A639" s="67"/>
      <c r="B639" s="67"/>
      <c r="C639" s="66"/>
      <c r="D639" s="56"/>
    </row>
    <row r="640">
      <c r="A640" s="67"/>
      <c r="B640" s="67"/>
      <c r="C640" s="66"/>
      <c r="D640" s="56"/>
    </row>
    <row r="641">
      <c r="A641" s="67"/>
      <c r="B641" s="67"/>
      <c r="C641" s="66"/>
      <c r="D641" s="56"/>
    </row>
    <row r="642">
      <c r="A642" s="67"/>
      <c r="B642" s="67"/>
      <c r="C642" s="66"/>
      <c r="D642" s="56"/>
    </row>
    <row r="643">
      <c r="A643" s="67"/>
      <c r="B643" s="67"/>
      <c r="C643" s="66"/>
      <c r="D643" s="56"/>
    </row>
    <row r="644">
      <c r="A644" s="67"/>
      <c r="B644" s="67"/>
      <c r="C644" s="66"/>
      <c r="D644" s="56"/>
    </row>
    <row r="645">
      <c r="A645" s="67"/>
      <c r="B645" s="67"/>
      <c r="C645" s="66"/>
      <c r="D645" s="56"/>
    </row>
    <row r="646">
      <c r="A646" s="67"/>
      <c r="B646" s="67"/>
      <c r="C646" s="66"/>
      <c r="D646" s="56"/>
    </row>
    <row r="647">
      <c r="A647" s="67"/>
      <c r="B647" s="67"/>
      <c r="C647" s="66"/>
      <c r="D647" s="56"/>
    </row>
    <row r="648">
      <c r="A648" s="67"/>
      <c r="B648" s="67"/>
      <c r="C648" s="66"/>
      <c r="D648" s="56"/>
    </row>
    <row r="649">
      <c r="A649" s="67"/>
      <c r="B649" s="67"/>
      <c r="C649" s="66"/>
      <c r="D649" s="56"/>
    </row>
    <row r="650">
      <c r="A650" s="67"/>
      <c r="B650" s="67"/>
      <c r="C650" s="66"/>
      <c r="D650" s="56"/>
    </row>
    <row r="651">
      <c r="A651" s="67"/>
      <c r="B651" s="67"/>
      <c r="C651" s="66"/>
      <c r="D651" s="56"/>
    </row>
    <row r="652">
      <c r="A652" s="67"/>
      <c r="B652" s="67"/>
      <c r="C652" s="66"/>
      <c r="D652" s="56"/>
    </row>
    <row r="653">
      <c r="A653" s="67"/>
      <c r="B653" s="67"/>
      <c r="C653" s="66"/>
      <c r="D653" s="56"/>
    </row>
    <row r="654">
      <c r="A654" s="67"/>
      <c r="B654" s="67"/>
      <c r="C654" s="66"/>
      <c r="D654" s="56"/>
    </row>
    <row r="655">
      <c r="A655" s="67"/>
      <c r="B655" s="67"/>
      <c r="C655" s="66"/>
      <c r="D655" s="56"/>
    </row>
    <row r="656">
      <c r="A656" s="67"/>
      <c r="B656" s="67"/>
      <c r="C656" s="66"/>
      <c r="D656" s="56"/>
    </row>
    <row r="657">
      <c r="A657" s="67"/>
      <c r="B657" s="67"/>
      <c r="C657" s="66"/>
      <c r="D657" s="56"/>
    </row>
    <row r="658">
      <c r="A658" s="67"/>
      <c r="B658" s="67"/>
      <c r="C658" s="66"/>
      <c r="D658" s="56"/>
    </row>
    <row r="659">
      <c r="A659" s="67"/>
      <c r="B659" s="67"/>
      <c r="C659" s="66"/>
      <c r="D659" s="56"/>
    </row>
    <row r="660">
      <c r="A660" s="67"/>
      <c r="B660" s="67"/>
      <c r="C660" s="66"/>
      <c r="D660" s="56"/>
    </row>
    <row r="661">
      <c r="A661" s="67"/>
      <c r="B661" s="67"/>
      <c r="C661" s="66"/>
      <c r="D661" s="56"/>
    </row>
    <row r="662">
      <c r="A662" s="67"/>
      <c r="B662" s="67"/>
      <c r="C662" s="66"/>
      <c r="D662" s="56"/>
    </row>
    <row r="663">
      <c r="A663" s="67"/>
      <c r="B663" s="67"/>
      <c r="C663" s="66"/>
      <c r="D663" s="56"/>
    </row>
    <row r="664">
      <c r="A664" s="67"/>
      <c r="B664" s="67"/>
      <c r="C664" s="66"/>
      <c r="D664" s="56"/>
    </row>
    <row r="665">
      <c r="A665" s="67"/>
      <c r="B665" s="67"/>
      <c r="C665" s="66"/>
      <c r="D665" s="56"/>
    </row>
    <row r="666">
      <c r="A666" s="67"/>
      <c r="B666" s="67"/>
      <c r="C666" s="66"/>
      <c r="D666" s="56"/>
    </row>
    <row r="667">
      <c r="A667" s="67"/>
      <c r="B667" s="67"/>
      <c r="C667" s="66"/>
      <c r="D667" s="56"/>
    </row>
    <row r="668">
      <c r="A668" s="67"/>
      <c r="B668" s="67"/>
      <c r="C668" s="66"/>
      <c r="D668" s="56"/>
    </row>
    <row r="669">
      <c r="A669" s="67"/>
      <c r="B669" s="67"/>
      <c r="C669" s="66"/>
      <c r="D669" s="56"/>
    </row>
    <row r="670">
      <c r="A670" s="67"/>
      <c r="B670" s="67"/>
      <c r="C670" s="66"/>
      <c r="D670" s="56"/>
    </row>
    <row r="671">
      <c r="A671" s="67"/>
      <c r="B671" s="67"/>
      <c r="C671" s="66"/>
      <c r="D671" s="56"/>
    </row>
    <row r="672">
      <c r="A672" s="67"/>
      <c r="B672" s="67"/>
      <c r="C672" s="66"/>
      <c r="D672" s="56"/>
    </row>
    <row r="673">
      <c r="A673" s="67"/>
      <c r="B673" s="67"/>
      <c r="C673" s="66"/>
      <c r="D673" s="56"/>
    </row>
    <row r="674">
      <c r="A674" s="67"/>
      <c r="B674" s="67"/>
      <c r="C674" s="66"/>
      <c r="D674" s="56"/>
    </row>
    <row r="675">
      <c r="A675" s="67"/>
      <c r="B675" s="67"/>
      <c r="C675" s="66"/>
      <c r="D675" s="56"/>
    </row>
    <row r="676">
      <c r="A676" s="67"/>
      <c r="B676" s="67"/>
      <c r="C676" s="66"/>
      <c r="D676" s="56"/>
    </row>
    <row r="677">
      <c r="A677" s="67"/>
      <c r="B677" s="67"/>
      <c r="C677" s="66"/>
      <c r="D677" s="56"/>
    </row>
    <row r="678">
      <c r="A678" s="67"/>
      <c r="B678" s="67"/>
      <c r="C678" s="66"/>
      <c r="D678" s="56"/>
    </row>
    <row r="679">
      <c r="A679" s="67"/>
      <c r="B679" s="67"/>
      <c r="C679" s="66"/>
      <c r="D679" s="56"/>
    </row>
    <row r="680">
      <c r="A680" s="67"/>
      <c r="B680" s="67"/>
      <c r="C680" s="66"/>
      <c r="D680" s="56"/>
    </row>
    <row r="681">
      <c r="A681" s="67"/>
      <c r="B681" s="67"/>
      <c r="C681" s="66"/>
      <c r="D681" s="56"/>
    </row>
    <row r="682">
      <c r="A682" s="67"/>
      <c r="B682" s="67"/>
      <c r="C682" s="66"/>
      <c r="D682" s="56"/>
    </row>
    <row r="683">
      <c r="A683" s="67"/>
      <c r="B683" s="67"/>
      <c r="C683" s="66"/>
      <c r="D683" s="56"/>
    </row>
    <row r="684">
      <c r="A684" s="67"/>
      <c r="B684" s="67"/>
      <c r="C684" s="66"/>
      <c r="D684" s="56"/>
    </row>
    <row r="685">
      <c r="A685" s="67"/>
      <c r="B685" s="67"/>
      <c r="C685" s="66"/>
      <c r="D685" s="56"/>
    </row>
    <row r="686">
      <c r="A686" s="67"/>
      <c r="B686" s="67"/>
      <c r="C686" s="66"/>
      <c r="D686" s="56"/>
    </row>
    <row r="687">
      <c r="A687" s="67"/>
      <c r="B687" s="67"/>
      <c r="C687" s="66"/>
      <c r="D687" s="56"/>
    </row>
    <row r="688">
      <c r="A688" s="67"/>
      <c r="B688" s="67"/>
      <c r="C688" s="66"/>
      <c r="D688" s="56"/>
    </row>
    <row r="689">
      <c r="A689" s="67"/>
      <c r="B689" s="67"/>
      <c r="C689" s="66"/>
      <c r="D689" s="56"/>
    </row>
    <row r="690">
      <c r="A690" s="67"/>
      <c r="B690" s="67"/>
      <c r="C690" s="66"/>
      <c r="D690" s="56"/>
    </row>
    <row r="691">
      <c r="A691" s="67"/>
      <c r="B691" s="67"/>
      <c r="C691" s="66"/>
      <c r="D691" s="56"/>
    </row>
    <row r="692">
      <c r="A692" s="67"/>
      <c r="B692" s="67"/>
      <c r="C692" s="66"/>
      <c r="D692" s="56"/>
    </row>
    <row r="693">
      <c r="A693" s="67"/>
      <c r="B693" s="67"/>
      <c r="C693" s="66"/>
      <c r="D693" s="56"/>
    </row>
    <row r="694">
      <c r="A694" s="67"/>
      <c r="B694" s="67"/>
      <c r="C694" s="66"/>
      <c r="D694" s="56"/>
    </row>
    <row r="695">
      <c r="A695" s="67"/>
      <c r="B695" s="67"/>
      <c r="C695" s="66"/>
      <c r="D695" s="56"/>
    </row>
    <row r="696">
      <c r="A696" s="67"/>
      <c r="B696" s="67"/>
      <c r="C696" s="66"/>
      <c r="D696" s="56"/>
    </row>
    <row r="697">
      <c r="A697" s="67"/>
      <c r="B697" s="67"/>
      <c r="C697" s="66"/>
      <c r="D697" s="56"/>
    </row>
    <row r="698">
      <c r="A698" s="67"/>
      <c r="B698" s="67"/>
      <c r="C698" s="66"/>
      <c r="D698" s="56"/>
    </row>
    <row r="699">
      <c r="A699" s="67"/>
      <c r="B699" s="67"/>
      <c r="C699" s="66"/>
      <c r="D699" s="56"/>
    </row>
    <row r="700">
      <c r="A700" s="67"/>
      <c r="B700" s="67"/>
      <c r="C700" s="66"/>
      <c r="D700" s="56"/>
    </row>
    <row r="701">
      <c r="A701" s="67"/>
      <c r="B701" s="67"/>
      <c r="C701" s="66"/>
      <c r="D701" s="56"/>
    </row>
    <row r="702">
      <c r="A702" s="67"/>
      <c r="B702" s="67"/>
      <c r="C702" s="66"/>
      <c r="D702" s="56"/>
    </row>
    <row r="703">
      <c r="A703" s="67"/>
      <c r="B703" s="67"/>
      <c r="C703" s="66"/>
      <c r="D703" s="56"/>
    </row>
    <row r="704">
      <c r="A704" s="67"/>
      <c r="B704" s="67"/>
      <c r="C704" s="66"/>
      <c r="D704" s="56"/>
    </row>
    <row r="705">
      <c r="A705" s="67"/>
      <c r="B705" s="67"/>
      <c r="C705" s="66"/>
      <c r="D705" s="56"/>
    </row>
    <row r="706">
      <c r="A706" s="67"/>
      <c r="B706" s="67"/>
      <c r="C706" s="66"/>
      <c r="D706" s="56"/>
    </row>
    <row r="707">
      <c r="A707" s="67"/>
      <c r="B707" s="67"/>
      <c r="C707" s="66"/>
      <c r="D707" s="56"/>
    </row>
    <row r="708">
      <c r="A708" s="67"/>
      <c r="B708" s="67"/>
      <c r="C708" s="66"/>
      <c r="D708" s="56"/>
    </row>
    <row r="709">
      <c r="A709" s="67"/>
      <c r="B709" s="67"/>
      <c r="C709" s="66"/>
      <c r="D709" s="56"/>
    </row>
    <row r="710">
      <c r="A710" s="67"/>
      <c r="B710" s="67"/>
      <c r="C710" s="66"/>
      <c r="D710" s="56"/>
    </row>
    <row r="711">
      <c r="A711" s="67"/>
      <c r="B711" s="67"/>
      <c r="C711" s="66"/>
      <c r="D711" s="56"/>
    </row>
    <row r="712">
      <c r="A712" s="67"/>
      <c r="B712" s="67"/>
      <c r="C712" s="66"/>
      <c r="D712" s="56"/>
    </row>
    <row r="713">
      <c r="A713" s="67"/>
      <c r="B713" s="67"/>
      <c r="C713" s="66"/>
      <c r="D713" s="56"/>
    </row>
    <row r="714">
      <c r="A714" s="67"/>
      <c r="B714" s="67"/>
      <c r="C714" s="66"/>
      <c r="D714" s="56"/>
    </row>
    <row r="715">
      <c r="A715" s="67"/>
      <c r="B715" s="67"/>
      <c r="C715" s="66"/>
      <c r="D715" s="56"/>
    </row>
    <row r="716">
      <c r="A716" s="67"/>
      <c r="B716" s="67"/>
      <c r="C716" s="66"/>
      <c r="D716" s="56"/>
    </row>
    <row r="717">
      <c r="A717" s="67"/>
      <c r="B717" s="67"/>
      <c r="C717" s="66"/>
      <c r="D717" s="56"/>
    </row>
    <row r="718">
      <c r="A718" s="67"/>
      <c r="B718" s="67"/>
      <c r="C718" s="66"/>
      <c r="D718" s="56"/>
    </row>
    <row r="719">
      <c r="A719" s="67"/>
      <c r="B719" s="67"/>
      <c r="C719" s="66"/>
      <c r="D719" s="56"/>
    </row>
    <row r="720">
      <c r="A720" s="67"/>
      <c r="B720" s="67"/>
      <c r="C720" s="66"/>
      <c r="D720" s="56"/>
    </row>
    <row r="721">
      <c r="A721" s="67"/>
      <c r="B721" s="67"/>
      <c r="C721" s="66"/>
      <c r="D721" s="56"/>
    </row>
    <row r="722">
      <c r="A722" s="67"/>
      <c r="B722" s="67"/>
      <c r="C722" s="66"/>
      <c r="D722" s="56"/>
    </row>
    <row r="723">
      <c r="A723" s="67"/>
      <c r="B723" s="67"/>
      <c r="C723" s="66"/>
      <c r="D723" s="56"/>
    </row>
    <row r="724">
      <c r="A724" s="67"/>
      <c r="B724" s="67"/>
      <c r="C724" s="66"/>
      <c r="D724" s="56"/>
    </row>
    <row r="725">
      <c r="A725" s="67"/>
      <c r="B725" s="67"/>
      <c r="C725" s="66"/>
      <c r="D725" s="56"/>
    </row>
    <row r="726">
      <c r="A726" s="67"/>
      <c r="B726" s="67"/>
      <c r="C726" s="66"/>
      <c r="D726" s="56"/>
    </row>
    <row r="727">
      <c r="A727" s="67"/>
      <c r="B727" s="67"/>
      <c r="C727" s="66"/>
      <c r="D727" s="56"/>
    </row>
    <row r="728">
      <c r="A728" s="67"/>
      <c r="B728" s="67"/>
      <c r="C728" s="66"/>
      <c r="D728" s="56"/>
    </row>
    <row r="729">
      <c r="A729" s="67"/>
      <c r="B729" s="67"/>
      <c r="C729" s="66"/>
      <c r="D729" s="56"/>
    </row>
    <row r="730">
      <c r="A730" s="67"/>
      <c r="B730" s="67"/>
      <c r="C730" s="66"/>
      <c r="D730" s="56"/>
    </row>
    <row r="731">
      <c r="A731" s="67"/>
      <c r="B731" s="67"/>
      <c r="C731" s="66"/>
      <c r="D731" s="56"/>
    </row>
    <row r="732">
      <c r="A732" s="67"/>
      <c r="B732" s="67"/>
      <c r="C732" s="66"/>
      <c r="D732" s="56"/>
    </row>
    <row r="733">
      <c r="A733" s="67"/>
      <c r="B733" s="67"/>
      <c r="C733" s="66"/>
      <c r="D733" s="56"/>
    </row>
    <row r="734">
      <c r="A734" s="67"/>
      <c r="B734" s="67"/>
      <c r="C734" s="66"/>
      <c r="D734" s="56"/>
    </row>
    <row r="735">
      <c r="A735" s="67"/>
      <c r="B735" s="67"/>
      <c r="C735" s="66"/>
      <c r="D735" s="56"/>
    </row>
    <row r="736">
      <c r="A736" s="67"/>
      <c r="B736" s="67"/>
      <c r="C736" s="66"/>
      <c r="D736" s="56"/>
    </row>
    <row r="737">
      <c r="A737" s="67"/>
      <c r="B737" s="67"/>
      <c r="C737" s="66"/>
      <c r="D737" s="56"/>
    </row>
    <row r="738">
      <c r="A738" s="67"/>
      <c r="B738" s="67"/>
      <c r="C738" s="66"/>
      <c r="D738" s="56"/>
    </row>
    <row r="739">
      <c r="A739" s="67"/>
      <c r="B739" s="67"/>
      <c r="C739" s="66"/>
      <c r="D739" s="56"/>
    </row>
    <row r="740">
      <c r="A740" s="67"/>
      <c r="B740" s="67"/>
      <c r="C740" s="66"/>
      <c r="D740" s="56"/>
    </row>
    <row r="741">
      <c r="A741" s="67"/>
      <c r="B741" s="67"/>
      <c r="C741" s="66"/>
      <c r="D741" s="56"/>
    </row>
    <row r="742">
      <c r="A742" s="67"/>
      <c r="B742" s="67"/>
      <c r="C742" s="66"/>
      <c r="D742" s="56"/>
    </row>
    <row r="743">
      <c r="A743" s="67"/>
      <c r="B743" s="67"/>
      <c r="C743" s="66"/>
      <c r="D743" s="56"/>
    </row>
    <row r="744">
      <c r="A744" s="67"/>
      <c r="B744" s="67"/>
      <c r="C744" s="66"/>
      <c r="D744" s="56"/>
    </row>
    <row r="745">
      <c r="A745" s="67"/>
      <c r="B745" s="67"/>
      <c r="C745" s="66"/>
      <c r="D745" s="56"/>
    </row>
    <row r="746">
      <c r="A746" s="67"/>
      <c r="B746" s="67"/>
      <c r="C746" s="66"/>
      <c r="D746" s="56"/>
    </row>
    <row r="747">
      <c r="A747" s="67"/>
      <c r="B747" s="67"/>
      <c r="C747" s="66"/>
      <c r="D747" s="56"/>
    </row>
    <row r="748">
      <c r="A748" s="67"/>
      <c r="B748" s="67"/>
      <c r="C748" s="66"/>
      <c r="D748" s="56"/>
    </row>
    <row r="749">
      <c r="A749" s="67"/>
      <c r="B749" s="67"/>
      <c r="C749" s="66"/>
      <c r="D749" s="56"/>
    </row>
    <row r="750">
      <c r="A750" s="67"/>
      <c r="B750" s="67"/>
      <c r="C750" s="66"/>
      <c r="D750" s="56"/>
    </row>
    <row r="751">
      <c r="A751" s="67"/>
      <c r="B751" s="67"/>
      <c r="C751" s="66"/>
      <c r="D751" s="56"/>
    </row>
    <row r="752">
      <c r="A752" s="67"/>
      <c r="B752" s="67"/>
      <c r="C752" s="66"/>
      <c r="D752" s="56"/>
    </row>
    <row r="753">
      <c r="A753" s="67"/>
      <c r="B753" s="67"/>
      <c r="C753" s="66"/>
      <c r="D753" s="56"/>
    </row>
    <row r="754">
      <c r="A754" s="67"/>
      <c r="B754" s="67"/>
      <c r="C754" s="66"/>
      <c r="D754" s="56"/>
    </row>
    <row r="755">
      <c r="A755" s="67"/>
      <c r="B755" s="67"/>
      <c r="C755" s="66"/>
      <c r="D755" s="56"/>
    </row>
    <row r="756">
      <c r="A756" s="67"/>
      <c r="B756" s="67"/>
      <c r="C756" s="66"/>
      <c r="D756" s="56"/>
    </row>
    <row r="757">
      <c r="A757" s="67"/>
      <c r="B757" s="67"/>
      <c r="C757" s="66"/>
      <c r="D757" s="56"/>
    </row>
    <row r="758">
      <c r="A758" s="67"/>
      <c r="B758" s="67"/>
      <c r="C758" s="66"/>
      <c r="D758" s="56"/>
    </row>
    <row r="759">
      <c r="A759" s="67"/>
      <c r="B759" s="67"/>
      <c r="C759" s="66"/>
      <c r="D759" s="56"/>
    </row>
    <row r="760">
      <c r="A760" s="67"/>
      <c r="B760" s="67"/>
      <c r="C760" s="66"/>
      <c r="D760" s="56"/>
    </row>
    <row r="761">
      <c r="A761" s="67"/>
      <c r="B761" s="67"/>
      <c r="C761" s="66"/>
      <c r="D761" s="56"/>
    </row>
    <row r="762">
      <c r="A762" s="67"/>
      <c r="B762" s="67"/>
      <c r="C762" s="66"/>
      <c r="D762" s="56"/>
    </row>
    <row r="763">
      <c r="A763" s="67"/>
      <c r="B763" s="67"/>
      <c r="C763" s="66"/>
      <c r="D763" s="56"/>
    </row>
    <row r="764">
      <c r="A764" s="67"/>
      <c r="B764" s="67"/>
      <c r="C764" s="66"/>
      <c r="D764" s="56"/>
    </row>
    <row r="765">
      <c r="A765" s="67"/>
      <c r="B765" s="67"/>
      <c r="C765" s="66"/>
      <c r="D765" s="56"/>
    </row>
    <row r="766">
      <c r="A766" s="67"/>
      <c r="B766" s="67"/>
      <c r="C766" s="66"/>
      <c r="D766" s="56"/>
    </row>
    <row r="767">
      <c r="A767" s="67"/>
      <c r="B767" s="67"/>
      <c r="C767" s="66"/>
      <c r="D767" s="56"/>
    </row>
    <row r="768">
      <c r="A768" s="67"/>
      <c r="B768" s="67"/>
      <c r="C768" s="66"/>
      <c r="D768" s="56"/>
    </row>
    <row r="769">
      <c r="A769" s="67"/>
      <c r="B769" s="67"/>
      <c r="C769" s="66"/>
      <c r="D769" s="56"/>
    </row>
    <row r="770">
      <c r="A770" s="67"/>
      <c r="B770" s="67"/>
      <c r="C770" s="66"/>
      <c r="D770" s="56"/>
    </row>
    <row r="771">
      <c r="A771" s="67"/>
      <c r="B771" s="67"/>
      <c r="C771" s="66"/>
      <c r="D771" s="56"/>
    </row>
    <row r="772">
      <c r="A772" s="67"/>
      <c r="B772" s="67"/>
      <c r="C772" s="66"/>
      <c r="D772" s="56"/>
    </row>
    <row r="773">
      <c r="A773" s="67"/>
      <c r="B773" s="67"/>
      <c r="C773" s="66"/>
      <c r="D773" s="56"/>
    </row>
    <row r="774">
      <c r="A774" s="67"/>
      <c r="B774" s="67"/>
      <c r="C774" s="66"/>
      <c r="D774" s="56"/>
    </row>
    <row r="775">
      <c r="A775" s="67"/>
      <c r="B775" s="67"/>
      <c r="C775" s="66"/>
      <c r="D775" s="56"/>
    </row>
    <row r="776">
      <c r="A776" s="67"/>
      <c r="B776" s="67"/>
      <c r="C776" s="66"/>
      <c r="D776" s="56"/>
    </row>
    <row r="777">
      <c r="A777" s="67"/>
      <c r="B777" s="67"/>
      <c r="C777" s="66"/>
      <c r="D777" s="56"/>
    </row>
    <row r="778">
      <c r="A778" s="67"/>
      <c r="B778" s="67"/>
      <c r="C778" s="66"/>
      <c r="D778" s="56"/>
    </row>
    <row r="779">
      <c r="A779" s="67"/>
      <c r="B779" s="67"/>
      <c r="C779" s="66"/>
      <c r="D779" s="56"/>
    </row>
    <row r="780">
      <c r="A780" s="67"/>
      <c r="B780" s="67"/>
      <c r="C780" s="66"/>
      <c r="D780" s="56"/>
    </row>
    <row r="781">
      <c r="A781" s="67"/>
      <c r="B781" s="67"/>
      <c r="C781" s="66"/>
      <c r="D781" s="56"/>
    </row>
    <row r="782">
      <c r="A782" s="67"/>
      <c r="B782" s="67"/>
      <c r="C782" s="66"/>
      <c r="D782" s="56"/>
    </row>
    <row r="783">
      <c r="A783" s="67"/>
      <c r="B783" s="67"/>
      <c r="C783" s="66"/>
      <c r="D783" s="56"/>
    </row>
    <row r="784">
      <c r="A784" s="67"/>
      <c r="B784" s="67"/>
      <c r="C784" s="66"/>
      <c r="D784" s="56"/>
    </row>
    <row r="785">
      <c r="A785" s="67"/>
      <c r="B785" s="67"/>
      <c r="C785" s="66"/>
      <c r="D785" s="56"/>
    </row>
    <row r="786">
      <c r="A786" s="67"/>
      <c r="B786" s="67"/>
      <c r="C786" s="66"/>
      <c r="D786" s="56"/>
    </row>
    <row r="787">
      <c r="A787" s="67"/>
      <c r="B787" s="67"/>
      <c r="C787" s="66"/>
      <c r="D787" s="56"/>
    </row>
    <row r="788">
      <c r="A788" s="67"/>
      <c r="B788" s="67"/>
      <c r="C788" s="66"/>
      <c r="D788" s="56"/>
    </row>
    <row r="789">
      <c r="A789" s="67"/>
      <c r="B789" s="67"/>
      <c r="C789" s="66"/>
      <c r="D789" s="56"/>
    </row>
    <row r="790">
      <c r="A790" s="67"/>
      <c r="B790" s="67"/>
      <c r="C790" s="66"/>
      <c r="D790" s="56"/>
    </row>
    <row r="791">
      <c r="A791" s="67"/>
      <c r="B791" s="67"/>
      <c r="C791" s="66"/>
      <c r="D791" s="56"/>
    </row>
    <row r="792">
      <c r="A792" s="67"/>
      <c r="B792" s="67"/>
      <c r="C792" s="66"/>
      <c r="D792" s="56"/>
    </row>
    <row r="793">
      <c r="A793" s="67"/>
      <c r="B793" s="67"/>
      <c r="C793" s="66"/>
      <c r="D793" s="56"/>
    </row>
    <row r="794">
      <c r="A794" s="67"/>
      <c r="B794" s="67"/>
      <c r="C794" s="66"/>
      <c r="D794" s="56"/>
    </row>
    <row r="795">
      <c r="A795" s="67"/>
      <c r="B795" s="67"/>
      <c r="C795" s="66"/>
      <c r="D795" s="56"/>
    </row>
    <row r="796">
      <c r="A796" s="67"/>
      <c r="B796" s="67"/>
      <c r="C796" s="66"/>
      <c r="D796" s="56"/>
    </row>
    <row r="797">
      <c r="A797" s="67"/>
      <c r="B797" s="67"/>
      <c r="C797" s="66"/>
      <c r="D797" s="56"/>
    </row>
    <row r="798">
      <c r="A798" s="67"/>
      <c r="B798" s="67"/>
      <c r="C798" s="66"/>
      <c r="D798" s="56"/>
    </row>
    <row r="799">
      <c r="A799" s="67"/>
      <c r="B799" s="67"/>
      <c r="C799" s="66"/>
      <c r="D799" s="56"/>
    </row>
    <row r="800">
      <c r="A800" s="67"/>
      <c r="B800" s="67"/>
      <c r="C800" s="66"/>
      <c r="D800" s="56"/>
    </row>
    <row r="801">
      <c r="A801" s="67"/>
      <c r="B801" s="67"/>
      <c r="C801" s="66"/>
      <c r="D801" s="56"/>
    </row>
    <row r="802">
      <c r="A802" s="67"/>
      <c r="B802" s="67"/>
      <c r="C802" s="66"/>
      <c r="D802" s="56"/>
    </row>
    <row r="803">
      <c r="A803" s="67"/>
      <c r="B803" s="67"/>
      <c r="C803" s="66"/>
      <c r="D803" s="56"/>
    </row>
    <row r="804">
      <c r="A804" s="67"/>
      <c r="B804" s="67"/>
      <c r="C804" s="66"/>
      <c r="D804" s="56"/>
    </row>
    <row r="805">
      <c r="A805" s="67"/>
      <c r="B805" s="67"/>
      <c r="C805" s="66"/>
      <c r="D805" s="56"/>
    </row>
    <row r="806">
      <c r="A806" s="67"/>
      <c r="B806" s="67"/>
      <c r="C806" s="66"/>
      <c r="D806" s="56"/>
    </row>
    <row r="807">
      <c r="A807" s="67"/>
      <c r="B807" s="67"/>
      <c r="C807" s="66"/>
      <c r="D807" s="56"/>
    </row>
    <row r="808">
      <c r="A808" s="67"/>
      <c r="B808" s="67"/>
      <c r="C808" s="66"/>
      <c r="D808" s="56"/>
    </row>
    <row r="809">
      <c r="A809" s="67"/>
      <c r="B809" s="67"/>
      <c r="C809" s="66"/>
      <c r="D809" s="56"/>
    </row>
    <row r="810">
      <c r="A810" s="67"/>
      <c r="B810" s="67"/>
      <c r="C810" s="66"/>
      <c r="D810" s="56"/>
    </row>
    <row r="811">
      <c r="A811" s="67"/>
      <c r="B811" s="67"/>
      <c r="C811" s="66"/>
      <c r="D811" s="56"/>
    </row>
    <row r="812">
      <c r="A812" s="67"/>
      <c r="B812" s="67"/>
      <c r="C812" s="66"/>
      <c r="D812" s="56"/>
    </row>
    <row r="813">
      <c r="A813" s="67"/>
      <c r="B813" s="67"/>
      <c r="C813" s="66"/>
      <c r="D813" s="56"/>
    </row>
    <row r="814">
      <c r="A814" s="67"/>
      <c r="B814" s="67"/>
      <c r="C814" s="66"/>
      <c r="D814" s="56"/>
    </row>
    <row r="815">
      <c r="A815" s="67"/>
      <c r="B815" s="67"/>
      <c r="C815" s="66"/>
      <c r="D815" s="56"/>
    </row>
    <row r="816">
      <c r="A816" s="67"/>
      <c r="B816" s="67"/>
      <c r="C816" s="66"/>
      <c r="D816" s="56"/>
    </row>
    <row r="817">
      <c r="A817" s="67"/>
      <c r="B817" s="67"/>
      <c r="C817" s="66"/>
      <c r="D817" s="56"/>
    </row>
    <row r="818">
      <c r="A818" s="67"/>
      <c r="B818" s="67"/>
      <c r="C818" s="66"/>
      <c r="D818" s="56"/>
    </row>
    <row r="819">
      <c r="A819" s="67"/>
      <c r="B819" s="67"/>
      <c r="C819" s="66"/>
      <c r="D819" s="56"/>
    </row>
    <row r="820">
      <c r="A820" s="67"/>
      <c r="B820" s="67"/>
      <c r="C820" s="66"/>
      <c r="D820" s="56"/>
    </row>
    <row r="821">
      <c r="A821" s="67"/>
      <c r="B821" s="67"/>
      <c r="C821" s="66"/>
      <c r="D821" s="56"/>
    </row>
    <row r="822">
      <c r="A822" s="67"/>
      <c r="B822" s="67"/>
      <c r="C822" s="66"/>
      <c r="D822" s="56"/>
    </row>
    <row r="823">
      <c r="A823" s="67"/>
      <c r="B823" s="67"/>
      <c r="C823" s="66"/>
      <c r="D823" s="56"/>
    </row>
    <row r="824">
      <c r="A824" s="67"/>
      <c r="B824" s="67"/>
      <c r="C824" s="66"/>
      <c r="D824" s="56"/>
    </row>
    <row r="825">
      <c r="A825" s="67"/>
      <c r="B825" s="67"/>
      <c r="C825" s="66"/>
      <c r="D825" s="56"/>
    </row>
    <row r="826">
      <c r="A826" s="67"/>
      <c r="B826" s="67"/>
      <c r="C826" s="66"/>
      <c r="D826" s="56"/>
    </row>
    <row r="827">
      <c r="A827" s="67"/>
      <c r="B827" s="67"/>
      <c r="C827" s="66"/>
      <c r="D827" s="56"/>
    </row>
    <row r="828">
      <c r="A828" s="67"/>
      <c r="B828" s="67"/>
      <c r="C828" s="66"/>
      <c r="D828" s="56"/>
    </row>
    <row r="829">
      <c r="A829" s="67"/>
      <c r="B829" s="67"/>
      <c r="C829" s="66"/>
      <c r="D829" s="56"/>
    </row>
    <row r="830">
      <c r="A830" s="67"/>
      <c r="B830" s="67"/>
      <c r="C830" s="66"/>
      <c r="D830" s="56"/>
    </row>
    <row r="831">
      <c r="A831" s="67"/>
      <c r="B831" s="67"/>
      <c r="C831" s="66"/>
      <c r="D831" s="56"/>
    </row>
    <row r="832">
      <c r="A832" s="67"/>
      <c r="B832" s="67"/>
      <c r="C832" s="66"/>
      <c r="D832" s="56"/>
    </row>
    <row r="833">
      <c r="A833" s="67"/>
      <c r="B833" s="67"/>
      <c r="C833" s="66"/>
      <c r="D833" s="56"/>
    </row>
    <row r="834">
      <c r="A834" s="67"/>
      <c r="B834" s="67"/>
      <c r="C834" s="66"/>
      <c r="D834" s="56"/>
    </row>
    <row r="835">
      <c r="A835" s="67"/>
      <c r="B835" s="67"/>
      <c r="C835" s="66"/>
      <c r="D835" s="56"/>
    </row>
    <row r="836">
      <c r="A836" s="67"/>
      <c r="B836" s="67"/>
      <c r="C836" s="66"/>
      <c r="D836" s="56"/>
    </row>
    <row r="837">
      <c r="A837" s="67"/>
      <c r="B837" s="67"/>
      <c r="C837" s="66"/>
      <c r="D837" s="56"/>
    </row>
    <row r="838">
      <c r="A838" s="67"/>
      <c r="B838" s="67"/>
      <c r="C838" s="66"/>
      <c r="D838" s="56"/>
    </row>
    <row r="839">
      <c r="A839" s="67"/>
      <c r="B839" s="67"/>
      <c r="C839" s="66"/>
      <c r="D839" s="56"/>
    </row>
    <row r="840">
      <c r="A840" s="67"/>
      <c r="B840" s="67"/>
      <c r="C840" s="66"/>
      <c r="D840" s="56"/>
    </row>
    <row r="841">
      <c r="A841" s="67"/>
      <c r="B841" s="67"/>
      <c r="C841" s="66"/>
      <c r="D841" s="56"/>
    </row>
    <row r="842">
      <c r="A842" s="67"/>
      <c r="B842" s="67"/>
      <c r="C842" s="66"/>
      <c r="D842" s="56"/>
    </row>
    <row r="843">
      <c r="A843" s="67"/>
      <c r="B843" s="67"/>
      <c r="C843" s="66"/>
      <c r="D843" s="56"/>
    </row>
    <row r="844">
      <c r="A844" s="67"/>
      <c r="B844" s="67"/>
      <c r="C844" s="66"/>
      <c r="D844" s="56"/>
    </row>
    <row r="845">
      <c r="A845" s="67"/>
      <c r="B845" s="67"/>
      <c r="C845" s="66"/>
      <c r="D845" s="56"/>
    </row>
    <row r="846">
      <c r="A846" s="67"/>
      <c r="B846" s="67"/>
      <c r="C846" s="66"/>
      <c r="D846" s="56"/>
    </row>
    <row r="847">
      <c r="A847" s="67"/>
      <c r="B847" s="67"/>
      <c r="C847" s="66"/>
      <c r="D847" s="56"/>
    </row>
    <row r="848">
      <c r="A848" s="67"/>
      <c r="B848" s="67"/>
      <c r="C848" s="66"/>
      <c r="D848" s="56"/>
    </row>
    <row r="849">
      <c r="A849" s="67"/>
      <c r="B849" s="67"/>
      <c r="C849" s="66"/>
      <c r="D849" s="56"/>
    </row>
    <row r="850">
      <c r="A850" s="67"/>
      <c r="B850" s="67"/>
      <c r="C850" s="66"/>
      <c r="D850" s="56"/>
    </row>
    <row r="851">
      <c r="A851" s="67"/>
      <c r="B851" s="67"/>
      <c r="C851" s="66"/>
      <c r="D851" s="56"/>
    </row>
    <row r="852">
      <c r="A852" s="67"/>
      <c r="B852" s="67"/>
      <c r="C852" s="66"/>
      <c r="D852" s="56"/>
    </row>
    <row r="853">
      <c r="A853" s="67"/>
      <c r="B853" s="67"/>
      <c r="C853" s="66"/>
      <c r="D853" s="56"/>
    </row>
    <row r="854">
      <c r="A854" s="67"/>
      <c r="B854" s="67"/>
      <c r="C854" s="66"/>
      <c r="D854" s="56"/>
    </row>
    <row r="855">
      <c r="A855" s="67"/>
      <c r="B855" s="67"/>
      <c r="C855" s="66"/>
      <c r="D855" s="56"/>
    </row>
    <row r="856">
      <c r="A856" s="67"/>
      <c r="B856" s="67"/>
      <c r="C856" s="66"/>
      <c r="D856" s="56"/>
    </row>
    <row r="857">
      <c r="A857" s="67"/>
      <c r="B857" s="67"/>
      <c r="C857" s="66"/>
      <c r="D857" s="56"/>
    </row>
    <row r="858">
      <c r="A858" s="67"/>
      <c r="B858" s="67"/>
      <c r="C858" s="66"/>
      <c r="D858" s="56"/>
    </row>
    <row r="859">
      <c r="A859" s="67"/>
      <c r="B859" s="67"/>
      <c r="C859" s="66"/>
      <c r="D859" s="56"/>
    </row>
    <row r="860">
      <c r="A860" s="67"/>
      <c r="B860" s="67"/>
      <c r="C860" s="66"/>
      <c r="D860" s="56"/>
    </row>
    <row r="861">
      <c r="A861" s="67"/>
      <c r="B861" s="67"/>
      <c r="C861" s="66"/>
      <c r="D861" s="56"/>
    </row>
    <row r="862">
      <c r="A862" s="67"/>
      <c r="B862" s="67"/>
      <c r="C862" s="66"/>
      <c r="D862" s="56"/>
    </row>
    <row r="863">
      <c r="A863" s="67"/>
      <c r="B863" s="67"/>
      <c r="C863" s="66"/>
      <c r="D863" s="56"/>
    </row>
    <row r="864">
      <c r="A864" s="67"/>
      <c r="B864" s="67"/>
      <c r="C864" s="66"/>
      <c r="D864" s="56"/>
    </row>
    <row r="865">
      <c r="A865" s="67"/>
      <c r="B865" s="67"/>
      <c r="C865" s="66"/>
      <c r="D865" s="56"/>
    </row>
    <row r="866">
      <c r="A866" s="67"/>
      <c r="B866" s="67"/>
      <c r="C866" s="66"/>
      <c r="D866" s="56"/>
    </row>
    <row r="867">
      <c r="A867" s="67"/>
      <c r="B867" s="67"/>
      <c r="C867" s="66"/>
      <c r="D867" s="56"/>
    </row>
    <row r="868">
      <c r="A868" s="67"/>
      <c r="B868" s="67"/>
      <c r="C868" s="66"/>
      <c r="D868" s="56"/>
    </row>
    <row r="869">
      <c r="A869" s="67"/>
      <c r="B869" s="67"/>
      <c r="C869" s="66"/>
      <c r="D869" s="56"/>
    </row>
    <row r="870">
      <c r="A870" s="67"/>
      <c r="B870" s="67"/>
      <c r="C870" s="66"/>
      <c r="D870" s="56"/>
    </row>
    <row r="871">
      <c r="A871" s="67"/>
      <c r="B871" s="67"/>
      <c r="C871" s="66"/>
      <c r="D871" s="56"/>
    </row>
    <row r="872">
      <c r="A872" s="67"/>
      <c r="B872" s="67"/>
      <c r="C872" s="66"/>
      <c r="D872" s="56"/>
    </row>
    <row r="873">
      <c r="A873" s="67"/>
      <c r="B873" s="67"/>
      <c r="C873" s="66"/>
      <c r="D873" s="56"/>
    </row>
    <row r="874">
      <c r="A874" s="67"/>
      <c r="B874" s="67"/>
      <c r="C874" s="66"/>
      <c r="D874" s="56"/>
    </row>
    <row r="875">
      <c r="A875" s="67"/>
      <c r="B875" s="67"/>
      <c r="C875" s="66"/>
      <c r="D875" s="56"/>
    </row>
    <row r="876">
      <c r="A876" s="67"/>
      <c r="B876" s="67"/>
      <c r="C876" s="66"/>
      <c r="D876" s="56"/>
    </row>
    <row r="877">
      <c r="A877" s="67"/>
      <c r="B877" s="67"/>
      <c r="C877" s="66"/>
      <c r="D877" s="56"/>
    </row>
    <row r="878">
      <c r="A878" s="67"/>
      <c r="B878" s="67"/>
      <c r="C878" s="66"/>
      <c r="D878" s="56"/>
    </row>
    <row r="879">
      <c r="A879" s="67"/>
      <c r="B879" s="67"/>
      <c r="C879" s="66"/>
      <c r="D879" s="56"/>
    </row>
    <row r="880">
      <c r="A880" s="67"/>
      <c r="B880" s="67"/>
      <c r="C880" s="66"/>
      <c r="D880" s="56"/>
    </row>
    <row r="881">
      <c r="A881" s="67"/>
      <c r="B881" s="67"/>
      <c r="C881" s="66"/>
      <c r="D881" s="56"/>
    </row>
    <row r="882">
      <c r="A882" s="67"/>
      <c r="B882" s="67"/>
      <c r="C882" s="66"/>
      <c r="D882" s="56"/>
    </row>
    <row r="883">
      <c r="A883" s="67"/>
      <c r="B883" s="67"/>
      <c r="C883" s="66"/>
      <c r="D883" s="56"/>
    </row>
    <row r="884">
      <c r="A884" s="67"/>
      <c r="B884" s="67"/>
      <c r="C884" s="66"/>
      <c r="D884" s="56"/>
    </row>
    <row r="885">
      <c r="A885" s="67"/>
      <c r="B885" s="67"/>
      <c r="C885" s="66"/>
      <c r="D885" s="56"/>
    </row>
    <row r="886">
      <c r="A886" s="67"/>
      <c r="B886" s="67"/>
      <c r="C886" s="66"/>
      <c r="D886" s="56"/>
    </row>
    <row r="887">
      <c r="A887" s="67"/>
      <c r="B887" s="67"/>
      <c r="C887" s="66"/>
      <c r="D887" s="56"/>
    </row>
    <row r="888">
      <c r="A888" s="67"/>
      <c r="B888" s="67"/>
      <c r="C888" s="66"/>
      <c r="D888" s="56"/>
    </row>
    <row r="889">
      <c r="A889" s="67"/>
      <c r="B889" s="67"/>
      <c r="C889" s="66"/>
      <c r="D889" s="56"/>
    </row>
    <row r="890">
      <c r="A890" s="67"/>
      <c r="B890" s="67"/>
      <c r="C890" s="66"/>
      <c r="D890" s="56"/>
    </row>
    <row r="891">
      <c r="A891" s="67"/>
      <c r="B891" s="67"/>
      <c r="C891" s="66"/>
      <c r="D891" s="56"/>
    </row>
    <row r="892">
      <c r="A892" s="67"/>
      <c r="B892" s="67"/>
      <c r="C892" s="66"/>
      <c r="D892" s="56"/>
    </row>
    <row r="893">
      <c r="A893" s="67"/>
      <c r="B893" s="67"/>
      <c r="C893" s="66"/>
      <c r="D893" s="56"/>
    </row>
    <row r="894">
      <c r="A894" s="67"/>
      <c r="B894" s="67"/>
      <c r="C894" s="66"/>
      <c r="D894" s="56"/>
    </row>
    <row r="895">
      <c r="A895" s="67"/>
      <c r="B895" s="67"/>
      <c r="C895" s="66"/>
      <c r="D895" s="56"/>
    </row>
    <row r="896">
      <c r="A896" s="67"/>
      <c r="B896" s="67"/>
      <c r="C896" s="66"/>
      <c r="D896" s="56"/>
    </row>
    <row r="897">
      <c r="A897" s="67"/>
      <c r="B897" s="67"/>
      <c r="C897" s="66"/>
      <c r="D897" s="56"/>
    </row>
    <row r="898">
      <c r="A898" s="67"/>
      <c r="B898" s="67"/>
      <c r="C898" s="66"/>
      <c r="D898" s="56"/>
    </row>
    <row r="899">
      <c r="A899" s="67"/>
      <c r="B899" s="67"/>
      <c r="C899" s="66"/>
      <c r="D899" s="56"/>
    </row>
    <row r="900">
      <c r="A900" s="67"/>
      <c r="B900" s="67"/>
      <c r="C900" s="66"/>
      <c r="D900" s="56"/>
    </row>
    <row r="901">
      <c r="A901" s="67"/>
      <c r="B901" s="67"/>
      <c r="C901" s="66"/>
      <c r="D901" s="56"/>
    </row>
    <row r="902">
      <c r="A902" s="67"/>
      <c r="B902" s="67"/>
      <c r="C902" s="66"/>
      <c r="D902" s="56"/>
    </row>
    <row r="903">
      <c r="A903" s="67"/>
      <c r="B903" s="67"/>
      <c r="C903" s="66"/>
      <c r="D903" s="56"/>
    </row>
    <row r="904">
      <c r="A904" s="67"/>
      <c r="B904" s="67"/>
      <c r="C904" s="66"/>
      <c r="D904" s="56"/>
    </row>
    <row r="905">
      <c r="A905" s="67"/>
      <c r="B905" s="67"/>
      <c r="C905" s="66"/>
      <c r="D905" s="56"/>
    </row>
    <row r="906">
      <c r="A906" s="67"/>
      <c r="B906" s="67"/>
      <c r="C906" s="66"/>
      <c r="D906" s="56"/>
    </row>
    <row r="907">
      <c r="A907" s="67"/>
      <c r="B907" s="67"/>
      <c r="C907" s="66"/>
      <c r="D907" s="56"/>
    </row>
    <row r="908">
      <c r="A908" s="67"/>
      <c r="B908" s="67"/>
      <c r="C908" s="66"/>
      <c r="D908" s="56"/>
    </row>
    <row r="909">
      <c r="A909" s="67"/>
      <c r="B909" s="67"/>
      <c r="C909" s="66"/>
      <c r="D909" s="56"/>
    </row>
    <row r="910">
      <c r="A910" s="67"/>
      <c r="B910" s="67"/>
      <c r="C910" s="66"/>
      <c r="D910" s="56"/>
    </row>
    <row r="911">
      <c r="A911" s="67"/>
      <c r="B911" s="67"/>
      <c r="C911" s="66"/>
      <c r="D911" s="56"/>
    </row>
    <row r="912">
      <c r="A912" s="67"/>
      <c r="B912" s="67"/>
      <c r="C912" s="66"/>
      <c r="D912" s="56"/>
    </row>
    <row r="913">
      <c r="A913" s="67"/>
      <c r="B913" s="67"/>
      <c r="C913" s="66"/>
      <c r="D913" s="56"/>
    </row>
    <row r="914">
      <c r="A914" s="67"/>
      <c r="B914" s="67"/>
      <c r="C914" s="66"/>
      <c r="D914" s="56"/>
    </row>
    <row r="915">
      <c r="A915" s="67"/>
      <c r="B915" s="67"/>
      <c r="C915" s="66"/>
      <c r="D915" s="56"/>
    </row>
    <row r="916">
      <c r="A916" s="67"/>
      <c r="B916" s="67"/>
      <c r="C916" s="66"/>
      <c r="D916" s="56"/>
    </row>
    <row r="917">
      <c r="A917" s="67"/>
      <c r="B917" s="67"/>
      <c r="C917" s="66"/>
      <c r="D917" s="56"/>
    </row>
    <row r="918">
      <c r="A918" s="67"/>
      <c r="B918" s="67"/>
      <c r="C918" s="66"/>
      <c r="D918" s="56"/>
    </row>
    <row r="919">
      <c r="A919" s="67"/>
      <c r="B919" s="67"/>
      <c r="C919" s="66"/>
      <c r="D919" s="56"/>
    </row>
    <row r="920">
      <c r="A920" s="67"/>
      <c r="B920" s="67"/>
      <c r="C920" s="66"/>
      <c r="D920" s="56"/>
    </row>
    <row r="921">
      <c r="A921" s="67"/>
      <c r="B921" s="67"/>
      <c r="C921" s="66"/>
      <c r="D921" s="56"/>
    </row>
    <row r="922">
      <c r="A922" s="67"/>
      <c r="B922" s="67"/>
      <c r="C922" s="66"/>
      <c r="D922" s="56"/>
    </row>
    <row r="923">
      <c r="A923" s="67"/>
      <c r="B923" s="67"/>
      <c r="C923" s="66"/>
      <c r="D923" s="56"/>
    </row>
    <row r="924">
      <c r="A924" s="67"/>
      <c r="B924" s="67"/>
      <c r="C924" s="66"/>
      <c r="D924" s="56"/>
    </row>
    <row r="925">
      <c r="A925" s="67"/>
      <c r="B925" s="67"/>
      <c r="C925" s="66"/>
      <c r="D925" s="56"/>
    </row>
    <row r="926">
      <c r="A926" s="67"/>
      <c r="B926" s="67"/>
      <c r="C926" s="66"/>
      <c r="D926" s="56"/>
    </row>
    <row r="927">
      <c r="A927" s="67"/>
      <c r="B927" s="67"/>
      <c r="C927" s="66"/>
      <c r="D927" s="56"/>
    </row>
    <row r="928">
      <c r="A928" s="67"/>
      <c r="B928" s="67"/>
      <c r="C928" s="66"/>
      <c r="D928" s="56"/>
    </row>
    <row r="929">
      <c r="A929" s="67"/>
      <c r="B929" s="67"/>
      <c r="C929" s="66"/>
      <c r="D929" s="56"/>
    </row>
    <row r="930">
      <c r="A930" s="67"/>
      <c r="B930" s="67"/>
      <c r="C930" s="66"/>
      <c r="D930" s="56"/>
    </row>
    <row r="931">
      <c r="A931" s="67"/>
      <c r="B931" s="67"/>
      <c r="C931" s="66"/>
      <c r="D931" s="56"/>
    </row>
    <row r="932">
      <c r="A932" s="67"/>
      <c r="B932" s="67"/>
      <c r="C932" s="66"/>
      <c r="D932" s="56"/>
    </row>
    <row r="933">
      <c r="A933" s="67"/>
      <c r="B933" s="67"/>
      <c r="C933" s="66"/>
      <c r="D933" s="56"/>
    </row>
    <row r="934">
      <c r="A934" s="67"/>
      <c r="B934" s="67"/>
      <c r="C934" s="66"/>
      <c r="D934" s="56"/>
    </row>
    <row r="935">
      <c r="A935" s="67"/>
      <c r="B935" s="67"/>
      <c r="C935" s="66"/>
      <c r="D935" s="56"/>
    </row>
    <row r="936">
      <c r="A936" s="67"/>
      <c r="B936" s="67"/>
      <c r="C936" s="66"/>
      <c r="D936" s="56"/>
    </row>
    <row r="937">
      <c r="A937" s="67"/>
      <c r="B937" s="67"/>
      <c r="C937" s="66"/>
      <c r="D937" s="56"/>
    </row>
    <row r="938">
      <c r="A938" s="67"/>
      <c r="B938" s="67"/>
      <c r="C938" s="66"/>
      <c r="D938" s="56"/>
    </row>
    <row r="939">
      <c r="A939" s="67"/>
      <c r="B939" s="67"/>
      <c r="C939" s="66"/>
      <c r="D939" s="56"/>
    </row>
    <row r="940">
      <c r="A940" s="67"/>
      <c r="B940" s="67"/>
      <c r="C940" s="66"/>
      <c r="D940" s="56"/>
    </row>
    <row r="941">
      <c r="A941" s="67"/>
      <c r="B941" s="67"/>
      <c r="C941" s="66"/>
      <c r="D941" s="56"/>
    </row>
    <row r="942">
      <c r="A942" s="67"/>
      <c r="B942" s="67"/>
      <c r="C942" s="66"/>
      <c r="D942" s="56"/>
    </row>
    <row r="943">
      <c r="A943" s="67"/>
      <c r="B943" s="67"/>
      <c r="C943" s="66"/>
      <c r="D943" s="56"/>
    </row>
    <row r="944">
      <c r="A944" s="67"/>
      <c r="B944" s="67"/>
      <c r="C944" s="66"/>
      <c r="D944" s="56"/>
    </row>
    <row r="945">
      <c r="A945" s="67"/>
      <c r="B945" s="67"/>
      <c r="C945" s="66"/>
      <c r="D945" s="56"/>
    </row>
    <row r="946">
      <c r="A946" s="67"/>
      <c r="B946" s="67"/>
      <c r="C946" s="66"/>
      <c r="D946" s="56"/>
    </row>
    <row r="947">
      <c r="A947" s="67"/>
      <c r="B947" s="67"/>
      <c r="C947" s="66"/>
      <c r="D947" s="56"/>
    </row>
    <row r="948">
      <c r="A948" s="67"/>
      <c r="B948" s="67"/>
      <c r="C948" s="66"/>
      <c r="D948" s="56"/>
    </row>
    <row r="949">
      <c r="A949" s="67"/>
      <c r="B949" s="67"/>
      <c r="C949" s="66"/>
      <c r="D949" s="56"/>
    </row>
    <row r="950">
      <c r="A950" s="67"/>
      <c r="B950" s="67"/>
      <c r="C950" s="66"/>
      <c r="D950" s="56"/>
    </row>
    <row r="951">
      <c r="A951" s="67"/>
      <c r="B951" s="67"/>
      <c r="C951" s="66"/>
      <c r="D951" s="56"/>
    </row>
    <row r="952">
      <c r="A952" s="67"/>
      <c r="B952" s="67"/>
      <c r="C952" s="66"/>
      <c r="D952" s="56"/>
    </row>
    <row r="953">
      <c r="A953" s="67"/>
      <c r="B953" s="67"/>
      <c r="C953" s="66"/>
      <c r="D953" s="56"/>
    </row>
    <row r="954">
      <c r="A954" s="67"/>
      <c r="B954" s="67"/>
      <c r="C954" s="66"/>
      <c r="D954" s="56"/>
    </row>
    <row r="955">
      <c r="A955" s="67"/>
      <c r="B955" s="67"/>
      <c r="C955" s="66"/>
      <c r="D955" s="56"/>
    </row>
    <row r="956">
      <c r="A956" s="67"/>
      <c r="B956" s="67"/>
      <c r="C956" s="66"/>
      <c r="D956" s="56"/>
    </row>
    <row r="957">
      <c r="A957" s="67"/>
      <c r="B957" s="67"/>
      <c r="C957" s="66"/>
      <c r="D957" s="56"/>
    </row>
    <row r="958">
      <c r="A958" s="67"/>
      <c r="B958" s="67"/>
      <c r="C958" s="66"/>
      <c r="D958" s="56"/>
    </row>
    <row r="959">
      <c r="A959" s="67"/>
      <c r="B959" s="67"/>
      <c r="C959" s="66"/>
      <c r="D959" s="56"/>
    </row>
    <row r="960">
      <c r="A960" s="67"/>
      <c r="B960" s="67"/>
      <c r="C960" s="66"/>
      <c r="D960" s="56"/>
    </row>
    <row r="961">
      <c r="A961" s="67"/>
      <c r="B961" s="67"/>
      <c r="C961" s="66"/>
      <c r="D961" s="56"/>
    </row>
    <row r="962">
      <c r="A962" s="67"/>
      <c r="B962" s="67"/>
      <c r="C962" s="66"/>
      <c r="D962" s="56"/>
    </row>
    <row r="963">
      <c r="A963" s="67"/>
      <c r="B963" s="67"/>
      <c r="C963" s="66"/>
      <c r="D963" s="56"/>
    </row>
    <row r="964">
      <c r="A964" s="67"/>
      <c r="B964" s="67"/>
      <c r="C964" s="66"/>
      <c r="D964" s="56"/>
    </row>
    <row r="965">
      <c r="A965" s="67"/>
      <c r="B965" s="67"/>
      <c r="C965" s="66"/>
      <c r="D965" s="56"/>
    </row>
    <row r="966">
      <c r="A966" s="67"/>
      <c r="B966" s="67"/>
      <c r="C966" s="66"/>
      <c r="D966" s="56"/>
    </row>
    <row r="967">
      <c r="A967" s="67"/>
      <c r="B967" s="67"/>
      <c r="C967" s="66"/>
      <c r="D967" s="56"/>
    </row>
    <row r="968">
      <c r="A968" s="67"/>
      <c r="B968" s="67"/>
      <c r="C968" s="66"/>
      <c r="D968" s="56"/>
    </row>
    <row r="969">
      <c r="A969" s="67"/>
      <c r="B969" s="67"/>
      <c r="C969" s="66"/>
      <c r="D969" s="56"/>
    </row>
    <row r="970">
      <c r="A970" s="67"/>
      <c r="B970" s="67"/>
      <c r="C970" s="66"/>
      <c r="D970" s="56"/>
    </row>
    <row r="971">
      <c r="A971" s="67"/>
      <c r="B971" s="67"/>
      <c r="C971" s="66"/>
      <c r="D971" s="56"/>
    </row>
    <row r="972">
      <c r="A972" s="67"/>
      <c r="B972" s="67"/>
      <c r="C972" s="66"/>
      <c r="D972" s="56"/>
    </row>
    <row r="973">
      <c r="A973" s="67"/>
      <c r="B973" s="67"/>
      <c r="C973" s="66"/>
      <c r="D973" s="56"/>
    </row>
    <row r="974">
      <c r="A974" s="67"/>
      <c r="B974" s="67"/>
      <c r="C974" s="66"/>
      <c r="D974" s="56"/>
    </row>
    <row r="975">
      <c r="A975" s="67"/>
      <c r="B975" s="67"/>
      <c r="C975" s="66"/>
      <c r="D975" s="56"/>
    </row>
    <row r="976">
      <c r="A976" s="67"/>
      <c r="B976" s="67"/>
      <c r="C976" s="66"/>
      <c r="D976" s="56"/>
    </row>
    <row r="977">
      <c r="A977" s="67"/>
      <c r="B977" s="67"/>
      <c r="C977" s="66"/>
      <c r="D977" s="56"/>
    </row>
    <row r="978">
      <c r="A978" s="67"/>
      <c r="B978" s="67"/>
      <c r="C978" s="66"/>
      <c r="D978" s="56"/>
    </row>
    <row r="979">
      <c r="A979" s="67"/>
      <c r="B979" s="67"/>
      <c r="C979" s="66"/>
      <c r="D979" s="56"/>
    </row>
    <row r="980">
      <c r="A980" s="67"/>
      <c r="B980" s="67"/>
      <c r="C980" s="66"/>
      <c r="D980" s="56"/>
    </row>
    <row r="981">
      <c r="A981" s="67"/>
      <c r="B981" s="67"/>
      <c r="C981" s="66"/>
      <c r="D981" s="56"/>
    </row>
    <row r="982">
      <c r="A982" s="67"/>
      <c r="B982" s="67"/>
      <c r="C982" s="66"/>
      <c r="D982" s="56"/>
    </row>
    <row r="983">
      <c r="A983" s="67"/>
      <c r="B983" s="67"/>
      <c r="C983" s="66"/>
      <c r="D983" s="56"/>
    </row>
    <row r="984">
      <c r="A984" s="67"/>
      <c r="B984" s="67"/>
      <c r="C984" s="66"/>
      <c r="D984" s="56"/>
    </row>
    <row r="985">
      <c r="A985" s="67"/>
      <c r="B985" s="67"/>
      <c r="C985" s="66"/>
      <c r="D985" s="56"/>
    </row>
    <row r="986">
      <c r="A986" s="67"/>
      <c r="B986" s="67"/>
      <c r="C986" s="66"/>
      <c r="D986" s="56"/>
    </row>
    <row r="987">
      <c r="A987" s="67"/>
      <c r="B987" s="67"/>
      <c r="C987" s="66"/>
      <c r="D987" s="56"/>
    </row>
    <row r="988">
      <c r="A988" s="67"/>
      <c r="B988" s="67"/>
      <c r="C988" s="66"/>
      <c r="D988" s="56"/>
    </row>
    <row r="989">
      <c r="A989" s="67"/>
      <c r="B989" s="67"/>
      <c r="C989" s="66"/>
      <c r="D989" s="56"/>
    </row>
    <row r="990">
      <c r="A990" s="67"/>
      <c r="B990" s="67"/>
      <c r="C990" s="66"/>
      <c r="D990" s="56"/>
    </row>
    <row r="991">
      <c r="A991" s="67"/>
      <c r="B991" s="67"/>
      <c r="C991" s="66"/>
      <c r="D991" s="56"/>
    </row>
    <row r="992">
      <c r="A992" s="67"/>
      <c r="B992" s="67"/>
      <c r="C992" s="66"/>
      <c r="D992" s="56"/>
    </row>
    <row r="993">
      <c r="A993" s="67"/>
      <c r="B993" s="67"/>
      <c r="C993" s="66"/>
      <c r="D993" s="56"/>
    </row>
    <row r="994">
      <c r="A994" s="67"/>
      <c r="B994" s="67"/>
      <c r="C994" s="66"/>
      <c r="D994" s="56"/>
    </row>
    <row r="995">
      <c r="A995" s="67"/>
      <c r="B995" s="67"/>
      <c r="C995" s="66"/>
      <c r="D995" s="56"/>
    </row>
    <row r="996">
      <c r="A996" s="67"/>
      <c r="B996" s="67"/>
      <c r="C996" s="66"/>
      <c r="D996" s="56"/>
    </row>
    <row r="997">
      <c r="A997" s="67"/>
      <c r="B997" s="67"/>
      <c r="C997" s="66"/>
      <c r="D997" s="56"/>
    </row>
    <row r="998">
      <c r="A998" s="67"/>
      <c r="B998" s="67"/>
      <c r="C998" s="66"/>
      <c r="D998" s="56"/>
    </row>
    <row r="999">
      <c r="A999" s="67"/>
      <c r="B999" s="67"/>
      <c r="C999" s="66"/>
      <c r="D999" s="56"/>
    </row>
    <row r="1000">
      <c r="A1000" s="67"/>
      <c r="B1000" s="67"/>
      <c r="C1000" s="66"/>
      <c r="D1000" s="56"/>
    </row>
  </sheetData>
  <hyperlinks>
    <hyperlink r:id="rId1" ref="E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13"/>
    <col customWidth="1" min="3" max="3" width="64.75"/>
    <col customWidth="1" min="4" max="4" width="26.38"/>
    <col customWidth="1" min="5" max="5" width="51.88"/>
    <col customWidth="1" min="6" max="7" width="71.38"/>
    <col customWidth="1" hidden="1" min="8" max="8" width="32.88"/>
    <col hidden="1" min="9" max="29" width="12.63"/>
  </cols>
  <sheetData>
    <row r="1">
      <c r="A1" s="50" t="s">
        <v>2003</v>
      </c>
      <c r="B1" s="50" t="s">
        <v>2004</v>
      </c>
      <c r="C1" s="51" t="s">
        <v>2005</v>
      </c>
      <c r="D1" s="52" t="s">
        <v>2006</v>
      </c>
      <c r="E1" s="53" t="s">
        <v>2007</v>
      </c>
      <c r="F1" s="53"/>
      <c r="G1" s="53"/>
      <c r="H1" s="5" t="s">
        <v>2008</v>
      </c>
      <c r="I1" s="5" t="s">
        <v>2009</v>
      </c>
    </row>
    <row r="2">
      <c r="A2" s="54">
        <v>1.0</v>
      </c>
      <c r="B2" s="54">
        <v>0.0</v>
      </c>
      <c r="C2" s="55" t="s">
        <v>2001</v>
      </c>
      <c r="D2" s="56"/>
      <c r="I2" s="5" t="s">
        <v>2011</v>
      </c>
      <c r="J2" s="5" t="s">
        <v>2012</v>
      </c>
    </row>
    <row r="3">
      <c r="A3" s="54">
        <v>2.0</v>
      </c>
      <c r="B3" s="54">
        <v>3.0</v>
      </c>
      <c r="C3" s="57" t="s">
        <v>2020</v>
      </c>
      <c r="D3" s="56"/>
      <c r="E3" s="58"/>
      <c r="F3" s="5"/>
      <c r="G3" s="5"/>
      <c r="I3" s="5" t="s">
        <v>2014</v>
      </c>
      <c r="J3" s="5" t="s">
        <v>2012</v>
      </c>
    </row>
    <row r="4">
      <c r="A4" s="59">
        <v>3.0</v>
      </c>
      <c r="B4" s="59">
        <v>7.0</v>
      </c>
      <c r="C4" s="60" t="s">
        <v>2021</v>
      </c>
      <c r="D4" s="56"/>
      <c r="F4" s="5"/>
      <c r="G4" s="5"/>
    </row>
    <row r="5">
      <c r="A5" s="59">
        <v>4.0</v>
      </c>
      <c r="B5" s="59">
        <v>14.0</v>
      </c>
      <c r="C5" s="60" t="s">
        <v>2022</v>
      </c>
      <c r="D5" s="56"/>
      <c r="F5" s="5"/>
      <c r="G5" s="5"/>
    </row>
    <row r="6">
      <c r="A6" s="62">
        <v>5.0</v>
      </c>
      <c r="B6" s="62">
        <v>21.0</v>
      </c>
      <c r="C6" s="68" t="s">
        <v>2023</v>
      </c>
      <c r="D6" s="56"/>
      <c r="F6" s="5"/>
      <c r="G6" s="5"/>
    </row>
    <row r="7">
      <c r="A7" s="62"/>
      <c r="B7" s="62"/>
      <c r="C7" s="60"/>
      <c r="D7" s="56"/>
      <c r="F7" s="5"/>
      <c r="G7" s="5"/>
    </row>
    <row r="8">
      <c r="A8" s="62"/>
      <c r="B8" s="62"/>
      <c r="C8" s="63"/>
      <c r="D8" s="56"/>
      <c r="F8" s="5"/>
      <c r="G8" s="5"/>
    </row>
    <row r="9">
      <c r="A9" s="62"/>
      <c r="B9" s="62"/>
      <c r="C9" s="64"/>
      <c r="D9" s="56"/>
      <c r="F9" s="5"/>
      <c r="G9" s="5"/>
    </row>
    <row r="10">
      <c r="A10" s="62"/>
      <c r="B10" s="62"/>
      <c r="C10" s="64"/>
      <c r="D10" s="56"/>
      <c r="F10" s="5"/>
      <c r="G10" s="5"/>
    </row>
    <row r="11">
      <c r="A11" s="62"/>
      <c r="B11" s="62"/>
      <c r="C11" s="64"/>
      <c r="D11" s="56"/>
      <c r="F11" s="5"/>
      <c r="G11" s="5"/>
    </row>
    <row r="12">
      <c r="A12" s="62"/>
      <c r="B12" s="62"/>
      <c r="C12" s="64"/>
      <c r="D12" s="56"/>
      <c r="F12" s="5"/>
      <c r="G12" s="5"/>
    </row>
    <row r="13">
      <c r="A13" s="62"/>
      <c r="B13" s="62"/>
      <c r="C13" s="64"/>
      <c r="D13" s="56"/>
      <c r="F13" s="5"/>
      <c r="G13" s="5"/>
    </row>
    <row r="14">
      <c r="A14" s="62"/>
      <c r="B14" s="62"/>
      <c r="C14" s="64"/>
      <c r="D14" s="56"/>
      <c r="F14" s="5"/>
      <c r="G14" s="5"/>
    </row>
    <row r="15">
      <c r="A15" s="62"/>
      <c r="B15" s="62"/>
      <c r="C15" s="64"/>
      <c r="D15" s="56"/>
      <c r="F15" s="5"/>
      <c r="G15" s="5"/>
    </row>
    <row r="16">
      <c r="A16" s="62"/>
      <c r="B16" s="62"/>
      <c r="C16" s="64"/>
      <c r="D16" s="56"/>
      <c r="F16" s="5"/>
      <c r="G16" s="5"/>
    </row>
    <row r="17">
      <c r="A17" s="62"/>
      <c r="B17" s="62"/>
      <c r="C17" s="64"/>
      <c r="D17" s="56"/>
      <c r="F17" s="5"/>
      <c r="G17" s="5"/>
    </row>
    <row r="18">
      <c r="A18" s="62"/>
      <c r="B18" s="62"/>
      <c r="C18" s="64"/>
      <c r="D18" s="56"/>
      <c r="F18" s="5"/>
      <c r="G18" s="5"/>
    </row>
    <row r="19">
      <c r="A19" s="62"/>
      <c r="B19" s="62"/>
      <c r="C19" s="64"/>
      <c r="D19" s="56"/>
      <c r="F19" s="5"/>
      <c r="G19" s="5"/>
    </row>
    <row r="20">
      <c r="A20" s="62"/>
      <c r="B20" s="62"/>
      <c r="C20" s="64"/>
      <c r="D20" s="56"/>
      <c r="F20" s="5"/>
      <c r="G20" s="5"/>
    </row>
    <row r="21">
      <c r="A21" s="62"/>
      <c r="B21" s="62"/>
      <c r="C21" s="64"/>
      <c r="D21" s="56"/>
      <c r="F21" s="5"/>
      <c r="G21" s="5"/>
    </row>
    <row r="22">
      <c r="A22" s="62"/>
      <c r="B22" s="62"/>
      <c r="C22" s="64"/>
      <c r="D22" s="56"/>
      <c r="F22" s="5"/>
      <c r="G22" s="5"/>
    </row>
    <row r="23">
      <c r="A23" s="62"/>
      <c r="B23" s="62"/>
      <c r="C23" s="64"/>
      <c r="D23" s="56"/>
      <c r="F23" s="5"/>
      <c r="G23" s="5"/>
    </row>
    <row r="24">
      <c r="A24" s="62"/>
      <c r="B24" s="62"/>
      <c r="C24" s="64"/>
      <c r="D24" s="56"/>
      <c r="F24" s="5"/>
      <c r="G24" s="5"/>
    </row>
    <row r="25">
      <c r="A25" s="62"/>
      <c r="B25" s="62"/>
      <c r="C25" s="65"/>
      <c r="D25" s="56"/>
      <c r="F25" s="5"/>
      <c r="G25" s="5"/>
    </row>
    <row r="26">
      <c r="A26" s="62"/>
      <c r="B26" s="62"/>
      <c r="C26" s="65"/>
      <c r="D26" s="56"/>
      <c r="F26" s="5"/>
      <c r="G26" s="5"/>
    </row>
    <row r="27">
      <c r="A27" s="62"/>
      <c r="B27" s="62"/>
      <c r="C27" s="65"/>
      <c r="D27" s="56"/>
      <c r="F27" s="5"/>
      <c r="G27" s="5"/>
    </row>
    <row r="28">
      <c r="A28" s="62"/>
      <c r="B28" s="62"/>
      <c r="C28" s="65"/>
      <c r="D28" s="56"/>
      <c r="F28" s="5"/>
      <c r="G28" s="5"/>
    </row>
    <row r="29">
      <c r="A29" s="62"/>
      <c r="B29" s="62"/>
      <c r="C29" s="65"/>
      <c r="D29" s="56"/>
      <c r="F29" s="5"/>
      <c r="G29" s="5"/>
    </row>
    <row r="30">
      <c r="A30" s="62"/>
      <c r="B30" s="62"/>
      <c r="C30" s="65"/>
      <c r="D30" s="56"/>
      <c r="F30" s="5"/>
      <c r="G30" s="5"/>
    </row>
    <row r="31">
      <c r="A31" s="62"/>
      <c r="B31" s="62"/>
      <c r="C31" s="65"/>
      <c r="D31" s="56"/>
      <c r="F31" s="5"/>
      <c r="G31" s="5"/>
    </row>
    <row r="32">
      <c r="A32" s="62"/>
      <c r="B32" s="62"/>
      <c r="C32" s="65"/>
      <c r="D32" s="56"/>
      <c r="F32" s="5"/>
      <c r="G32" s="5"/>
    </row>
    <row r="33">
      <c r="A33" s="62"/>
      <c r="B33" s="62"/>
      <c r="C33" s="65"/>
      <c r="D33" s="56"/>
      <c r="F33" s="5"/>
      <c r="G33" s="5"/>
    </row>
    <row r="34">
      <c r="A34" s="62"/>
      <c r="B34" s="62"/>
      <c r="C34" s="65"/>
      <c r="D34" s="56"/>
      <c r="F34" s="5"/>
      <c r="G34" s="5"/>
    </row>
    <row r="35">
      <c r="A35" s="62"/>
      <c r="B35" s="62"/>
      <c r="C35" s="65"/>
      <c r="D35" s="56"/>
      <c r="F35" s="5"/>
      <c r="G35" s="5"/>
    </row>
    <row r="36">
      <c r="A36" s="62"/>
      <c r="B36" s="62"/>
      <c r="C36" s="65"/>
      <c r="D36" s="56"/>
      <c r="F36" s="5"/>
      <c r="G36" s="5"/>
    </row>
    <row r="37">
      <c r="A37" s="62"/>
      <c r="B37" s="62"/>
      <c r="C37" s="65"/>
      <c r="D37" s="56"/>
      <c r="F37" s="5"/>
      <c r="G37" s="5"/>
    </row>
    <row r="38">
      <c r="A38" s="62"/>
      <c r="B38" s="62"/>
      <c r="C38" s="65"/>
      <c r="D38" s="56"/>
      <c r="F38" s="5"/>
      <c r="G38" s="5"/>
    </row>
    <row r="39">
      <c r="A39" s="62"/>
      <c r="B39" s="62"/>
      <c r="C39" s="65"/>
      <c r="D39" s="56"/>
      <c r="F39" s="5"/>
      <c r="G39" s="5"/>
    </row>
    <row r="40">
      <c r="A40" s="62"/>
      <c r="B40" s="62"/>
      <c r="C40" s="65"/>
      <c r="D40" s="56"/>
      <c r="F40" s="5"/>
      <c r="G40" s="5"/>
    </row>
    <row r="41">
      <c r="A41" s="62"/>
      <c r="B41" s="62"/>
      <c r="C41" s="65"/>
      <c r="D41" s="56"/>
      <c r="F41" s="5"/>
      <c r="G41" s="5"/>
    </row>
    <row r="42">
      <c r="A42" s="62"/>
      <c r="B42" s="62"/>
      <c r="C42" s="65"/>
      <c r="D42" s="56"/>
      <c r="F42" s="5"/>
      <c r="G42" s="5"/>
    </row>
    <row r="43">
      <c r="A43" s="62"/>
      <c r="B43" s="62"/>
      <c r="C43" s="65"/>
      <c r="D43" s="56"/>
      <c r="F43" s="5"/>
      <c r="G43" s="5"/>
    </row>
    <row r="44">
      <c r="A44" s="62"/>
      <c r="B44" s="62"/>
      <c r="C44" s="65"/>
      <c r="D44" s="56"/>
      <c r="F44" s="5"/>
      <c r="G44" s="5"/>
    </row>
    <row r="45">
      <c r="A45" s="62"/>
      <c r="B45" s="62"/>
      <c r="C45" s="65"/>
      <c r="D45" s="56"/>
      <c r="F45" s="5"/>
      <c r="G45" s="5"/>
    </row>
    <row r="46">
      <c r="A46" s="62"/>
      <c r="B46" s="62"/>
      <c r="C46" s="65"/>
      <c r="D46" s="56"/>
      <c r="F46" s="5"/>
      <c r="G46" s="5"/>
    </row>
    <row r="47">
      <c r="A47" s="62"/>
      <c r="B47" s="62"/>
      <c r="C47" s="65"/>
      <c r="D47" s="56"/>
      <c r="F47" s="5"/>
      <c r="G47" s="5"/>
    </row>
    <row r="48">
      <c r="A48" s="62"/>
      <c r="B48" s="62"/>
      <c r="C48" s="65"/>
      <c r="D48" s="56"/>
      <c r="F48" s="5"/>
      <c r="G48" s="5"/>
    </row>
    <row r="49">
      <c r="A49" s="62"/>
      <c r="B49" s="62"/>
      <c r="C49" s="65"/>
      <c r="D49" s="56"/>
      <c r="F49" s="5"/>
      <c r="G49" s="5"/>
    </row>
    <row r="50">
      <c r="A50" s="62"/>
      <c r="B50" s="62"/>
      <c r="C50" s="65"/>
      <c r="D50" s="56"/>
      <c r="F50" s="5"/>
      <c r="G50" s="5"/>
    </row>
    <row r="51">
      <c r="A51" s="62"/>
      <c r="B51" s="62"/>
      <c r="C51" s="66"/>
      <c r="D51" s="56"/>
    </row>
    <row r="52">
      <c r="A52" s="62"/>
      <c r="B52" s="62"/>
      <c r="C52" s="66"/>
      <c r="D52" s="56"/>
    </row>
    <row r="53">
      <c r="A53" s="62"/>
      <c r="B53" s="62"/>
      <c r="C53" s="66"/>
      <c r="D53" s="56"/>
    </row>
    <row r="54">
      <c r="A54" s="62"/>
      <c r="B54" s="62"/>
      <c r="C54" s="66"/>
      <c r="D54" s="56"/>
    </row>
    <row r="55">
      <c r="A55" s="62"/>
      <c r="B55" s="62"/>
      <c r="C55" s="66"/>
      <c r="D55" s="56"/>
    </row>
    <row r="56">
      <c r="A56" s="62"/>
      <c r="B56" s="62"/>
      <c r="C56" s="66"/>
      <c r="D56" s="56"/>
    </row>
    <row r="57">
      <c r="A57" s="62"/>
      <c r="B57" s="62"/>
      <c r="C57" s="66"/>
      <c r="D57" s="56"/>
    </row>
    <row r="58">
      <c r="A58" s="62"/>
      <c r="B58" s="62"/>
      <c r="C58" s="66"/>
      <c r="D58" s="56"/>
    </row>
    <row r="59">
      <c r="A59" s="62"/>
      <c r="B59" s="62"/>
      <c r="C59" s="66"/>
      <c r="D59" s="56"/>
    </row>
    <row r="60">
      <c r="A60" s="62"/>
      <c r="B60" s="62"/>
      <c r="C60" s="66"/>
      <c r="D60" s="56"/>
    </row>
    <row r="61">
      <c r="A61" s="62"/>
      <c r="B61" s="62"/>
      <c r="C61" s="66"/>
      <c r="D61" s="56"/>
    </row>
    <row r="62">
      <c r="A62" s="62"/>
      <c r="B62" s="62"/>
      <c r="C62" s="66"/>
      <c r="D62" s="56"/>
    </row>
    <row r="63">
      <c r="A63" s="62"/>
      <c r="B63" s="62"/>
      <c r="C63" s="66"/>
      <c r="D63" s="56"/>
    </row>
    <row r="64">
      <c r="A64" s="62"/>
      <c r="B64" s="62"/>
      <c r="C64" s="66"/>
      <c r="D64" s="56"/>
    </row>
    <row r="65">
      <c r="A65" s="62"/>
      <c r="B65" s="62"/>
      <c r="C65" s="66"/>
      <c r="D65" s="56"/>
    </row>
    <row r="66">
      <c r="A66" s="62"/>
      <c r="B66" s="62"/>
      <c r="C66" s="66"/>
      <c r="D66" s="56"/>
    </row>
    <row r="67">
      <c r="A67" s="62"/>
      <c r="B67" s="62"/>
      <c r="C67" s="66"/>
      <c r="D67" s="56"/>
    </row>
    <row r="68">
      <c r="A68" s="62"/>
      <c r="B68" s="62"/>
      <c r="C68" s="66"/>
      <c r="D68" s="56"/>
    </row>
    <row r="69">
      <c r="A69" s="62"/>
      <c r="B69" s="62"/>
      <c r="C69" s="66"/>
      <c r="D69" s="56"/>
    </row>
    <row r="70">
      <c r="A70" s="62"/>
      <c r="B70" s="62"/>
      <c r="C70" s="66"/>
      <c r="D70" s="56"/>
    </row>
    <row r="71">
      <c r="A71" s="62"/>
      <c r="B71" s="62"/>
      <c r="C71" s="66"/>
      <c r="D71" s="56"/>
    </row>
    <row r="72">
      <c r="A72" s="62"/>
      <c r="B72" s="62"/>
      <c r="C72" s="66"/>
      <c r="D72" s="56"/>
    </row>
    <row r="73">
      <c r="A73" s="62"/>
      <c r="B73" s="62"/>
      <c r="C73" s="66"/>
      <c r="D73" s="56"/>
    </row>
    <row r="74">
      <c r="A74" s="62"/>
      <c r="B74" s="62"/>
      <c r="C74" s="66"/>
      <c r="D74" s="56"/>
    </row>
    <row r="75">
      <c r="A75" s="62"/>
      <c r="B75" s="62"/>
      <c r="C75" s="66"/>
      <c r="D75" s="56"/>
    </row>
    <row r="76">
      <c r="A76" s="62"/>
      <c r="B76" s="62"/>
      <c r="C76" s="66"/>
      <c r="D76" s="56"/>
    </row>
    <row r="77">
      <c r="A77" s="62"/>
      <c r="B77" s="62"/>
      <c r="C77" s="66"/>
      <c r="D77" s="56"/>
    </row>
    <row r="78">
      <c r="A78" s="62"/>
      <c r="B78" s="62"/>
      <c r="C78" s="66"/>
      <c r="D78" s="56"/>
    </row>
    <row r="79">
      <c r="A79" s="62"/>
      <c r="B79" s="62"/>
      <c r="C79" s="66"/>
      <c r="D79" s="56"/>
    </row>
    <row r="80">
      <c r="A80" s="62"/>
      <c r="B80" s="62"/>
      <c r="C80" s="66"/>
      <c r="D80" s="56"/>
    </row>
    <row r="81">
      <c r="A81" s="62"/>
      <c r="B81" s="62"/>
      <c r="C81" s="66"/>
      <c r="D81" s="56"/>
    </row>
    <row r="82">
      <c r="A82" s="62"/>
      <c r="B82" s="62"/>
      <c r="C82" s="66"/>
      <c r="D82" s="56"/>
    </row>
    <row r="83">
      <c r="A83" s="62"/>
      <c r="B83" s="62"/>
      <c r="C83" s="66"/>
      <c r="D83" s="56"/>
    </row>
    <row r="84">
      <c r="A84" s="62"/>
      <c r="B84" s="62"/>
      <c r="C84" s="66"/>
      <c r="D84" s="56"/>
    </row>
    <row r="85">
      <c r="A85" s="62"/>
      <c r="B85" s="62"/>
      <c r="C85" s="66"/>
      <c r="D85" s="56"/>
    </row>
    <row r="86">
      <c r="A86" s="62"/>
      <c r="B86" s="62"/>
      <c r="C86" s="66"/>
      <c r="D86" s="56"/>
    </row>
    <row r="87">
      <c r="A87" s="62"/>
      <c r="B87" s="62"/>
      <c r="C87" s="66"/>
      <c r="D87" s="56"/>
    </row>
    <row r="88">
      <c r="A88" s="62"/>
      <c r="B88" s="62"/>
      <c r="C88" s="66"/>
      <c r="D88" s="56"/>
    </row>
    <row r="89">
      <c r="A89" s="62"/>
      <c r="B89" s="62"/>
      <c r="C89" s="66"/>
      <c r="D89" s="56"/>
    </row>
    <row r="90">
      <c r="A90" s="62"/>
      <c r="B90" s="62"/>
      <c r="C90" s="66"/>
      <c r="D90" s="56"/>
    </row>
    <row r="91">
      <c r="A91" s="62"/>
      <c r="B91" s="62"/>
      <c r="C91" s="66"/>
      <c r="D91" s="56"/>
    </row>
    <row r="92">
      <c r="A92" s="62"/>
      <c r="B92" s="62"/>
      <c r="C92" s="66"/>
      <c r="D92" s="56"/>
    </row>
    <row r="93">
      <c r="A93" s="62"/>
      <c r="B93" s="62"/>
      <c r="C93" s="66"/>
      <c r="D93" s="56"/>
    </row>
    <row r="94">
      <c r="A94" s="62"/>
      <c r="B94" s="62"/>
      <c r="C94" s="66"/>
      <c r="D94" s="56"/>
    </row>
    <row r="95">
      <c r="A95" s="62"/>
      <c r="B95" s="62"/>
      <c r="C95" s="66"/>
      <c r="D95" s="56"/>
    </row>
    <row r="96">
      <c r="A96" s="62"/>
      <c r="B96" s="62"/>
      <c r="C96" s="66"/>
      <c r="D96" s="56"/>
    </row>
    <row r="97">
      <c r="A97" s="62"/>
      <c r="B97" s="62"/>
      <c r="C97" s="66"/>
      <c r="D97" s="56"/>
    </row>
    <row r="98">
      <c r="A98" s="62"/>
      <c r="B98" s="62"/>
      <c r="C98" s="66"/>
      <c r="D98" s="56"/>
    </row>
    <row r="99">
      <c r="A99" s="62"/>
      <c r="B99" s="62"/>
      <c r="C99" s="66"/>
      <c r="D99" s="56"/>
    </row>
    <row r="100">
      <c r="A100" s="62"/>
      <c r="B100" s="62"/>
      <c r="C100" s="66"/>
      <c r="D100" s="56"/>
    </row>
    <row r="101">
      <c r="A101" s="62"/>
      <c r="B101" s="62"/>
      <c r="C101" s="66"/>
      <c r="D101" s="56"/>
    </row>
    <row r="102">
      <c r="A102" s="67"/>
      <c r="B102" s="67"/>
      <c r="C102" s="66"/>
      <c r="D102" s="56"/>
    </row>
    <row r="103">
      <c r="A103" s="67"/>
      <c r="B103" s="67"/>
      <c r="C103" s="66"/>
      <c r="D103" s="56"/>
    </row>
    <row r="104">
      <c r="A104" s="67"/>
      <c r="B104" s="67"/>
      <c r="C104" s="66"/>
      <c r="D104" s="56"/>
    </row>
    <row r="105">
      <c r="A105" s="67"/>
      <c r="B105" s="67"/>
      <c r="C105" s="66"/>
      <c r="D105" s="56"/>
    </row>
    <row r="106">
      <c r="A106" s="67"/>
      <c r="B106" s="67"/>
      <c r="C106" s="66"/>
      <c r="D106" s="56"/>
    </row>
    <row r="107">
      <c r="A107" s="67"/>
      <c r="B107" s="67"/>
      <c r="C107" s="66"/>
      <c r="D107" s="56"/>
    </row>
    <row r="108">
      <c r="A108" s="67"/>
      <c r="B108" s="67"/>
      <c r="C108" s="66"/>
      <c r="D108" s="56"/>
    </row>
    <row r="109">
      <c r="A109" s="67"/>
      <c r="B109" s="67"/>
      <c r="C109" s="66"/>
      <c r="D109" s="56"/>
    </row>
    <row r="110">
      <c r="A110" s="67"/>
      <c r="B110" s="67"/>
      <c r="C110" s="66"/>
      <c r="D110" s="56"/>
    </row>
    <row r="111">
      <c r="A111" s="67"/>
      <c r="B111" s="67"/>
      <c r="C111" s="66"/>
      <c r="D111" s="56"/>
    </row>
    <row r="112">
      <c r="A112" s="67"/>
      <c r="B112" s="67"/>
      <c r="C112" s="66"/>
      <c r="D112" s="56"/>
    </row>
    <row r="113">
      <c r="A113" s="67"/>
      <c r="B113" s="67"/>
      <c r="C113" s="66"/>
      <c r="D113" s="56"/>
    </row>
    <row r="114">
      <c r="A114" s="67"/>
      <c r="B114" s="67"/>
      <c r="C114" s="66"/>
      <c r="D114" s="56"/>
    </row>
    <row r="115">
      <c r="A115" s="67"/>
      <c r="B115" s="67"/>
      <c r="C115" s="66"/>
      <c r="D115" s="56"/>
    </row>
    <row r="116">
      <c r="A116" s="67"/>
      <c r="B116" s="67"/>
      <c r="C116" s="66"/>
      <c r="D116" s="56"/>
    </row>
    <row r="117">
      <c r="A117" s="67"/>
      <c r="B117" s="67"/>
      <c r="C117" s="66"/>
      <c r="D117" s="56"/>
    </row>
    <row r="118">
      <c r="A118" s="67"/>
      <c r="B118" s="67"/>
      <c r="C118" s="66"/>
      <c r="D118" s="56"/>
    </row>
    <row r="119">
      <c r="A119" s="67"/>
      <c r="B119" s="67"/>
      <c r="C119" s="66"/>
      <c r="D119" s="56"/>
    </row>
    <row r="120">
      <c r="A120" s="67"/>
      <c r="B120" s="67"/>
      <c r="C120" s="66"/>
      <c r="D120" s="56"/>
    </row>
    <row r="121">
      <c r="A121" s="67"/>
      <c r="B121" s="67"/>
      <c r="C121" s="66"/>
      <c r="D121" s="56"/>
    </row>
    <row r="122">
      <c r="A122" s="67"/>
      <c r="B122" s="67"/>
      <c r="C122" s="66"/>
      <c r="D122" s="56"/>
    </row>
    <row r="123">
      <c r="A123" s="67"/>
      <c r="B123" s="67"/>
      <c r="C123" s="66"/>
      <c r="D123" s="56"/>
    </row>
    <row r="124">
      <c r="A124" s="67"/>
      <c r="B124" s="67"/>
      <c r="C124" s="66"/>
      <c r="D124" s="56"/>
    </row>
    <row r="125">
      <c r="A125" s="67"/>
      <c r="B125" s="67"/>
      <c r="C125" s="66"/>
      <c r="D125" s="56"/>
    </row>
    <row r="126">
      <c r="A126" s="67"/>
      <c r="B126" s="67"/>
      <c r="C126" s="66"/>
      <c r="D126" s="56"/>
    </row>
    <row r="127">
      <c r="A127" s="67"/>
      <c r="B127" s="67"/>
      <c r="C127" s="66"/>
      <c r="D127" s="56"/>
    </row>
    <row r="128">
      <c r="A128" s="67"/>
      <c r="B128" s="67"/>
      <c r="C128" s="66"/>
      <c r="D128" s="56"/>
    </row>
    <row r="129">
      <c r="A129" s="67"/>
      <c r="B129" s="67"/>
      <c r="C129" s="66"/>
      <c r="D129" s="56"/>
    </row>
    <row r="130">
      <c r="A130" s="67"/>
      <c r="B130" s="67"/>
      <c r="C130" s="66"/>
      <c r="D130" s="56"/>
    </row>
    <row r="131">
      <c r="A131" s="67"/>
      <c r="B131" s="67"/>
      <c r="C131" s="66"/>
      <c r="D131" s="56"/>
    </row>
    <row r="132">
      <c r="A132" s="67"/>
      <c r="B132" s="67"/>
      <c r="C132" s="66"/>
      <c r="D132" s="56"/>
    </row>
    <row r="133">
      <c r="A133" s="67"/>
      <c r="B133" s="67"/>
      <c r="C133" s="66"/>
      <c r="D133" s="56"/>
    </row>
    <row r="134">
      <c r="A134" s="67"/>
      <c r="B134" s="67"/>
      <c r="C134" s="66"/>
      <c r="D134" s="56"/>
    </row>
    <row r="135">
      <c r="A135" s="67"/>
      <c r="B135" s="67"/>
      <c r="C135" s="66"/>
      <c r="D135" s="56"/>
    </row>
    <row r="136">
      <c r="A136" s="67"/>
      <c r="B136" s="67"/>
      <c r="C136" s="66"/>
      <c r="D136" s="56"/>
    </row>
    <row r="137">
      <c r="A137" s="67"/>
      <c r="B137" s="67"/>
      <c r="C137" s="66"/>
      <c r="D137" s="56"/>
    </row>
    <row r="138">
      <c r="A138" s="67"/>
      <c r="B138" s="67"/>
      <c r="C138" s="66"/>
      <c r="D138" s="56"/>
    </row>
    <row r="139">
      <c r="A139" s="67"/>
      <c r="B139" s="67"/>
      <c r="C139" s="66"/>
      <c r="D139" s="56"/>
    </row>
    <row r="140">
      <c r="A140" s="67"/>
      <c r="B140" s="67"/>
      <c r="C140" s="66"/>
      <c r="D140" s="56"/>
    </row>
    <row r="141">
      <c r="A141" s="67"/>
      <c r="B141" s="67"/>
      <c r="C141" s="66"/>
      <c r="D141" s="56"/>
    </row>
    <row r="142">
      <c r="A142" s="67"/>
      <c r="B142" s="67"/>
      <c r="C142" s="66"/>
      <c r="D142" s="56"/>
    </row>
    <row r="143">
      <c r="A143" s="67"/>
      <c r="B143" s="67"/>
      <c r="C143" s="66"/>
      <c r="D143" s="56"/>
    </row>
    <row r="144">
      <c r="A144" s="67"/>
      <c r="B144" s="67"/>
      <c r="C144" s="66"/>
      <c r="D144" s="56"/>
    </row>
    <row r="145">
      <c r="A145" s="67"/>
      <c r="B145" s="67"/>
      <c r="C145" s="66"/>
      <c r="D145" s="56"/>
    </row>
    <row r="146">
      <c r="A146" s="67"/>
      <c r="B146" s="67"/>
      <c r="C146" s="66"/>
      <c r="D146" s="56"/>
    </row>
    <row r="147">
      <c r="A147" s="67"/>
      <c r="B147" s="67"/>
      <c r="C147" s="66"/>
      <c r="D147" s="56"/>
    </row>
    <row r="148">
      <c r="A148" s="67"/>
      <c r="B148" s="67"/>
      <c r="C148" s="66"/>
      <c r="D148" s="56"/>
    </row>
    <row r="149">
      <c r="A149" s="67"/>
      <c r="B149" s="67"/>
      <c r="C149" s="66"/>
      <c r="D149" s="56"/>
    </row>
    <row r="150">
      <c r="A150" s="67"/>
      <c r="B150" s="67"/>
      <c r="C150" s="66"/>
      <c r="D150" s="56"/>
    </row>
    <row r="151">
      <c r="A151" s="67"/>
      <c r="B151" s="67"/>
      <c r="C151" s="66"/>
      <c r="D151" s="56"/>
    </row>
    <row r="152">
      <c r="A152" s="67"/>
      <c r="B152" s="67"/>
      <c r="C152" s="66"/>
      <c r="D152" s="56"/>
    </row>
    <row r="153">
      <c r="A153" s="67"/>
      <c r="B153" s="67"/>
      <c r="C153" s="66"/>
      <c r="D153" s="56"/>
    </row>
    <row r="154">
      <c r="A154" s="67"/>
      <c r="B154" s="67"/>
      <c r="C154" s="66"/>
      <c r="D154" s="56"/>
    </row>
    <row r="155">
      <c r="A155" s="67"/>
      <c r="B155" s="67"/>
      <c r="C155" s="66"/>
      <c r="D155" s="56"/>
    </row>
    <row r="156">
      <c r="A156" s="67"/>
      <c r="B156" s="67"/>
      <c r="C156" s="66"/>
      <c r="D156" s="56"/>
    </row>
    <row r="157">
      <c r="A157" s="67"/>
      <c r="B157" s="67"/>
      <c r="C157" s="66"/>
      <c r="D157" s="56"/>
    </row>
    <row r="158">
      <c r="A158" s="67"/>
      <c r="B158" s="67"/>
      <c r="C158" s="66"/>
      <c r="D158" s="56"/>
    </row>
    <row r="159">
      <c r="A159" s="67"/>
      <c r="B159" s="67"/>
      <c r="C159" s="66"/>
      <c r="D159" s="56"/>
    </row>
    <row r="160">
      <c r="A160" s="67"/>
      <c r="B160" s="67"/>
      <c r="C160" s="66"/>
      <c r="D160" s="56"/>
    </row>
    <row r="161">
      <c r="A161" s="67"/>
      <c r="B161" s="67"/>
      <c r="C161" s="66"/>
      <c r="D161" s="56"/>
    </row>
    <row r="162">
      <c r="A162" s="67"/>
      <c r="B162" s="67"/>
      <c r="C162" s="66"/>
      <c r="D162" s="56"/>
    </row>
    <row r="163">
      <c r="A163" s="67"/>
      <c r="B163" s="67"/>
      <c r="C163" s="66"/>
      <c r="D163" s="56"/>
    </row>
    <row r="164">
      <c r="A164" s="67"/>
      <c r="B164" s="67"/>
      <c r="C164" s="66"/>
      <c r="D164" s="56"/>
    </row>
    <row r="165">
      <c r="A165" s="67"/>
      <c r="B165" s="67"/>
      <c r="C165" s="66"/>
      <c r="D165" s="56"/>
    </row>
    <row r="166">
      <c r="A166" s="67"/>
      <c r="B166" s="67"/>
      <c r="C166" s="66"/>
      <c r="D166" s="56"/>
    </row>
    <row r="167">
      <c r="A167" s="67"/>
      <c r="B167" s="67"/>
      <c r="C167" s="66"/>
      <c r="D167" s="56"/>
    </row>
    <row r="168">
      <c r="A168" s="67"/>
      <c r="B168" s="67"/>
      <c r="C168" s="66"/>
      <c r="D168" s="56"/>
    </row>
    <row r="169">
      <c r="A169" s="67"/>
      <c r="B169" s="67"/>
      <c r="C169" s="66"/>
      <c r="D169" s="56"/>
    </row>
    <row r="170">
      <c r="A170" s="67"/>
      <c r="B170" s="67"/>
      <c r="C170" s="66"/>
      <c r="D170" s="56"/>
    </row>
    <row r="171">
      <c r="A171" s="67"/>
      <c r="B171" s="67"/>
      <c r="C171" s="66"/>
      <c r="D171" s="56"/>
    </row>
    <row r="172">
      <c r="A172" s="67"/>
      <c r="B172" s="67"/>
      <c r="C172" s="66"/>
      <c r="D172" s="56"/>
    </row>
    <row r="173">
      <c r="A173" s="67"/>
      <c r="B173" s="67"/>
      <c r="C173" s="66"/>
      <c r="D173" s="56"/>
    </row>
    <row r="174">
      <c r="A174" s="67"/>
      <c r="B174" s="67"/>
      <c r="C174" s="66"/>
      <c r="D174" s="56"/>
    </row>
    <row r="175">
      <c r="A175" s="67"/>
      <c r="B175" s="67"/>
      <c r="C175" s="66"/>
      <c r="D175" s="56"/>
    </row>
    <row r="176">
      <c r="A176" s="67"/>
      <c r="B176" s="67"/>
      <c r="C176" s="66"/>
      <c r="D176" s="56"/>
    </row>
    <row r="177">
      <c r="A177" s="67"/>
      <c r="B177" s="67"/>
      <c r="C177" s="66"/>
      <c r="D177" s="56"/>
    </row>
    <row r="178">
      <c r="A178" s="67"/>
      <c r="B178" s="67"/>
      <c r="C178" s="66"/>
      <c r="D178" s="56"/>
    </row>
    <row r="179">
      <c r="A179" s="67"/>
      <c r="B179" s="67"/>
      <c r="C179" s="66"/>
      <c r="D179" s="56"/>
    </row>
    <row r="180">
      <c r="A180" s="67"/>
      <c r="B180" s="67"/>
      <c r="C180" s="66"/>
      <c r="D180" s="56"/>
    </row>
    <row r="181">
      <c r="A181" s="67"/>
      <c r="B181" s="67"/>
      <c r="C181" s="66"/>
      <c r="D181" s="56"/>
    </row>
    <row r="182">
      <c r="A182" s="67"/>
      <c r="B182" s="67"/>
      <c r="C182" s="66"/>
      <c r="D182" s="56"/>
    </row>
    <row r="183">
      <c r="A183" s="67"/>
      <c r="B183" s="67"/>
      <c r="C183" s="66"/>
      <c r="D183" s="56"/>
    </row>
    <row r="184">
      <c r="A184" s="67"/>
      <c r="B184" s="67"/>
      <c r="C184" s="66"/>
      <c r="D184" s="56"/>
    </row>
    <row r="185">
      <c r="A185" s="67"/>
      <c r="B185" s="67"/>
      <c r="C185" s="66"/>
      <c r="D185" s="56"/>
    </row>
    <row r="186">
      <c r="A186" s="67"/>
      <c r="B186" s="67"/>
      <c r="C186" s="66"/>
      <c r="D186" s="56"/>
    </row>
    <row r="187">
      <c r="A187" s="67"/>
      <c r="B187" s="67"/>
      <c r="C187" s="66"/>
      <c r="D187" s="56"/>
    </row>
    <row r="188">
      <c r="A188" s="67"/>
      <c r="B188" s="67"/>
      <c r="C188" s="66"/>
      <c r="D188" s="56"/>
    </row>
    <row r="189">
      <c r="A189" s="67"/>
      <c r="B189" s="67"/>
      <c r="C189" s="66"/>
      <c r="D189" s="56"/>
    </row>
    <row r="190">
      <c r="A190" s="67"/>
      <c r="B190" s="67"/>
      <c r="C190" s="66"/>
      <c r="D190" s="56"/>
    </row>
    <row r="191">
      <c r="A191" s="67"/>
      <c r="B191" s="67"/>
      <c r="C191" s="66"/>
      <c r="D191" s="56"/>
    </row>
    <row r="192">
      <c r="A192" s="67"/>
      <c r="B192" s="67"/>
      <c r="C192" s="66"/>
      <c r="D192" s="56"/>
    </row>
    <row r="193">
      <c r="A193" s="67"/>
      <c r="B193" s="67"/>
      <c r="C193" s="66"/>
      <c r="D193" s="56"/>
    </row>
    <row r="194">
      <c r="A194" s="67"/>
      <c r="B194" s="67"/>
      <c r="C194" s="66"/>
      <c r="D194" s="56"/>
    </row>
    <row r="195">
      <c r="A195" s="67"/>
      <c r="B195" s="67"/>
      <c r="C195" s="66"/>
      <c r="D195" s="56"/>
    </row>
    <row r="196">
      <c r="A196" s="67"/>
      <c r="B196" s="67"/>
      <c r="C196" s="66"/>
      <c r="D196" s="56"/>
    </row>
    <row r="197">
      <c r="A197" s="67"/>
      <c r="B197" s="67"/>
      <c r="C197" s="66"/>
      <c r="D197" s="56"/>
    </row>
    <row r="198">
      <c r="A198" s="67"/>
      <c r="B198" s="67"/>
      <c r="C198" s="66"/>
      <c r="D198" s="56"/>
    </row>
    <row r="199">
      <c r="A199" s="67"/>
      <c r="B199" s="67"/>
      <c r="C199" s="66"/>
      <c r="D199" s="56"/>
    </row>
    <row r="200">
      <c r="A200" s="67"/>
      <c r="B200" s="67"/>
      <c r="C200" s="66"/>
      <c r="D200" s="56"/>
    </row>
    <row r="201">
      <c r="A201" s="67"/>
      <c r="B201" s="67"/>
      <c r="C201" s="66"/>
      <c r="D201" s="56"/>
    </row>
    <row r="202">
      <c r="A202" s="67"/>
      <c r="B202" s="67"/>
      <c r="C202" s="66"/>
      <c r="D202" s="56"/>
    </row>
    <row r="203">
      <c r="A203" s="67"/>
      <c r="B203" s="67"/>
      <c r="C203" s="66"/>
      <c r="D203" s="56"/>
    </row>
    <row r="204">
      <c r="A204" s="67"/>
      <c r="B204" s="67"/>
      <c r="C204" s="66"/>
      <c r="D204" s="56"/>
    </row>
    <row r="205">
      <c r="A205" s="67"/>
      <c r="B205" s="67"/>
      <c r="C205" s="66"/>
      <c r="D205" s="56"/>
    </row>
    <row r="206">
      <c r="A206" s="67"/>
      <c r="B206" s="67"/>
      <c r="C206" s="66"/>
      <c r="D206" s="56"/>
    </row>
    <row r="207">
      <c r="A207" s="67"/>
      <c r="B207" s="67"/>
      <c r="C207" s="66"/>
      <c r="D207" s="56"/>
    </row>
    <row r="208">
      <c r="A208" s="67"/>
      <c r="B208" s="67"/>
      <c r="C208" s="66"/>
      <c r="D208" s="56"/>
    </row>
    <row r="209">
      <c r="A209" s="67"/>
      <c r="B209" s="67"/>
      <c r="C209" s="66"/>
      <c r="D209" s="56"/>
    </row>
    <row r="210">
      <c r="A210" s="67"/>
      <c r="B210" s="67"/>
      <c r="C210" s="66"/>
      <c r="D210" s="56"/>
    </row>
    <row r="211">
      <c r="A211" s="67"/>
      <c r="B211" s="67"/>
      <c r="C211" s="66"/>
      <c r="D211" s="56"/>
    </row>
    <row r="212">
      <c r="A212" s="67"/>
      <c r="B212" s="67"/>
      <c r="C212" s="66"/>
      <c r="D212" s="56"/>
    </row>
    <row r="213">
      <c r="A213" s="67"/>
      <c r="B213" s="67"/>
      <c r="C213" s="66"/>
      <c r="D213" s="56"/>
    </row>
    <row r="214">
      <c r="A214" s="67"/>
      <c r="B214" s="67"/>
      <c r="C214" s="66"/>
      <c r="D214" s="56"/>
    </row>
    <row r="215">
      <c r="A215" s="67"/>
      <c r="B215" s="67"/>
      <c r="C215" s="66"/>
      <c r="D215" s="56"/>
    </row>
    <row r="216">
      <c r="A216" s="67"/>
      <c r="B216" s="67"/>
      <c r="C216" s="66"/>
      <c r="D216" s="56"/>
    </row>
    <row r="217">
      <c r="A217" s="67"/>
      <c r="B217" s="67"/>
      <c r="C217" s="66"/>
      <c r="D217" s="56"/>
    </row>
    <row r="218">
      <c r="A218" s="67"/>
      <c r="B218" s="67"/>
      <c r="C218" s="66"/>
      <c r="D218" s="56"/>
    </row>
    <row r="219">
      <c r="A219" s="67"/>
      <c r="B219" s="67"/>
      <c r="C219" s="66"/>
      <c r="D219" s="56"/>
    </row>
    <row r="220">
      <c r="A220" s="67"/>
      <c r="B220" s="67"/>
      <c r="C220" s="66"/>
      <c r="D220" s="56"/>
    </row>
    <row r="221">
      <c r="A221" s="67"/>
      <c r="B221" s="67"/>
      <c r="C221" s="66"/>
      <c r="D221" s="56"/>
    </row>
    <row r="222">
      <c r="A222" s="67"/>
      <c r="B222" s="67"/>
      <c r="C222" s="66"/>
      <c r="D222" s="56"/>
    </row>
    <row r="223">
      <c r="A223" s="67"/>
      <c r="B223" s="67"/>
      <c r="C223" s="66"/>
      <c r="D223" s="56"/>
    </row>
    <row r="224">
      <c r="A224" s="67"/>
      <c r="B224" s="67"/>
      <c r="C224" s="66"/>
      <c r="D224" s="56"/>
    </row>
    <row r="225">
      <c r="A225" s="67"/>
      <c r="B225" s="67"/>
      <c r="C225" s="66"/>
      <c r="D225" s="56"/>
    </row>
    <row r="226">
      <c r="A226" s="67"/>
      <c r="B226" s="67"/>
      <c r="C226" s="66"/>
      <c r="D226" s="56"/>
    </row>
    <row r="227">
      <c r="A227" s="67"/>
      <c r="B227" s="67"/>
      <c r="C227" s="66"/>
      <c r="D227" s="56"/>
    </row>
    <row r="228">
      <c r="A228" s="67"/>
      <c r="B228" s="67"/>
      <c r="C228" s="66"/>
      <c r="D228" s="56"/>
    </row>
    <row r="229">
      <c r="A229" s="67"/>
      <c r="B229" s="67"/>
      <c r="C229" s="66"/>
      <c r="D229" s="56"/>
    </row>
    <row r="230">
      <c r="A230" s="67"/>
      <c r="B230" s="67"/>
      <c r="C230" s="66"/>
      <c r="D230" s="56"/>
    </row>
    <row r="231">
      <c r="A231" s="67"/>
      <c r="B231" s="67"/>
      <c r="C231" s="66"/>
      <c r="D231" s="56"/>
    </row>
    <row r="232">
      <c r="A232" s="67"/>
      <c r="B232" s="67"/>
      <c r="C232" s="66"/>
      <c r="D232" s="56"/>
    </row>
    <row r="233">
      <c r="A233" s="67"/>
      <c r="B233" s="67"/>
      <c r="C233" s="66"/>
      <c r="D233" s="56"/>
    </row>
    <row r="234">
      <c r="A234" s="67"/>
      <c r="B234" s="67"/>
      <c r="C234" s="66"/>
      <c r="D234" s="56"/>
    </row>
    <row r="235">
      <c r="A235" s="67"/>
      <c r="B235" s="67"/>
      <c r="C235" s="66"/>
      <c r="D235" s="56"/>
    </row>
    <row r="236">
      <c r="A236" s="67"/>
      <c r="B236" s="67"/>
      <c r="C236" s="66"/>
      <c r="D236" s="56"/>
    </row>
    <row r="237">
      <c r="A237" s="67"/>
      <c r="B237" s="67"/>
      <c r="C237" s="66"/>
      <c r="D237" s="56"/>
    </row>
    <row r="238">
      <c r="A238" s="67"/>
      <c r="B238" s="67"/>
      <c r="C238" s="66"/>
      <c r="D238" s="56"/>
    </row>
    <row r="239">
      <c r="A239" s="67"/>
      <c r="B239" s="67"/>
      <c r="C239" s="66"/>
      <c r="D239" s="56"/>
    </row>
    <row r="240">
      <c r="A240" s="67"/>
      <c r="B240" s="67"/>
      <c r="C240" s="66"/>
      <c r="D240" s="56"/>
    </row>
    <row r="241">
      <c r="A241" s="67"/>
      <c r="B241" s="67"/>
      <c r="C241" s="66"/>
      <c r="D241" s="56"/>
    </row>
    <row r="242">
      <c r="A242" s="67"/>
      <c r="B242" s="67"/>
      <c r="C242" s="66"/>
      <c r="D242" s="56"/>
    </row>
    <row r="243">
      <c r="A243" s="67"/>
      <c r="B243" s="67"/>
      <c r="C243" s="66"/>
      <c r="D243" s="56"/>
    </row>
    <row r="244">
      <c r="A244" s="67"/>
      <c r="B244" s="67"/>
      <c r="C244" s="66"/>
      <c r="D244" s="56"/>
    </row>
    <row r="245">
      <c r="A245" s="67"/>
      <c r="B245" s="67"/>
      <c r="C245" s="66"/>
      <c r="D245" s="56"/>
    </row>
    <row r="246">
      <c r="A246" s="67"/>
      <c r="B246" s="67"/>
      <c r="C246" s="66"/>
      <c r="D246" s="56"/>
    </row>
    <row r="247">
      <c r="A247" s="67"/>
      <c r="B247" s="67"/>
      <c r="C247" s="66"/>
      <c r="D247" s="56"/>
    </row>
    <row r="248">
      <c r="A248" s="67"/>
      <c r="B248" s="67"/>
      <c r="C248" s="66"/>
      <c r="D248" s="56"/>
    </row>
    <row r="249">
      <c r="A249" s="67"/>
      <c r="B249" s="67"/>
      <c r="C249" s="66"/>
      <c r="D249" s="56"/>
    </row>
    <row r="250">
      <c r="A250" s="67"/>
      <c r="B250" s="67"/>
      <c r="C250" s="66"/>
      <c r="D250" s="56"/>
    </row>
    <row r="251">
      <c r="A251" s="67"/>
      <c r="B251" s="67"/>
      <c r="C251" s="66"/>
      <c r="D251" s="56"/>
    </row>
    <row r="252">
      <c r="A252" s="67"/>
      <c r="B252" s="67"/>
      <c r="C252" s="66"/>
      <c r="D252" s="56"/>
    </row>
    <row r="253">
      <c r="A253" s="67"/>
      <c r="B253" s="67"/>
      <c r="C253" s="66"/>
      <c r="D253" s="56"/>
    </row>
    <row r="254">
      <c r="A254" s="67"/>
      <c r="B254" s="67"/>
      <c r="C254" s="66"/>
      <c r="D254" s="56"/>
    </row>
    <row r="255">
      <c r="A255" s="67"/>
      <c r="B255" s="67"/>
      <c r="C255" s="66"/>
      <c r="D255" s="56"/>
    </row>
    <row r="256">
      <c r="A256" s="67"/>
      <c r="B256" s="67"/>
      <c r="C256" s="66"/>
      <c r="D256" s="56"/>
    </row>
    <row r="257">
      <c r="A257" s="67"/>
      <c r="B257" s="67"/>
      <c r="C257" s="66"/>
      <c r="D257" s="56"/>
    </row>
    <row r="258">
      <c r="A258" s="67"/>
      <c r="B258" s="67"/>
      <c r="C258" s="66"/>
      <c r="D258" s="56"/>
    </row>
    <row r="259">
      <c r="A259" s="67"/>
      <c r="B259" s="67"/>
      <c r="C259" s="66"/>
      <c r="D259" s="56"/>
    </row>
    <row r="260">
      <c r="A260" s="67"/>
      <c r="B260" s="67"/>
      <c r="C260" s="66"/>
      <c r="D260" s="56"/>
    </row>
    <row r="261">
      <c r="A261" s="67"/>
      <c r="B261" s="67"/>
      <c r="C261" s="66"/>
      <c r="D261" s="56"/>
    </row>
    <row r="262">
      <c r="A262" s="67"/>
      <c r="B262" s="67"/>
      <c r="C262" s="66"/>
      <c r="D262" s="56"/>
    </row>
    <row r="263">
      <c r="A263" s="67"/>
      <c r="B263" s="67"/>
      <c r="C263" s="66"/>
      <c r="D263" s="56"/>
    </row>
    <row r="264">
      <c r="A264" s="67"/>
      <c r="B264" s="67"/>
      <c r="C264" s="66"/>
      <c r="D264" s="56"/>
    </row>
    <row r="265">
      <c r="A265" s="67"/>
      <c r="B265" s="67"/>
      <c r="C265" s="66"/>
      <c r="D265" s="56"/>
    </row>
    <row r="266">
      <c r="A266" s="67"/>
      <c r="B266" s="67"/>
      <c r="C266" s="66"/>
      <c r="D266" s="56"/>
    </row>
    <row r="267">
      <c r="A267" s="67"/>
      <c r="B267" s="67"/>
      <c r="C267" s="66"/>
      <c r="D267" s="56"/>
    </row>
    <row r="268">
      <c r="A268" s="67"/>
      <c r="B268" s="67"/>
      <c r="C268" s="66"/>
      <c r="D268" s="56"/>
    </row>
    <row r="269">
      <c r="A269" s="67"/>
      <c r="B269" s="67"/>
      <c r="C269" s="66"/>
      <c r="D269" s="56"/>
    </row>
    <row r="270">
      <c r="A270" s="67"/>
      <c r="B270" s="67"/>
      <c r="C270" s="66"/>
      <c r="D270" s="56"/>
    </row>
    <row r="271">
      <c r="A271" s="67"/>
      <c r="B271" s="67"/>
      <c r="C271" s="66"/>
      <c r="D271" s="56"/>
    </row>
    <row r="272">
      <c r="A272" s="67"/>
      <c r="B272" s="67"/>
      <c r="C272" s="66"/>
      <c r="D272" s="56"/>
    </row>
    <row r="273">
      <c r="A273" s="67"/>
      <c r="B273" s="67"/>
      <c r="C273" s="66"/>
      <c r="D273" s="56"/>
    </row>
    <row r="274">
      <c r="A274" s="67"/>
      <c r="B274" s="67"/>
      <c r="C274" s="66"/>
      <c r="D274" s="56"/>
    </row>
    <row r="275">
      <c r="A275" s="67"/>
      <c r="B275" s="67"/>
      <c r="C275" s="66"/>
      <c r="D275" s="56"/>
    </row>
    <row r="276">
      <c r="A276" s="67"/>
      <c r="B276" s="67"/>
      <c r="C276" s="66"/>
      <c r="D276" s="56"/>
    </row>
    <row r="277">
      <c r="A277" s="67"/>
      <c r="B277" s="67"/>
      <c r="C277" s="66"/>
      <c r="D277" s="56"/>
    </row>
    <row r="278">
      <c r="A278" s="67"/>
      <c r="B278" s="67"/>
      <c r="C278" s="66"/>
      <c r="D278" s="56"/>
    </row>
    <row r="279">
      <c r="A279" s="67"/>
      <c r="B279" s="67"/>
      <c r="C279" s="66"/>
      <c r="D279" s="56"/>
    </row>
    <row r="280">
      <c r="A280" s="67"/>
      <c r="B280" s="67"/>
      <c r="C280" s="66"/>
      <c r="D280" s="56"/>
    </row>
    <row r="281">
      <c r="A281" s="67"/>
      <c r="B281" s="67"/>
      <c r="C281" s="66"/>
      <c r="D281" s="56"/>
    </row>
    <row r="282">
      <c r="A282" s="67"/>
      <c r="B282" s="67"/>
      <c r="C282" s="66"/>
      <c r="D282" s="56"/>
    </row>
    <row r="283">
      <c r="A283" s="67"/>
      <c r="B283" s="67"/>
      <c r="C283" s="66"/>
      <c r="D283" s="56"/>
    </row>
    <row r="284">
      <c r="A284" s="67"/>
      <c r="B284" s="67"/>
      <c r="C284" s="66"/>
      <c r="D284" s="56"/>
    </row>
    <row r="285">
      <c r="A285" s="67"/>
      <c r="B285" s="67"/>
      <c r="C285" s="66"/>
      <c r="D285" s="56"/>
    </row>
    <row r="286">
      <c r="A286" s="67"/>
      <c r="B286" s="67"/>
      <c r="C286" s="66"/>
      <c r="D286" s="56"/>
    </row>
    <row r="287">
      <c r="A287" s="67"/>
      <c r="B287" s="67"/>
      <c r="C287" s="66"/>
      <c r="D287" s="56"/>
    </row>
    <row r="288">
      <c r="A288" s="67"/>
      <c r="B288" s="67"/>
      <c r="C288" s="66"/>
      <c r="D288" s="56"/>
    </row>
    <row r="289">
      <c r="A289" s="67"/>
      <c r="B289" s="67"/>
      <c r="C289" s="66"/>
      <c r="D289" s="56"/>
    </row>
    <row r="290">
      <c r="A290" s="67"/>
      <c r="B290" s="67"/>
      <c r="C290" s="66"/>
      <c r="D290" s="56"/>
    </row>
    <row r="291">
      <c r="A291" s="67"/>
      <c r="B291" s="67"/>
      <c r="C291" s="66"/>
      <c r="D291" s="56"/>
    </row>
    <row r="292">
      <c r="A292" s="67"/>
      <c r="B292" s="67"/>
      <c r="C292" s="66"/>
      <c r="D292" s="56"/>
    </row>
    <row r="293">
      <c r="A293" s="67"/>
      <c r="B293" s="67"/>
      <c r="C293" s="66"/>
      <c r="D293" s="56"/>
    </row>
    <row r="294">
      <c r="A294" s="67"/>
      <c r="B294" s="67"/>
      <c r="C294" s="66"/>
      <c r="D294" s="56"/>
    </row>
    <row r="295">
      <c r="A295" s="67"/>
      <c r="B295" s="67"/>
      <c r="C295" s="66"/>
      <c r="D295" s="56"/>
    </row>
    <row r="296">
      <c r="A296" s="67"/>
      <c r="B296" s="67"/>
      <c r="C296" s="66"/>
      <c r="D296" s="56"/>
    </row>
    <row r="297">
      <c r="A297" s="67"/>
      <c r="B297" s="67"/>
      <c r="C297" s="66"/>
      <c r="D297" s="56"/>
    </row>
    <row r="298">
      <c r="A298" s="67"/>
      <c r="B298" s="67"/>
      <c r="C298" s="66"/>
      <c r="D298" s="56"/>
    </row>
    <row r="299">
      <c r="A299" s="67"/>
      <c r="B299" s="67"/>
      <c r="C299" s="66"/>
      <c r="D299" s="56"/>
    </row>
    <row r="300">
      <c r="A300" s="67"/>
      <c r="B300" s="67"/>
      <c r="C300" s="66"/>
      <c r="D300" s="56"/>
    </row>
    <row r="301">
      <c r="A301" s="67"/>
      <c r="B301" s="67"/>
      <c r="C301" s="66"/>
      <c r="D301" s="56"/>
    </row>
    <row r="302">
      <c r="A302" s="67"/>
      <c r="B302" s="67"/>
      <c r="C302" s="66"/>
      <c r="D302" s="56"/>
    </row>
    <row r="303">
      <c r="A303" s="67"/>
      <c r="B303" s="67"/>
      <c r="C303" s="66"/>
      <c r="D303" s="56"/>
    </row>
    <row r="304">
      <c r="A304" s="67"/>
      <c r="B304" s="67"/>
      <c r="C304" s="66"/>
      <c r="D304" s="56"/>
    </row>
    <row r="305">
      <c r="A305" s="67"/>
      <c r="B305" s="67"/>
      <c r="C305" s="66"/>
      <c r="D305" s="56"/>
    </row>
    <row r="306">
      <c r="A306" s="67"/>
      <c r="B306" s="67"/>
      <c r="C306" s="66"/>
      <c r="D306" s="56"/>
    </row>
    <row r="307">
      <c r="A307" s="67"/>
      <c r="B307" s="67"/>
      <c r="C307" s="66"/>
      <c r="D307" s="56"/>
    </row>
    <row r="308">
      <c r="A308" s="67"/>
      <c r="B308" s="67"/>
      <c r="C308" s="66"/>
      <c r="D308" s="56"/>
    </row>
    <row r="309">
      <c r="A309" s="67"/>
      <c r="B309" s="67"/>
      <c r="C309" s="66"/>
      <c r="D309" s="56"/>
    </row>
    <row r="310">
      <c r="A310" s="67"/>
      <c r="B310" s="67"/>
      <c r="C310" s="66"/>
      <c r="D310" s="56"/>
    </row>
    <row r="311">
      <c r="A311" s="67"/>
      <c r="B311" s="67"/>
      <c r="C311" s="66"/>
      <c r="D311" s="56"/>
    </row>
    <row r="312">
      <c r="A312" s="67"/>
      <c r="B312" s="67"/>
      <c r="C312" s="66"/>
      <c r="D312" s="56"/>
    </row>
    <row r="313">
      <c r="A313" s="67"/>
      <c r="B313" s="67"/>
      <c r="C313" s="66"/>
      <c r="D313" s="56"/>
    </row>
    <row r="314">
      <c r="A314" s="67"/>
      <c r="B314" s="67"/>
      <c r="C314" s="66"/>
      <c r="D314" s="56"/>
    </row>
    <row r="315">
      <c r="A315" s="67"/>
      <c r="B315" s="67"/>
      <c r="C315" s="66"/>
      <c r="D315" s="56"/>
    </row>
    <row r="316">
      <c r="A316" s="67"/>
      <c r="B316" s="67"/>
      <c r="C316" s="66"/>
      <c r="D316" s="56"/>
    </row>
    <row r="317">
      <c r="A317" s="67"/>
      <c r="B317" s="67"/>
      <c r="C317" s="66"/>
      <c r="D317" s="56"/>
    </row>
    <row r="318">
      <c r="A318" s="67"/>
      <c r="B318" s="67"/>
      <c r="C318" s="66"/>
      <c r="D318" s="56"/>
    </row>
    <row r="319">
      <c r="A319" s="67"/>
      <c r="B319" s="67"/>
      <c r="C319" s="66"/>
      <c r="D319" s="56"/>
    </row>
    <row r="320">
      <c r="A320" s="67"/>
      <c r="B320" s="67"/>
      <c r="C320" s="66"/>
      <c r="D320" s="56"/>
    </row>
    <row r="321">
      <c r="A321" s="67"/>
      <c r="B321" s="67"/>
      <c r="C321" s="66"/>
      <c r="D321" s="56"/>
    </row>
    <row r="322">
      <c r="A322" s="67"/>
      <c r="B322" s="67"/>
      <c r="C322" s="66"/>
      <c r="D322" s="56"/>
    </row>
    <row r="323">
      <c r="A323" s="67"/>
      <c r="B323" s="67"/>
      <c r="C323" s="66"/>
      <c r="D323" s="56"/>
    </row>
    <row r="324">
      <c r="A324" s="67"/>
      <c r="B324" s="67"/>
      <c r="C324" s="66"/>
      <c r="D324" s="56"/>
    </row>
    <row r="325">
      <c r="A325" s="67"/>
      <c r="B325" s="67"/>
      <c r="C325" s="66"/>
      <c r="D325" s="56"/>
    </row>
    <row r="326">
      <c r="A326" s="67"/>
      <c r="B326" s="67"/>
      <c r="C326" s="66"/>
      <c r="D326" s="56"/>
    </row>
    <row r="327">
      <c r="A327" s="67"/>
      <c r="B327" s="67"/>
      <c r="C327" s="66"/>
      <c r="D327" s="56"/>
    </row>
    <row r="328">
      <c r="A328" s="67"/>
      <c r="B328" s="67"/>
      <c r="C328" s="66"/>
      <c r="D328" s="56"/>
    </row>
    <row r="329">
      <c r="A329" s="67"/>
      <c r="B329" s="67"/>
      <c r="C329" s="66"/>
      <c r="D329" s="56"/>
    </row>
    <row r="330">
      <c r="A330" s="67"/>
      <c r="B330" s="67"/>
      <c r="C330" s="66"/>
      <c r="D330" s="56"/>
    </row>
    <row r="331">
      <c r="A331" s="67"/>
      <c r="B331" s="67"/>
      <c r="C331" s="66"/>
      <c r="D331" s="56"/>
    </row>
    <row r="332">
      <c r="A332" s="67"/>
      <c r="B332" s="67"/>
      <c r="C332" s="66"/>
      <c r="D332" s="56"/>
    </row>
    <row r="333">
      <c r="A333" s="67"/>
      <c r="B333" s="67"/>
      <c r="C333" s="66"/>
      <c r="D333" s="56"/>
    </row>
    <row r="334">
      <c r="A334" s="67"/>
      <c r="B334" s="67"/>
      <c r="C334" s="66"/>
      <c r="D334" s="56"/>
    </row>
    <row r="335">
      <c r="A335" s="67"/>
      <c r="B335" s="67"/>
      <c r="C335" s="66"/>
      <c r="D335" s="56"/>
    </row>
    <row r="336">
      <c r="A336" s="67"/>
      <c r="B336" s="67"/>
      <c r="C336" s="66"/>
      <c r="D336" s="56"/>
    </row>
    <row r="337">
      <c r="A337" s="67"/>
      <c r="B337" s="67"/>
      <c r="C337" s="66"/>
      <c r="D337" s="56"/>
    </row>
    <row r="338">
      <c r="A338" s="67"/>
      <c r="B338" s="67"/>
      <c r="C338" s="66"/>
      <c r="D338" s="56"/>
    </row>
    <row r="339">
      <c r="A339" s="67"/>
      <c r="B339" s="67"/>
      <c r="C339" s="66"/>
      <c r="D339" s="56"/>
    </row>
    <row r="340">
      <c r="A340" s="67"/>
      <c r="B340" s="67"/>
      <c r="C340" s="66"/>
      <c r="D340" s="56"/>
    </row>
    <row r="341">
      <c r="A341" s="67"/>
      <c r="B341" s="67"/>
      <c r="C341" s="66"/>
      <c r="D341" s="56"/>
    </row>
    <row r="342">
      <c r="A342" s="67"/>
      <c r="B342" s="67"/>
      <c r="C342" s="66"/>
      <c r="D342" s="56"/>
    </row>
    <row r="343">
      <c r="A343" s="67"/>
      <c r="B343" s="67"/>
      <c r="C343" s="66"/>
      <c r="D343" s="56"/>
    </row>
    <row r="344">
      <c r="A344" s="67"/>
      <c r="B344" s="67"/>
      <c r="C344" s="66"/>
      <c r="D344" s="56"/>
    </row>
    <row r="345">
      <c r="A345" s="67"/>
      <c r="B345" s="67"/>
      <c r="C345" s="66"/>
      <c r="D345" s="56"/>
    </row>
    <row r="346">
      <c r="A346" s="67"/>
      <c r="B346" s="67"/>
      <c r="C346" s="66"/>
      <c r="D346" s="56"/>
    </row>
    <row r="347">
      <c r="A347" s="67"/>
      <c r="B347" s="67"/>
      <c r="C347" s="66"/>
      <c r="D347" s="56"/>
    </row>
    <row r="348">
      <c r="A348" s="67"/>
      <c r="B348" s="67"/>
      <c r="C348" s="66"/>
      <c r="D348" s="56"/>
    </row>
    <row r="349">
      <c r="A349" s="67"/>
      <c r="B349" s="67"/>
      <c r="C349" s="66"/>
      <c r="D349" s="56"/>
    </row>
    <row r="350">
      <c r="A350" s="67"/>
      <c r="B350" s="67"/>
      <c r="C350" s="66"/>
      <c r="D350" s="56"/>
    </row>
    <row r="351">
      <c r="A351" s="67"/>
      <c r="B351" s="67"/>
      <c r="C351" s="66"/>
      <c r="D351" s="56"/>
    </row>
    <row r="352">
      <c r="A352" s="67"/>
      <c r="B352" s="67"/>
      <c r="C352" s="66"/>
      <c r="D352" s="56"/>
    </row>
    <row r="353">
      <c r="A353" s="67"/>
      <c r="B353" s="67"/>
      <c r="C353" s="66"/>
      <c r="D353" s="56"/>
    </row>
    <row r="354">
      <c r="A354" s="67"/>
      <c r="B354" s="67"/>
      <c r="C354" s="66"/>
      <c r="D354" s="56"/>
    </row>
    <row r="355">
      <c r="A355" s="67"/>
      <c r="B355" s="67"/>
      <c r="C355" s="66"/>
      <c r="D355" s="56"/>
    </row>
    <row r="356">
      <c r="A356" s="67"/>
      <c r="B356" s="67"/>
      <c r="C356" s="66"/>
      <c r="D356" s="56"/>
    </row>
    <row r="357">
      <c r="A357" s="67"/>
      <c r="B357" s="67"/>
      <c r="C357" s="66"/>
      <c r="D357" s="56"/>
    </row>
    <row r="358">
      <c r="A358" s="67"/>
      <c r="B358" s="67"/>
      <c r="C358" s="66"/>
      <c r="D358" s="56"/>
    </row>
    <row r="359">
      <c r="A359" s="67"/>
      <c r="B359" s="67"/>
      <c r="C359" s="66"/>
      <c r="D359" s="56"/>
    </row>
    <row r="360">
      <c r="A360" s="67"/>
      <c r="B360" s="67"/>
      <c r="C360" s="66"/>
      <c r="D360" s="56"/>
    </row>
    <row r="361">
      <c r="A361" s="67"/>
      <c r="B361" s="67"/>
      <c r="C361" s="66"/>
      <c r="D361" s="56"/>
    </row>
    <row r="362">
      <c r="A362" s="67"/>
      <c r="B362" s="67"/>
      <c r="C362" s="66"/>
      <c r="D362" s="56"/>
    </row>
    <row r="363">
      <c r="A363" s="67"/>
      <c r="B363" s="67"/>
      <c r="C363" s="66"/>
      <c r="D363" s="56"/>
    </row>
    <row r="364">
      <c r="A364" s="67"/>
      <c r="B364" s="67"/>
      <c r="C364" s="66"/>
      <c r="D364" s="56"/>
    </row>
    <row r="365">
      <c r="A365" s="67"/>
      <c r="B365" s="67"/>
      <c r="C365" s="66"/>
      <c r="D365" s="56"/>
    </row>
    <row r="366">
      <c r="A366" s="67"/>
      <c r="B366" s="67"/>
      <c r="C366" s="66"/>
      <c r="D366" s="56"/>
    </row>
    <row r="367">
      <c r="A367" s="67"/>
      <c r="B367" s="67"/>
      <c r="C367" s="66"/>
      <c r="D367" s="56"/>
    </row>
    <row r="368">
      <c r="A368" s="67"/>
      <c r="B368" s="67"/>
      <c r="C368" s="66"/>
      <c r="D368" s="56"/>
    </row>
    <row r="369">
      <c r="A369" s="67"/>
      <c r="B369" s="67"/>
      <c r="C369" s="66"/>
      <c r="D369" s="56"/>
    </row>
    <row r="370">
      <c r="A370" s="67"/>
      <c r="B370" s="67"/>
      <c r="C370" s="66"/>
      <c r="D370" s="56"/>
    </row>
    <row r="371">
      <c r="A371" s="67"/>
      <c r="B371" s="67"/>
      <c r="C371" s="66"/>
      <c r="D371" s="56"/>
    </row>
    <row r="372">
      <c r="A372" s="67"/>
      <c r="B372" s="67"/>
      <c r="C372" s="66"/>
      <c r="D372" s="56"/>
    </row>
    <row r="373">
      <c r="A373" s="67"/>
      <c r="B373" s="67"/>
      <c r="C373" s="66"/>
      <c r="D373" s="56"/>
    </row>
    <row r="374">
      <c r="A374" s="67"/>
      <c r="B374" s="67"/>
      <c r="C374" s="66"/>
      <c r="D374" s="56"/>
    </row>
    <row r="375">
      <c r="A375" s="67"/>
      <c r="B375" s="67"/>
      <c r="C375" s="66"/>
      <c r="D375" s="56"/>
    </row>
    <row r="376">
      <c r="A376" s="67"/>
      <c r="B376" s="67"/>
      <c r="C376" s="66"/>
      <c r="D376" s="56"/>
    </row>
    <row r="377">
      <c r="A377" s="67"/>
      <c r="B377" s="67"/>
      <c r="C377" s="66"/>
      <c r="D377" s="56"/>
    </row>
    <row r="378">
      <c r="A378" s="67"/>
      <c r="B378" s="67"/>
      <c r="C378" s="66"/>
      <c r="D378" s="56"/>
    </row>
    <row r="379">
      <c r="A379" s="67"/>
      <c r="B379" s="67"/>
      <c r="C379" s="66"/>
      <c r="D379" s="56"/>
    </row>
    <row r="380">
      <c r="A380" s="67"/>
      <c r="B380" s="67"/>
      <c r="C380" s="66"/>
      <c r="D380" s="56"/>
    </row>
    <row r="381">
      <c r="A381" s="67"/>
      <c r="B381" s="67"/>
      <c r="C381" s="66"/>
      <c r="D381" s="56"/>
    </row>
    <row r="382">
      <c r="A382" s="67"/>
      <c r="B382" s="67"/>
      <c r="C382" s="66"/>
      <c r="D382" s="56"/>
    </row>
    <row r="383">
      <c r="A383" s="67"/>
      <c r="B383" s="67"/>
      <c r="C383" s="66"/>
      <c r="D383" s="56"/>
    </row>
    <row r="384">
      <c r="A384" s="67"/>
      <c r="B384" s="67"/>
      <c r="C384" s="66"/>
      <c r="D384" s="56"/>
    </row>
    <row r="385">
      <c r="A385" s="67"/>
      <c r="B385" s="67"/>
      <c r="C385" s="66"/>
      <c r="D385" s="56"/>
    </row>
    <row r="386">
      <c r="A386" s="67"/>
      <c r="B386" s="67"/>
      <c r="C386" s="66"/>
      <c r="D386" s="56"/>
    </row>
    <row r="387">
      <c r="A387" s="67"/>
      <c r="B387" s="67"/>
      <c r="C387" s="66"/>
      <c r="D387" s="56"/>
    </row>
    <row r="388">
      <c r="A388" s="67"/>
      <c r="B388" s="67"/>
      <c r="C388" s="66"/>
      <c r="D388" s="56"/>
    </row>
    <row r="389">
      <c r="A389" s="67"/>
      <c r="B389" s="67"/>
      <c r="C389" s="66"/>
      <c r="D389" s="56"/>
    </row>
    <row r="390">
      <c r="A390" s="67"/>
      <c r="B390" s="67"/>
      <c r="C390" s="66"/>
      <c r="D390" s="56"/>
    </row>
    <row r="391">
      <c r="A391" s="67"/>
      <c r="B391" s="67"/>
      <c r="C391" s="66"/>
      <c r="D391" s="56"/>
    </row>
    <row r="392">
      <c r="A392" s="67"/>
      <c r="B392" s="67"/>
      <c r="C392" s="66"/>
      <c r="D392" s="56"/>
    </row>
    <row r="393">
      <c r="A393" s="67"/>
      <c r="B393" s="67"/>
      <c r="C393" s="66"/>
      <c r="D393" s="56"/>
    </row>
    <row r="394">
      <c r="A394" s="67"/>
      <c r="B394" s="67"/>
      <c r="C394" s="66"/>
      <c r="D394" s="56"/>
    </row>
    <row r="395">
      <c r="A395" s="67"/>
      <c r="B395" s="67"/>
      <c r="C395" s="66"/>
      <c r="D395" s="56"/>
    </row>
    <row r="396">
      <c r="A396" s="67"/>
      <c r="B396" s="67"/>
      <c r="C396" s="66"/>
      <c r="D396" s="56"/>
    </row>
    <row r="397">
      <c r="A397" s="67"/>
      <c r="B397" s="67"/>
      <c r="C397" s="66"/>
      <c r="D397" s="56"/>
    </row>
    <row r="398">
      <c r="A398" s="67"/>
      <c r="B398" s="67"/>
      <c r="C398" s="66"/>
      <c r="D398" s="56"/>
    </row>
    <row r="399">
      <c r="A399" s="67"/>
      <c r="B399" s="67"/>
      <c r="C399" s="66"/>
      <c r="D399" s="56"/>
    </row>
    <row r="400">
      <c r="A400" s="67"/>
      <c r="B400" s="67"/>
      <c r="C400" s="66"/>
      <c r="D400" s="56"/>
    </row>
    <row r="401">
      <c r="A401" s="67"/>
      <c r="B401" s="67"/>
      <c r="C401" s="66"/>
      <c r="D401" s="56"/>
    </row>
    <row r="402">
      <c r="A402" s="67"/>
      <c r="B402" s="67"/>
      <c r="C402" s="66"/>
      <c r="D402" s="56"/>
    </row>
    <row r="403">
      <c r="A403" s="67"/>
      <c r="B403" s="67"/>
      <c r="C403" s="66"/>
      <c r="D403" s="56"/>
    </row>
    <row r="404">
      <c r="A404" s="67"/>
      <c r="B404" s="67"/>
      <c r="C404" s="66"/>
      <c r="D404" s="56"/>
    </row>
    <row r="405">
      <c r="A405" s="67"/>
      <c r="B405" s="67"/>
      <c r="C405" s="66"/>
      <c r="D405" s="56"/>
    </row>
    <row r="406">
      <c r="A406" s="67"/>
      <c r="B406" s="67"/>
      <c r="C406" s="66"/>
      <c r="D406" s="56"/>
    </row>
    <row r="407">
      <c r="A407" s="67"/>
      <c r="B407" s="67"/>
      <c r="C407" s="66"/>
      <c r="D407" s="56"/>
    </row>
    <row r="408">
      <c r="A408" s="67"/>
      <c r="B408" s="67"/>
      <c r="C408" s="66"/>
      <c r="D408" s="56"/>
    </row>
    <row r="409">
      <c r="A409" s="67"/>
      <c r="B409" s="67"/>
      <c r="C409" s="66"/>
      <c r="D409" s="56"/>
    </row>
    <row r="410">
      <c r="A410" s="67"/>
      <c r="B410" s="67"/>
      <c r="C410" s="66"/>
      <c r="D410" s="56"/>
    </row>
    <row r="411">
      <c r="A411" s="67"/>
      <c r="B411" s="67"/>
      <c r="C411" s="66"/>
      <c r="D411" s="56"/>
    </row>
    <row r="412">
      <c r="A412" s="67"/>
      <c r="B412" s="67"/>
      <c r="C412" s="66"/>
      <c r="D412" s="56"/>
    </row>
    <row r="413">
      <c r="A413" s="67"/>
      <c r="B413" s="67"/>
      <c r="C413" s="66"/>
      <c r="D413" s="56"/>
    </row>
    <row r="414">
      <c r="A414" s="67"/>
      <c r="B414" s="67"/>
      <c r="C414" s="66"/>
      <c r="D414" s="56"/>
    </row>
    <row r="415">
      <c r="A415" s="67"/>
      <c r="B415" s="67"/>
      <c r="C415" s="66"/>
      <c r="D415" s="56"/>
    </row>
    <row r="416">
      <c r="A416" s="67"/>
      <c r="B416" s="67"/>
      <c r="C416" s="66"/>
      <c r="D416" s="56"/>
    </row>
    <row r="417">
      <c r="A417" s="67"/>
      <c r="B417" s="67"/>
      <c r="C417" s="66"/>
      <c r="D417" s="56"/>
    </row>
    <row r="418">
      <c r="A418" s="67"/>
      <c r="B418" s="67"/>
      <c r="C418" s="66"/>
      <c r="D418" s="56"/>
    </row>
    <row r="419">
      <c r="A419" s="67"/>
      <c r="B419" s="67"/>
      <c r="C419" s="66"/>
      <c r="D419" s="56"/>
    </row>
    <row r="420">
      <c r="A420" s="67"/>
      <c r="B420" s="67"/>
      <c r="C420" s="66"/>
      <c r="D420" s="56"/>
    </row>
    <row r="421">
      <c r="A421" s="67"/>
      <c r="B421" s="67"/>
      <c r="C421" s="66"/>
      <c r="D421" s="56"/>
    </row>
    <row r="422">
      <c r="A422" s="67"/>
      <c r="B422" s="67"/>
      <c r="C422" s="66"/>
      <c r="D422" s="56"/>
    </row>
    <row r="423">
      <c r="A423" s="67"/>
      <c r="B423" s="67"/>
      <c r="C423" s="66"/>
      <c r="D423" s="56"/>
    </row>
    <row r="424">
      <c r="A424" s="67"/>
      <c r="B424" s="67"/>
      <c r="C424" s="66"/>
      <c r="D424" s="56"/>
    </row>
    <row r="425">
      <c r="A425" s="67"/>
      <c r="B425" s="67"/>
      <c r="C425" s="66"/>
      <c r="D425" s="56"/>
    </row>
    <row r="426">
      <c r="A426" s="67"/>
      <c r="B426" s="67"/>
      <c r="C426" s="66"/>
      <c r="D426" s="56"/>
    </row>
    <row r="427">
      <c r="A427" s="67"/>
      <c r="B427" s="67"/>
      <c r="C427" s="66"/>
      <c r="D427" s="56"/>
    </row>
    <row r="428">
      <c r="A428" s="67"/>
      <c r="B428" s="67"/>
      <c r="C428" s="66"/>
      <c r="D428" s="56"/>
    </row>
    <row r="429">
      <c r="A429" s="67"/>
      <c r="B429" s="67"/>
      <c r="C429" s="66"/>
      <c r="D429" s="56"/>
    </row>
    <row r="430">
      <c r="A430" s="67"/>
      <c r="B430" s="67"/>
      <c r="C430" s="66"/>
      <c r="D430" s="56"/>
    </row>
    <row r="431">
      <c r="A431" s="67"/>
      <c r="B431" s="67"/>
      <c r="C431" s="66"/>
      <c r="D431" s="56"/>
    </row>
    <row r="432">
      <c r="A432" s="67"/>
      <c r="B432" s="67"/>
      <c r="C432" s="66"/>
      <c r="D432" s="56"/>
    </row>
    <row r="433">
      <c r="A433" s="67"/>
      <c r="B433" s="67"/>
      <c r="C433" s="66"/>
      <c r="D433" s="56"/>
    </row>
    <row r="434">
      <c r="A434" s="67"/>
      <c r="B434" s="67"/>
      <c r="C434" s="66"/>
      <c r="D434" s="56"/>
    </row>
    <row r="435">
      <c r="A435" s="67"/>
      <c r="B435" s="67"/>
      <c r="C435" s="66"/>
      <c r="D435" s="56"/>
    </row>
    <row r="436">
      <c r="A436" s="67"/>
      <c r="B436" s="67"/>
      <c r="C436" s="66"/>
      <c r="D436" s="56"/>
    </row>
    <row r="437">
      <c r="A437" s="67"/>
      <c r="B437" s="67"/>
      <c r="C437" s="66"/>
      <c r="D437" s="56"/>
    </row>
    <row r="438">
      <c r="A438" s="67"/>
      <c r="B438" s="67"/>
      <c r="C438" s="66"/>
      <c r="D438" s="56"/>
    </row>
    <row r="439">
      <c r="A439" s="67"/>
      <c r="B439" s="67"/>
      <c r="C439" s="66"/>
      <c r="D439" s="56"/>
    </row>
    <row r="440">
      <c r="A440" s="67"/>
      <c r="B440" s="67"/>
      <c r="C440" s="66"/>
      <c r="D440" s="56"/>
    </row>
    <row r="441">
      <c r="A441" s="67"/>
      <c r="B441" s="67"/>
      <c r="C441" s="66"/>
      <c r="D441" s="56"/>
    </row>
    <row r="442">
      <c r="A442" s="67"/>
      <c r="B442" s="67"/>
      <c r="C442" s="66"/>
      <c r="D442" s="56"/>
    </row>
    <row r="443">
      <c r="A443" s="67"/>
      <c r="B443" s="67"/>
      <c r="C443" s="66"/>
      <c r="D443" s="56"/>
    </row>
    <row r="444">
      <c r="A444" s="67"/>
      <c r="B444" s="67"/>
      <c r="C444" s="66"/>
      <c r="D444" s="56"/>
    </row>
    <row r="445">
      <c r="A445" s="67"/>
      <c r="B445" s="67"/>
      <c r="C445" s="66"/>
      <c r="D445" s="56"/>
    </row>
    <row r="446">
      <c r="A446" s="67"/>
      <c r="B446" s="67"/>
      <c r="C446" s="66"/>
      <c r="D446" s="56"/>
    </row>
    <row r="447">
      <c r="A447" s="67"/>
      <c r="B447" s="67"/>
      <c r="C447" s="66"/>
      <c r="D447" s="56"/>
    </row>
    <row r="448">
      <c r="A448" s="67"/>
      <c r="B448" s="67"/>
      <c r="C448" s="66"/>
      <c r="D448" s="56"/>
    </row>
    <row r="449">
      <c r="A449" s="67"/>
      <c r="B449" s="67"/>
      <c r="C449" s="66"/>
      <c r="D449" s="56"/>
    </row>
    <row r="450">
      <c r="A450" s="67"/>
      <c r="B450" s="67"/>
      <c r="C450" s="66"/>
      <c r="D450" s="56"/>
    </row>
    <row r="451">
      <c r="A451" s="67"/>
      <c r="B451" s="67"/>
      <c r="C451" s="66"/>
      <c r="D451" s="56"/>
    </row>
    <row r="452">
      <c r="A452" s="67"/>
      <c r="B452" s="67"/>
      <c r="C452" s="66"/>
      <c r="D452" s="56"/>
    </row>
    <row r="453">
      <c r="A453" s="67"/>
      <c r="B453" s="67"/>
      <c r="C453" s="66"/>
      <c r="D453" s="56"/>
    </row>
    <row r="454">
      <c r="A454" s="67"/>
      <c r="B454" s="67"/>
      <c r="C454" s="66"/>
      <c r="D454" s="56"/>
    </row>
    <row r="455">
      <c r="A455" s="67"/>
      <c r="B455" s="67"/>
      <c r="C455" s="66"/>
      <c r="D455" s="56"/>
    </row>
    <row r="456">
      <c r="A456" s="67"/>
      <c r="B456" s="67"/>
      <c r="C456" s="66"/>
      <c r="D456" s="56"/>
    </row>
    <row r="457">
      <c r="A457" s="67"/>
      <c r="B457" s="67"/>
      <c r="C457" s="66"/>
      <c r="D457" s="56"/>
    </row>
    <row r="458">
      <c r="A458" s="67"/>
      <c r="B458" s="67"/>
      <c r="C458" s="66"/>
      <c r="D458" s="56"/>
    </row>
    <row r="459">
      <c r="A459" s="67"/>
      <c r="B459" s="67"/>
      <c r="C459" s="66"/>
      <c r="D459" s="56"/>
    </row>
    <row r="460">
      <c r="A460" s="67"/>
      <c r="B460" s="67"/>
      <c r="C460" s="66"/>
      <c r="D460" s="56"/>
    </row>
    <row r="461">
      <c r="A461" s="67"/>
      <c r="B461" s="67"/>
      <c r="C461" s="66"/>
      <c r="D461" s="56"/>
    </row>
    <row r="462">
      <c r="A462" s="67"/>
      <c r="B462" s="67"/>
      <c r="C462" s="66"/>
      <c r="D462" s="56"/>
    </row>
    <row r="463">
      <c r="A463" s="67"/>
      <c r="B463" s="67"/>
      <c r="C463" s="66"/>
      <c r="D463" s="56"/>
    </row>
    <row r="464">
      <c r="A464" s="67"/>
      <c r="B464" s="67"/>
      <c r="C464" s="66"/>
      <c r="D464" s="56"/>
    </row>
    <row r="465">
      <c r="A465" s="67"/>
      <c r="B465" s="67"/>
      <c r="C465" s="66"/>
      <c r="D465" s="56"/>
    </row>
    <row r="466">
      <c r="A466" s="67"/>
      <c r="B466" s="67"/>
      <c r="C466" s="66"/>
      <c r="D466" s="56"/>
    </row>
    <row r="467">
      <c r="A467" s="67"/>
      <c r="B467" s="67"/>
      <c r="C467" s="66"/>
      <c r="D467" s="56"/>
    </row>
    <row r="468">
      <c r="A468" s="67"/>
      <c r="B468" s="67"/>
      <c r="C468" s="66"/>
      <c r="D468" s="56"/>
    </row>
    <row r="469">
      <c r="A469" s="67"/>
      <c r="B469" s="67"/>
      <c r="C469" s="66"/>
      <c r="D469" s="56"/>
    </row>
    <row r="470">
      <c r="A470" s="67"/>
      <c r="B470" s="67"/>
      <c r="C470" s="66"/>
      <c r="D470" s="56"/>
    </row>
    <row r="471">
      <c r="A471" s="67"/>
      <c r="B471" s="67"/>
      <c r="C471" s="66"/>
      <c r="D471" s="56"/>
    </row>
    <row r="472">
      <c r="A472" s="67"/>
      <c r="B472" s="67"/>
      <c r="C472" s="66"/>
      <c r="D472" s="56"/>
    </row>
    <row r="473">
      <c r="A473" s="67"/>
      <c r="B473" s="67"/>
      <c r="C473" s="66"/>
      <c r="D473" s="56"/>
    </row>
    <row r="474">
      <c r="A474" s="67"/>
      <c r="B474" s="67"/>
      <c r="C474" s="66"/>
      <c r="D474" s="56"/>
    </row>
    <row r="475">
      <c r="A475" s="67"/>
      <c r="B475" s="67"/>
      <c r="C475" s="66"/>
      <c r="D475" s="56"/>
    </row>
    <row r="476">
      <c r="A476" s="67"/>
      <c r="B476" s="67"/>
      <c r="C476" s="66"/>
      <c r="D476" s="56"/>
    </row>
    <row r="477">
      <c r="A477" s="67"/>
      <c r="B477" s="67"/>
      <c r="C477" s="66"/>
      <c r="D477" s="56"/>
    </row>
    <row r="478">
      <c r="A478" s="67"/>
      <c r="B478" s="67"/>
      <c r="C478" s="66"/>
      <c r="D478" s="56"/>
    </row>
    <row r="479">
      <c r="A479" s="67"/>
      <c r="B479" s="67"/>
      <c r="C479" s="66"/>
      <c r="D479" s="56"/>
    </row>
    <row r="480">
      <c r="A480" s="67"/>
      <c r="B480" s="67"/>
      <c r="C480" s="66"/>
      <c r="D480" s="56"/>
    </row>
    <row r="481">
      <c r="A481" s="67"/>
      <c r="B481" s="67"/>
      <c r="C481" s="66"/>
      <c r="D481" s="56"/>
    </row>
    <row r="482">
      <c r="A482" s="67"/>
      <c r="B482" s="67"/>
      <c r="C482" s="66"/>
      <c r="D482" s="56"/>
    </row>
    <row r="483">
      <c r="A483" s="67"/>
      <c r="B483" s="67"/>
      <c r="C483" s="66"/>
      <c r="D483" s="56"/>
    </row>
    <row r="484">
      <c r="A484" s="67"/>
      <c r="B484" s="67"/>
      <c r="C484" s="66"/>
      <c r="D484" s="56"/>
    </row>
    <row r="485">
      <c r="A485" s="67"/>
      <c r="B485" s="67"/>
      <c r="C485" s="66"/>
      <c r="D485" s="56"/>
    </row>
    <row r="486">
      <c r="A486" s="67"/>
      <c r="B486" s="67"/>
      <c r="C486" s="66"/>
      <c r="D486" s="56"/>
    </row>
    <row r="487">
      <c r="A487" s="67"/>
      <c r="B487" s="67"/>
      <c r="C487" s="66"/>
      <c r="D487" s="56"/>
    </row>
    <row r="488">
      <c r="A488" s="67"/>
      <c r="B488" s="67"/>
      <c r="C488" s="66"/>
      <c r="D488" s="56"/>
    </row>
    <row r="489">
      <c r="A489" s="67"/>
      <c r="B489" s="67"/>
      <c r="C489" s="66"/>
      <c r="D489" s="56"/>
    </row>
    <row r="490">
      <c r="A490" s="67"/>
      <c r="B490" s="67"/>
      <c r="C490" s="66"/>
      <c r="D490" s="56"/>
    </row>
    <row r="491">
      <c r="A491" s="67"/>
      <c r="B491" s="67"/>
      <c r="C491" s="66"/>
      <c r="D491" s="56"/>
    </row>
    <row r="492">
      <c r="A492" s="67"/>
      <c r="B492" s="67"/>
      <c r="C492" s="66"/>
      <c r="D492" s="56"/>
    </row>
    <row r="493">
      <c r="A493" s="67"/>
      <c r="B493" s="67"/>
      <c r="C493" s="66"/>
      <c r="D493" s="56"/>
    </row>
    <row r="494">
      <c r="A494" s="67"/>
      <c r="B494" s="67"/>
      <c r="C494" s="66"/>
      <c r="D494" s="56"/>
    </row>
    <row r="495">
      <c r="A495" s="67"/>
      <c r="B495" s="67"/>
      <c r="C495" s="66"/>
      <c r="D495" s="56"/>
    </row>
    <row r="496">
      <c r="A496" s="67"/>
      <c r="B496" s="67"/>
      <c r="C496" s="66"/>
      <c r="D496" s="56"/>
    </row>
    <row r="497">
      <c r="A497" s="67"/>
      <c r="B497" s="67"/>
      <c r="C497" s="66"/>
      <c r="D497" s="56"/>
    </row>
    <row r="498">
      <c r="A498" s="67"/>
      <c r="B498" s="67"/>
      <c r="C498" s="66"/>
      <c r="D498" s="56"/>
    </row>
    <row r="499">
      <c r="A499" s="67"/>
      <c r="B499" s="67"/>
      <c r="C499" s="66"/>
      <c r="D499" s="56"/>
    </row>
    <row r="500">
      <c r="A500" s="67"/>
      <c r="B500" s="67"/>
      <c r="C500" s="66"/>
      <c r="D500" s="56"/>
    </row>
    <row r="501">
      <c r="A501" s="67"/>
      <c r="B501" s="67"/>
      <c r="C501" s="66"/>
      <c r="D501" s="56"/>
    </row>
    <row r="502">
      <c r="A502" s="67"/>
      <c r="B502" s="67"/>
      <c r="C502" s="66"/>
      <c r="D502" s="56"/>
    </row>
    <row r="503">
      <c r="A503" s="67"/>
      <c r="B503" s="67"/>
      <c r="C503" s="66"/>
      <c r="D503" s="56"/>
    </row>
    <row r="504">
      <c r="A504" s="67"/>
      <c r="B504" s="67"/>
      <c r="C504" s="66"/>
      <c r="D504" s="56"/>
    </row>
    <row r="505">
      <c r="A505" s="67"/>
      <c r="B505" s="67"/>
      <c r="C505" s="66"/>
      <c r="D505" s="56"/>
    </row>
    <row r="506">
      <c r="A506" s="67"/>
      <c r="B506" s="67"/>
      <c r="C506" s="66"/>
      <c r="D506" s="56"/>
    </row>
    <row r="507">
      <c r="A507" s="67"/>
      <c r="B507" s="67"/>
      <c r="C507" s="66"/>
      <c r="D507" s="56"/>
    </row>
    <row r="508">
      <c r="A508" s="67"/>
      <c r="B508" s="67"/>
      <c r="C508" s="66"/>
      <c r="D508" s="56"/>
    </row>
    <row r="509">
      <c r="A509" s="67"/>
      <c r="B509" s="67"/>
      <c r="C509" s="66"/>
      <c r="D509" s="56"/>
    </row>
    <row r="510">
      <c r="A510" s="67"/>
      <c r="B510" s="67"/>
      <c r="C510" s="66"/>
      <c r="D510" s="56"/>
    </row>
    <row r="511">
      <c r="A511" s="67"/>
      <c r="B511" s="67"/>
      <c r="C511" s="66"/>
      <c r="D511" s="56"/>
    </row>
    <row r="512">
      <c r="A512" s="67"/>
      <c r="B512" s="67"/>
      <c r="C512" s="66"/>
      <c r="D512" s="56"/>
    </row>
    <row r="513">
      <c r="A513" s="67"/>
      <c r="B513" s="67"/>
      <c r="C513" s="66"/>
      <c r="D513" s="56"/>
    </row>
    <row r="514">
      <c r="A514" s="67"/>
      <c r="B514" s="67"/>
      <c r="C514" s="66"/>
      <c r="D514" s="56"/>
    </row>
    <row r="515">
      <c r="A515" s="67"/>
      <c r="B515" s="67"/>
      <c r="C515" s="66"/>
      <c r="D515" s="56"/>
    </row>
    <row r="516">
      <c r="A516" s="67"/>
      <c r="B516" s="67"/>
      <c r="C516" s="66"/>
      <c r="D516" s="56"/>
    </row>
    <row r="517">
      <c r="A517" s="67"/>
      <c r="B517" s="67"/>
      <c r="C517" s="66"/>
      <c r="D517" s="56"/>
    </row>
    <row r="518">
      <c r="A518" s="67"/>
      <c r="B518" s="67"/>
      <c r="C518" s="66"/>
      <c r="D518" s="56"/>
    </row>
    <row r="519">
      <c r="A519" s="67"/>
      <c r="B519" s="67"/>
      <c r="C519" s="66"/>
      <c r="D519" s="56"/>
    </row>
    <row r="520">
      <c r="A520" s="67"/>
      <c r="B520" s="67"/>
      <c r="C520" s="66"/>
      <c r="D520" s="56"/>
    </row>
    <row r="521">
      <c r="A521" s="67"/>
      <c r="B521" s="67"/>
      <c r="C521" s="66"/>
      <c r="D521" s="56"/>
    </row>
    <row r="522">
      <c r="A522" s="67"/>
      <c r="B522" s="67"/>
      <c r="C522" s="66"/>
      <c r="D522" s="56"/>
    </row>
    <row r="523">
      <c r="A523" s="67"/>
      <c r="B523" s="67"/>
      <c r="C523" s="66"/>
      <c r="D523" s="56"/>
    </row>
    <row r="524">
      <c r="A524" s="67"/>
      <c r="B524" s="67"/>
      <c r="C524" s="66"/>
      <c r="D524" s="56"/>
    </row>
    <row r="525">
      <c r="A525" s="67"/>
      <c r="B525" s="67"/>
      <c r="C525" s="66"/>
      <c r="D525" s="56"/>
    </row>
    <row r="526">
      <c r="A526" s="67"/>
      <c r="B526" s="67"/>
      <c r="C526" s="66"/>
      <c r="D526" s="56"/>
    </row>
    <row r="527">
      <c r="A527" s="67"/>
      <c r="B527" s="67"/>
      <c r="C527" s="66"/>
      <c r="D527" s="56"/>
    </row>
    <row r="528">
      <c r="A528" s="67"/>
      <c r="B528" s="67"/>
      <c r="C528" s="66"/>
      <c r="D528" s="56"/>
    </row>
    <row r="529">
      <c r="A529" s="67"/>
      <c r="B529" s="67"/>
      <c r="C529" s="66"/>
      <c r="D529" s="56"/>
    </row>
    <row r="530">
      <c r="A530" s="67"/>
      <c r="B530" s="67"/>
      <c r="C530" s="66"/>
      <c r="D530" s="56"/>
    </row>
    <row r="531">
      <c r="A531" s="67"/>
      <c r="B531" s="67"/>
      <c r="C531" s="66"/>
      <c r="D531" s="56"/>
    </row>
    <row r="532">
      <c r="A532" s="67"/>
      <c r="B532" s="67"/>
      <c r="C532" s="66"/>
      <c r="D532" s="56"/>
    </row>
    <row r="533">
      <c r="A533" s="67"/>
      <c r="B533" s="67"/>
      <c r="C533" s="66"/>
      <c r="D533" s="56"/>
    </row>
    <row r="534">
      <c r="A534" s="67"/>
      <c r="B534" s="67"/>
      <c r="C534" s="66"/>
      <c r="D534" s="56"/>
    </row>
    <row r="535">
      <c r="A535" s="67"/>
      <c r="B535" s="67"/>
      <c r="C535" s="66"/>
      <c r="D535" s="56"/>
    </row>
    <row r="536">
      <c r="A536" s="67"/>
      <c r="B536" s="67"/>
      <c r="C536" s="66"/>
      <c r="D536" s="56"/>
    </row>
    <row r="537">
      <c r="A537" s="67"/>
      <c r="B537" s="67"/>
      <c r="C537" s="66"/>
      <c r="D537" s="56"/>
    </row>
    <row r="538">
      <c r="A538" s="67"/>
      <c r="B538" s="67"/>
      <c r="C538" s="66"/>
      <c r="D538" s="56"/>
    </row>
    <row r="539">
      <c r="A539" s="67"/>
      <c r="B539" s="67"/>
      <c r="C539" s="66"/>
      <c r="D539" s="56"/>
    </row>
    <row r="540">
      <c r="A540" s="67"/>
      <c r="B540" s="67"/>
      <c r="C540" s="66"/>
      <c r="D540" s="56"/>
    </row>
    <row r="541">
      <c r="A541" s="67"/>
      <c r="B541" s="67"/>
      <c r="C541" s="66"/>
      <c r="D541" s="56"/>
    </row>
    <row r="542">
      <c r="A542" s="67"/>
      <c r="B542" s="67"/>
      <c r="C542" s="66"/>
      <c r="D542" s="56"/>
    </row>
    <row r="543">
      <c r="A543" s="67"/>
      <c r="B543" s="67"/>
      <c r="C543" s="66"/>
      <c r="D543" s="56"/>
    </row>
    <row r="544">
      <c r="A544" s="67"/>
      <c r="B544" s="67"/>
      <c r="C544" s="66"/>
      <c r="D544" s="56"/>
    </row>
    <row r="545">
      <c r="A545" s="67"/>
      <c r="B545" s="67"/>
      <c r="C545" s="66"/>
      <c r="D545" s="56"/>
    </row>
    <row r="546">
      <c r="A546" s="67"/>
      <c r="B546" s="67"/>
      <c r="C546" s="66"/>
      <c r="D546" s="56"/>
    </row>
    <row r="547">
      <c r="A547" s="67"/>
      <c r="B547" s="67"/>
      <c r="C547" s="66"/>
      <c r="D547" s="56"/>
    </row>
    <row r="548">
      <c r="A548" s="67"/>
      <c r="B548" s="67"/>
      <c r="C548" s="66"/>
      <c r="D548" s="56"/>
    </row>
    <row r="549">
      <c r="A549" s="67"/>
      <c r="B549" s="67"/>
      <c r="C549" s="66"/>
      <c r="D549" s="56"/>
    </row>
    <row r="550">
      <c r="A550" s="67"/>
      <c r="B550" s="67"/>
      <c r="C550" s="66"/>
      <c r="D550" s="56"/>
    </row>
    <row r="551">
      <c r="A551" s="67"/>
      <c r="B551" s="67"/>
      <c r="C551" s="66"/>
      <c r="D551" s="56"/>
    </row>
    <row r="552">
      <c r="A552" s="67"/>
      <c r="B552" s="67"/>
      <c r="C552" s="66"/>
      <c r="D552" s="56"/>
    </row>
    <row r="553">
      <c r="A553" s="67"/>
      <c r="B553" s="67"/>
      <c r="C553" s="66"/>
      <c r="D553" s="56"/>
    </row>
    <row r="554">
      <c r="A554" s="67"/>
      <c r="B554" s="67"/>
      <c r="C554" s="66"/>
      <c r="D554" s="56"/>
    </row>
    <row r="555">
      <c r="A555" s="67"/>
      <c r="B555" s="67"/>
      <c r="C555" s="66"/>
      <c r="D555" s="56"/>
    </row>
    <row r="556">
      <c r="A556" s="67"/>
      <c r="B556" s="67"/>
      <c r="C556" s="66"/>
      <c r="D556" s="56"/>
    </row>
    <row r="557">
      <c r="A557" s="67"/>
      <c r="B557" s="67"/>
      <c r="C557" s="66"/>
      <c r="D557" s="56"/>
    </row>
    <row r="558">
      <c r="A558" s="67"/>
      <c r="B558" s="67"/>
      <c r="C558" s="66"/>
      <c r="D558" s="56"/>
    </row>
    <row r="559">
      <c r="A559" s="67"/>
      <c r="B559" s="67"/>
      <c r="C559" s="66"/>
      <c r="D559" s="56"/>
    </row>
    <row r="560">
      <c r="A560" s="67"/>
      <c r="B560" s="67"/>
      <c r="C560" s="66"/>
      <c r="D560" s="56"/>
    </row>
    <row r="561">
      <c r="A561" s="67"/>
      <c r="B561" s="67"/>
      <c r="C561" s="66"/>
      <c r="D561" s="56"/>
    </row>
    <row r="562">
      <c r="A562" s="67"/>
      <c r="B562" s="67"/>
      <c r="C562" s="66"/>
      <c r="D562" s="56"/>
    </row>
    <row r="563">
      <c r="A563" s="67"/>
      <c r="B563" s="67"/>
      <c r="C563" s="66"/>
      <c r="D563" s="56"/>
    </row>
    <row r="564">
      <c r="A564" s="67"/>
      <c r="B564" s="67"/>
      <c r="C564" s="66"/>
      <c r="D564" s="56"/>
    </row>
    <row r="565">
      <c r="A565" s="67"/>
      <c r="B565" s="67"/>
      <c r="C565" s="66"/>
      <c r="D565" s="56"/>
    </row>
    <row r="566">
      <c r="A566" s="67"/>
      <c r="B566" s="67"/>
      <c r="C566" s="66"/>
      <c r="D566" s="56"/>
    </row>
    <row r="567">
      <c r="A567" s="67"/>
      <c r="B567" s="67"/>
      <c r="C567" s="66"/>
      <c r="D567" s="56"/>
    </row>
    <row r="568">
      <c r="A568" s="67"/>
      <c r="B568" s="67"/>
      <c r="C568" s="66"/>
      <c r="D568" s="56"/>
    </row>
    <row r="569">
      <c r="A569" s="67"/>
      <c r="B569" s="67"/>
      <c r="C569" s="66"/>
      <c r="D569" s="56"/>
    </row>
    <row r="570">
      <c r="A570" s="67"/>
      <c r="B570" s="67"/>
      <c r="C570" s="66"/>
      <c r="D570" s="56"/>
    </row>
    <row r="571">
      <c r="A571" s="67"/>
      <c r="B571" s="67"/>
      <c r="C571" s="66"/>
      <c r="D571" s="56"/>
    </row>
    <row r="572">
      <c r="A572" s="67"/>
      <c r="B572" s="67"/>
      <c r="C572" s="66"/>
      <c r="D572" s="56"/>
    </row>
    <row r="573">
      <c r="A573" s="67"/>
      <c r="B573" s="67"/>
      <c r="C573" s="66"/>
      <c r="D573" s="56"/>
    </row>
    <row r="574">
      <c r="A574" s="67"/>
      <c r="B574" s="67"/>
      <c r="C574" s="66"/>
      <c r="D574" s="56"/>
    </row>
    <row r="575">
      <c r="A575" s="67"/>
      <c r="B575" s="67"/>
      <c r="C575" s="66"/>
      <c r="D575" s="56"/>
    </row>
    <row r="576">
      <c r="A576" s="67"/>
      <c r="B576" s="67"/>
      <c r="C576" s="66"/>
      <c r="D576" s="56"/>
    </row>
    <row r="577">
      <c r="A577" s="67"/>
      <c r="B577" s="67"/>
      <c r="C577" s="66"/>
      <c r="D577" s="56"/>
    </row>
    <row r="578">
      <c r="A578" s="67"/>
      <c r="B578" s="67"/>
      <c r="C578" s="66"/>
      <c r="D578" s="56"/>
    </row>
    <row r="579">
      <c r="A579" s="67"/>
      <c r="B579" s="67"/>
      <c r="C579" s="66"/>
      <c r="D579" s="56"/>
    </row>
    <row r="580">
      <c r="A580" s="67"/>
      <c r="B580" s="67"/>
      <c r="C580" s="66"/>
      <c r="D580" s="56"/>
    </row>
    <row r="581">
      <c r="A581" s="67"/>
      <c r="B581" s="67"/>
      <c r="C581" s="66"/>
      <c r="D581" s="56"/>
    </row>
    <row r="582">
      <c r="A582" s="67"/>
      <c r="B582" s="67"/>
      <c r="C582" s="66"/>
      <c r="D582" s="56"/>
    </row>
    <row r="583">
      <c r="A583" s="67"/>
      <c r="B583" s="67"/>
      <c r="C583" s="66"/>
      <c r="D583" s="56"/>
    </row>
    <row r="584">
      <c r="A584" s="67"/>
      <c r="B584" s="67"/>
      <c r="C584" s="66"/>
      <c r="D584" s="56"/>
    </row>
    <row r="585">
      <c r="A585" s="67"/>
      <c r="B585" s="67"/>
      <c r="C585" s="66"/>
      <c r="D585" s="56"/>
    </row>
    <row r="586">
      <c r="A586" s="67"/>
      <c r="B586" s="67"/>
      <c r="C586" s="66"/>
      <c r="D586" s="56"/>
    </row>
    <row r="587">
      <c r="A587" s="67"/>
      <c r="B587" s="67"/>
      <c r="C587" s="66"/>
      <c r="D587" s="56"/>
    </row>
    <row r="588">
      <c r="A588" s="67"/>
      <c r="B588" s="67"/>
      <c r="C588" s="66"/>
      <c r="D588" s="56"/>
    </row>
    <row r="589">
      <c r="A589" s="67"/>
      <c r="B589" s="67"/>
      <c r="C589" s="66"/>
      <c r="D589" s="56"/>
    </row>
    <row r="590">
      <c r="A590" s="67"/>
      <c r="B590" s="67"/>
      <c r="C590" s="66"/>
      <c r="D590" s="56"/>
    </row>
    <row r="591">
      <c r="A591" s="67"/>
      <c r="B591" s="67"/>
      <c r="C591" s="66"/>
      <c r="D591" s="56"/>
    </row>
    <row r="592">
      <c r="A592" s="67"/>
      <c r="B592" s="67"/>
      <c r="C592" s="66"/>
      <c r="D592" s="56"/>
    </row>
    <row r="593">
      <c r="A593" s="67"/>
      <c r="B593" s="67"/>
      <c r="C593" s="66"/>
      <c r="D593" s="56"/>
    </row>
    <row r="594">
      <c r="A594" s="67"/>
      <c r="B594" s="67"/>
      <c r="C594" s="66"/>
      <c r="D594" s="56"/>
    </row>
    <row r="595">
      <c r="A595" s="67"/>
      <c r="B595" s="67"/>
      <c r="C595" s="66"/>
      <c r="D595" s="56"/>
    </row>
    <row r="596">
      <c r="A596" s="67"/>
      <c r="B596" s="67"/>
      <c r="C596" s="66"/>
      <c r="D596" s="56"/>
    </row>
    <row r="597">
      <c r="A597" s="67"/>
      <c r="B597" s="67"/>
      <c r="C597" s="66"/>
      <c r="D597" s="56"/>
    </row>
    <row r="598">
      <c r="A598" s="67"/>
      <c r="B598" s="67"/>
      <c r="C598" s="66"/>
      <c r="D598" s="56"/>
    </row>
    <row r="599">
      <c r="A599" s="67"/>
      <c r="B599" s="67"/>
      <c r="C599" s="66"/>
      <c r="D599" s="56"/>
    </row>
    <row r="600">
      <c r="A600" s="67"/>
      <c r="B600" s="67"/>
      <c r="C600" s="66"/>
      <c r="D600" s="56"/>
    </row>
    <row r="601">
      <c r="A601" s="67"/>
      <c r="B601" s="67"/>
      <c r="C601" s="66"/>
      <c r="D601" s="56"/>
    </row>
    <row r="602">
      <c r="A602" s="67"/>
      <c r="B602" s="67"/>
      <c r="C602" s="66"/>
      <c r="D602" s="56"/>
    </row>
    <row r="603">
      <c r="A603" s="67"/>
      <c r="B603" s="67"/>
      <c r="C603" s="66"/>
      <c r="D603" s="56"/>
    </row>
    <row r="604">
      <c r="A604" s="67"/>
      <c r="B604" s="67"/>
      <c r="C604" s="66"/>
      <c r="D604" s="56"/>
    </row>
    <row r="605">
      <c r="A605" s="67"/>
      <c r="B605" s="67"/>
      <c r="C605" s="66"/>
      <c r="D605" s="56"/>
    </row>
    <row r="606">
      <c r="A606" s="67"/>
      <c r="B606" s="67"/>
      <c r="C606" s="66"/>
      <c r="D606" s="56"/>
    </row>
    <row r="607">
      <c r="A607" s="67"/>
      <c r="B607" s="67"/>
      <c r="C607" s="66"/>
      <c r="D607" s="56"/>
    </row>
    <row r="608">
      <c r="A608" s="67"/>
      <c r="B608" s="67"/>
      <c r="C608" s="66"/>
      <c r="D608" s="56"/>
    </row>
    <row r="609">
      <c r="A609" s="67"/>
      <c r="B609" s="67"/>
      <c r="C609" s="66"/>
      <c r="D609" s="56"/>
    </row>
    <row r="610">
      <c r="A610" s="67"/>
      <c r="B610" s="67"/>
      <c r="C610" s="66"/>
      <c r="D610" s="56"/>
    </row>
    <row r="611">
      <c r="A611" s="67"/>
      <c r="B611" s="67"/>
      <c r="C611" s="66"/>
      <c r="D611" s="56"/>
    </row>
    <row r="612">
      <c r="A612" s="67"/>
      <c r="B612" s="67"/>
      <c r="C612" s="66"/>
      <c r="D612" s="56"/>
    </row>
    <row r="613">
      <c r="A613" s="67"/>
      <c r="B613" s="67"/>
      <c r="C613" s="66"/>
      <c r="D613" s="56"/>
    </row>
    <row r="614">
      <c r="A614" s="67"/>
      <c r="B614" s="67"/>
      <c r="C614" s="66"/>
      <c r="D614" s="56"/>
    </row>
    <row r="615">
      <c r="A615" s="67"/>
      <c r="B615" s="67"/>
      <c r="C615" s="66"/>
      <c r="D615" s="56"/>
    </row>
    <row r="616">
      <c r="A616" s="67"/>
      <c r="B616" s="67"/>
      <c r="C616" s="66"/>
      <c r="D616" s="56"/>
    </row>
    <row r="617">
      <c r="A617" s="67"/>
      <c r="B617" s="67"/>
      <c r="C617" s="66"/>
      <c r="D617" s="56"/>
    </row>
    <row r="618">
      <c r="A618" s="67"/>
      <c r="B618" s="67"/>
      <c r="C618" s="66"/>
      <c r="D618" s="56"/>
    </row>
    <row r="619">
      <c r="A619" s="67"/>
      <c r="B619" s="67"/>
      <c r="C619" s="66"/>
      <c r="D619" s="56"/>
    </row>
    <row r="620">
      <c r="A620" s="67"/>
      <c r="B620" s="67"/>
      <c r="C620" s="66"/>
      <c r="D620" s="56"/>
    </row>
    <row r="621">
      <c r="A621" s="67"/>
      <c r="B621" s="67"/>
      <c r="C621" s="66"/>
      <c r="D621" s="56"/>
    </row>
    <row r="622">
      <c r="A622" s="67"/>
      <c r="B622" s="67"/>
      <c r="C622" s="66"/>
      <c r="D622" s="56"/>
    </row>
    <row r="623">
      <c r="A623" s="67"/>
      <c r="B623" s="67"/>
      <c r="C623" s="66"/>
      <c r="D623" s="56"/>
    </row>
    <row r="624">
      <c r="A624" s="67"/>
      <c r="B624" s="67"/>
      <c r="C624" s="66"/>
      <c r="D624" s="56"/>
    </row>
    <row r="625">
      <c r="A625" s="67"/>
      <c r="B625" s="67"/>
      <c r="C625" s="66"/>
      <c r="D625" s="56"/>
    </row>
    <row r="626">
      <c r="A626" s="67"/>
      <c r="B626" s="67"/>
      <c r="C626" s="66"/>
      <c r="D626" s="56"/>
    </row>
    <row r="627">
      <c r="A627" s="67"/>
      <c r="B627" s="67"/>
      <c r="C627" s="66"/>
      <c r="D627" s="56"/>
    </row>
    <row r="628">
      <c r="A628" s="67"/>
      <c r="B628" s="67"/>
      <c r="C628" s="66"/>
      <c r="D628" s="56"/>
    </row>
    <row r="629">
      <c r="A629" s="67"/>
      <c r="B629" s="67"/>
      <c r="C629" s="66"/>
      <c r="D629" s="56"/>
    </row>
    <row r="630">
      <c r="A630" s="67"/>
      <c r="B630" s="67"/>
      <c r="C630" s="66"/>
      <c r="D630" s="56"/>
    </row>
    <row r="631">
      <c r="A631" s="67"/>
      <c r="B631" s="67"/>
      <c r="C631" s="66"/>
      <c r="D631" s="56"/>
    </row>
    <row r="632">
      <c r="A632" s="67"/>
      <c r="B632" s="67"/>
      <c r="C632" s="66"/>
      <c r="D632" s="56"/>
    </row>
    <row r="633">
      <c r="A633" s="67"/>
      <c r="B633" s="67"/>
      <c r="C633" s="66"/>
      <c r="D633" s="56"/>
    </row>
    <row r="634">
      <c r="A634" s="67"/>
      <c r="B634" s="67"/>
      <c r="C634" s="66"/>
      <c r="D634" s="56"/>
    </row>
    <row r="635">
      <c r="A635" s="67"/>
      <c r="B635" s="67"/>
      <c r="C635" s="66"/>
      <c r="D635" s="56"/>
    </row>
    <row r="636">
      <c r="A636" s="67"/>
      <c r="B636" s="67"/>
      <c r="C636" s="66"/>
      <c r="D636" s="56"/>
    </row>
    <row r="637">
      <c r="A637" s="67"/>
      <c r="B637" s="67"/>
      <c r="C637" s="66"/>
      <c r="D637" s="56"/>
    </row>
    <row r="638">
      <c r="A638" s="67"/>
      <c r="B638" s="67"/>
      <c r="C638" s="66"/>
      <c r="D638" s="56"/>
    </row>
    <row r="639">
      <c r="A639" s="67"/>
      <c r="B639" s="67"/>
      <c r="C639" s="66"/>
      <c r="D639" s="56"/>
    </row>
    <row r="640">
      <c r="A640" s="67"/>
      <c r="B640" s="67"/>
      <c r="C640" s="66"/>
      <c r="D640" s="56"/>
    </row>
    <row r="641">
      <c r="A641" s="67"/>
      <c r="B641" s="67"/>
      <c r="C641" s="66"/>
      <c r="D641" s="56"/>
    </row>
    <row r="642">
      <c r="A642" s="67"/>
      <c r="B642" s="67"/>
      <c r="C642" s="66"/>
      <c r="D642" s="56"/>
    </row>
    <row r="643">
      <c r="A643" s="67"/>
      <c r="B643" s="67"/>
      <c r="C643" s="66"/>
      <c r="D643" s="56"/>
    </row>
    <row r="644">
      <c r="A644" s="67"/>
      <c r="B644" s="67"/>
      <c r="C644" s="66"/>
      <c r="D644" s="56"/>
    </row>
    <row r="645">
      <c r="A645" s="67"/>
      <c r="B645" s="67"/>
      <c r="C645" s="66"/>
      <c r="D645" s="56"/>
    </row>
    <row r="646">
      <c r="A646" s="67"/>
      <c r="B646" s="67"/>
      <c r="C646" s="66"/>
      <c r="D646" s="56"/>
    </row>
    <row r="647">
      <c r="A647" s="67"/>
      <c r="B647" s="67"/>
      <c r="C647" s="66"/>
      <c r="D647" s="56"/>
    </row>
    <row r="648">
      <c r="A648" s="67"/>
      <c r="B648" s="67"/>
      <c r="C648" s="66"/>
      <c r="D648" s="56"/>
    </row>
    <row r="649">
      <c r="A649" s="67"/>
      <c r="B649" s="67"/>
      <c r="C649" s="66"/>
      <c r="D649" s="56"/>
    </row>
    <row r="650">
      <c r="A650" s="67"/>
      <c r="B650" s="67"/>
      <c r="C650" s="66"/>
      <c r="D650" s="56"/>
    </row>
    <row r="651">
      <c r="A651" s="67"/>
      <c r="B651" s="67"/>
      <c r="C651" s="66"/>
      <c r="D651" s="56"/>
    </row>
    <row r="652">
      <c r="A652" s="67"/>
      <c r="B652" s="67"/>
      <c r="C652" s="66"/>
      <c r="D652" s="56"/>
    </row>
    <row r="653">
      <c r="A653" s="67"/>
      <c r="B653" s="67"/>
      <c r="C653" s="66"/>
      <c r="D653" s="56"/>
    </row>
    <row r="654">
      <c r="A654" s="67"/>
      <c r="B654" s="67"/>
      <c r="C654" s="66"/>
      <c r="D654" s="56"/>
    </row>
    <row r="655">
      <c r="A655" s="67"/>
      <c r="B655" s="67"/>
      <c r="C655" s="66"/>
      <c r="D655" s="56"/>
    </row>
    <row r="656">
      <c r="A656" s="67"/>
      <c r="B656" s="67"/>
      <c r="C656" s="66"/>
      <c r="D656" s="56"/>
    </row>
    <row r="657">
      <c r="A657" s="67"/>
      <c r="B657" s="67"/>
      <c r="C657" s="66"/>
      <c r="D657" s="56"/>
    </row>
    <row r="658">
      <c r="A658" s="67"/>
      <c r="B658" s="67"/>
      <c r="C658" s="66"/>
      <c r="D658" s="56"/>
    </row>
    <row r="659">
      <c r="A659" s="67"/>
      <c r="B659" s="67"/>
      <c r="C659" s="66"/>
      <c r="D659" s="56"/>
    </row>
    <row r="660">
      <c r="A660" s="67"/>
      <c r="B660" s="67"/>
      <c r="C660" s="66"/>
      <c r="D660" s="56"/>
    </row>
    <row r="661">
      <c r="A661" s="67"/>
      <c r="B661" s="67"/>
      <c r="C661" s="66"/>
      <c r="D661" s="56"/>
    </row>
    <row r="662">
      <c r="A662" s="67"/>
      <c r="B662" s="67"/>
      <c r="C662" s="66"/>
      <c r="D662" s="56"/>
    </row>
    <row r="663">
      <c r="A663" s="67"/>
      <c r="B663" s="67"/>
      <c r="C663" s="66"/>
      <c r="D663" s="56"/>
    </row>
    <row r="664">
      <c r="A664" s="67"/>
      <c r="B664" s="67"/>
      <c r="C664" s="66"/>
      <c r="D664" s="56"/>
    </row>
    <row r="665">
      <c r="A665" s="67"/>
      <c r="B665" s="67"/>
      <c r="C665" s="66"/>
      <c r="D665" s="56"/>
    </row>
    <row r="666">
      <c r="A666" s="67"/>
      <c r="B666" s="67"/>
      <c r="C666" s="66"/>
      <c r="D666" s="56"/>
    </row>
    <row r="667">
      <c r="A667" s="67"/>
      <c r="B667" s="67"/>
      <c r="C667" s="66"/>
      <c r="D667" s="56"/>
    </row>
    <row r="668">
      <c r="A668" s="67"/>
      <c r="B668" s="67"/>
      <c r="C668" s="66"/>
      <c r="D668" s="56"/>
    </row>
    <row r="669">
      <c r="A669" s="67"/>
      <c r="B669" s="67"/>
      <c r="C669" s="66"/>
      <c r="D669" s="56"/>
    </row>
    <row r="670">
      <c r="A670" s="67"/>
      <c r="B670" s="67"/>
      <c r="C670" s="66"/>
      <c r="D670" s="56"/>
    </row>
    <row r="671">
      <c r="A671" s="67"/>
      <c r="B671" s="67"/>
      <c r="C671" s="66"/>
      <c r="D671" s="56"/>
    </row>
    <row r="672">
      <c r="A672" s="67"/>
      <c r="B672" s="67"/>
      <c r="C672" s="66"/>
      <c r="D672" s="56"/>
    </row>
    <row r="673">
      <c r="A673" s="67"/>
      <c r="B673" s="67"/>
      <c r="C673" s="66"/>
      <c r="D673" s="56"/>
    </row>
    <row r="674">
      <c r="A674" s="67"/>
      <c r="B674" s="67"/>
      <c r="C674" s="66"/>
      <c r="D674" s="56"/>
    </row>
    <row r="675">
      <c r="A675" s="67"/>
      <c r="B675" s="67"/>
      <c r="C675" s="66"/>
      <c r="D675" s="56"/>
    </row>
    <row r="676">
      <c r="A676" s="67"/>
      <c r="B676" s="67"/>
      <c r="C676" s="66"/>
      <c r="D676" s="56"/>
    </row>
    <row r="677">
      <c r="A677" s="67"/>
      <c r="B677" s="67"/>
      <c r="C677" s="66"/>
      <c r="D677" s="56"/>
    </row>
    <row r="678">
      <c r="A678" s="67"/>
      <c r="B678" s="67"/>
      <c r="C678" s="66"/>
      <c r="D678" s="56"/>
    </row>
    <row r="679">
      <c r="A679" s="67"/>
      <c r="B679" s="67"/>
      <c r="C679" s="66"/>
      <c r="D679" s="56"/>
    </row>
    <row r="680">
      <c r="A680" s="67"/>
      <c r="B680" s="67"/>
      <c r="C680" s="66"/>
      <c r="D680" s="56"/>
    </row>
    <row r="681">
      <c r="A681" s="67"/>
      <c r="B681" s="67"/>
      <c r="C681" s="66"/>
      <c r="D681" s="56"/>
    </row>
    <row r="682">
      <c r="A682" s="67"/>
      <c r="B682" s="67"/>
      <c r="C682" s="66"/>
      <c r="D682" s="56"/>
    </row>
    <row r="683">
      <c r="A683" s="67"/>
      <c r="B683" s="67"/>
      <c r="C683" s="66"/>
      <c r="D683" s="56"/>
    </row>
    <row r="684">
      <c r="A684" s="67"/>
      <c r="B684" s="67"/>
      <c r="C684" s="66"/>
      <c r="D684" s="56"/>
    </row>
    <row r="685">
      <c r="A685" s="67"/>
      <c r="B685" s="67"/>
      <c r="C685" s="66"/>
      <c r="D685" s="56"/>
    </row>
    <row r="686">
      <c r="A686" s="67"/>
      <c r="B686" s="67"/>
      <c r="C686" s="66"/>
      <c r="D686" s="56"/>
    </row>
    <row r="687">
      <c r="A687" s="67"/>
      <c r="B687" s="67"/>
      <c r="C687" s="66"/>
      <c r="D687" s="56"/>
    </row>
    <row r="688">
      <c r="A688" s="67"/>
      <c r="B688" s="67"/>
      <c r="C688" s="66"/>
      <c r="D688" s="56"/>
    </row>
    <row r="689">
      <c r="A689" s="67"/>
      <c r="B689" s="67"/>
      <c r="C689" s="66"/>
      <c r="D689" s="56"/>
    </row>
    <row r="690">
      <c r="A690" s="67"/>
      <c r="B690" s="67"/>
      <c r="C690" s="66"/>
      <c r="D690" s="56"/>
    </row>
    <row r="691">
      <c r="A691" s="67"/>
      <c r="B691" s="67"/>
      <c r="C691" s="66"/>
      <c r="D691" s="56"/>
    </row>
    <row r="692">
      <c r="A692" s="67"/>
      <c r="B692" s="67"/>
      <c r="C692" s="66"/>
      <c r="D692" s="56"/>
    </row>
    <row r="693">
      <c r="A693" s="67"/>
      <c r="B693" s="67"/>
      <c r="C693" s="66"/>
      <c r="D693" s="56"/>
    </row>
    <row r="694">
      <c r="A694" s="67"/>
      <c r="B694" s="67"/>
      <c r="C694" s="66"/>
      <c r="D694" s="56"/>
    </row>
    <row r="695">
      <c r="A695" s="67"/>
      <c r="B695" s="67"/>
      <c r="C695" s="66"/>
      <c r="D695" s="56"/>
    </row>
    <row r="696">
      <c r="A696" s="67"/>
      <c r="B696" s="67"/>
      <c r="C696" s="66"/>
      <c r="D696" s="56"/>
    </row>
    <row r="697">
      <c r="A697" s="67"/>
      <c r="B697" s="67"/>
      <c r="C697" s="66"/>
      <c r="D697" s="56"/>
    </row>
    <row r="698">
      <c r="A698" s="67"/>
      <c r="B698" s="67"/>
      <c r="C698" s="66"/>
      <c r="D698" s="56"/>
    </row>
    <row r="699">
      <c r="A699" s="67"/>
      <c r="B699" s="67"/>
      <c r="C699" s="66"/>
      <c r="D699" s="56"/>
    </row>
    <row r="700">
      <c r="A700" s="67"/>
      <c r="B700" s="67"/>
      <c r="C700" s="66"/>
      <c r="D700" s="56"/>
    </row>
    <row r="701">
      <c r="A701" s="67"/>
      <c r="B701" s="67"/>
      <c r="C701" s="66"/>
      <c r="D701" s="56"/>
    </row>
    <row r="702">
      <c r="A702" s="67"/>
      <c r="B702" s="67"/>
      <c r="C702" s="66"/>
      <c r="D702" s="56"/>
    </row>
    <row r="703">
      <c r="A703" s="67"/>
      <c r="B703" s="67"/>
      <c r="C703" s="66"/>
      <c r="D703" s="56"/>
    </row>
    <row r="704">
      <c r="A704" s="67"/>
      <c r="B704" s="67"/>
      <c r="C704" s="66"/>
      <c r="D704" s="56"/>
    </row>
    <row r="705">
      <c r="A705" s="67"/>
      <c r="B705" s="67"/>
      <c r="C705" s="66"/>
      <c r="D705" s="56"/>
    </row>
    <row r="706">
      <c r="A706" s="67"/>
      <c r="B706" s="67"/>
      <c r="C706" s="66"/>
      <c r="D706" s="56"/>
    </row>
    <row r="707">
      <c r="A707" s="67"/>
      <c r="B707" s="67"/>
      <c r="C707" s="66"/>
      <c r="D707" s="56"/>
    </row>
    <row r="708">
      <c r="A708" s="67"/>
      <c r="B708" s="67"/>
      <c r="C708" s="66"/>
      <c r="D708" s="56"/>
    </row>
    <row r="709">
      <c r="A709" s="67"/>
      <c r="B709" s="67"/>
      <c r="C709" s="66"/>
      <c r="D709" s="56"/>
    </row>
    <row r="710">
      <c r="A710" s="67"/>
      <c r="B710" s="67"/>
      <c r="C710" s="66"/>
      <c r="D710" s="56"/>
    </row>
    <row r="711">
      <c r="A711" s="67"/>
      <c r="B711" s="67"/>
      <c r="C711" s="66"/>
      <c r="D711" s="56"/>
    </row>
    <row r="712">
      <c r="A712" s="67"/>
      <c r="B712" s="67"/>
      <c r="C712" s="66"/>
      <c r="D712" s="56"/>
    </row>
    <row r="713">
      <c r="A713" s="67"/>
      <c r="B713" s="67"/>
      <c r="C713" s="66"/>
      <c r="D713" s="56"/>
    </row>
    <row r="714">
      <c r="A714" s="67"/>
      <c r="B714" s="67"/>
      <c r="C714" s="66"/>
      <c r="D714" s="56"/>
    </row>
    <row r="715">
      <c r="A715" s="67"/>
      <c r="B715" s="67"/>
      <c r="C715" s="66"/>
      <c r="D715" s="56"/>
    </row>
    <row r="716">
      <c r="A716" s="67"/>
      <c r="B716" s="67"/>
      <c r="C716" s="66"/>
      <c r="D716" s="56"/>
    </row>
    <row r="717">
      <c r="A717" s="67"/>
      <c r="B717" s="67"/>
      <c r="C717" s="66"/>
      <c r="D717" s="56"/>
    </row>
    <row r="718">
      <c r="A718" s="67"/>
      <c r="B718" s="67"/>
      <c r="C718" s="66"/>
      <c r="D718" s="56"/>
    </row>
    <row r="719">
      <c r="A719" s="67"/>
      <c r="B719" s="67"/>
      <c r="C719" s="66"/>
      <c r="D719" s="56"/>
    </row>
    <row r="720">
      <c r="A720" s="67"/>
      <c r="B720" s="67"/>
      <c r="C720" s="66"/>
      <c r="D720" s="56"/>
    </row>
    <row r="721">
      <c r="A721" s="67"/>
      <c r="B721" s="67"/>
      <c r="C721" s="66"/>
      <c r="D721" s="56"/>
    </row>
    <row r="722">
      <c r="A722" s="67"/>
      <c r="B722" s="67"/>
      <c r="C722" s="66"/>
      <c r="D722" s="56"/>
    </row>
    <row r="723">
      <c r="A723" s="67"/>
      <c r="B723" s="67"/>
      <c r="C723" s="66"/>
      <c r="D723" s="56"/>
    </row>
    <row r="724">
      <c r="A724" s="67"/>
      <c r="B724" s="67"/>
      <c r="C724" s="66"/>
      <c r="D724" s="56"/>
    </row>
    <row r="725">
      <c r="A725" s="67"/>
      <c r="B725" s="67"/>
      <c r="C725" s="66"/>
      <c r="D725" s="56"/>
    </row>
    <row r="726">
      <c r="A726" s="67"/>
      <c r="B726" s="67"/>
      <c r="C726" s="66"/>
      <c r="D726" s="56"/>
    </row>
    <row r="727">
      <c r="A727" s="67"/>
      <c r="B727" s="67"/>
      <c r="C727" s="66"/>
      <c r="D727" s="56"/>
    </row>
    <row r="728">
      <c r="A728" s="67"/>
      <c r="B728" s="67"/>
      <c r="C728" s="66"/>
      <c r="D728" s="56"/>
    </row>
    <row r="729">
      <c r="A729" s="67"/>
      <c r="B729" s="67"/>
      <c r="C729" s="66"/>
      <c r="D729" s="56"/>
    </row>
    <row r="730">
      <c r="A730" s="67"/>
      <c r="B730" s="67"/>
      <c r="C730" s="66"/>
      <c r="D730" s="56"/>
    </row>
    <row r="731">
      <c r="A731" s="67"/>
      <c r="B731" s="67"/>
      <c r="C731" s="66"/>
      <c r="D731" s="56"/>
    </row>
    <row r="732">
      <c r="A732" s="67"/>
      <c r="B732" s="67"/>
      <c r="C732" s="66"/>
      <c r="D732" s="56"/>
    </row>
    <row r="733">
      <c r="A733" s="67"/>
      <c r="B733" s="67"/>
      <c r="C733" s="66"/>
      <c r="D733" s="56"/>
    </row>
    <row r="734">
      <c r="A734" s="67"/>
      <c r="B734" s="67"/>
      <c r="C734" s="66"/>
      <c r="D734" s="56"/>
    </row>
    <row r="735">
      <c r="A735" s="67"/>
      <c r="B735" s="67"/>
      <c r="C735" s="66"/>
      <c r="D735" s="56"/>
    </row>
    <row r="736">
      <c r="A736" s="67"/>
      <c r="B736" s="67"/>
      <c r="C736" s="66"/>
      <c r="D736" s="56"/>
    </row>
    <row r="737">
      <c r="A737" s="67"/>
      <c r="B737" s="67"/>
      <c r="C737" s="66"/>
      <c r="D737" s="56"/>
    </row>
    <row r="738">
      <c r="A738" s="67"/>
      <c r="B738" s="67"/>
      <c r="C738" s="66"/>
      <c r="D738" s="56"/>
    </row>
    <row r="739">
      <c r="A739" s="67"/>
      <c r="B739" s="67"/>
      <c r="C739" s="66"/>
      <c r="D739" s="56"/>
    </row>
    <row r="740">
      <c r="A740" s="67"/>
      <c r="B740" s="67"/>
      <c r="C740" s="66"/>
      <c r="D740" s="56"/>
    </row>
    <row r="741">
      <c r="A741" s="67"/>
      <c r="B741" s="67"/>
      <c r="C741" s="66"/>
      <c r="D741" s="56"/>
    </row>
    <row r="742">
      <c r="A742" s="67"/>
      <c r="B742" s="67"/>
      <c r="C742" s="66"/>
      <c r="D742" s="56"/>
    </row>
    <row r="743">
      <c r="A743" s="67"/>
      <c r="B743" s="67"/>
      <c r="C743" s="66"/>
      <c r="D743" s="56"/>
    </row>
    <row r="744">
      <c r="A744" s="67"/>
      <c r="B744" s="67"/>
      <c r="C744" s="66"/>
      <c r="D744" s="56"/>
    </row>
    <row r="745">
      <c r="A745" s="67"/>
      <c r="B745" s="67"/>
      <c r="C745" s="66"/>
      <c r="D745" s="56"/>
    </row>
    <row r="746">
      <c r="A746" s="67"/>
      <c r="B746" s="67"/>
      <c r="C746" s="66"/>
      <c r="D746" s="56"/>
    </row>
    <row r="747">
      <c r="A747" s="67"/>
      <c r="B747" s="67"/>
      <c r="C747" s="66"/>
      <c r="D747" s="56"/>
    </row>
    <row r="748">
      <c r="A748" s="67"/>
      <c r="B748" s="67"/>
      <c r="C748" s="66"/>
      <c r="D748" s="56"/>
    </row>
    <row r="749">
      <c r="A749" s="67"/>
      <c r="B749" s="67"/>
      <c r="C749" s="66"/>
      <c r="D749" s="56"/>
    </row>
    <row r="750">
      <c r="A750" s="67"/>
      <c r="B750" s="67"/>
      <c r="C750" s="66"/>
      <c r="D750" s="56"/>
    </row>
    <row r="751">
      <c r="A751" s="67"/>
      <c r="B751" s="67"/>
      <c r="C751" s="66"/>
      <c r="D751" s="56"/>
    </row>
    <row r="752">
      <c r="A752" s="67"/>
      <c r="B752" s="67"/>
      <c r="C752" s="66"/>
      <c r="D752" s="56"/>
    </row>
    <row r="753">
      <c r="A753" s="67"/>
      <c r="B753" s="67"/>
      <c r="C753" s="66"/>
      <c r="D753" s="56"/>
    </row>
    <row r="754">
      <c r="A754" s="67"/>
      <c r="B754" s="67"/>
      <c r="C754" s="66"/>
      <c r="D754" s="56"/>
    </row>
    <row r="755">
      <c r="A755" s="67"/>
      <c r="B755" s="67"/>
      <c r="C755" s="66"/>
      <c r="D755" s="56"/>
    </row>
    <row r="756">
      <c r="A756" s="67"/>
      <c r="B756" s="67"/>
      <c r="C756" s="66"/>
      <c r="D756" s="56"/>
    </row>
    <row r="757">
      <c r="A757" s="67"/>
      <c r="B757" s="67"/>
      <c r="C757" s="66"/>
      <c r="D757" s="56"/>
    </row>
    <row r="758">
      <c r="A758" s="67"/>
      <c r="B758" s="67"/>
      <c r="C758" s="66"/>
      <c r="D758" s="56"/>
    </row>
    <row r="759">
      <c r="A759" s="67"/>
      <c r="B759" s="67"/>
      <c r="C759" s="66"/>
      <c r="D759" s="56"/>
    </row>
    <row r="760">
      <c r="A760" s="67"/>
      <c r="B760" s="67"/>
      <c r="C760" s="66"/>
      <c r="D760" s="56"/>
    </row>
    <row r="761">
      <c r="A761" s="67"/>
      <c r="B761" s="67"/>
      <c r="C761" s="66"/>
      <c r="D761" s="56"/>
    </row>
    <row r="762">
      <c r="A762" s="67"/>
      <c r="B762" s="67"/>
      <c r="C762" s="66"/>
      <c r="D762" s="56"/>
    </row>
    <row r="763">
      <c r="A763" s="67"/>
      <c r="B763" s="67"/>
      <c r="C763" s="66"/>
      <c r="D763" s="56"/>
    </row>
    <row r="764">
      <c r="A764" s="67"/>
      <c r="B764" s="67"/>
      <c r="C764" s="66"/>
      <c r="D764" s="56"/>
    </row>
    <row r="765">
      <c r="A765" s="67"/>
      <c r="B765" s="67"/>
      <c r="C765" s="66"/>
      <c r="D765" s="56"/>
    </row>
    <row r="766">
      <c r="A766" s="67"/>
      <c r="B766" s="67"/>
      <c r="C766" s="66"/>
      <c r="D766" s="56"/>
    </row>
    <row r="767">
      <c r="A767" s="67"/>
      <c r="B767" s="67"/>
      <c r="C767" s="66"/>
      <c r="D767" s="56"/>
    </row>
    <row r="768">
      <c r="A768" s="67"/>
      <c r="B768" s="67"/>
      <c r="C768" s="66"/>
      <c r="D768" s="56"/>
    </row>
    <row r="769">
      <c r="A769" s="67"/>
      <c r="B769" s="67"/>
      <c r="C769" s="66"/>
      <c r="D769" s="56"/>
    </row>
    <row r="770">
      <c r="A770" s="67"/>
      <c r="B770" s="67"/>
      <c r="C770" s="66"/>
      <c r="D770" s="56"/>
    </row>
    <row r="771">
      <c r="A771" s="67"/>
      <c r="B771" s="67"/>
      <c r="C771" s="66"/>
      <c r="D771" s="56"/>
    </row>
    <row r="772">
      <c r="A772" s="67"/>
      <c r="B772" s="67"/>
      <c r="C772" s="66"/>
      <c r="D772" s="56"/>
    </row>
    <row r="773">
      <c r="A773" s="67"/>
      <c r="B773" s="67"/>
      <c r="C773" s="66"/>
      <c r="D773" s="56"/>
    </row>
    <row r="774">
      <c r="A774" s="67"/>
      <c r="B774" s="67"/>
      <c r="C774" s="66"/>
      <c r="D774" s="56"/>
    </row>
    <row r="775">
      <c r="A775" s="67"/>
      <c r="B775" s="67"/>
      <c r="C775" s="66"/>
      <c r="D775" s="56"/>
    </row>
    <row r="776">
      <c r="A776" s="67"/>
      <c r="B776" s="67"/>
      <c r="C776" s="66"/>
      <c r="D776" s="56"/>
    </row>
    <row r="777">
      <c r="A777" s="67"/>
      <c r="B777" s="67"/>
      <c r="C777" s="66"/>
      <c r="D777" s="56"/>
    </row>
    <row r="778">
      <c r="A778" s="67"/>
      <c r="B778" s="67"/>
      <c r="C778" s="66"/>
      <c r="D778" s="56"/>
    </row>
    <row r="779">
      <c r="A779" s="67"/>
      <c r="B779" s="67"/>
      <c r="C779" s="66"/>
      <c r="D779" s="56"/>
    </row>
    <row r="780">
      <c r="A780" s="67"/>
      <c r="B780" s="67"/>
      <c r="C780" s="66"/>
      <c r="D780" s="56"/>
    </row>
    <row r="781">
      <c r="A781" s="67"/>
      <c r="B781" s="67"/>
      <c r="C781" s="66"/>
      <c r="D781" s="56"/>
    </row>
    <row r="782">
      <c r="A782" s="67"/>
      <c r="B782" s="67"/>
      <c r="C782" s="66"/>
      <c r="D782" s="56"/>
    </row>
    <row r="783">
      <c r="A783" s="67"/>
      <c r="B783" s="67"/>
      <c r="C783" s="66"/>
      <c r="D783" s="56"/>
    </row>
    <row r="784">
      <c r="A784" s="67"/>
      <c r="B784" s="67"/>
      <c r="C784" s="66"/>
      <c r="D784" s="56"/>
    </row>
    <row r="785">
      <c r="A785" s="67"/>
      <c r="B785" s="67"/>
      <c r="C785" s="66"/>
      <c r="D785" s="56"/>
    </row>
    <row r="786">
      <c r="A786" s="67"/>
      <c r="B786" s="67"/>
      <c r="C786" s="66"/>
      <c r="D786" s="56"/>
    </row>
    <row r="787">
      <c r="A787" s="67"/>
      <c r="B787" s="67"/>
      <c r="C787" s="66"/>
      <c r="D787" s="56"/>
    </row>
    <row r="788">
      <c r="A788" s="67"/>
      <c r="B788" s="67"/>
      <c r="C788" s="66"/>
      <c r="D788" s="56"/>
    </row>
    <row r="789">
      <c r="A789" s="67"/>
      <c r="B789" s="67"/>
      <c r="C789" s="66"/>
      <c r="D789" s="56"/>
    </row>
    <row r="790">
      <c r="A790" s="67"/>
      <c r="B790" s="67"/>
      <c r="C790" s="66"/>
      <c r="D790" s="56"/>
    </row>
    <row r="791">
      <c r="A791" s="67"/>
      <c r="B791" s="67"/>
      <c r="C791" s="66"/>
      <c r="D791" s="56"/>
    </row>
    <row r="792">
      <c r="A792" s="67"/>
      <c r="B792" s="67"/>
      <c r="C792" s="66"/>
      <c r="D792" s="56"/>
    </row>
    <row r="793">
      <c r="A793" s="67"/>
      <c r="B793" s="67"/>
      <c r="C793" s="66"/>
      <c r="D793" s="56"/>
    </row>
    <row r="794">
      <c r="A794" s="67"/>
      <c r="B794" s="67"/>
      <c r="C794" s="66"/>
      <c r="D794" s="56"/>
    </row>
    <row r="795">
      <c r="A795" s="67"/>
      <c r="B795" s="67"/>
      <c r="C795" s="66"/>
      <c r="D795" s="56"/>
    </row>
    <row r="796">
      <c r="A796" s="67"/>
      <c r="B796" s="67"/>
      <c r="C796" s="66"/>
      <c r="D796" s="56"/>
    </row>
    <row r="797">
      <c r="A797" s="67"/>
      <c r="B797" s="67"/>
      <c r="C797" s="66"/>
      <c r="D797" s="56"/>
    </row>
    <row r="798">
      <c r="A798" s="67"/>
      <c r="B798" s="67"/>
      <c r="C798" s="66"/>
      <c r="D798" s="56"/>
    </row>
    <row r="799">
      <c r="A799" s="67"/>
      <c r="B799" s="67"/>
      <c r="C799" s="66"/>
      <c r="D799" s="56"/>
    </row>
    <row r="800">
      <c r="A800" s="67"/>
      <c r="B800" s="67"/>
      <c r="C800" s="66"/>
      <c r="D800" s="56"/>
    </row>
    <row r="801">
      <c r="A801" s="67"/>
      <c r="B801" s="67"/>
      <c r="C801" s="66"/>
      <c r="D801" s="56"/>
    </row>
    <row r="802">
      <c r="A802" s="67"/>
      <c r="B802" s="67"/>
      <c r="C802" s="66"/>
      <c r="D802" s="56"/>
    </row>
    <row r="803">
      <c r="A803" s="67"/>
      <c r="B803" s="67"/>
      <c r="C803" s="66"/>
      <c r="D803" s="56"/>
    </row>
    <row r="804">
      <c r="A804" s="67"/>
      <c r="B804" s="67"/>
      <c r="C804" s="66"/>
      <c r="D804" s="56"/>
    </row>
    <row r="805">
      <c r="A805" s="67"/>
      <c r="B805" s="67"/>
      <c r="C805" s="66"/>
      <c r="D805" s="56"/>
    </row>
    <row r="806">
      <c r="A806" s="67"/>
      <c r="B806" s="67"/>
      <c r="C806" s="66"/>
      <c r="D806" s="56"/>
    </row>
    <row r="807">
      <c r="A807" s="67"/>
      <c r="B807" s="67"/>
      <c r="C807" s="66"/>
      <c r="D807" s="56"/>
    </row>
    <row r="808">
      <c r="A808" s="67"/>
      <c r="B808" s="67"/>
      <c r="C808" s="66"/>
      <c r="D808" s="56"/>
    </row>
    <row r="809">
      <c r="A809" s="67"/>
      <c r="B809" s="67"/>
      <c r="C809" s="66"/>
      <c r="D809" s="56"/>
    </row>
    <row r="810">
      <c r="A810" s="67"/>
      <c r="B810" s="67"/>
      <c r="C810" s="66"/>
      <c r="D810" s="56"/>
    </row>
    <row r="811">
      <c r="A811" s="67"/>
      <c r="B811" s="67"/>
      <c r="C811" s="66"/>
      <c r="D811" s="56"/>
    </row>
    <row r="812">
      <c r="A812" s="67"/>
      <c r="B812" s="67"/>
      <c r="C812" s="66"/>
      <c r="D812" s="56"/>
    </row>
    <row r="813">
      <c r="A813" s="67"/>
      <c r="B813" s="67"/>
      <c r="C813" s="66"/>
      <c r="D813" s="56"/>
    </row>
    <row r="814">
      <c r="A814" s="67"/>
      <c r="B814" s="67"/>
      <c r="C814" s="66"/>
      <c r="D814" s="56"/>
    </row>
    <row r="815">
      <c r="A815" s="67"/>
      <c r="B815" s="67"/>
      <c r="C815" s="66"/>
      <c r="D815" s="56"/>
    </row>
    <row r="816">
      <c r="A816" s="67"/>
      <c r="B816" s="67"/>
      <c r="C816" s="66"/>
      <c r="D816" s="56"/>
    </row>
    <row r="817">
      <c r="A817" s="67"/>
      <c r="B817" s="67"/>
      <c r="C817" s="66"/>
      <c r="D817" s="56"/>
    </row>
    <row r="818">
      <c r="A818" s="67"/>
      <c r="B818" s="67"/>
      <c r="C818" s="66"/>
      <c r="D818" s="56"/>
    </row>
    <row r="819">
      <c r="A819" s="67"/>
      <c r="B819" s="67"/>
      <c r="C819" s="66"/>
      <c r="D819" s="56"/>
    </row>
    <row r="820">
      <c r="A820" s="67"/>
      <c r="B820" s="67"/>
      <c r="C820" s="66"/>
      <c r="D820" s="56"/>
    </row>
    <row r="821">
      <c r="A821" s="67"/>
      <c r="B821" s="67"/>
      <c r="C821" s="66"/>
      <c r="D821" s="56"/>
    </row>
    <row r="822">
      <c r="A822" s="67"/>
      <c r="B822" s="67"/>
      <c r="C822" s="66"/>
      <c r="D822" s="56"/>
    </row>
    <row r="823">
      <c r="A823" s="67"/>
      <c r="B823" s="67"/>
      <c r="C823" s="66"/>
      <c r="D823" s="56"/>
    </row>
    <row r="824">
      <c r="A824" s="67"/>
      <c r="B824" s="67"/>
      <c r="C824" s="66"/>
      <c r="D824" s="56"/>
    </row>
    <row r="825">
      <c r="A825" s="67"/>
      <c r="B825" s="67"/>
      <c r="C825" s="66"/>
      <c r="D825" s="56"/>
    </row>
    <row r="826">
      <c r="A826" s="67"/>
      <c r="B826" s="67"/>
      <c r="C826" s="66"/>
      <c r="D826" s="56"/>
    </row>
    <row r="827">
      <c r="A827" s="67"/>
      <c r="B827" s="67"/>
      <c r="C827" s="66"/>
      <c r="D827" s="56"/>
    </row>
    <row r="828">
      <c r="A828" s="67"/>
      <c r="B828" s="67"/>
      <c r="C828" s="66"/>
      <c r="D828" s="56"/>
    </row>
    <row r="829">
      <c r="A829" s="67"/>
      <c r="B829" s="67"/>
      <c r="C829" s="66"/>
      <c r="D829" s="56"/>
    </row>
    <row r="830">
      <c r="A830" s="67"/>
      <c r="B830" s="67"/>
      <c r="C830" s="66"/>
      <c r="D830" s="56"/>
    </row>
    <row r="831">
      <c r="A831" s="67"/>
      <c r="B831" s="67"/>
      <c r="C831" s="66"/>
      <c r="D831" s="56"/>
    </row>
    <row r="832">
      <c r="A832" s="67"/>
      <c r="B832" s="67"/>
      <c r="C832" s="66"/>
      <c r="D832" s="56"/>
    </row>
    <row r="833">
      <c r="A833" s="67"/>
      <c r="B833" s="67"/>
      <c r="C833" s="66"/>
      <c r="D833" s="56"/>
    </row>
    <row r="834">
      <c r="A834" s="67"/>
      <c r="B834" s="67"/>
      <c r="C834" s="66"/>
      <c r="D834" s="56"/>
    </row>
    <row r="835">
      <c r="A835" s="67"/>
      <c r="B835" s="67"/>
      <c r="C835" s="66"/>
      <c r="D835" s="56"/>
    </row>
    <row r="836">
      <c r="A836" s="67"/>
      <c r="B836" s="67"/>
      <c r="C836" s="66"/>
      <c r="D836" s="56"/>
    </row>
    <row r="837">
      <c r="A837" s="67"/>
      <c r="B837" s="67"/>
      <c r="C837" s="66"/>
      <c r="D837" s="56"/>
    </row>
    <row r="838">
      <c r="A838" s="67"/>
      <c r="B838" s="67"/>
      <c r="C838" s="66"/>
      <c r="D838" s="56"/>
    </row>
    <row r="839">
      <c r="A839" s="67"/>
      <c r="B839" s="67"/>
      <c r="C839" s="66"/>
      <c r="D839" s="56"/>
    </row>
    <row r="840">
      <c r="A840" s="67"/>
      <c r="B840" s="67"/>
      <c r="C840" s="66"/>
      <c r="D840" s="56"/>
    </row>
    <row r="841">
      <c r="A841" s="67"/>
      <c r="B841" s="67"/>
      <c r="C841" s="66"/>
      <c r="D841" s="56"/>
    </row>
    <row r="842">
      <c r="A842" s="67"/>
      <c r="B842" s="67"/>
      <c r="C842" s="66"/>
      <c r="D842" s="56"/>
    </row>
    <row r="843">
      <c r="A843" s="67"/>
      <c r="B843" s="67"/>
      <c r="C843" s="66"/>
      <c r="D843" s="56"/>
    </row>
    <row r="844">
      <c r="A844" s="67"/>
      <c r="B844" s="67"/>
      <c r="C844" s="66"/>
      <c r="D844" s="56"/>
    </row>
    <row r="845">
      <c r="A845" s="67"/>
      <c r="B845" s="67"/>
      <c r="C845" s="66"/>
      <c r="D845" s="56"/>
    </row>
    <row r="846">
      <c r="A846" s="67"/>
      <c r="B846" s="67"/>
      <c r="C846" s="66"/>
      <c r="D846" s="56"/>
    </row>
    <row r="847">
      <c r="A847" s="67"/>
      <c r="B847" s="67"/>
      <c r="C847" s="66"/>
      <c r="D847" s="56"/>
    </row>
    <row r="848">
      <c r="A848" s="67"/>
      <c r="B848" s="67"/>
      <c r="C848" s="66"/>
      <c r="D848" s="56"/>
    </row>
    <row r="849">
      <c r="A849" s="67"/>
      <c r="B849" s="67"/>
      <c r="C849" s="66"/>
      <c r="D849" s="56"/>
    </row>
    <row r="850">
      <c r="A850" s="67"/>
      <c r="B850" s="67"/>
      <c r="C850" s="66"/>
      <c r="D850" s="56"/>
    </row>
    <row r="851">
      <c r="A851" s="67"/>
      <c r="B851" s="67"/>
      <c r="C851" s="66"/>
      <c r="D851" s="56"/>
    </row>
    <row r="852">
      <c r="A852" s="67"/>
      <c r="B852" s="67"/>
      <c r="C852" s="66"/>
      <c r="D852" s="56"/>
    </row>
    <row r="853">
      <c r="A853" s="67"/>
      <c r="B853" s="67"/>
      <c r="C853" s="66"/>
      <c r="D853" s="56"/>
    </row>
    <row r="854">
      <c r="A854" s="67"/>
      <c r="B854" s="67"/>
      <c r="C854" s="66"/>
      <c r="D854" s="56"/>
    </row>
    <row r="855">
      <c r="A855" s="67"/>
      <c r="B855" s="67"/>
      <c r="C855" s="66"/>
      <c r="D855" s="56"/>
    </row>
    <row r="856">
      <c r="A856" s="67"/>
      <c r="B856" s="67"/>
      <c r="C856" s="66"/>
      <c r="D856" s="56"/>
    </row>
    <row r="857">
      <c r="A857" s="67"/>
      <c r="B857" s="67"/>
      <c r="C857" s="66"/>
      <c r="D857" s="56"/>
    </row>
    <row r="858">
      <c r="A858" s="67"/>
      <c r="B858" s="67"/>
      <c r="C858" s="66"/>
      <c r="D858" s="56"/>
    </row>
    <row r="859">
      <c r="A859" s="67"/>
      <c r="B859" s="67"/>
      <c r="C859" s="66"/>
      <c r="D859" s="56"/>
    </row>
    <row r="860">
      <c r="A860" s="67"/>
      <c r="B860" s="67"/>
      <c r="C860" s="66"/>
      <c r="D860" s="56"/>
    </row>
    <row r="861">
      <c r="A861" s="67"/>
      <c r="B861" s="67"/>
      <c r="C861" s="66"/>
      <c r="D861" s="56"/>
    </row>
    <row r="862">
      <c r="A862" s="67"/>
      <c r="B862" s="67"/>
      <c r="C862" s="66"/>
      <c r="D862" s="56"/>
    </row>
    <row r="863">
      <c r="A863" s="67"/>
      <c r="B863" s="67"/>
      <c r="C863" s="66"/>
      <c r="D863" s="56"/>
    </row>
    <row r="864">
      <c r="A864" s="67"/>
      <c r="B864" s="67"/>
      <c r="C864" s="66"/>
      <c r="D864" s="56"/>
    </row>
    <row r="865">
      <c r="A865" s="67"/>
      <c r="B865" s="67"/>
      <c r="C865" s="66"/>
      <c r="D865" s="56"/>
    </row>
    <row r="866">
      <c r="A866" s="67"/>
      <c r="B866" s="67"/>
      <c r="C866" s="66"/>
      <c r="D866" s="56"/>
    </row>
    <row r="867">
      <c r="A867" s="67"/>
      <c r="B867" s="67"/>
      <c r="C867" s="66"/>
      <c r="D867" s="56"/>
    </row>
    <row r="868">
      <c r="A868" s="67"/>
      <c r="B868" s="67"/>
      <c r="C868" s="66"/>
      <c r="D868" s="56"/>
    </row>
    <row r="869">
      <c r="A869" s="67"/>
      <c r="B869" s="67"/>
      <c r="C869" s="66"/>
      <c r="D869" s="56"/>
    </row>
    <row r="870">
      <c r="A870" s="67"/>
      <c r="B870" s="67"/>
      <c r="C870" s="66"/>
      <c r="D870" s="56"/>
    </row>
    <row r="871">
      <c r="A871" s="67"/>
      <c r="B871" s="67"/>
      <c r="C871" s="66"/>
      <c r="D871" s="56"/>
    </row>
    <row r="872">
      <c r="A872" s="67"/>
      <c r="B872" s="67"/>
      <c r="C872" s="66"/>
      <c r="D872" s="56"/>
    </row>
    <row r="873">
      <c r="A873" s="67"/>
      <c r="B873" s="67"/>
      <c r="C873" s="66"/>
      <c r="D873" s="56"/>
    </row>
    <row r="874">
      <c r="A874" s="67"/>
      <c r="B874" s="67"/>
      <c r="C874" s="66"/>
      <c r="D874" s="56"/>
    </row>
    <row r="875">
      <c r="A875" s="67"/>
      <c r="B875" s="67"/>
      <c r="C875" s="66"/>
      <c r="D875" s="56"/>
    </row>
    <row r="876">
      <c r="A876" s="67"/>
      <c r="B876" s="67"/>
      <c r="C876" s="66"/>
      <c r="D876" s="56"/>
    </row>
    <row r="877">
      <c r="A877" s="67"/>
      <c r="B877" s="67"/>
      <c r="C877" s="66"/>
      <c r="D877" s="56"/>
    </row>
    <row r="878">
      <c r="A878" s="67"/>
      <c r="B878" s="67"/>
      <c r="C878" s="66"/>
      <c r="D878" s="56"/>
    </row>
    <row r="879">
      <c r="A879" s="67"/>
      <c r="B879" s="67"/>
      <c r="C879" s="66"/>
      <c r="D879" s="56"/>
    </row>
    <row r="880">
      <c r="A880" s="67"/>
      <c r="B880" s="67"/>
      <c r="C880" s="66"/>
      <c r="D880" s="56"/>
    </row>
    <row r="881">
      <c r="A881" s="67"/>
      <c r="B881" s="67"/>
      <c r="C881" s="66"/>
      <c r="D881" s="56"/>
    </row>
    <row r="882">
      <c r="A882" s="67"/>
      <c r="B882" s="67"/>
      <c r="C882" s="66"/>
      <c r="D882" s="56"/>
    </row>
    <row r="883">
      <c r="A883" s="67"/>
      <c r="B883" s="67"/>
      <c r="C883" s="66"/>
      <c r="D883" s="56"/>
    </row>
    <row r="884">
      <c r="A884" s="67"/>
      <c r="B884" s="67"/>
      <c r="C884" s="66"/>
      <c r="D884" s="56"/>
    </row>
    <row r="885">
      <c r="A885" s="67"/>
      <c r="B885" s="67"/>
      <c r="C885" s="66"/>
      <c r="D885" s="56"/>
    </row>
    <row r="886">
      <c r="A886" s="67"/>
      <c r="B886" s="67"/>
      <c r="C886" s="66"/>
      <c r="D886" s="56"/>
    </row>
    <row r="887">
      <c r="A887" s="67"/>
      <c r="B887" s="67"/>
      <c r="C887" s="66"/>
      <c r="D887" s="56"/>
    </row>
    <row r="888">
      <c r="A888" s="67"/>
      <c r="B888" s="67"/>
      <c r="C888" s="66"/>
      <c r="D888" s="56"/>
    </row>
    <row r="889">
      <c r="A889" s="67"/>
      <c r="B889" s="67"/>
      <c r="C889" s="66"/>
      <c r="D889" s="56"/>
    </row>
    <row r="890">
      <c r="A890" s="67"/>
      <c r="B890" s="67"/>
      <c r="C890" s="66"/>
      <c r="D890" s="56"/>
    </row>
    <row r="891">
      <c r="A891" s="67"/>
      <c r="B891" s="67"/>
      <c r="C891" s="66"/>
      <c r="D891" s="56"/>
    </row>
    <row r="892">
      <c r="A892" s="67"/>
      <c r="B892" s="67"/>
      <c r="C892" s="66"/>
      <c r="D892" s="56"/>
    </row>
    <row r="893">
      <c r="A893" s="67"/>
      <c r="B893" s="67"/>
      <c r="C893" s="66"/>
      <c r="D893" s="56"/>
    </row>
    <row r="894">
      <c r="A894" s="67"/>
      <c r="B894" s="67"/>
      <c r="C894" s="66"/>
      <c r="D894" s="56"/>
    </row>
    <row r="895">
      <c r="A895" s="67"/>
      <c r="B895" s="67"/>
      <c r="C895" s="66"/>
      <c r="D895" s="56"/>
    </row>
    <row r="896">
      <c r="A896" s="67"/>
      <c r="B896" s="67"/>
      <c r="C896" s="66"/>
      <c r="D896" s="56"/>
    </row>
    <row r="897">
      <c r="A897" s="67"/>
      <c r="B897" s="67"/>
      <c r="C897" s="66"/>
      <c r="D897" s="56"/>
    </row>
    <row r="898">
      <c r="A898" s="67"/>
      <c r="B898" s="67"/>
      <c r="C898" s="66"/>
      <c r="D898" s="56"/>
    </row>
    <row r="899">
      <c r="A899" s="67"/>
      <c r="B899" s="67"/>
      <c r="C899" s="66"/>
      <c r="D899" s="56"/>
    </row>
    <row r="900">
      <c r="A900" s="67"/>
      <c r="B900" s="67"/>
      <c r="C900" s="66"/>
      <c r="D900" s="56"/>
    </row>
    <row r="901">
      <c r="A901" s="67"/>
      <c r="B901" s="67"/>
      <c r="C901" s="66"/>
      <c r="D901" s="56"/>
    </row>
    <row r="902">
      <c r="A902" s="67"/>
      <c r="B902" s="67"/>
      <c r="C902" s="66"/>
      <c r="D902" s="56"/>
    </row>
    <row r="903">
      <c r="A903" s="67"/>
      <c r="B903" s="67"/>
      <c r="C903" s="66"/>
      <c r="D903" s="56"/>
    </row>
    <row r="904">
      <c r="A904" s="67"/>
      <c r="B904" s="67"/>
      <c r="C904" s="66"/>
      <c r="D904" s="56"/>
    </row>
    <row r="905">
      <c r="A905" s="67"/>
      <c r="B905" s="67"/>
      <c r="C905" s="66"/>
      <c r="D905" s="56"/>
    </row>
    <row r="906">
      <c r="A906" s="67"/>
      <c r="B906" s="67"/>
      <c r="C906" s="66"/>
      <c r="D906" s="56"/>
    </row>
    <row r="907">
      <c r="A907" s="67"/>
      <c r="B907" s="67"/>
      <c r="C907" s="66"/>
      <c r="D907" s="56"/>
    </row>
    <row r="908">
      <c r="A908" s="67"/>
      <c r="B908" s="67"/>
      <c r="C908" s="66"/>
      <c r="D908" s="56"/>
    </row>
    <row r="909">
      <c r="A909" s="67"/>
      <c r="B909" s="67"/>
      <c r="C909" s="66"/>
      <c r="D909" s="56"/>
    </row>
    <row r="910">
      <c r="A910" s="67"/>
      <c r="B910" s="67"/>
      <c r="C910" s="66"/>
      <c r="D910" s="56"/>
    </row>
    <row r="911">
      <c r="A911" s="67"/>
      <c r="B911" s="67"/>
      <c r="C911" s="66"/>
      <c r="D911" s="56"/>
    </row>
    <row r="912">
      <c r="A912" s="67"/>
      <c r="B912" s="67"/>
      <c r="C912" s="66"/>
      <c r="D912" s="56"/>
    </row>
    <row r="913">
      <c r="A913" s="67"/>
      <c r="B913" s="67"/>
      <c r="C913" s="66"/>
      <c r="D913" s="56"/>
    </row>
    <row r="914">
      <c r="A914" s="67"/>
      <c r="B914" s="67"/>
      <c r="C914" s="66"/>
      <c r="D914" s="56"/>
    </row>
    <row r="915">
      <c r="A915" s="67"/>
      <c r="B915" s="67"/>
      <c r="C915" s="66"/>
      <c r="D915" s="56"/>
    </row>
    <row r="916">
      <c r="A916" s="67"/>
      <c r="B916" s="67"/>
      <c r="C916" s="66"/>
      <c r="D916" s="56"/>
    </row>
    <row r="917">
      <c r="A917" s="67"/>
      <c r="B917" s="67"/>
      <c r="C917" s="66"/>
      <c r="D917" s="56"/>
    </row>
    <row r="918">
      <c r="A918" s="67"/>
      <c r="B918" s="67"/>
      <c r="C918" s="66"/>
      <c r="D918" s="56"/>
    </row>
    <row r="919">
      <c r="A919" s="67"/>
      <c r="B919" s="67"/>
      <c r="C919" s="66"/>
      <c r="D919" s="56"/>
    </row>
    <row r="920">
      <c r="A920" s="67"/>
      <c r="B920" s="67"/>
      <c r="C920" s="66"/>
      <c r="D920" s="56"/>
    </row>
    <row r="921">
      <c r="A921" s="67"/>
      <c r="B921" s="67"/>
      <c r="C921" s="66"/>
      <c r="D921" s="56"/>
    </row>
    <row r="922">
      <c r="A922" s="67"/>
      <c r="B922" s="67"/>
      <c r="C922" s="66"/>
      <c r="D922" s="56"/>
    </row>
    <row r="923">
      <c r="A923" s="67"/>
      <c r="B923" s="67"/>
      <c r="C923" s="66"/>
      <c r="D923" s="56"/>
    </row>
    <row r="924">
      <c r="A924" s="67"/>
      <c r="B924" s="67"/>
      <c r="C924" s="66"/>
      <c r="D924" s="56"/>
    </row>
    <row r="925">
      <c r="A925" s="67"/>
      <c r="B925" s="67"/>
      <c r="C925" s="66"/>
      <c r="D925" s="56"/>
    </row>
    <row r="926">
      <c r="A926" s="67"/>
      <c r="B926" s="67"/>
      <c r="C926" s="66"/>
      <c r="D926" s="56"/>
    </row>
    <row r="927">
      <c r="A927" s="67"/>
      <c r="B927" s="67"/>
      <c r="C927" s="66"/>
      <c r="D927" s="56"/>
    </row>
    <row r="928">
      <c r="A928" s="67"/>
      <c r="B928" s="67"/>
      <c r="C928" s="66"/>
      <c r="D928" s="56"/>
    </row>
    <row r="929">
      <c r="A929" s="67"/>
      <c r="B929" s="67"/>
      <c r="C929" s="66"/>
      <c r="D929" s="56"/>
    </row>
    <row r="930">
      <c r="A930" s="67"/>
      <c r="B930" s="67"/>
      <c r="C930" s="66"/>
      <c r="D930" s="56"/>
    </row>
    <row r="931">
      <c r="A931" s="67"/>
      <c r="B931" s="67"/>
      <c r="C931" s="66"/>
      <c r="D931" s="56"/>
    </row>
    <row r="932">
      <c r="A932" s="67"/>
      <c r="B932" s="67"/>
      <c r="C932" s="66"/>
      <c r="D932" s="56"/>
    </row>
    <row r="933">
      <c r="A933" s="67"/>
      <c r="B933" s="67"/>
      <c r="C933" s="66"/>
      <c r="D933" s="56"/>
    </row>
    <row r="934">
      <c r="A934" s="67"/>
      <c r="B934" s="67"/>
      <c r="C934" s="66"/>
      <c r="D934" s="56"/>
    </row>
    <row r="935">
      <c r="A935" s="67"/>
      <c r="B935" s="67"/>
      <c r="C935" s="66"/>
      <c r="D935" s="56"/>
    </row>
    <row r="936">
      <c r="A936" s="67"/>
      <c r="B936" s="67"/>
      <c r="C936" s="66"/>
      <c r="D936" s="56"/>
    </row>
    <row r="937">
      <c r="A937" s="67"/>
      <c r="B937" s="67"/>
      <c r="C937" s="66"/>
      <c r="D937" s="56"/>
    </row>
    <row r="938">
      <c r="A938" s="67"/>
      <c r="B938" s="67"/>
      <c r="C938" s="66"/>
      <c r="D938" s="56"/>
    </row>
    <row r="939">
      <c r="A939" s="67"/>
      <c r="B939" s="67"/>
      <c r="C939" s="66"/>
      <c r="D939" s="56"/>
    </row>
    <row r="940">
      <c r="A940" s="67"/>
      <c r="B940" s="67"/>
      <c r="C940" s="66"/>
      <c r="D940" s="56"/>
    </row>
    <row r="941">
      <c r="A941" s="67"/>
      <c r="B941" s="67"/>
      <c r="C941" s="66"/>
      <c r="D941" s="56"/>
    </row>
    <row r="942">
      <c r="A942" s="67"/>
      <c r="B942" s="67"/>
      <c r="C942" s="66"/>
      <c r="D942" s="56"/>
    </row>
    <row r="943">
      <c r="A943" s="67"/>
      <c r="B943" s="67"/>
      <c r="C943" s="66"/>
      <c r="D943" s="56"/>
    </row>
    <row r="944">
      <c r="A944" s="67"/>
      <c r="B944" s="67"/>
      <c r="C944" s="66"/>
      <c r="D944" s="56"/>
    </row>
    <row r="945">
      <c r="A945" s="67"/>
      <c r="B945" s="67"/>
      <c r="C945" s="66"/>
      <c r="D945" s="56"/>
    </row>
    <row r="946">
      <c r="A946" s="67"/>
      <c r="B946" s="67"/>
      <c r="C946" s="66"/>
      <c r="D946" s="56"/>
    </row>
    <row r="947">
      <c r="A947" s="67"/>
      <c r="B947" s="67"/>
      <c r="C947" s="66"/>
      <c r="D947" s="56"/>
    </row>
    <row r="948">
      <c r="A948" s="67"/>
      <c r="B948" s="67"/>
      <c r="C948" s="66"/>
      <c r="D948" s="56"/>
    </row>
    <row r="949">
      <c r="A949" s="67"/>
      <c r="B949" s="67"/>
      <c r="C949" s="66"/>
      <c r="D949" s="56"/>
    </row>
    <row r="950">
      <c r="A950" s="67"/>
      <c r="B950" s="67"/>
      <c r="C950" s="66"/>
      <c r="D950" s="56"/>
    </row>
    <row r="951">
      <c r="A951" s="67"/>
      <c r="B951" s="67"/>
      <c r="C951" s="66"/>
      <c r="D951" s="56"/>
    </row>
    <row r="952">
      <c r="A952" s="67"/>
      <c r="B952" s="67"/>
      <c r="C952" s="66"/>
      <c r="D952" s="56"/>
    </row>
    <row r="953">
      <c r="A953" s="67"/>
      <c r="B953" s="67"/>
      <c r="C953" s="66"/>
      <c r="D953" s="56"/>
    </row>
    <row r="954">
      <c r="A954" s="67"/>
      <c r="B954" s="67"/>
      <c r="C954" s="66"/>
      <c r="D954" s="56"/>
    </row>
    <row r="955">
      <c r="A955" s="67"/>
      <c r="B955" s="67"/>
      <c r="C955" s="66"/>
      <c r="D955" s="56"/>
    </row>
    <row r="956">
      <c r="A956" s="67"/>
      <c r="B956" s="67"/>
      <c r="C956" s="66"/>
      <c r="D956" s="56"/>
    </row>
    <row r="957">
      <c r="A957" s="67"/>
      <c r="B957" s="67"/>
      <c r="C957" s="66"/>
      <c r="D957" s="56"/>
    </row>
    <row r="958">
      <c r="A958" s="67"/>
      <c r="B958" s="67"/>
      <c r="C958" s="66"/>
      <c r="D958" s="56"/>
    </row>
    <row r="959">
      <c r="A959" s="67"/>
      <c r="B959" s="67"/>
      <c r="C959" s="66"/>
      <c r="D959" s="56"/>
    </row>
    <row r="960">
      <c r="A960" s="67"/>
      <c r="B960" s="67"/>
      <c r="C960" s="66"/>
      <c r="D960" s="56"/>
    </row>
    <row r="961">
      <c r="A961" s="67"/>
      <c r="B961" s="67"/>
      <c r="C961" s="66"/>
      <c r="D961" s="56"/>
    </row>
    <row r="962">
      <c r="A962" s="67"/>
      <c r="B962" s="67"/>
      <c r="C962" s="66"/>
      <c r="D962" s="56"/>
    </row>
    <row r="963">
      <c r="A963" s="67"/>
      <c r="B963" s="67"/>
      <c r="C963" s="66"/>
      <c r="D963" s="56"/>
    </row>
    <row r="964">
      <c r="A964" s="67"/>
      <c r="B964" s="67"/>
      <c r="C964" s="66"/>
      <c r="D964" s="56"/>
    </row>
    <row r="965">
      <c r="A965" s="67"/>
      <c r="B965" s="67"/>
      <c r="C965" s="66"/>
      <c r="D965" s="56"/>
    </row>
    <row r="966">
      <c r="A966" s="67"/>
      <c r="B966" s="67"/>
      <c r="C966" s="66"/>
      <c r="D966" s="56"/>
    </row>
    <row r="967">
      <c r="A967" s="67"/>
      <c r="B967" s="67"/>
      <c r="C967" s="66"/>
      <c r="D967" s="56"/>
    </row>
    <row r="968">
      <c r="A968" s="67"/>
      <c r="B968" s="67"/>
      <c r="C968" s="66"/>
      <c r="D968" s="56"/>
    </row>
    <row r="969">
      <c r="A969" s="67"/>
      <c r="B969" s="67"/>
      <c r="C969" s="66"/>
      <c r="D969" s="56"/>
    </row>
    <row r="970">
      <c r="A970" s="67"/>
      <c r="B970" s="67"/>
      <c r="C970" s="66"/>
      <c r="D970" s="56"/>
    </row>
    <row r="971">
      <c r="A971" s="67"/>
      <c r="B971" s="67"/>
      <c r="C971" s="66"/>
      <c r="D971" s="56"/>
    </row>
    <row r="972">
      <c r="A972" s="67"/>
      <c r="B972" s="67"/>
      <c r="C972" s="66"/>
      <c r="D972" s="56"/>
    </row>
    <row r="973">
      <c r="A973" s="67"/>
      <c r="B973" s="67"/>
      <c r="C973" s="66"/>
      <c r="D973" s="56"/>
    </row>
    <row r="974">
      <c r="A974" s="67"/>
      <c r="B974" s="67"/>
      <c r="C974" s="66"/>
      <c r="D974" s="56"/>
    </row>
    <row r="975">
      <c r="A975" s="67"/>
      <c r="B975" s="67"/>
      <c r="C975" s="66"/>
      <c r="D975" s="56"/>
    </row>
    <row r="976">
      <c r="A976" s="67"/>
      <c r="B976" s="67"/>
      <c r="C976" s="66"/>
      <c r="D976" s="56"/>
    </row>
    <row r="977">
      <c r="A977" s="67"/>
      <c r="B977" s="67"/>
      <c r="C977" s="66"/>
      <c r="D977" s="56"/>
    </row>
    <row r="978">
      <c r="A978" s="67"/>
      <c r="B978" s="67"/>
      <c r="C978" s="66"/>
      <c r="D978" s="56"/>
    </row>
    <row r="979">
      <c r="A979" s="67"/>
      <c r="B979" s="67"/>
      <c r="C979" s="66"/>
      <c r="D979" s="56"/>
    </row>
    <row r="980">
      <c r="A980" s="67"/>
      <c r="B980" s="67"/>
      <c r="C980" s="66"/>
      <c r="D980" s="56"/>
    </row>
    <row r="981">
      <c r="A981" s="67"/>
      <c r="B981" s="67"/>
      <c r="C981" s="66"/>
      <c r="D981" s="56"/>
    </row>
    <row r="982">
      <c r="A982" s="67"/>
      <c r="B982" s="67"/>
      <c r="C982" s="66"/>
      <c r="D982" s="56"/>
    </row>
    <row r="983">
      <c r="A983" s="67"/>
      <c r="B983" s="67"/>
      <c r="C983" s="66"/>
      <c r="D983" s="56"/>
    </row>
    <row r="984">
      <c r="A984" s="67"/>
      <c r="B984" s="67"/>
      <c r="C984" s="66"/>
      <c r="D984" s="56"/>
    </row>
    <row r="985">
      <c r="A985" s="67"/>
      <c r="B985" s="67"/>
      <c r="C985" s="66"/>
      <c r="D985" s="56"/>
    </row>
    <row r="986">
      <c r="A986" s="67"/>
      <c r="B986" s="67"/>
      <c r="C986" s="66"/>
      <c r="D986" s="56"/>
    </row>
    <row r="987">
      <c r="A987" s="67"/>
      <c r="B987" s="67"/>
      <c r="C987" s="66"/>
      <c r="D987" s="56"/>
    </row>
    <row r="988">
      <c r="A988" s="67"/>
      <c r="B988" s="67"/>
      <c r="C988" s="66"/>
      <c r="D988" s="56"/>
    </row>
    <row r="989">
      <c r="A989" s="67"/>
      <c r="B989" s="67"/>
      <c r="C989" s="66"/>
      <c r="D989" s="56"/>
    </row>
    <row r="990">
      <c r="A990" s="67"/>
      <c r="B990" s="67"/>
      <c r="C990" s="66"/>
      <c r="D990" s="56"/>
    </row>
    <row r="991">
      <c r="A991" s="67"/>
      <c r="B991" s="67"/>
      <c r="C991" s="66"/>
      <c r="D991" s="56"/>
    </row>
    <row r="992">
      <c r="A992" s="67"/>
      <c r="B992" s="67"/>
      <c r="C992" s="66"/>
      <c r="D992" s="56"/>
    </row>
    <row r="993">
      <c r="A993" s="67"/>
      <c r="B993" s="67"/>
      <c r="C993" s="66"/>
      <c r="D993" s="56"/>
    </row>
    <row r="994">
      <c r="A994" s="67"/>
      <c r="B994" s="67"/>
      <c r="C994" s="66"/>
      <c r="D994" s="56"/>
    </row>
    <row r="995">
      <c r="A995" s="67"/>
      <c r="B995" s="67"/>
      <c r="C995" s="66"/>
      <c r="D995" s="56"/>
    </row>
    <row r="996">
      <c r="A996" s="67"/>
      <c r="B996" s="67"/>
      <c r="C996" s="66"/>
      <c r="D996" s="56"/>
    </row>
    <row r="997">
      <c r="A997" s="67"/>
      <c r="B997" s="67"/>
      <c r="C997" s="66"/>
      <c r="D997" s="56"/>
    </row>
    <row r="998">
      <c r="A998" s="67"/>
      <c r="B998" s="67"/>
      <c r="C998" s="66"/>
      <c r="D998" s="56"/>
    </row>
    <row r="999">
      <c r="A999" s="67"/>
      <c r="B999" s="67"/>
      <c r="C999" s="66"/>
      <c r="D999" s="56"/>
    </row>
    <row r="1000">
      <c r="A1000" s="67"/>
      <c r="B1000" s="67"/>
      <c r="C1000" s="66"/>
      <c r="D1000" s="56"/>
    </row>
  </sheetData>
  <hyperlinks>
    <hyperlink r:id="rId1" ref="C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4" max="4" width="32.13"/>
  </cols>
  <sheetData>
    <row r="1">
      <c r="A1" s="53" t="s">
        <v>2</v>
      </c>
      <c r="B1" s="53" t="s">
        <v>1</v>
      </c>
      <c r="C1" s="69" t="s">
        <v>2005</v>
      </c>
      <c r="D1" s="70" t="s">
        <v>2024</v>
      </c>
      <c r="E1" s="70" t="s">
        <v>2025</v>
      </c>
      <c r="F1" s="70" t="s">
        <v>2026</v>
      </c>
      <c r="G1" s="70" t="s">
        <v>2027</v>
      </c>
      <c r="H1" s="70" t="s">
        <v>2028</v>
      </c>
      <c r="I1" s="70" t="s">
        <v>2029</v>
      </c>
      <c r="J1" s="71" t="s">
        <v>2030</v>
      </c>
      <c r="K1" s="13" t="str">
        <f>IFERROR(__xludf.DUMMYFUNCTION("{""Schedule"";arrayformula(TO_DATE(ifna(if(isblank($L$2:$L2001),"""",$L$2:$L2001+VLOOKUP($J$2:$J2001,'mynn template and blank templat'!$A:$C,2,false)),"""")))}"),"Schedule")</f>
        <v>Schedule</v>
      </c>
      <c r="L1" s="72" t="s">
        <v>2031</v>
      </c>
      <c r="M1" s="70" t="str">
        <f t="array" ref="M1:M2001">if(row(K:K)=1,"Condition",if(int(K:K)=TODAY(),"Yes",""))</f>
        <v>Condition</v>
      </c>
      <c r="O1" s="5" t="s">
        <v>2032</v>
      </c>
    </row>
    <row r="2">
      <c r="A2" s="70">
        <f>IFERROR(__xludf.DUMMYFUNCTION("FILTER({'Form responses 1'!C:C,'Form responses 1'!B:B},('Form responses 1'!G:G="""")+(REGEXMATCH(lower('Form responses 1'!G:G),""mynn"")))"),9.136309025E9)</f>
        <v>9136309025</v>
      </c>
      <c r="B2" s="46" t="str">
        <f>IFERROR(__xludf.DUMMYFUNCTION("""COMPUTED_VALUE"""),"Satish Kumar")</f>
        <v>Satish Kumar</v>
      </c>
      <c r="C2" s="5" t="str">
        <f t="array" ref="C2:C2001">IFERROR( IF(J2:J2001&lt;&gt;"",VLOOKUP(J2:J2001,'mynn template and blank templat'!A:D,{3,4},0),""),"")</f>
        <v/>
      </c>
      <c r="J2" s="73"/>
      <c r="K2" s="74" t="str">
        <f>IFERROR(__xludf.DUMMYFUNCTION("""COMPUTED_VALUE"""),"")</f>
        <v/>
      </c>
      <c r="L2" s="48"/>
      <c r="M2" s="46" t="s">
        <v>2002</v>
      </c>
    </row>
    <row r="3">
      <c r="A3" s="70">
        <f>IFERROR(__xludf.DUMMYFUNCTION("""COMPUTED_VALUE"""),9.810256616E9)</f>
        <v>9810256616</v>
      </c>
      <c r="B3" s="46" t="str">
        <f>IFERROR(__xludf.DUMMYFUNCTION("""COMPUTED_VALUE"""),"Indra Sood")</f>
        <v>Indra Sood</v>
      </c>
      <c r="C3" s="46" t="s">
        <v>2002</v>
      </c>
      <c r="J3" s="73"/>
      <c r="K3" s="75" t="str">
        <f>IFERROR(__xludf.DUMMYFUNCTION("""COMPUTED_VALUE"""),"")</f>
        <v/>
      </c>
      <c r="L3" s="48"/>
      <c r="M3" s="46" t="s">
        <v>2002</v>
      </c>
    </row>
    <row r="4">
      <c r="A4" s="70">
        <f>IFERROR(__xludf.DUMMYFUNCTION("""COMPUTED_VALUE"""),8.744047372E9)</f>
        <v>8744047372</v>
      </c>
      <c r="B4" s="46" t="str">
        <f>IFERROR(__xludf.DUMMYFUNCTION("""COMPUTED_VALUE"""),"Rajmala gupta")</f>
        <v>Rajmala gupta</v>
      </c>
      <c r="C4" s="46" t="s">
        <v>2002</v>
      </c>
      <c r="J4" s="73"/>
      <c r="K4" s="74" t="str">
        <f>IFERROR(__xludf.DUMMYFUNCTION("""COMPUTED_VALUE"""),"")</f>
        <v/>
      </c>
      <c r="L4" s="48"/>
      <c r="M4" s="46" t="s">
        <v>2002</v>
      </c>
    </row>
    <row r="5">
      <c r="A5" s="70">
        <f>IFERROR(__xludf.DUMMYFUNCTION("""COMPUTED_VALUE"""),9.891052999E9)</f>
        <v>9891052999</v>
      </c>
      <c r="B5" s="46" t="str">
        <f>IFERROR(__xludf.DUMMYFUNCTION("""COMPUTED_VALUE"""),"VK Arora")</f>
        <v>VK Arora</v>
      </c>
      <c r="C5" s="46" t="s">
        <v>2002</v>
      </c>
      <c r="J5" s="73"/>
      <c r="K5" s="74" t="str">
        <f>IFERROR(__xludf.DUMMYFUNCTION("""COMPUTED_VALUE"""),"")</f>
        <v/>
      </c>
      <c r="L5" s="48"/>
      <c r="M5" s="46" t="s">
        <v>2002</v>
      </c>
    </row>
    <row r="6">
      <c r="A6" s="70">
        <f>IFERROR(__xludf.DUMMYFUNCTION("""COMPUTED_VALUE"""),9.953014175E9)</f>
        <v>9953014175</v>
      </c>
      <c r="B6" s="46" t="str">
        <f>IFERROR(__xludf.DUMMYFUNCTION("""COMPUTED_VALUE"""),"Neha")</f>
        <v>Neha</v>
      </c>
      <c r="C6" s="46" t="s">
        <v>2002</v>
      </c>
      <c r="J6" s="73"/>
      <c r="K6" s="74" t="str">
        <f>IFERROR(__xludf.DUMMYFUNCTION("""COMPUTED_VALUE"""),"")</f>
        <v/>
      </c>
      <c r="L6" s="48"/>
      <c r="M6" s="46" t="s">
        <v>2002</v>
      </c>
    </row>
    <row r="7">
      <c r="A7" s="70">
        <f>IFERROR(__xludf.DUMMYFUNCTION("""COMPUTED_VALUE"""),7.983254745E9)</f>
        <v>7983254745</v>
      </c>
      <c r="B7" s="46" t="str">
        <f>IFERROR(__xludf.DUMMYFUNCTION("""COMPUTED_VALUE"""),"Govind sharma ")</f>
        <v>Govind sharma </v>
      </c>
      <c r="C7" s="46" t="s">
        <v>2002</v>
      </c>
      <c r="J7" s="73"/>
      <c r="K7" s="75" t="str">
        <f>IFERROR(__xludf.DUMMYFUNCTION("""COMPUTED_VALUE"""),"")</f>
        <v/>
      </c>
      <c r="L7" s="48"/>
      <c r="M7" s="46" t="s">
        <v>2002</v>
      </c>
    </row>
    <row r="8">
      <c r="A8" s="70">
        <f>IFERROR(__xludf.DUMMYFUNCTION("""COMPUTED_VALUE"""),9.810313571E9)</f>
        <v>9810313571</v>
      </c>
      <c r="B8" s="46" t="str">
        <f>IFERROR(__xludf.DUMMYFUNCTION("""COMPUTED_VALUE"""),"Navneet jain")</f>
        <v>Navneet jain</v>
      </c>
      <c r="C8" s="46" t="s">
        <v>2002</v>
      </c>
      <c r="J8" s="73"/>
      <c r="K8" s="74" t="str">
        <f>IFERROR(__xludf.DUMMYFUNCTION("""COMPUTED_VALUE"""),"")</f>
        <v/>
      </c>
      <c r="L8" s="48"/>
      <c r="M8" s="46" t="s">
        <v>2002</v>
      </c>
    </row>
    <row r="9">
      <c r="A9" s="70">
        <f>IFERROR(__xludf.DUMMYFUNCTION("""COMPUTED_VALUE"""),8.368206917E9)</f>
        <v>8368206917</v>
      </c>
      <c r="B9" s="46" t="str">
        <f>IFERROR(__xludf.DUMMYFUNCTION("""COMPUTED_VALUE"""),"Jitender")</f>
        <v>Jitender</v>
      </c>
      <c r="C9" s="46" t="s">
        <v>2002</v>
      </c>
      <c r="J9" s="73"/>
      <c r="K9" s="74" t="str">
        <f>IFERROR(__xludf.DUMMYFUNCTION("""COMPUTED_VALUE"""),"")</f>
        <v/>
      </c>
      <c r="L9" s="48"/>
      <c r="M9" s="46" t="s">
        <v>2002</v>
      </c>
    </row>
    <row r="10">
      <c r="A10" s="70">
        <f>IFERROR(__xludf.DUMMYFUNCTION("""COMPUTED_VALUE"""),9.899338965E9)</f>
        <v>9899338965</v>
      </c>
      <c r="B10" s="46" t="str">
        <f>IFERROR(__xludf.DUMMYFUNCTION("""COMPUTED_VALUE"""),"Vinky Bansal")</f>
        <v>Vinky Bansal</v>
      </c>
      <c r="C10" s="5" t="s">
        <v>2002</v>
      </c>
      <c r="D10" s="5"/>
      <c r="E10" s="5"/>
      <c r="F10" s="5"/>
      <c r="G10" s="5"/>
      <c r="I10" s="5"/>
      <c r="J10" s="73"/>
      <c r="K10" s="75" t="str">
        <f>IFERROR(__xludf.DUMMYFUNCTION("""COMPUTED_VALUE"""),"")</f>
        <v/>
      </c>
      <c r="L10" s="48"/>
      <c r="M10" s="46" t="s">
        <v>2002</v>
      </c>
    </row>
    <row r="11">
      <c r="A11" s="70">
        <f>IFERROR(__xludf.DUMMYFUNCTION("""COMPUTED_VALUE"""),9.325764045E9)</f>
        <v>9325764045</v>
      </c>
      <c r="B11" s="46" t="str">
        <f>IFERROR(__xludf.DUMMYFUNCTION("""COMPUTED_VALUE"""),"Prashant Trivedi")</f>
        <v>Prashant Trivedi</v>
      </c>
      <c r="C11" s="5" t="s">
        <v>2002</v>
      </c>
      <c r="D11" s="5"/>
      <c r="E11" s="5"/>
      <c r="F11" s="5"/>
      <c r="G11" s="5"/>
      <c r="I11" s="5"/>
      <c r="J11" s="73"/>
      <c r="K11" s="75" t="str">
        <f>IFERROR(__xludf.DUMMYFUNCTION("""COMPUTED_VALUE"""),"")</f>
        <v/>
      </c>
      <c r="L11" s="48"/>
      <c r="M11" s="46" t="s">
        <v>2002</v>
      </c>
    </row>
    <row r="12">
      <c r="A12" s="70">
        <f>IFERROR(__xludf.DUMMYFUNCTION("""COMPUTED_VALUE"""),9.810123936E9)</f>
        <v>9810123936</v>
      </c>
      <c r="B12" s="46" t="str">
        <f>IFERROR(__xludf.DUMMYFUNCTION("""COMPUTED_VALUE"""),"Akhok makhija")</f>
        <v>Akhok makhija</v>
      </c>
      <c r="C12" s="5" t="s">
        <v>2002</v>
      </c>
      <c r="D12" s="5"/>
      <c r="E12" s="5"/>
      <c r="F12" s="5"/>
      <c r="G12" s="5"/>
      <c r="I12" s="5"/>
      <c r="J12" s="73"/>
      <c r="K12" s="75" t="str">
        <f>IFERROR(__xludf.DUMMYFUNCTION("""COMPUTED_VALUE"""),"")</f>
        <v/>
      </c>
      <c r="L12" s="48"/>
      <c r="M12" s="46" t="s">
        <v>2002</v>
      </c>
    </row>
    <row r="13">
      <c r="A13" s="70">
        <f>IFERROR(__xludf.DUMMYFUNCTION("""COMPUTED_VALUE"""),9.810067621E9)</f>
        <v>9810067621</v>
      </c>
      <c r="B13" s="46" t="str">
        <f>IFERROR(__xludf.DUMMYFUNCTION("""COMPUTED_VALUE"""),"Sachin")</f>
        <v>Sachin</v>
      </c>
      <c r="C13" s="5" t="s">
        <v>2002</v>
      </c>
      <c r="D13" s="5"/>
      <c r="E13" s="5"/>
      <c r="F13" s="5"/>
      <c r="G13" s="5"/>
      <c r="I13" s="5"/>
      <c r="J13" s="73"/>
      <c r="K13" s="75" t="str">
        <f>IFERROR(__xludf.DUMMYFUNCTION("""COMPUTED_VALUE"""),"")</f>
        <v/>
      </c>
      <c r="L13" s="48"/>
      <c r="M13" s="46" t="s">
        <v>2002</v>
      </c>
    </row>
    <row r="14">
      <c r="A14" s="70">
        <f>IFERROR(__xludf.DUMMYFUNCTION("""COMPUTED_VALUE"""),9.958416989E9)</f>
        <v>9958416989</v>
      </c>
      <c r="B14" s="46" t="str">
        <f>IFERROR(__xludf.DUMMYFUNCTION("""COMPUTED_VALUE"""),"Karuna Dalela")</f>
        <v>Karuna Dalela</v>
      </c>
      <c r="C14" s="5" t="s">
        <v>2002</v>
      </c>
      <c r="D14" s="5"/>
      <c r="E14" s="5"/>
      <c r="F14" s="5"/>
      <c r="G14" s="5"/>
      <c r="I14" s="5"/>
      <c r="J14" s="73"/>
      <c r="K14" s="75" t="str">
        <f>IFERROR(__xludf.DUMMYFUNCTION("""COMPUTED_VALUE"""),"")</f>
        <v/>
      </c>
      <c r="L14" s="48"/>
      <c r="M14" s="46" t="s">
        <v>2002</v>
      </c>
    </row>
    <row r="15">
      <c r="A15" s="70">
        <f>IFERROR(__xludf.DUMMYFUNCTION("""COMPUTED_VALUE"""),9.643169967E9)</f>
        <v>9643169967</v>
      </c>
      <c r="B15" s="46" t="str">
        <f>IFERROR(__xludf.DUMMYFUNCTION("""COMPUTED_VALUE"""),"ashish nirmal Jain")</f>
        <v>ashish nirmal Jain</v>
      </c>
      <c r="C15" s="5" t="s">
        <v>2002</v>
      </c>
      <c r="D15" s="5"/>
      <c r="E15" s="5"/>
      <c r="F15" s="5"/>
      <c r="G15" s="5"/>
      <c r="H15" s="5"/>
      <c r="I15" s="5"/>
      <c r="J15" s="73"/>
      <c r="K15" s="75" t="str">
        <f>IFERROR(__xludf.DUMMYFUNCTION("""COMPUTED_VALUE"""),"")</f>
        <v/>
      </c>
      <c r="L15" s="48"/>
      <c r="M15" s="46" t="s">
        <v>2002</v>
      </c>
    </row>
    <row r="16">
      <c r="A16" s="70">
        <f>IFERROR(__xludf.DUMMYFUNCTION("""COMPUTED_VALUE"""),9.75556176E9)</f>
        <v>9755561760</v>
      </c>
      <c r="B16" s="46" t="str">
        <f>IFERROR(__xludf.DUMMYFUNCTION("""COMPUTED_VALUE"""),"Poonam Daga ")</f>
        <v>Poonam Daga </v>
      </c>
      <c r="C16" s="5" t="s">
        <v>2002</v>
      </c>
      <c r="D16" s="5"/>
      <c r="E16" s="5"/>
      <c r="F16" s="5"/>
      <c r="G16" s="5"/>
      <c r="H16" s="5"/>
      <c r="I16" s="5"/>
      <c r="J16" s="73"/>
      <c r="K16" s="75" t="str">
        <f>IFERROR(__xludf.DUMMYFUNCTION("""COMPUTED_VALUE"""),"")</f>
        <v/>
      </c>
      <c r="L16" s="48"/>
      <c r="M16" s="46" t="s">
        <v>2002</v>
      </c>
    </row>
    <row r="17">
      <c r="A17" s="70">
        <f>IFERROR(__xludf.DUMMYFUNCTION("""COMPUTED_VALUE"""),9.868365195E9)</f>
        <v>9868365195</v>
      </c>
      <c r="B17" s="46" t="str">
        <f>IFERROR(__xludf.DUMMYFUNCTION("""COMPUTED_VALUE"""),"Pratima Gupta")</f>
        <v>Pratima Gupta</v>
      </c>
      <c r="C17" s="5" t="s">
        <v>2002</v>
      </c>
      <c r="D17" s="5"/>
      <c r="E17" s="5"/>
      <c r="F17" s="5"/>
      <c r="G17" s="5"/>
      <c r="H17" s="5"/>
      <c r="I17" s="5"/>
      <c r="J17" s="73"/>
      <c r="K17" s="75" t="str">
        <f>IFERROR(__xludf.DUMMYFUNCTION("""COMPUTED_VALUE"""),"")</f>
        <v/>
      </c>
      <c r="L17" s="48"/>
      <c r="M17" s="46" t="s">
        <v>2002</v>
      </c>
    </row>
    <row r="18">
      <c r="A18" s="70">
        <f>IFERROR(__xludf.DUMMYFUNCTION("""COMPUTED_VALUE"""),9.89175525E9)</f>
        <v>9891755250</v>
      </c>
      <c r="B18" s="46" t="str">
        <f>IFERROR(__xludf.DUMMYFUNCTION("""COMPUTED_VALUE"""),"Sushma ")</f>
        <v>Sushma </v>
      </c>
      <c r="C18" s="5" t="s">
        <v>2002</v>
      </c>
      <c r="D18" s="5"/>
      <c r="E18" s="5"/>
      <c r="F18" s="5"/>
      <c r="G18" s="5"/>
      <c r="H18" s="5"/>
      <c r="I18" s="5"/>
      <c r="J18" s="73"/>
      <c r="K18" s="75" t="str">
        <f>IFERROR(__xludf.DUMMYFUNCTION("""COMPUTED_VALUE"""),"")</f>
        <v/>
      </c>
      <c r="L18" s="48"/>
      <c r="M18" s="46" t="s">
        <v>2002</v>
      </c>
    </row>
    <row r="19">
      <c r="A19" s="70">
        <f>IFERROR(__xludf.DUMMYFUNCTION("""COMPUTED_VALUE"""),9.540950717E9)</f>
        <v>9540950717</v>
      </c>
      <c r="B19" s="46" t="str">
        <f>IFERROR(__xludf.DUMMYFUNCTION("""COMPUTED_VALUE"""),"Palak")</f>
        <v>Palak</v>
      </c>
      <c r="C19" s="5" t="s">
        <v>2002</v>
      </c>
      <c r="D19" s="5"/>
      <c r="E19" s="5"/>
      <c r="F19" s="5"/>
      <c r="G19" s="5"/>
      <c r="H19" s="5"/>
      <c r="I19" s="5"/>
      <c r="J19" s="73"/>
      <c r="K19" s="75" t="str">
        <f>IFERROR(__xludf.DUMMYFUNCTION("""COMPUTED_VALUE"""),"")</f>
        <v/>
      </c>
      <c r="L19" s="48"/>
      <c r="M19" s="46" t="s">
        <v>2002</v>
      </c>
    </row>
    <row r="20">
      <c r="A20" s="70">
        <f>IFERROR(__xludf.DUMMYFUNCTION("""COMPUTED_VALUE"""),9.501385713E9)</f>
        <v>9501385713</v>
      </c>
      <c r="B20" s="46" t="str">
        <f>IFERROR(__xludf.DUMMYFUNCTION("""COMPUTED_VALUE"""),"Harsh")</f>
        <v>Harsh</v>
      </c>
      <c r="C20" s="5" t="s">
        <v>2002</v>
      </c>
      <c r="D20" s="5"/>
      <c r="E20" s="5"/>
      <c r="F20" s="5"/>
      <c r="G20" s="5"/>
      <c r="H20" s="5"/>
      <c r="I20" s="5"/>
      <c r="J20" s="73"/>
      <c r="K20" s="75" t="str">
        <f>IFERROR(__xludf.DUMMYFUNCTION("""COMPUTED_VALUE"""),"")</f>
        <v/>
      </c>
      <c r="L20" s="48"/>
      <c r="M20" s="46" t="s">
        <v>2002</v>
      </c>
    </row>
    <row r="21">
      <c r="A21" s="70">
        <f>IFERROR(__xludf.DUMMYFUNCTION("""COMPUTED_VALUE"""),9.810725225E9)</f>
        <v>9810725225</v>
      </c>
      <c r="B21" s="46" t="str">
        <f>IFERROR(__xludf.DUMMYFUNCTION("""COMPUTED_VALUE"""),"Rakhi Jain")</f>
        <v>Rakhi Jain</v>
      </c>
      <c r="C21" s="5" t="s">
        <v>2002</v>
      </c>
      <c r="D21" s="5"/>
      <c r="E21" s="5"/>
      <c r="F21" s="5"/>
      <c r="G21" s="5"/>
      <c r="H21" s="5"/>
      <c r="I21" s="5"/>
      <c r="J21" s="73"/>
      <c r="K21" s="75" t="str">
        <f>IFERROR(__xludf.DUMMYFUNCTION("""COMPUTED_VALUE"""),"")</f>
        <v/>
      </c>
      <c r="L21" s="48"/>
      <c r="M21" s="46" t="s">
        <v>2002</v>
      </c>
    </row>
    <row r="22">
      <c r="A22" s="70">
        <f>IFERROR(__xludf.DUMMYFUNCTION("""COMPUTED_VALUE"""),9.811645742E9)</f>
        <v>9811645742</v>
      </c>
      <c r="B22" s="46" t="str">
        <f>IFERROR(__xludf.DUMMYFUNCTION("""COMPUTED_VALUE"""),"Akhil")</f>
        <v>Akhil</v>
      </c>
      <c r="C22" s="5" t="s">
        <v>2002</v>
      </c>
      <c r="D22" s="5"/>
      <c r="E22" s="5"/>
      <c r="F22" s="5"/>
      <c r="G22" s="5"/>
      <c r="H22" s="5"/>
      <c r="I22" s="5"/>
      <c r="J22" s="73"/>
      <c r="K22" s="75" t="str">
        <f>IFERROR(__xludf.DUMMYFUNCTION("""COMPUTED_VALUE"""),"")</f>
        <v/>
      </c>
      <c r="L22" s="48"/>
      <c r="M22" s="46" t="s">
        <v>2002</v>
      </c>
    </row>
    <row r="23">
      <c r="A23" s="70">
        <f>IFERROR(__xludf.DUMMYFUNCTION("""COMPUTED_VALUE"""),9.811959422E9)</f>
        <v>9811959422</v>
      </c>
      <c r="B23" s="46" t="str">
        <f>IFERROR(__xludf.DUMMYFUNCTION("""COMPUTED_VALUE"""),"Yogesh Kumar ")</f>
        <v>Yogesh Kumar </v>
      </c>
      <c r="C23" s="5" t="s">
        <v>2002</v>
      </c>
      <c r="D23" s="5"/>
      <c r="E23" s="5"/>
      <c r="F23" s="5"/>
      <c r="G23" s="5"/>
      <c r="H23" s="5"/>
      <c r="I23" s="5"/>
      <c r="J23" s="73"/>
      <c r="K23" s="75" t="str">
        <f>IFERROR(__xludf.DUMMYFUNCTION("""COMPUTED_VALUE"""),"")</f>
        <v/>
      </c>
      <c r="L23" s="48"/>
      <c r="M23" s="46" t="s">
        <v>2002</v>
      </c>
    </row>
    <row r="24">
      <c r="A24" s="70">
        <f>IFERROR(__xludf.DUMMYFUNCTION("""COMPUTED_VALUE"""),9.958577807E9)</f>
        <v>9958577807</v>
      </c>
      <c r="B24" s="46" t="str">
        <f>IFERROR(__xludf.DUMMYFUNCTION("""COMPUTED_VALUE"""),"Neha ")</f>
        <v>Neha </v>
      </c>
      <c r="C24" s="5" t="s">
        <v>2002</v>
      </c>
      <c r="D24" s="5"/>
      <c r="E24" s="5"/>
      <c r="F24" s="5"/>
      <c r="G24" s="5"/>
      <c r="H24" s="5"/>
      <c r="I24" s="5"/>
      <c r="J24" s="73"/>
      <c r="K24" s="75" t="str">
        <f>IFERROR(__xludf.DUMMYFUNCTION("""COMPUTED_VALUE"""),"")</f>
        <v/>
      </c>
      <c r="L24" s="48"/>
      <c r="M24" s="46" t="s">
        <v>2002</v>
      </c>
    </row>
    <row r="25">
      <c r="A25" s="70">
        <f>IFERROR(__xludf.DUMMYFUNCTION("""COMPUTED_VALUE"""),9.811139553E9)</f>
        <v>9811139553</v>
      </c>
      <c r="B25" s="46" t="str">
        <f>IFERROR(__xludf.DUMMYFUNCTION("""COMPUTED_VALUE"""),"Ravi")</f>
        <v>Ravi</v>
      </c>
      <c r="C25" s="5" t="s">
        <v>2002</v>
      </c>
      <c r="D25" s="5"/>
      <c r="E25" s="5"/>
      <c r="F25" s="5"/>
      <c r="G25" s="5"/>
      <c r="H25" s="5"/>
      <c r="I25" s="5"/>
      <c r="J25" s="73"/>
      <c r="K25" s="75" t="str">
        <f>IFERROR(__xludf.DUMMYFUNCTION("""COMPUTED_VALUE"""),"")</f>
        <v/>
      </c>
      <c r="L25" s="48"/>
      <c r="M25" s="46" t="s">
        <v>2002</v>
      </c>
    </row>
    <row r="26">
      <c r="A26" s="70">
        <f>IFERROR(__xludf.DUMMYFUNCTION("""COMPUTED_VALUE"""),9.897794534E9)</f>
        <v>9897794534</v>
      </c>
      <c r="B26" s="46" t="str">
        <f>IFERROR(__xludf.DUMMYFUNCTION("""COMPUTED_VALUE"""),"Dr.S. M. Zakariy")</f>
        <v>Dr.S. M. Zakariy</v>
      </c>
      <c r="C26" s="5" t="s">
        <v>2002</v>
      </c>
      <c r="D26" s="5"/>
      <c r="E26" s="5"/>
      <c r="F26" s="5"/>
      <c r="G26" s="5"/>
      <c r="H26" s="5"/>
      <c r="I26" s="5"/>
      <c r="J26" s="73"/>
      <c r="K26" s="75" t="str">
        <f>IFERROR(__xludf.DUMMYFUNCTION("""COMPUTED_VALUE"""),"")</f>
        <v/>
      </c>
      <c r="L26" s="48"/>
      <c r="M26" s="46" t="s">
        <v>2002</v>
      </c>
    </row>
    <row r="27">
      <c r="A27" s="70">
        <f>IFERROR(__xludf.DUMMYFUNCTION("""COMPUTED_VALUE"""),9.8183603E9)</f>
        <v>9818360300</v>
      </c>
      <c r="B27" s="46" t="str">
        <f>IFERROR(__xludf.DUMMYFUNCTION("""COMPUTED_VALUE"""),"Vijay Gupta")</f>
        <v>Vijay Gupta</v>
      </c>
      <c r="C27" s="5" t="s">
        <v>2002</v>
      </c>
      <c r="D27" s="5"/>
      <c r="E27" s="5"/>
      <c r="F27" s="5"/>
      <c r="G27" s="5"/>
      <c r="H27" s="5"/>
      <c r="I27" s="5"/>
      <c r="J27" s="73"/>
      <c r="K27" s="75" t="str">
        <f>IFERROR(__xludf.DUMMYFUNCTION("""COMPUTED_VALUE"""),"")</f>
        <v/>
      </c>
      <c r="L27" s="48"/>
      <c r="M27" s="46" t="s">
        <v>2002</v>
      </c>
    </row>
    <row r="28">
      <c r="A28" s="70">
        <f>IFERROR(__xludf.DUMMYFUNCTION("""COMPUTED_VALUE"""),8.668653665E9)</f>
        <v>8668653665</v>
      </c>
      <c r="B28" s="46" t="str">
        <f>IFERROR(__xludf.DUMMYFUNCTION("""COMPUTED_VALUE"""),"Shariffudin")</f>
        <v>Shariffudin</v>
      </c>
      <c r="C28" s="5" t="s">
        <v>2002</v>
      </c>
      <c r="D28" s="5"/>
      <c r="E28" s="5"/>
      <c r="F28" s="5"/>
      <c r="G28" s="5"/>
      <c r="H28" s="5"/>
      <c r="I28" s="5"/>
      <c r="J28" s="73"/>
      <c r="K28" s="75" t="str">
        <f>IFERROR(__xludf.DUMMYFUNCTION("""COMPUTED_VALUE"""),"")</f>
        <v/>
      </c>
      <c r="L28" s="48"/>
      <c r="M28" s="46" t="s">
        <v>2002</v>
      </c>
    </row>
    <row r="29">
      <c r="A29" s="70">
        <f>IFERROR(__xludf.DUMMYFUNCTION("""COMPUTED_VALUE"""),9.859344444E9)</f>
        <v>9859344444</v>
      </c>
      <c r="B29" s="46" t="str">
        <f>IFERROR(__xludf.DUMMYFUNCTION("""COMPUTED_VALUE"""),"Kamal Kuteja")</f>
        <v>Kamal Kuteja</v>
      </c>
      <c r="C29" s="5" t="s">
        <v>2002</v>
      </c>
      <c r="D29" s="5"/>
      <c r="E29" s="5"/>
      <c r="F29" s="5"/>
      <c r="G29" s="5"/>
      <c r="H29" s="5"/>
      <c r="I29" s="5"/>
      <c r="J29" s="73"/>
      <c r="K29" s="75" t="str">
        <f>IFERROR(__xludf.DUMMYFUNCTION("""COMPUTED_VALUE"""),"")</f>
        <v/>
      </c>
      <c r="L29" s="48"/>
      <c r="M29" s="46" t="s">
        <v>2002</v>
      </c>
    </row>
    <row r="30">
      <c r="A30" s="70">
        <f>IFERROR(__xludf.DUMMYFUNCTION("""COMPUTED_VALUE"""),7.838580859E9)</f>
        <v>7838580859</v>
      </c>
      <c r="B30" s="46" t="str">
        <f>IFERROR(__xludf.DUMMYFUNCTION("""COMPUTED_VALUE"""),"Khush khanna")</f>
        <v>Khush khanna</v>
      </c>
      <c r="C30" s="5" t="s">
        <v>2002</v>
      </c>
      <c r="D30" s="5"/>
      <c r="E30" s="5"/>
      <c r="F30" s="5"/>
      <c r="G30" s="5"/>
      <c r="H30" s="5"/>
      <c r="I30" s="5"/>
      <c r="J30" s="73"/>
      <c r="K30" s="75" t="str">
        <f>IFERROR(__xludf.DUMMYFUNCTION("""COMPUTED_VALUE"""),"")</f>
        <v/>
      </c>
      <c r="L30" s="48"/>
      <c r="M30" s="46" t="s">
        <v>2002</v>
      </c>
    </row>
    <row r="31">
      <c r="A31" s="70">
        <f>IFERROR(__xludf.DUMMYFUNCTION("""COMPUTED_VALUE"""),8.860741616E9)</f>
        <v>8860741616</v>
      </c>
      <c r="B31" s="46" t="str">
        <f>IFERROR(__xludf.DUMMYFUNCTION("""COMPUTED_VALUE"""),"Shaista Khan ")</f>
        <v>Shaista Khan </v>
      </c>
      <c r="C31" s="5" t="s">
        <v>2002</v>
      </c>
      <c r="D31" s="5"/>
      <c r="E31" s="5"/>
      <c r="F31" s="5"/>
      <c r="G31" s="5"/>
      <c r="H31" s="5"/>
      <c r="I31" s="5"/>
      <c r="J31" s="73"/>
      <c r="K31" s="75" t="str">
        <f>IFERROR(__xludf.DUMMYFUNCTION("""COMPUTED_VALUE"""),"")</f>
        <v/>
      </c>
      <c r="L31" s="48"/>
      <c r="M31" s="46" t="s">
        <v>2002</v>
      </c>
    </row>
    <row r="32">
      <c r="A32" s="70">
        <f>IFERROR(__xludf.DUMMYFUNCTION("""COMPUTED_VALUE"""),9.773729209E9)</f>
        <v>9773729209</v>
      </c>
      <c r="B32" s="46" t="str">
        <f>IFERROR(__xludf.DUMMYFUNCTION("""COMPUTED_VALUE"""),"Arpita")</f>
        <v>Arpita</v>
      </c>
      <c r="C32" s="5" t="s">
        <v>2002</v>
      </c>
      <c r="D32" s="5"/>
      <c r="E32" s="5"/>
      <c r="F32" s="5"/>
      <c r="G32" s="5"/>
      <c r="H32" s="5"/>
      <c r="I32" s="5"/>
      <c r="J32" s="73"/>
      <c r="K32" s="75" t="str">
        <f>IFERROR(__xludf.DUMMYFUNCTION("""COMPUTED_VALUE"""),"")</f>
        <v/>
      </c>
      <c r="L32" s="48"/>
      <c r="M32" s="46" t="s">
        <v>2002</v>
      </c>
    </row>
    <row r="33">
      <c r="A33" s="70">
        <f>IFERROR(__xludf.DUMMYFUNCTION("""COMPUTED_VALUE"""),9.868041303E9)</f>
        <v>9868041303</v>
      </c>
      <c r="B33" s="46" t="str">
        <f>IFERROR(__xludf.DUMMYFUNCTION("""COMPUTED_VALUE"""),"rashmi bhatia")</f>
        <v>rashmi bhatia</v>
      </c>
      <c r="C33" s="5" t="s">
        <v>2002</v>
      </c>
      <c r="D33" s="5"/>
      <c r="E33" s="5"/>
      <c r="F33" s="5"/>
      <c r="G33" s="5"/>
      <c r="H33" s="5"/>
      <c r="I33" s="5"/>
      <c r="J33" s="73"/>
      <c r="K33" s="75" t="str">
        <f>IFERROR(__xludf.DUMMYFUNCTION("""COMPUTED_VALUE"""),"")</f>
        <v/>
      </c>
      <c r="L33" s="48"/>
      <c r="M33" s="46" t="s">
        <v>2002</v>
      </c>
    </row>
    <row r="34">
      <c r="A34" s="70">
        <f>IFERROR(__xludf.DUMMYFUNCTION("""COMPUTED_VALUE"""),8.860353641E9)</f>
        <v>8860353641</v>
      </c>
      <c r="B34" s="46" t="str">
        <f>IFERROR(__xludf.DUMMYFUNCTION("""COMPUTED_VALUE"""),"Neetu Anjea")</f>
        <v>Neetu Anjea</v>
      </c>
      <c r="C34" s="5" t="s">
        <v>2002</v>
      </c>
      <c r="D34" s="5"/>
      <c r="E34" s="5"/>
      <c r="F34" s="5"/>
      <c r="G34" s="5"/>
      <c r="H34" s="5"/>
      <c r="I34" s="5"/>
      <c r="J34" s="73"/>
      <c r="K34" s="75" t="str">
        <f>IFERROR(__xludf.DUMMYFUNCTION("""COMPUTED_VALUE"""),"")</f>
        <v/>
      </c>
      <c r="L34" s="48"/>
      <c r="M34" s="46" t="s">
        <v>2002</v>
      </c>
    </row>
    <row r="35">
      <c r="A35" s="70">
        <f>IFERROR(__xludf.DUMMYFUNCTION("""COMPUTED_VALUE"""),7.678651225E9)</f>
        <v>7678651225</v>
      </c>
      <c r="B35" s="46" t="str">
        <f>IFERROR(__xludf.DUMMYFUNCTION("""COMPUTED_VALUE"""),"Deepak Dutta ")</f>
        <v>Deepak Dutta </v>
      </c>
      <c r="C35" s="5" t="s">
        <v>2002</v>
      </c>
      <c r="D35" s="5"/>
      <c r="E35" s="5"/>
      <c r="F35" s="5"/>
      <c r="G35" s="5"/>
      <c r="H35" s="5"/>
      <c r="I35" s="5"/>
      <c r="J35" s="73"/>
      <c r="K35" s="75" t="str">
        <f>IFERROR(__xludf.DUMMYFUNCTION("""COMPUTED_VALUE"""),"")</f>
        <v/>
      </c>
      <c r="L35" s="48"/>
      <c r="M35" s="46" t="s">
        <v>2002</v>
      </c>
    </row>
    <row r="36">
      <c r="A36" s="70">
        <f>IFERROR(__xludf.DUMMYFUNCTION("""COMPUTED_VALUE"""),9.871332332E9)</f>
        <v>9871332332</v>
      </c>
      <c r="B36" s="46" t="str">
        <f>IFERROR(__xludf.DUMMYFUNCTION("""COMPUTED_VALUE"""),"Amit jain")</f>
        <v>Amit jain</v>
      </c>
      <c r="C36" s="5" t="s">
        <v>2002</v>
      </c>
      <c r="D36" s="5"/>
      <c r="E36" s="5"/>
      <c r="F36" s="5"/>
      <c r="G36" s="5"/>
      <c r="H36" s="5"/>
      <c r="I36" s="5"/>
      <c r="J36" s="73"/>
      <c r="K36" s="75" t="str">
        <f>IFERROR(__xludf.DUMMYFUNCTION("""COMPUTED_VALUE"""),"")</f>
        <v/>
      </c>
      <c r="L36" s="48"/>
      <c r="M36" s="46" t="s">
        <v>2002</v>
      </c>
    </row>
    <row r="37">
      <c r="A37" s="70">
        <f>IFERROR(__xludf.DUMMYFUNCTION("""COMPUTED_VALUE"""),9.818697676E9)</f>
        <v>9818697676</v>
      </c>
      <c r="B37" s="46" t="str">
        <f>IFERROR(__xludf.DUMMYFUNCTION("""COMPUTED_VALUE"""),"kapil")</f>
        <v>kapil</v>
      </c>
      <c r="C37" s="5" t="s">
        <v>2002</v>
      </c>
      <c r="D37" s="5"/>
      <c r="E37" s="5"/>
      <c r="F37" s="5"/>
      <c r="G37" s="5"/>
      <c r="H37" s="5"/>
      <c r="I37" s="5"/>
      <c r="J37" s="73"/>
      <c r="K37" s="75" t="str">
        <f>IFERROR(__xludf.DUMMYFUNCTION("""COMPUTED_VALUE"""),"")</f>
        <v/>
      </c>
      <c r="L37" s="48"/>
      <c r="M37" s="46" t="s">
        <v>2002</v>
      </c>
    </row>
    <row r="38">
      <c r="A38" s="70">
        <f>IFERROR(__xludf.DUMMYFUNCTION("""COMPUTED_VALUE"""),9.799178123E9)</f>
        <v>9799178123</v>
      </c>
      <c r="B38" s="46" t="str">
        <f>IFERROR(__xludf.DUMMYFUNCTION("""COMPUTED_VALUE"""),"Shahrukh kumar")</f>
        <v>Shahrukh kumar</v>
      </c>
      <c r="C38" s="5" t="s">
        <v>2002</v>
      </c>
      <c r="D38" s="5"/>
      <c r="E38" s="5"/>
      <c r="F38" s="5"/>
      <c r="G38" s="5"/>
      <c r="H38" s="5"/>
      <c r="I38" s="5"/>
      <c r="J38" s="73"/>
      <c r="K38" s="75" t="str">
        <f>IFERROR(__xludf.DUMMYFUNCTION("""COMPUTED_VALUE"""),"")</f>
        <v/>
      </c>
      <c r="L38" s="48"/>
      <c r="M38" s="46" t="s">
        <v>2002</v>
      </c>
    </row>
    <row r="39">
      <c r="A39" s="70">
        <f>IFERROR(__xludf.DUMMYFUNCTION("""COMPUTED_VALUE"""),9.971777645E9)</f>
        <v>9971777645</v>
      </c>
      <c r="B39" s="46" t="str">
        <f>IFERROR(__xludf.DUMMYFUNCTION("""COMPUTED_VALUE"""),"sunil ji")</f>
        <v>sunil ji</v>
      </c>
      <c r="C39" s="5" t="s">
        <v>2002</v>
      </c>
      <c r="D39" s="5"/>
      <c r="E39" s="5"/>
      <c r="F39" s="5"/>
      <c r="G39" s="5"/>
      <c r="H39" s="5"/>
      <c r="I39" s="5"/>
      <c r="J39" s="73"/>
      <c r="K39" s="75" t="str">
        <f>IFERROR(__xludf.DUMMYFUNCTION("""COMPUTED_VALUE"""),"")</f>
        <v/>
      </c>
      <c r="L39" s="48"/>
      <c r="M39" s="46" t="s">
        <v>2002</v>
      </c>
    </row>
    <row r="40">
      <c r="A40" s="70">
        <f>IFERROR(__xludf.DUMMYFUNCTION("""COMPUTED_VALUE"""),9.654533002E9)</f>
        <v>9654533002</v>
      </c>
      <c r="B40" s="46" t="str">
        <f>IFERROR(__xludf.DUMMYFUNCTION("""COMPUTED_VALUE"""),"keshav")</f>
        <v>keshav</v>
      </c>
      <c r="C40" s="5" t="s">
        <v>2002</v>
      </c>
      <c r="D40" s="5"/>
      <c r="E40" s="5"/>
      <c r="F40" s="5"/>
      <c r="G40" s="5"/>
      <c r="H40" s="5"/>
      <c r="I40" s="5"/>
      <c r="J40" s="73"/>
      <c r="K40" s="75" t="str">
        <f>IFERROR(__xludf.DUMMYFUNCTION("""COMPUTED_VALUE"""),"")</f>
        <v/>
      </c>
      <c r="L40" s="48"/>
      <c r="M40" s="46" t="s">
        <v>2002</v>
      </c>
    </row>
    <row r="41">
      <c r="A41" s="70">
        <f>IFERROR(__xludf.DUMMYFUNCTION("""COMPUTED_VALUE"""),9.403251827E9)</f>
        <v>9403251827</v>
      </c>
      <c r="B41" s="46" t="str">
        <f>IFERROR(__xludf.DUMMYFUNCTION("""COMPUTED_VALUE"""),"Honeybrar")</f>
        <v>Honeybrar</v>
      </c>
      <c r="C41" s="5" t="s">
        <v>2002</v>
      </c>
      <c r="D41" s="5"/>
      <c r="E41" s="5"/>
      <c r="F41" s="5"/>
      <c r="G41" s="5"/>
      <c r="H41" s="5"/>
      <c r="I41" s="5"/>
      <c r="J41" s="73"/>
      <c r="K41" s="75" t="str">
        <f>IFERROR(__xludf.DUMMYFUNCTION("""COMPUTED_VALUE"""),"")</f>
        <v/>
      </c>
      <c r="L41" s="48"/>
      <c r="M41" s="46" t="s">
        <v>2002</v>
      </c>
    </row>
    <row r="42">
      <c r="A42" s="70">
        <f>IFERROR(__xludf.DUMMYFUNCTION("""COMPUTED_VALUE"""),9.95307529E9)</f>
        <v>9953075290</v>
      </c>
      <c r="B42" s="46" t="str">
        <f>IFERROR(__xludf.DUMMYFUNCTION("""COMPUTED_VALUE"""),"Pushpa rathi")</f>
        <v>Pushpa rathi</v>
      </c>
      <c r="C42" s="5" t="s">
        <v>2002</v>
      </c>
      <c r="D42" s="5"/>
      <c r="E42" s="5"/>
      <c r="F42" s="5"/>
      <c r="G42" s="5"/>
      <c r="H42" s="5"/>
      <c r="I42" s="5"/>
      <c r="J42" s="73"/>
      <c r="K42" s="75" t="str">
        <f>IFERROR(__xludf.DUMMYFUNCTION("""COMPUTED_VALUE"""),"")</f>
        <v/>
      </c>
      <c r="L42" s="48"/>
      <c r="M42" s="46" t="s">
        <v>2002</v>
      </c>
    </row>
    <row r="43">
      <c r="A43" s="70">
        <f>IFERROR(__xludf.DUMMYFUNCTION("""COMPUTED_VALUE"""),9.899111144E9)</f>
        <v>9899111144</v>
      </c>
      <c r="B43" s="46" t="str">
        <f>IFERROR(__xludf.DUMMYFUNCTION("""COMPUTED_VALUE"""),"Indu Ahlawat")</f>
        <v>Indu Ahlawat</v>
      </c>
      <c r="C43" s="5" t="s">
        <v>2002</v>
      </c>
      <c r="D43" s="5"/>
      <c r="E43" s="5"/>
      <c r="F43" s="5"/>
      <c r="G43" s="5"/>
      <c r="H43" s="5"/>
      <c r="I43" s="5"/>
      <c r="J43" s="73"/>
      <c r="K43" s="75" t="str">
        <f>IFERROR(__xludf.DUMMYFUNCTION("""COMPUTED_VALUE"""),"")</f>
        <v/>
      </c>
      <c r="L43" s="48"/>
      <c r="M43" s="46" t="s">
        <v>2002</v>
      </c>
    </row>
    <row r="44">
      <c r="A44" s="70">
        <f>IFERROR(__xludf.DUMMYFUNCTION("""COMPUTED_VALUE"""),9.868203146E9)</f>
        <v>9868203146</v>
      </c>
      <c r="B44" s="46" t="str">
        <f>IFERROR(__xludf.DUMMYFUNCTION("""COMPUTED_VALUE"""),"Anju bhatia")</f>
        <v>Anju bhatia</v>
      </c>
      <c r="C44" s="5" t="s">
        <v>2002</v>
      </c>
      <c r="D44" s="5"/>
      <c r="E44" s="5"/>
      <c r="F44" s="5"/>
      <c r="G44" s="5"/>
      <c r="H44" s="5"/>
      <c r="I44" s="5"/>
      <c r="J44" s="73"/>
      <c r="K44" s="75" t="str">
        <f>IFERROR(__xludf.DUMMYFUNCTION("""COMPUTED_VALUE"""),"")</f>
        <v/>
      </c>
      <c r="L44" s="48"/>
      <c r="M44" s="46" t="s">
        <v>2002</v>
      </c>
    </row>
    <row r="45">
      <c r="A45" s="70">
        <f>IFERROR(__xludf.DUMMYFUNCTION("""COMPUTED_VALUE"""),9.318417842E9)</f>
        <v>9318417842</v>
      </c>
      <c r="B45" s="46" t="str">
        <f>IFERROR(__xludf.DUMMYFUNCTION("""COMPUTED_VALUE"""),"Anup")</f>
        <v>Anup</v>
      </c>
      <c r="C45" s="5" t="s">
        <v>2002</v>
      </c>
      <c r="D45" s="5"/>
      <c r="E45" s="5"/>
      <c r="F45" s="5"/>
      <c r="G45" s="5"/>
      <c r="H45" s="5"/>
      <c r="I45" s="5"/>
      <c r="J45" s="73"/>
      <c r="K45" s="75" t="str">
        <f>IFERROR(__xludf.DUMMYFUNCTION("""COMPUTED_VALUE"""),"")</f>
        <v/>
      </c>
      <c r="L45" s="48"/>
      <c r="M45" s="46" t="s">
        <v>2002</v>
      </c>
    </row>
    <row r="46">
      <c r="A46" s="70">
        <f>IFERROR(__xludf.DUMMYFUNCTION("""COMPUTED_VALUE"""),7.742070717E9)</f>
        <v>7742070717</v>
      </c>
      <c r="B46" s="46" t="str">
        <f>IFERROR(__xludf.DUMMYFUNCTION("""COMPUTED_VALUE"""),"Kheraj khatri")</f>
        <v>Kheraj khatri</v>
      </c>
      <c r="C46" s="5" t="s">
        <v>2002</v>
      </c>
      <c r="D46" s="5"/>
      <c r="E46" s="5"/>
      <c r="F46" s="5"/>
      <c r="G46" s="5"/>
      <c r="H46" s="5"/>
      <c r="I46" s="5"/>
      <c r="J46" s="73"/>
      <c r="K46" s="75" t="str">
        <f>IFERROR(__xludf.DUMMYFUNCTION("""COMPUTED_VALUE"""),"")</f>
        <v/>
      </c>
      <c r="L46" s="48"/>
      <c r="M46" s="46" t="s">
        <v>2002</v>
      </c>
    </row>
    <row r="47">
      <c r="A47" s="70">
        <f>IFERROR(__xludf.DUMMYFUNCTION("""COMPUTED_VALUE"""),9.711826666E9)</f>
        <v>9711826666</v>
      </c>
      <c r="B47" s="46" t="str">
        <f>IFERROR(__xludf.DUMMYFUNCTION("""COMPUTED_VALUE"""),"Bhumi")</f>
        <v>Bhumi</v>
      </c>
      <c r="C47" s="5" t="s">
        <v>2002</v>
      </c>
      <c r="D47" s="5"/>
      <c r="E47" s="5"/>
      <c r="F47" s="5"/>
      <c r="G47" s="5"/>
      <c r="H47" s="5"/>
      <c r="I47" s="5"/>
      <c r="J47" s="73"/>
      <c r="K47" s="75" t="str">
        <f>IFERROR(__xludf.DUMMYFUNCTION("""COMPUTED_VALUE"""),"")</f>
        <v/>
      </c>
      <c r="L47" s="48"/>
      <c r="M47" s="46" t="s">
        <v>2002</v>
      </c>
    </row>
    <row r="48">
      <c r="A48" s="70">
        <f>IFERROR(__xludf.DUMMYFUNCTION("""COMPUTED_VALUE"""),8.860129369E9)</f>
        <v>8860129369</v>
      </c>
      <c r="B48" s="46" t="str">
        <f>IFERROR(__xludf.DUMMYFUNCTION("""COMPUTED_VALUE"""),"Indeejeet Kaur")</f>
        <v>Indeejeet Kaur</v>
      </c>
      <c r="C48" s="5" t="s">
        <v>2002</v>
      </c>
      <c r="D48" s="5"/>
      <c r="E48" s="5"/>
      <c r="F48" s="5"/>
      <c r="G48" s="5"/>
      <c r="H48" s="5"/>
      <c r="I48" s="5"/>
      <c r="J48" s="73"/>
      <c r="K48" s="75" t="str">
        <f>IFERROR(__xludf.DUMMYFUNCTION("""COMPUTED_VALUE"""),"")</f>
        <v/>
      </c>
      <c r="L48" s="48"/>
      <c r="M48" s="46" t="s">
        <v>2002</v>
      </c>
    </row>
    <row r="49">
      <c r="A49" s="70">
        <f>IFERROR(__xludf.DUMMYFUNCTION("""COMPUTED_VALUE"""),9.311271315E9)</f>
        <v>9311271315</v>
      </c>
      <c r="B49" s="46" t="str">
        <f>IFERROR(__xludf.DUMMYFUNCTION("""COMPUTED_VALUE"""),"Rakhi Chauhan ")</f>
        <v>Rakhi Chauhan </v>
      </c>
      <c r="C49" s="5" t="s">
        <v>2002</v>
      </c>
      <c r="D49" s="5"/>
      <c r="E49" s="5"/>
      <c r="F49" s="5"/>
      <c r="G49" s="5"/>
      <c r="H49" s="5"/>
      <c r="I49" s="5"/>
      <c r="J49" s="73"/>
      <c r="K49" s="75" t="str">
        <f>IFERROR(__xludf.DUMMYFUNCTION("""COMPUTED_VALUE"""),"")</f>
        <v/>
      </c>
      <c r="L49" s="48"/>
      <c r="M49" s="46" t="s">
        <v>2002</v>
      </c>
    </row>
    <row r="50">
      <c r="A50" s="70">
        <f>IFERROR(__xludf.DUMMYFUNCTION("""COMPUTED_VALUE"""),9.899054217E9)</f>
        <v>9899054217</v>
      </c>
      <c r="B50" s="46" t="str">
        <f>IFERROR(__xludf.DUMMYFUNCTION("""COMPUTED_VALUE"""),"Jyoti")</f>
        <v>Jyoti</v>
      </c>
      <c r="C50" s="5" t="s">
        <v>2002</v>
      </c>
      <c r="D50" s="5"/>
      <c r="E50" s="5"/>
      <c r="F50" s="5"/>
      <c r="G50" s="5"/>
      <c r="H50" s="5"/>
      <c r="I50" s="5"/>
      <c r="J50" s="73"/>
      <c r="K50" s="75" t="str">
        <f>IFERROR(__xludf.DUMMYFUNCTION("""COMPUTED_VALUE"""),"")</f>
        <v/>
      </c>
      <c r="L50" s="48"/>
      <c r="M50" s="46" t="s">
        <v>2002</v>
      </c>
    </row>
    <row r="51">
      <c r="A51" s="70">
        <f>IFERROR(__xludf.DUMMYFUNCTION("""COMPUTED_VALUE"""),8.860801005E9)</f>
        <v>8860801005</v>
      </c>
      <c r="B51" s="46" t="str">
        <f>IFERROR(__xludf.DUMMYFUNCTION("""COMPUTED_VALUE"""),"Harsh ")</f>
        <v>Harsh </v>
      </c>
      <c r="C51" s="5" t="s">
        <v>2002</v>
      </c>
      <c r="D51" s="5"/>
      <c r="E51" s="5"/>
      <c r="F51" s="5"/>
      <c r="G51" s="5"/>
      <c r="H51" s="5"/>
      <c r="I51" s="5"/>
      <c r="J51" s="73"/>
      <c r="K51" s="75" t="str">
        <f>IFERROR(__xludf.DUMMYFUNCTION("""COMPUTED_VALUE"""),"")</f>
        <v/>
      </c>
      <c r="L51" s="48"/>
      <c r="M51" s="46" t="s">
        <v>2002</v>
      </c>
    </row>
    <row r="52">
      <c r="A52" s="70">
        <f>IFERROR(__xludf.DUMMYFUNCTION("""COMPUTED_VALUE"""),8.178158017E9)</f>
        <v>8178158017</v>
      </c>
      <c r="B52" s="46" t="str">
        <f>IFERROR(__xludf.DUMMYFUNCTION("""COMPUTED_VALUE"""),"Aditi Khurana")</f>
        <v>Aditi Khurana</v>
      </c>
      <c r="C52" s="5" t="s">
        <v>2002</v>
      </c>
      <c r="D52" s="5"/>
      <c r="E52" s="5"/>
      <c r="F52" s="5"/>
      <c r="G52" s="5"/>
      <c r="H52" s="5"/>
      <c r="I52" s="5"/>
      <c r="J52" s="73"/>
      <c r="K52" s="75" t="str">
        <f>IFERROR(__xludf.DUMMYFUNCTION("""COMPUTED_VALUE"""),"")</f>
        <v/>
      </c>
      <c r="L52" s="48"/>
      <c r="M52" s="46" t="s">
        <v>2002</v>
      </c>
    </row>
    <row r="53">
      <c r="A53" s="70">
        <f>IFERROR(__xludf.DUMMYFUNCTION("""COMPUTED_VALUE"""),8.860801005E9)</f>
        <v>8860801005</v>
      </c>
      <c r="B53" s="46" t="str">
        <f>IFERROR(__xludf.DUMMYFUNCTION("""COMPUTED_VALUE"""),"Harsh")</f>
        <v>Harsh</v>
      </c>
      <c r="C53" s="5" t="s">
        <v>2002</v>
      </c>
      <c r="D53" s="5"/>
      <c r="E53" s="5"/>
      <c r="F53" s="5"/>
      <c r="G53" s="5"/>
      <c r="H53" s="5"/>
      <c r="I53" s="5"/>
      <c r="J53" s="73"/>
      <c r="K53" s="75" t="str">
        <f>IFERROR(__xludf.DUMMYFUNCTION("""COMPUTED_VALUE"""),"")</f>
        <v/>
      </c>
      <c r="L53" s="48"/>
      <c r="M53" s="46" t="s">
        <v>2002</v>
      </c>
    </row>
    <row r="54">
      <c r="A54" s="70">
        <f>IFERROR(__xludf.DUMMYFUNCTION("""COMPUTED_VALUE"""),9.871119756E9)</f>
        <v>9871119756</v>
      </c>
      <c r="B54" s="46" t="str">
        <f>IFERROR(__xludf.DUMMYFUNCTION("""COMPUTED_VALUE"""),"Sunita Luthra")</f>
        <v>Sunita Luthra</v>
      </c>
      <c r="C54" s="5" t="s">
        <v>2002</v>
      </c>
      <c r="D54" s="5"/>
      <c r="E54" s="5"/>
      <c r="F54" s="5"/>
      <c r="G54" s="5"/>
      <c r="H54" s="5"/>
      <c r="I54" s="5"/>
      <c r="J54" s="73"/>
      <c r="K54" s="75" t="str">
        <f>IFERROR(__xludf.DUMMYFUNCTION("""COMPUTED_VALUE"""),"")</f>
        <v/>
      </c>
      <c r="L54" s="48"/>
      <c r="M54" s="46" t="s">
        <v>2002</v>
      </c>
    </row>
    <row r="55">
      <c r="A55" s="70">
        <f>IFERROR(__xludf.DUMMYFUNCTION("""COMPUTED_VALUE"""),9.910673608E9)</f>
        <v>9910673608</v>
      </c>
      <c r="B55" s="46" t="str">
        <f>IFERROR(__xludf.DUMMYFUNCTION("""COMPUTED_VALUE"""),"Nirmal Sagar")</f>
        <v>Nirmal Sagar</v>
      </c>
      <c r="C55" s="5" t="s">
        <v>2002</v>
      </c>
      <c r="D55" s="5"/>
      <c r="E55" s="5"/>
      <c r="F55" s="5"/>
      <c r="G55" s="5"/>
      <c r="H55" s="5"/>
      <c r="I55" s="5"/>
      <c r="J55" s="73"/>
      <c r="K55" s="75" t="str">
        <f>IFERROR(__xludf.DUMMYFUNCTION("""COMPUTED_VALUE"""),"")</f>
        <v/>
      </c>
      <c r="L55" s="48"/>
      <c r="M55" s="46" t="s">
        <v>2002</v>
      </c>
    </row>
    <row r="56">
      <c r="A56" s="70">
        <f>IFERROR(__xludf.DUMMYFUNCTION("""COMPUTED_VALUE"""),9.971464446E9)</f>
        <v>9971464446</v>
      </c>
      <c r="B56" s="46" t="str">
        <f>IFERROR(__xludf.DUMMYFUNCTION("""COMPUTED_VALUE"""),"vikas jain")</f>
        <v>vikas jain</v>
      </c>
      <c r="C56" s="5" t="s">
        <v>2002</v>
      </c>
      <c r="D56" s="5"/>
      <c r="E56" s="5"/>
      <c r="F56" s="5"/>
      <c r="G56" s="5"/>
      <c r="H56" s="5"/>
      <c r="I56" s="5"/>
      <c r="J56" s="73"/>
      <c r="K56" s="75" t="str">
        <f>IFERROR(__xludf.DUMMYFUNCTION("""COMPUTED_VALUE"""),"")</f>
        <v/>
      </c>
      <c r="L56" s="48"/>
      <c r="M56" s="46" t="s">
        <v>2002</v>
      </c>
    </row>
    <row r="57">
      <c r="A57" s="70">
        <f>IFERROR(__xludf.DUMMYFUNCTION("""COMPUTED_VALUE"""),9.65002113E9)</f>
        <v>9650021130</v>
      </c>
      <c r="B57" s="46" t="str">
        <f>IFERROR(__xludf.DUMMYFUNCTION("""COMPUTED_VALUE"""),"Anjana")</f>
        <v>Anjana</v>
      </c>
      <c r="C57" s="5" t="s">
        <v>2002</v>
      </c>
      <c r="D57" s="5"/>
      <c r="E57" s="5"/>
      <c r="F57" s="5"/>
      <c r="G57" s="5"/>
      <c r="H57" s="5"/>
      <c r="I57" s="5"/>
      <c r="J57" s="73"/>
      <c r="K57" s="75" t="str">
        <f>IFERROR(__xludf.DUMMYFUNCTION("""COMPUTED_VALUE"""),"")</f>
        <v/>
      </c>
      <c r="L57" s="48"/>
      <c r="M57" s="46" t="s">
        <v>2002</v>
      </c>
    </row>
    <row r="58">
      <c r="A58" s="70">
        <f>IFERROR(__xludf.DUMMYFUNCTION("""COMPUTED_VALUE"""),9.646052299E9)</f>
        <v>9646052299</v>
      </c>
      <c r="B58" s="46" t="str">
        <f>IFERROR(__xludf.DUMMYFUNCTION("""COMPUTED_VALUE"""),"Aman")</f>
        <v>Aman</v>
      </c>
      <c r="C58" s="5" t="s">
        <v>2002</v>
      </c>
      <c r="D58" s="5"/>
      <c r="E58" s="5"/>
      <c r="F58" s="5"/>
      <c r="G58" s="5"/>
      <c r="H58" s="5"/>
      <c r="I58" s="5"/>
      <c r="J58" s="73"/>
      <c r="K58" s="75" t="str">
        <f>IFERROR(__xludf.DUMMYFUNCTION("""COMPUTED_VALUE"""),"")</f>
        <v/>
      </c>
      <c r="L58" s="48"/>
      <c r="M58" s="46" t="s">
        <v>2002</v>
      </c>
    </row>
    <row r="59">
      <c r="A59" s="70">
        <f>IFERROR(__xludf.DUMMYFUNCTION("""COMPUTED_VALUE"""),8.577878785E9)</f>
        <v>8577878785</v>
      </c>
      <c r="B59" s="46" t="str">
        <f>IFERROR(__xludf.DUMMYFUNCTION("""COMPUTED_VALUE"""),"Mukesh verma")</f>
        <v>Mukesh verma</v>
      </c>
      <c r="C59" s="5" t="s">
        <v>2002</v>
      </c>
      <c r="D59" s="5"/>
      <c r="E59" s="5"/>
      <c r="F59" s="5"/>
      <c r="G59" s="5"/>
      <c r="H59" s="5"/>
      <c r="I59" s="5"/>
      <c r="J59" s="73"/>
      <c r="K59" s="75" t="str">
        <f>IFERROR(__xludf.DUMMYFUNCTION("""COMPUTED_VALUE"""),"")</f>
        <v/>
      </c>
      <c r="L59" s="48"/>
      <c r="M59" s="46" t="s">
        <v>2002</v>
      </c>
    </row>
    <row r="60">
      <c r="A60" s="70">
        <f>IFERROR(__xludf.DUMMYFUNCTION("""COMPUTED_VALUE"""),9.971171207E9)</f>
        <v>9971171207</v>
      </c>
      <c r="B60" s="46" t="str">
        <f>IFERROR(__xludf.DUMMYFUNCTION("""COMPUTED_VALUE"""),"Laxmi")</f>
        <v>Laxmi</v>
      </c>
      <c r="C60" s="5" t="s">
        <v>2002</v>
      </c>
      <c r="D60" s="5"/>
      <c r="E60" s="5"/>
      <c r="F60" s="5"/>
      <c r="G60" s="5"/>
      <c r="H60" s="5"/>
      <c r="I60" s="5"/>
      <c r="J60" s="73"/>
      <c r="K60" s="75" t="str">
        <f>IFERROR(__xludf.DUMMYFUNCTION("""COMPUTED_VALUE"""),"")</f>
        <v/>
      </c>
      <c r="L60" s="48"/>
      <c r="M60" s="46" t="s">
        <v>2002</v>
      </c>
    </row>
    <row r="61">
      <c r="A61" s="70">
        <f>IFERROR(__xludf.DUMMYFUNCTION("""COMPUTED_VALUE"""),8.882965014E9)</f>
        <v>8882965014</v>
      </c>
      <c r="B61" s="46" t="str">
        <f>IFERROR(__xludf.DUMMYFUNCTION("""COMPUTED_VALUE"""),"Tulsi")</f>
        <v>Tulsi</v>
      </c>
      <c r="C61" s="5" t="s">
        <v>2002</v>
      </c>
      <c r="D61" s="5"/>
      <c r="E61" s="5"/>
      <c r="F61" s="5"/>
      <c r="G61" s="5"/>
      <c r="H61" s="5"/>
      <c r="I61" s="5"/>
      <c r="J61" s="73"/>
      <c r="K61" s="75" t="str">
        <f>IFERROR(__xludf.DUMMYFUNCTION("""COMPUTED_VALUE"""),"")</f>
        <v/>
      </c>
      <c r="L61" s="48"/>
      <c r="M61" s="46" t="s">
        <v>2002</v>
      </c>
    </row>
    <row r="62">
      <c r="A62" s="70">
        <f>IFERROR(__xludf.DUMMYFUNCTION("""COMPUTED_VALUE"""),9.873237758E9)</f>
        <v>9873237758</v>
      </c>
      <c r="B62" s="46" t="str">
        <f>IFERROR(__xludf.DUMMYFUNCTION("""COMPUTED_VALUE"""),"Renu Ahuja")</f>
        <v>Renu Ahuja</v>
      </c>
      <c r="C62" s="5" t="s">
        <v>2002</v>
      </c>
      <c r="D62" s="5"/>
      <c r="E62" s="5"/>
      <c r="F62" s="5"/>
      <c r="G62" s="5"/>
      <c r="H62" s="5"/>
      <c r="I62" s="5"/>
      <c r="J62" s="73"/>
      <c r="K62" s="75" t="str">
        <f>IFERROR(__xludf.DUMMYFUNCTION("""COMPUTED_VALUE"""),"")</f>
        <v/>
      </c>
      <c r="L62" s="48"/>
      <c r="M62" s="46" t="s">
        <v>2002</v>
      </c>
    </row>
    <row r="63">
      <c r="A63" s="70">
        <f>IFERROR(__xludf.DUMMYFUNCTION("""COMPUTED_VALUE"""),9.999179679E9)</f>
        <v>9999179679</v>
      </c>
      <c r="B63" s="46" t="str">
        <f>IFERROR(__xludf.DUMMYFUNCTION("""COMPUTED_VALUE"""),"Rachna")</f>
        <v>Rachna</v>
      </c>
      <c r="C63" s="5" t="s">
        <v>2002</v>
      </c>
      <c r="D63" s="5"/>
      <c r="E63" s="5"/>
      <c r="F63" s="5"/>
      <c r="G63" s="5"/>
      <c r="H63" s="5"/>
      <c r="I63" s="5"/>
      <c r="J63" s="73"/>
      <c r="K63" s="75" t="str">
        <f>IFERROR(__xludf.DUMMYFUNCTION("""COMPUTED_VALUE"""),"")</f>
        <v/>
      </c>
      <c r="L63" s="48"/>
      <c r="M63" s="46" t="s">
        <v>2002</v>
      </c>
    </row>
    <row r="64">
      <c r="A64" s="70">
        <f>IFERROR(__xludf.DUMMYFUNCTION("""COMPUTED_VALUE"""),9.818351405E9)</f>
        <v>9818351405</v>
      </c>
      <c r="B64" s="46" t="str">
        <f>IFERROR(__xludf.DUMMYFUNCTION("""COMPUTED_VALUE"""),"Kinshu Gupta")</f>
        <v>Kinshu Gupta</v>
      </c>
      <c r="C64" s="5" t="s">
        <v>2002</v>
      </c>
      <c r="D64" s="5"/>
      <c r="E64" s="5"/>
      <c r="F64" s="5"/>
      <c r="G64" s="5"/>
      <c r="H64" s="5"/>
      <c r="I64" s="5"/>
      <c r="J64" s="73"/>
      <c r="K64" s="75" t="str">
        <f>IFERROR(__xludf.DUMMYFUNCTION("""COMPUTED_VALUE"""),"")</f>
        <v/>
      </c>
      <c r="L64" s="48"/>
      <c r="M64" s="46" t="s">
        <v>2002</v>
      </c>
    </row>
    <row r="65">
      <c r="A65" s="70">
        <f>IFERROR(__xludf.DUMMYFUNCTION("""COMPUTED_VALUE"""),9.899006886E9)</f>
        <v>9899006886</v>
      </c>
      <c r="B65" s="46" t="str">
        <f>IFERROR(__xludf.DUMMYFUNCTION("""COMPUTED_VALUE"""),"shweta")</f>
        <v>shweta</v>
      </c>
      <c r="C65" s="5" t="s">
        <v>2002</v>
      </c>
      <c r="D65" s="5"/>
      <c r="E65" s="5"/>
      <c r="F65" s="5"/>
      <c r="G65" s="5"/>
      <c r="H65" s="5"/>
      <c r="I65" s="5"/>
      <c r="J65" s="73"/>
      <c r="K65" s="75" t="str">
        <f>IFERROR(__xludf.DUMMYFUNCTION("""COMPUTED_VALUE"""),"")</f>
        <v/>
      </c>
      <c r="L65" s="48"/>
      <c r="M65" s="46" t="s">
        <v>2002</v>
      </c>
    </row>
    <row r="66">
      <c r="A66" s="70">
        <f>IFERROR(__xludf.DUMMYFUNCTION("""COMPUTED_VALUE"""),9.810806625E9)</f>
        <v>9810806625</v>
      </c>
      <c r="B66" s="46" t="str">
        <f>IFERROR(__xludf.DUMMYFUNCTION("""COMPUTED_VALUE"""),"Jaspreet ")</f>
        <v>Jaspreet </v>
      </c>
      <c r="C66" s="5" t="s">
        <v>2002</v>
      </c>
      <c r="D66" s="5"/>
      <c r="E66" s="5"/>
      <c r="F66" s="5"/>
      <c r="G66" s="5"/>
      <c r="H66" s="5"/>
      <c r="I66" s="5"/>
      <c r="J66" s="73"/>
      <c r="K66" s="75" t="str">
        <f>IFERROR(__xludf.DUMMYFUNCTION("""COMPUTED_VALUE"""),"")</f>
        <v/>
      </c>
      <c r="L66" s="48"/>
      <c r="M66" s="46" t="s">
        <v>2002</v>
      </c>
    </row>
    <row r="67">
      <c r="A67" s="70">
        <f>IFERROR(__xludf.DUMMYFUNCTION("""COMPUTED_VALUE"""),9.416212767E9)</f>
        <v>9416212767</v>
      </c>
      <c r="B67" s="46" t="str">
        <f>IFERROR(__xludf.DUMMYFUNCTION("""COMPUTED_VALUE"""),"BR Rajnish ")</f>
        <v>BR Rajnish </v>
      </c>
      <c r="C67" s="5" t="s">
        <v>2002</v>
      </c>
      <c r="D67" s="5"/>
      <c r="E67" s="5"/>
      <c r="F67" s="5"/>
      <c r="G67" s="5"/>
      <c r="H67" s="5"/>
      <c r="I67" s="5"/>
      <c r="J67" s="73"/>
      <c r="K67" s="75" t="str">
        <f>IFERROR(__xludf.DUMMYFUNCTION("""COMPUTED_VALUE"""),"")</f>
        <v/>
      </c>
      <c r="L67" s="48"/>
      <c r="M67" s="46" t="s">
        <v>2002</v>
      </c>
    </row>
    <row r="68">
      <c r="A68" s="70">
        <f>IFERROR(__xludf.DUMMYFUNCTION("""COMPUTED_VALUE"""),7.838808945E9)</f>
        <v>7838808945</v>
      </c>
      <c r="B68" s="46" t="str">
        <f>IFERROR(__xludf.DUMMYFUNCTION("""COMPUTED_VALUE"""),"Mrs.Ahuja")</f>
        <v>Mrs.Ahuja</v>
      </c>
      <c r="C68" s="5" t="s">
        <v>2002</v>
      </c>
      <c r="D68" s="5"/>
      <c r="E68" s="5"/>
      <c r="F68" s="5"/>
      <c r="G68" s="5"/>
      <c r="H68" s="5"/>
      <c r="I68" s="5"/>
      <c r="J68" s="73"/>
      <c r="K68" s="75" t="str">
        <f>IFERROR(__xludf.DUMMYFUNCTION("""COMPUTED_VALUE"""),"")</f>
        <v/>
      </c>
      <c r="L68" s="48"/>
      <c r="M68" s="46" t="s">
        <v>2002</v>
      </c>
    </row>
    <row r="69">
      <c r="A69" s="70">
        <f>IFERROR(__xludf.DUMMYFUNCTION("""COMPUTED_VALUE"""),9.508950477E9)</f>
        <v>9508950477</v>
      </c>
      <c r="B69" s="46" t="str">
        <f>IFERROR(__xludf.DUMMYFUNCTION("""COMPUTED_VALUE"""),"Vikash garg")</f>
        <v>Vikash garg</v>
      </c>
      <c r="C69" s="5" t="s">
        <v>2002</v>
      </c>
      <c r="D69" s="5"/>
      <c r="E69" s="5"/>
      <c r="F69" s="5"/>
      <c r="G69" s="5"/>
      <c r="H69" s="5"/>
      <c r="I69" s="5"/>
      <c r="J69" s="73"/>
      <c r="K69" s="75" t="str">
        <f>IFERROR(__xludf.DUMMYFUNCTION("""COMPUTED_VALUE"""),"")</f>
        <v/>
      </c>
      <c r="L69" s="48"/>
      <c r="M69" s="46" t="s">
        <v>2002</v>
      </c>
    </row>
    <row r="70">
      <c r="A70" s="70">
        <f>IFERROR(__xludf.DUMMYFUNCTION("""COMPUTED_VALUE"""),7.982909025E9)</f>
        <v>7982909025</v>
      </c>
      <c r="B70" s="46" t="str">
        <f>IFERROR(__xludf.DUMMYFUNCTION("""COMPUTED_VALUE"""),"Pooja Verma")</f>
        <v>Pooja Verma</v>
      </c>
      <c r="C70" s="5" t="s">
        <v>2002</v>
      </c>
      <c r="D70" s="5"/>
      <c r="E70" s="5"/>
      <c r="F70" s="5"/>
      <c r="G70" s="5"/>
      <c r="H70" s="5"/>
      <c r="I70" s="5"/>
      <c r="J70" s="73"/>
      <c r="K70" s="75" t="str">
        <f>IFERROR(__xludf.DUMMYFUNCTION("""COMPUTED_VALUE"""),"")</f>
        <v/>
      </c>
      <c r="L70" s="48"/>
      <c r="M70" s="46" t="s">
        <v>2002</v>
      </c>
    </row>
    <row r="71">
      <c r="A71" s="70">
        <f>IFERROR(__xludf.DUMMYFUNCTION("""COMPUTED_VALUE"""),9.971997121E9)</f>
        <v>9971997121</v>
      </c>
      <c r="B71" s="46" t="str">
        <f>IFERROR(__xludf.DUMMYFUNCTION("""COMPUTED_VALUE"""),"Pulkit")</f>
        <v>Pulkit</v>
      </c>
      <c r="C71" s="5" t="s">
        <v>2002</v>
      </c>
      <c r="D71" s="5"/>
      <c r="E71" s="5"/>
      <c r="F71" s="5"/>
      <c r="G71" s="5"/>
      <c r="H71" s="5"/>
      <c r="I71" s="5"/>
      <c r="J71" s="73"/>
      <c r="K71" s="75" t="str">
        <f>IFERROR(__xludf.DUMMYFUNCTION("""COMPUTED_VALUE"""),"")</f>
        <v/>
      </c>
      <c r="L71" s="48"/>
      <c r="M71" s="46" t="s">
        <v>2002</v>
      </c>
    </row>
    <row r="72">
      <c r="A72" s="70">
        <f>IFERROR(__xludf.DUMMYFUNCTION("""COMPUTED_VALUE"""),9.310130869E9)</f>
        <v>9310130869</v>
      </c>
      <c r="B72" s="46" t="str">
        <f>IFERROR(__xludf.DUMMYFUNCTION("""COMPUTED_VALUE"""),"Gagan")</f>
        <v>Gagan</v>
      </c>
      <c r="C72" s="5" t="s">
        <v>2002</v>
      </c>
      <c r="D72" s="5"/>
      <c r="E72" s="5"/>
      <c r="F72" s="5"/>
      <c r="G72" s="5"/>
      <c r="H72" s="5"/>
      <c r="I72" s="5"/>
      <c r="J72" s="73"/>
      <c r="K72" s="75" t="str">
        <f>IFERROR(__xludf.DUMMYFUNCTION("""COMPUTED_VALUE"""),"")</f>
        <v/>
      </c>
      <c r="L72" s="48"/>
      <c r="M72" s="46" t="s">
        <v>2002</v>
      </c>
    </row>
    <row r="73">
      <c r="A73" s="70">
        <f>IFERROR(__xludf.DUMMYFUNCTION("""COMPUTED_VALUE"""),9.971103645E9)</f>
        <v>9971103645</v>
      </c>
      <c r="B73" s="46" t="str">
        <f>IFERROR(__xludf.DUMMYFUNCTION("""COMPUTED_VALUE"""),"Sanjay Batra")</f>
        <v>Sanjay Batra</v>
      </c>
      <c r="C73" s="5" t="s">
        <v>2002</v>
      </c>
      <c r="D73" s="5"/>
      <c r="E73" s="5"/>
      <c r="F73" s="5"/>
      <c r="G73" s="5"/>
      <c r="H73" s="5"/>
      <c r="I73" s="5"/>
      <c r="J73" s="73"/>
      <c r="K73" s="75" t="str">
        <f>IFERROR(__xludf.DUMMYFUNCTION("""COMPUTED_VALUE"""),"")</f>
        <v/>
      </c>
      <c r="L73" s="48"/>
      <c r="M73" s="46" t="s">
        <v>2002</v>
      </c>
    </row>
    <row r="74">
      <c r="A74" s="70">
        <f>IFERROR(__xludf.DUMMYFUNCTION("""COMPUTED_VALUE"""),9.811073069E9)</f>
        <v>9811073069</v>
      </c>
      <c r="B74" s="46" t="str">
        <f>IFERROR(__xludf.DUMMYFUNCTION("""COMPUTED_VALUE"""),"Shyaam agarwal ")</f>
        <v>Shyaam agarwal </v>
      </c>
      <c r="C74" s="5" t="s">
        <v>2002</v>
      </c>
      <c r="D74" s="5"/>
      <c r="E74" s="5"/>
      <c r="F74" s="5"/>
      <c r="G74" s="5"/>
      <c r="H74" s="5"/>
      <c r="I74" s="5"/>
      <c r="J74" s="73"/>
      <c r="K74" s="75" t="str">
        <f>IFERROR(__xludf.DUMMYFUNCTION("""COMPUTED_VALUE"""),"")</f>
        <v/>
      </c>
      <c r="L74" s="48"/>
      <c r="M74" s="46" t="s">
        <v>2002</v>
      </c>
    </row>
    <row r="75">
      <c r="A75" s="70">
        <f>IFERROR(__xludf.DUMMYFUNCTION("""COMPUTED_VALUE"""),9.910228116E9)</f>
        <v>9910228116</v>
      </c>
      <c r="B75" s="46" t="str">
        <f>IFERROR(__xludf.DUMMYFUNCTION("""COMPUTED_VALUE"""),"Renu Batra")</f>
        <v>Renu Batra</v>
      </c>
      <c r="C75" s="5" t="s">
        <v>2002</v>
      </c>
      <c r="D75" s="5"/>
      <c r="E75" s="5"/>
      <c r="F75" s="5"/>
      <c r="G75" s="5"/>
      <c r="H75" s="5"/>
      <c r="I75" s="5"/>
      <c r="J75" s="73"/>
      <c r="K75" s="75" t="str">
        <f>IFERROR(__xludf.DUMMYFUNCTION("""COMPUTED_VALUE"""),"")</f>
        <v/>
      </c>
      <c r="L75" s="48"/>
      <c r="M75" s="46" t="s">
        <v>2002</v>
      </c>
    </row>
    <row r="76">
      <c r="A76" s="70">
        <f>IFERROR(__xludf.DUMMYFUNCTION("""COMPUTED_VALUE"""),9.045677696E9)</f>
        <v>9045677696</v>
      </c>
      <c r="B76" s="46" t="str">
        <f>IFERROR(__xludf.DUMMYFUNCTION("""COMPUTED_VALUE"""),"Kanchan ji")</f>
        <v>Kanchan ji</v>
      </c>
      <c r="C76" s="5" t="s">
        <v>2002</v>
      </c>
      <c r="D76" s="5"/>
      <c r="E76" s="5"/>
      <c r="F76" s="5"/>
      <c r="G76" s="5"/>
      <c r="H76" s="5"/>
      <c r="I76" s="5"/>
      <c r="J76" s="73"/>
      <c r="K76" s="75" t="str">
        <f>IFERROR(__xludf.DUMMYFUNCTION("""COMPUTED_VALUE"""),"")</f>
        <v/>
      </c>
      <c r="L76" s="48"/>
      <c r="M76" s="46" t="s">
        <v>2002</v>
      </c>
    </row>
    <row r="77">
      <c r="A77" s="70">
        <f>IFERROR(__xludf.DUMMYFUNCTION("""COMPUTED_VALUE"""),9.997779146E9)</f>
        <v>9997779146</v>
      </c>
      <c r="B77" s="46" t="str">
        <f>IFERROR(__xludf.DUMMYFUNCTION("""COMPUTED_VALUE"""),"Nisha tayal")</f>
        <v>Nisha tayal</v>
      </c>
      <c r="C77" s="5" t="s">
        <v>2002</v>
      </c>
      <c r="D77" s="5"/>
      <c r="E77" s="5"/>
      <c r="F77" s="5"/>
      <c r="G77" s="5"/>
      <c r="H77" s="5"/>
      <c r="I77" s="5"/>
      <c r="J77" s="73"/>
      <c r="K77" s="75" t="str">
        <f>IFERROR(__xludf.DUMMYFUNCTION("""COMPUTED_VALUE"""),"")</f>
        <v/>
      </c>
      <c r="L77" s="48"/>
      <c r="M77" s="46" t="s">
        <v>2002</v>
      </c>
    </row>
    <row r="78">
      <c r="A78" s="70">
        <f>IFERROR(__xludf.DUMMYFUNCTION("""COMPUTED_VALUE"""),8.218135183E9)</f>
        <v>8218135183</v>
      </c>
      <c r="B78" s="46" t="str">
        <f>IFERROR(__xludf.DUMMYFUNCTION("""COMPUTED_VALUE"""),"sonam aggarwal")</f>
        <v>sonam aggarwal</v>
      </c>
      <c r="C78" s="5" t="s">
        <v>2002</v>
      </c>
      <c r="D78" s="5"/>
      <c r="E78" s="5"/>
      <c r="F78" s="5"/>
      <c r="G78" s="5"/>
      <c r="H78" s="5"/>
      <c r="I78" s="5"/>
      <c r="J78" s="73"/>
      <c r="K78" s="75" t="str">
        <f>IFERROR(__xludf.DUMMYFUNCTION("""COMPUTED_VALUE"""),"")</f>
        <v/>
      </c>
      <c r="L78" s="48"/>
      <c r="M78" s="46" t="s">
        <v>2002</v>
      </c>
    </row>
    <row r="79">
      <c r="A79" s="70">
        <f>IFERROR(__xludf.DUMMYFUNCTION("""COMPUTED_VALUE"""),9.65490719E9)</f>
        <v>9654907190</v>
      </c>
      <c r="B79" s="46" t="str">
        <f>IFERROR(__xludf.DUMMYFUNCTION("""COMPUTED_VALUE"""),"An u marketing")</f>
        <v>An u marketing</v>
      </c>
      <c r="C79" s="5" t="s">
        <v>2002</v>
      </c>
      <c r="D79" s="5"/>
      <c r="E79" s="5"/>
      <c r="F79" s="5"/>
      <c r="G79" s="5"/>
      <c r="H79" s="5"/>
      <c r="I79" s="5"/>
      <c r="J79" s="73"/>
      <c r="K79" s="75" t="str">
        <f>IFERROR(__xludf.DUMMYFUNCTION("""COMPUTED_VALUE"""),"")</f>
        <v/>
      </c>
      <c r="L79" s="48"/>
      <c r="M79" s="46" t="s">
        <v>2002</v>
      </c>
    </row>
    <row r="80">
      <c r="A80" s="70">
        <f>IFERROR(__xludf.DUMMYFUNCTION("""COMPUTED_VALUE"""),8.810266707E9)</f>
        <v>8810266707</v>
      </c>
      <c r="B80" s="46" t="str">
        <f>IFERROR(__xludf.DUMMYFUNCTION("""COMPUTED_VALUE"""),"Anita vaid")</f>
        <v>Anita vaid</v>
      </c>
      <c r="C80" s="5" t="s">
        <v>2002</v>
      </c>
      <c r="D80" s="5"/>
      <c r="E80" s="5"/>
      <c r="F80" s="5"/>
      <c r="G80" s="5"/>
      <c r="H80" s="5"/>
      <c r="I80" s="5"/>
      <c r="J80" s="73"/>
      <c r="K80" s="75" t="str">
        <f>IFERROR(__xludf.DUMMYFUNCTION("""COMPUTED_VALUE"""),"")</f>
        <v/>
      </c>
      <c r="L80" s="48"/>
      <c r="M80" s="46" t="s">
        <v>2002</v>
      </c>
    </row>
    <row r="81">
      <c r="A81" s="70">
        <f>IFERROR(__xludf.DUMMYFUNCTION("""COMPUTED_VALUE"""),8.130312E9)</f>
        <v>8130312000</v>
      </c>
      <c r="B81" s="46" t="str">
        <f>IFERROR(__xludf.DUMMYFUNCTION("""COMPUTED_VALUE"""),"Avdhesh kumar sharma ")</f>
        <v>Avdhesh kumar sharma </v>
      </c>
      <c r="C81" s="5" t="s">
        <v>2002</v>
      </c>
      <c r="D81" s="5"/>
      <c r="E81" s="5"/>
      <c r="F81" s="5"/>
      <c r="G81" s="5"/>
      <c r="H81" s="5"/>
      <c r="I81" s="5"/>
      <c r="J81" s="73"/>
      <c r="K81" s="75" t="str">
        <f>IFERROR(__xludf.DUMMYFUNCTION("""COMPUTED_VALUE"""),"")</f>
        <v/>
      </c>
      <c r="L81" s="48"/>
      <c r="M81" s="46" t="s">
        <v>2002</v>
      </c>
    </row>
    <row r="82">
      <c r="A82" s="70">
        <f>IFERROR(__xludf.DUMMYFUNCTION("""COMPUTED_VALUE"""),8.305061443E9)</f>
        <v>8305061443</v>
      </c>
      <c r="B82" s="46" t="str">
        <f>IFERROR(__xludf.DUMMYFUNCTION("""COMPUTED_VALUE"""),"yashwant Awasthi")</f>
        <v>yashwant Awasthi</v>
      </c>
      <c r="C82" s="5" t="s">
        <v>2002</v>
      </c>
      <c r="D82" s="5"/>
      <c r="E82" s="5"/>
      <c r="F82" s="5"/>
      <c r="G82" s="5"/>
      <c r="H82" s="5"/>
      <c r="I82" s="5"/>
      <c r="J82" s="73"/>
      <c r="K82" s="75" t="str">
        <f>IFERROR(__xludf.DUMMYFUNCTION("""COMPUTED_VALUE"""),"")</f>
        <v/>
      </c>
      <c r="L82" s="48"/>
      <c r="M82" s="46" t="s">
        <v>2002</v>
      </c>
    </row>
    <row r="83">
      <c r="A83" s="70">
        <f>IFERROR(__xludf.DUMMYFUNCTION("""COMPUTED_VALUE"""),9.868187296E9)</f>
        <v>9868187296</v>
      </c>
      <c r="B83" s="46" t="str">
        <f>IFERROR(__xludf.DUMMYFUNCTION("""COMPUTED_VALUE"""),"Raksha ")</f>
        <v>Raksha </v>
      </c>
      <c r="C83" s="5" t="s">
        <v>2002</v>
      </c>
      <c r="D83" s="5"/>
      <c r="E83" s="5"/>
      <c r="F83" s="5"/>
      <c r="G83" s="5"/>
      <c r="H83" s="5"/>
      <c r="I83" s="5"/>
      <c r="J83" s="73"/>
      <c r="K83" s="75" t="str">
        <f>IFERROR(__xludf.DUMMYFUNCTION("""COMPUTED_VALUE"""),"")</f>
        <v/>
      </c>
      <c r="L83" s="48"/>
      <c r="M83" s="46" t="s">
        <v>2002</v>
      </c>
    </row>
    <row r="84">
      <c r="A84" s="70">
        <f>IFERROR(__xludf.DUMMYFUNCTION("""COMPUTED_VALUE"""),9.811202232E9)</f>
        <v>9811202232</v>
      </c>
      <c r="B84" s="46" t="str">
        <f>IFERROR(__xludf.DUMMYFUNCTION("""COMPUTED_VALUE"""),"Rajesh")</f>
        <v>Rajesh</v>
      </c>
      <c r="C84" s="5" t="s">
        <v>2002</v>
      </c>
      <c r="D84" s="5"/>
      <c r="E84" s="5"/>
      <c r="F84" s="5"/>
      <c r="G84" s="5"/>
      <c r="H84" s="5"/>
      <c r="I84" s="5"/>
      <c r="J84" s="73"/>
      <c r="K84" s="75" t="str">
        <f>IFERROR(__xludf.DUMMYFUNCTION("""COMPUTED_VALUE"""),"")</f>
        <v/>
      </c>
      <c r="L84" s="48"/>
      <c r="M84" s="46" t="s">
        <v>2002</v>
      </c>
    </row>
    <row r="85">
      <c r="A85" s="70">
        <f>IFERROR(__xludf.DUMMYFUNCTION("""COMPUTED_VALUE"""),8.587875959E9)</f>
        <v>8587875959</v>
      </c>
      <c r="B85" s="46" t="str">
        <f>IFERROR(__xludf.DUMMYFUNCTION("""COMPUTED_VALUE"""),"Deepti Singh")</f>
        <v>Deepti Singh</v>
      </c>
      <c r="C85" s="5" t="s">
        <v>2002</v>
      </c>
      <c r="D85" s="5"/>
      <c r="E85" s="5"/>
      <c r="F85" s="5"/>
      <c r="G85" s="5"/>
      <c r="H85" s="5"/>
      <c r="I85" s="5"/>
      <c r="J85" s="73"/>
      <c r="K85" s="75" t="str">
        <f>IFERROR(__xludf.DUMMYFUNCTION("""COMPUTED_VALUE"""),"")</f>
        <v/>
      </c>
      <c r="L85" s="48"/>
      <c r="M85" s="46" t="s">
        <v>2002</v>
      </c>
    </row>
    <row r="86">
      <c r="A86" s="70">
        <f>IFERROR(__xludf.DUMMYFUNCTION("""COMPUTED_VALUE"""),9.811698569E9)</f>
        <v>9811698569</v>
      </c>
      <c r="B86" s="46" t="str">
        <f>IFERROR(__xludf.DUMMYFUNCTION("""COMPUTED_VALUE"""),"Jitender Kumar")</f>
        <v>Jitender Kumar</v>
      </c>
      <c r="C86" s="5" t="s">
        <v>2002</v>
      </c>
      <c r="D86" s="5"/>
      <c r="E86" s="5"/>
      <c r="F86" s="5"/>
      <c r="G86" s="5"/>
      <c r="H86" s="5"/>
      <c r="I86" s="5"/>
      <c r="J86" s="73"/>
      <c r="K86" s="75" t="str">
        <f>IFERROR(__xludf.DUMMYFUNCTION("""COMPUTED_VALUE"""),"")</f>
        <v/>
      </c>
      <c r="L86" s="48"/>
      <c r="M86" s="46" t="s">
        <v>2002</v>
      </c>
    </row>
    <row r="87">
      <c r="A87" s="70">
        <f>IFERROR(__xludf.DUMMYFUNCTION("""COMPUTED_VALUE"""),9.868272424E9)</f>
        <v>9868272424</v>
      </c>
      <c r="B87" s="46" t="str">
        <f>IFERROR(__xludf.DUMMYFUNCTION("""COMPUTED_VALUE"""),"Rd gupta")</f>
        <v>Rd gupta</v>
      </c>
      <c r="C87" s="5" t="s">
        <v>2002</v>
      </c>
      <c r="D87" s="5"/>
      <c r="E87" s="5"/>
      <c r="F87" s="5"/>
      <c r="G87" s="5"/>
      <c r="H87" s="5"/>
      <c r="I87" s="5"/>
      <c r="J87" s="73"/>
      <c r="K87" s="75" t="str">
        <f>IFERROR(__xludf.DUMMYFUNCTION("""COMPUTED_VALUE"""),"")</f>
        <v/>
      </c>
      <c r="L87" s="48"/>
      <c r="M87" s="46" t="s">
        <v>2002</v>
      </c>
    </row>
    <row r="88">
      <c r="A88" s="70">
        <f>IFERROR(__xludf.DUMMYFUNCTION("""COMPUTED_VALUE"""),9.811471982E9)</f>
        <v>9811471982</v>
      </c>
      <c r="B88" s="46" t="str">
        <f>IFERROR(__xludf.DUMMYFUNCTION("""COMPUTED_VALUE"""),"Darshan lal")</f>
        <v>Darshan lal</v>
      </c>
      <c r="C88" s="5" t="s">
        <v>2002</v>
      </c>
      <c r="D88" s="5"/>
      <c r="E88" s="5"/>
      <c r="F88" s="5"/>
      <c r="G88" s="5"/>
      <c r="H88" s="5"/>
      <c r="I88" s="5"/>
      <c r="J88" s="73"/>
      <c r="K88" s="75" t="str">
        <f>IFERROR(__xludf.DUMMYFUNCTION("""COMPUTED_VALUE"""),"")</f>
        <v/>
      </c>
      <c r="L88" s="48"/>
      <c r="M88" s="46" t="s">
        <v>2002</v>
      </c>
    </row>
    <row r="89">
      <c r="A89" s="70">
        <f>IFERROR(__xludf.DUMMYFUNCTION("""COMPUTED_VALUE"""),9.810499331E9)</f>
        <v>9810499331</v>
      </c>
      <c r="B89" s="46" t="str">
        <f>IFERROR(__xludf.DUMMYFUNCTION("""COMPUTED_VALUE"""),"Saroj Jain")</f>
        <v>Saroj Jain</v>
      </c>
      <c r="C89" s="5" t="s">
        <v>2002</v>
      </c>
      <c r="D89" s="5"/>
      <c r="E89" s="5"/>
      <c r="F89" s="5"/>
      <c r="G89" s="5"/>
      <c r="H89" s="5"/>
      <c r="I89" s="5"/>
      <c r="J89" s="73"/>
      <c r="K89" s="75" t="str">
        <f>IFERROR(__xludf.DUMMYFUNCTION("""COMPUTED_VALUE"""),"")</f>
        <v/>
      </c>
      <c r="L89" s="48"/>
      <c r="M89" s="46" t="s">
        <v>2002</v>
      </c>
    </row>
    <row r="90">
      <c r="A90" s="70">
        <f>IFERROR(__xludf.DUMMYFUNCTION("""COMPUTED_VALUE"""),9.050618274E9)</f>
        <v>9050618274</v>
      </c>
      <c r="B90" s="46" t="str">
        <f>IFERROR(__xludf.DUMMYFUNCTION("""COMPUTED_VALUE"""),"Roshni Devi")</f>
        <v>Roshni Devi</v>
      </c>
      <c r="C90" s="5" t="s">
        <v>2002</v>
      </c>
      <c r="D90" s="5"/>
      <c r="E90" s="5"/>
      <c r="F90" s="5"/>
      <c r="G90" s="5"/>
      <c r="H90" s="5"/>
      <c r="I90" s="5"/>
      <c r="J90" s="73"/>
      <c r="K90" s="75" t="str">
        <f>IFERROR(__xludf.DUMMYFUNCTION("""COMPUTED_VALUE"""),"")</f>
        <v/>
      </c>
      <c r="L90" s="48"/>
      <c r="M90" s="46" t="s">
        <v>2002</v>
      </c>
    </row>
    <row r="91">
      <c r="A91" s="70">
        <f>IFERROR(__xludf.DUMMYFUNCTION("""COMPUTED_VALUE"""),9.718310272E9)</f>
        <v>9718310272</v>
      </c>
      <c r="B91" s="46" t="str">
        <f>IFERROR(__xludf.DUMMYFUNCTION("""COMPUTED_VALUE"""),"Sheily")</f>
        <v>Sheily</v>
      </c>
      <c r="C91" s="5" t="s">
        <v>2002</v>
      </c>
      <c r="D91" s="5"/>
      <c r="E91" s="5"/>
      <c r="F91" s="5"/>
      <c r="G91" s="5"/>
      <c r="H91" s="5"/>
      <c r="I91" s="5"/>
      <c r="J91" s="73"/>
      <c r="K91" s="75" t="str">
        <f>IFERROR(__xludf.DUMMYFUNCTION("""COMPUTED_VALUE"""),"")</f>
        <v/>
      </c>
      <c r="L91" s="48"/>
      <c r="M91" s="46" t="s">
        <v>2002</v>
      </c>
    </row>
    <row r="92">
      <c r="A92" s="70">
        <f>IFERROR(__xludf.DUMMYFUNCTION("""COMPUTED_VALUE"""),9.810072259E9)</f>
        <v>9810072259</v>
      </c>
      <c r="B92" s="46" t="str">
        <f>IFERROR(__xludf.DUMMYFUNCTION("""COMPUTED_VALUE"""),"Chanderkant gupta")</f>
        <v>Chanderkant gupta</v>
      </c>
      <c r="C92" s="5" t="s">
        <v>2002</v>
      </c>
      <c r="D92" s="5"/>
      <c r="E92" s="5"/>
      <c r="F92" s="5"/>
      <c r="G92" s="5"/>
      <c r="H92" s="5"/>
      <c r="I92" s="5"/>
      <c r="J92" s="73"/>
      <c r="K92" s="75" t="str">
        <f>IFERROR(__xludf.DUMMYFUNCTION("""COMPUTED_VALUE"""),"")</f>
        <v/>
      </c>
      <c r="L92" s="48"/>
      <c r="M92" s="46" t="s">
        <v>2002</v>
      </c>
    </row>
    <row r="93">
      <c r="A93" s="70">
        <f>IFERROR(__xludf.DUMMYFUNCTION("""COMPUTED_VALUE"""),9.71102823E9)</f>
        <v>9711028230</v>
      </c>
      <c r="B93" s="46" t="str">
        <f>IFERROR(__xludf.DUMMYFUNCTION("""COMPUTED_VALUE"""),"Soniya")</f>
        <v>Soniya</v>
      </c>
      <c r="C93" s="5" t="s">
        <v>2002</v>
      </c>
      <c r="D93" s="5"/>
      <c r="E93" s="5"/>
      <c r="F93" s="5"/>
      <c r="G93" s="5"/>
      <c r="H93" s="5"/>
      <c r="I93" s="5"/>
      <c r="J93" s="73"/>
      <c r="K93" s="75" t="str">
        <f>IFERROR(__xludf.DUMMYFUNCTION("""COMPUTED_VALUE"""),"")</f>
        <v/>
      </c>
      <c r="L93" s="48"/>
      <c r="M93" s="46" t="s">
        <v>2002</v>
      </c>
    </row>
    <row r="94">
      <c r="A94" s="70">
        <f>IFERROR(__xludf.DUMMYFUNCTION("""COMPUTED_VALUE"""),9.560515597E9)</f>
        <v>9560515597</v>
      </c>
      <c r="B94" s="46" t="str">
        <f>IFERROR(__xludf.DUMMYFUNCTION("""COMPUTED_VALUE"""),"Sushma Kumari")</f>
        <v>Sushma Kumari</v>
      </c>
      <c r="C94" s="5" t="s">
        <v>2002</v>
      </c>
      <c r="D94" s="5"/>
      <c r="E94" s="5"/>
      <c r="F94" s="5"/>
      <c r="G94" s="5"/>
      <c r="H94" s="5"/>
      <c r="I94" s="5"/>
      <c r="J94" s="73"/>
      <c r="K94" s="75" t="str">
        <f>IFERROR(__xludf.DUMMYFUNCTION("""COMPUTED_VALUE"""),"")</f>
        <v/>
      </c>
      <c r="L94" s="48"/>
      <c r="M94" s="46" t="s">
        <v>2002</v>
      </c>
    </row>
    <row r="95">
      <c r="A95" s="70">
        <f>IFERROR(__xludf.DUMMYFUNCTION("""COMPUTED_VALUE"""),9.868150647E9)</f>
        <v>9868150647</v>
      </c>
      <c r="B95" s="46" t="str">
        <f>IFERROR(__xludf.DUMMYFUNCTION("""COMPUTED_VALUE"""),"Manju mehra")</f>
        <v>Manju mehra</v>
      </c>
      <c r="C95" s="5" t="s">
        <v>2002</v>
      </c>
      <c r="D95" s="5"/>
      <c r="E95" s="5"/>
      <c r="F95" s="5"/>
      <c r="G95" s="5"/>
      <c r="H95" s="5"/>
      <c r="I95" s="5"/>
      <c r="J95" s="73"/>
      <c r="K95" s="75" t="str">
        <f>IFERROR(__xludf.DUMMYFUNCTION("""COMPUTED_VALUE"""),"")</f>
        <v/>
      </c>
      <c r="L95" s="48"/>
      <c r="M95" s="46" t="s">
        <v>2002</v>
      </c>
    </row>
    <row r="96">
      <c r="A96" s="70">
        <f>IFERROR(__xludf.DUMMYFUNCTION("""COMPUTED_VALUE"""),7.862895786E9)</f>
        <v>7862895786</v>
      </c>
      <c r="B96" s="46" t="str">
        <f>IFERROR(__xludf.DUMMYFUNCTION("""COMPUTED_VALUE"""),"Saket")</f>
        <v>Saket</v>
      </c>
      <c r="C96" s="5" t="s">
        <v>2002</v>
      </c>
      <c r="D96" s="5"/>
      <c r="E96" s="5"/>
      <c r="F96" s="5"/>
      <c r="G96" s="5"/>
      <c r="H96" s="5"/>
      <c r="I96" s="5"/>
      <c r="J96" s="73"/>
      <c r="K96" s="75" t="str">
        <f>IFERROR(__xludf.DUMMYFUNCTION("""COMPUTED_VALUE"""),"")</f>
        <v/>
      </c>
      <c r="L96" s="48"/>
      <c r="M96" s="46" t="s">
        <v>2002</v>
      </c>
    </row>
    <row r="97">
      <c r="A97" s="70">
        <f>IFERROR(__xludf.DUMMYFUNCTION("""COMPUTED_VALUE"""),9.212517669E9)</f>
        <v>9212517669</v>
      </c>
      <c r="B97" s="46" t="str">
        <f>IFERROR(__xludf.DUMMYFUNCTION("""COMPUTED_VALUE"""),"Naveen")</f>
        <v>Naveen</v>
      </c>
      <c r="C97" s="5" t="s">
        <v>2002</v>
      </c>
      <c r="D97" s="5"/>
      <c r="E97" s="5"/>
      <c r="F97" s="5"/>
      <c r="G97" s="5"/>
      <c r="H97" s="5"/>
      <c r="I97" s="5"/>
      <c r="J97" s="73"/>
      <c r="K97" s="75" t="str">
        <f>IFERROR(__xludf.DUMMYFUNCTION("""COMPUTED_VALUE"""),"")</f>
        <v/>
      </c>
      <c r="L97" s="48"/>
      <c r="M97" s="46" t="s">
        <v>2002</v>
      </c>
    </row>
    <row r="98">
      <c r="A98" s="70">
        <f>IFERROR(__xludf.DUMMYFUNCTION("""COMPUTED_VALUE"""),9.82151433E9)</f>
        <v>9821514330</v>
      </c>
      <c r="B98" s="46" t="str">
        <f>IFERROR(__xludf.DUMMYFUNCTION("""COMPUTED_VALUE"""),"Kuljeetsingh")</f>
        <v>Kuljeetsingh</v>
      </c>
      <c r="C98" s="5" t="s">
        <v>2002</v>
      </c>
      <c r="D98" s="5"/>
      <c r="E98" s="5"/>
      <c r="F98" s="5"/>
      <c r="G98" s="5"/>
      <c r="H98" s="5"/>
      <c r="I98" s="5"/>
      <c r="J98" s="73"/>
      <c r="K98" s="75" t="str">
        <f>IFERROR(__xludf.DUMMYFUNCTION("""COMPUTED_VALUE"""),"")</f>
        <v/>
      </c>
      <c r="L98" s="48"/>
      <c r="M98" s="46" t="s">
        <v>2002</v>
      </c>
    </row>
    <row r="99">
      <c r="A99" s="70">
        <f>IFERROR(__xludf.DUMMYFUNCTION("""COMPUTED_VALUE"""),7.982891368E9)</f>
        <v>7982891368</v>
      </c>
      <c r="B99" s="46" t="str">
        <f>IFERROR(__xludf.DUMMYFUNCTION("""COMPUTED_VALUE"""),"Devender Singh")</f>
        <v>Devender Singh</v>
      </c>
      <c r="C99" s="5" t="s">
        <v>2002</v>
      </c>
      <c r="D99" s="5"/>
      <c r="E99" s="5"/>
      <c r="F99" s="5"/>
      <c r="G99" s="5"/>
      <c r="H99" s="5"/>
      <c r="I99" s="5"/>
      <c r="J99" s="73"/>
      <c r="K99" s="75" t="str">
        <f>IFERROR(__xludf.DUMMYFUNCTION("""COMPUTED_VALUE"""),"")</f>
        <v/>
      </c>
      <c r="L99" s="48"/>
      <c r="M99" s="46" t="s">
        <v>2002</v>
      </c>
    </row>
    <row r="100">
      <c r="A100" s="70">
        <f>IFERROR(__xludf.DUMMYFUNCTION("""COMPUTED_VALUE"""),9.311089867E9)</f>
        <v>9311089867</v>
      </c>
      <c r="B100" s="46" t="str">
        <f>IFERROR(__xludf.DUMMYFUNCTION("""COMPUTED_VALUE"""),"Asha Verma")</f>
        <v>Asha Verma</v>
      </c>
      <c r="C100" s="5" t="s">
        <v>2002</v>
      </c>
      <c r="D100" s="5"/>
      <c r="E100" s="5"/>
      <c r="F100" s="5"/>
      <c r="G100" s="5"/>
      <c r="H100" s="5"/>
      <c r="I100" s="5"/>
      <c r="J100" s="73"/>
      <c r="K100" s="75" t="str">
        <f>IFERROR(__xludf.DUMMYFUNCTION("""COMPUTED_VALUE"""),"")</f>
        <v/>
      </c>
      <c r="L100" s="48"/>
      <c r="M100" s="46" t="s">
        <v>2002</v>
      </c>
    </row>
    <row r="101">
      <c r="A101" s="70">
        <f>IFERROR(__xludf.DUMMYFUNCTION("""COMPUTED_VALUE"""),7.982220254E9)</f>
        <v>7982220254</v>
      </c>
      <c r="B101" s="46" t="str">
        <f>IFERROR(__xludf.DUMMYFUNCTION("""COMPUTED_VALUE"""),"Kavya")</f>
        <v>Kavya</v>
      </c>
      <c r="C101" s="5" t="s">
        <v>2002</v>
      </c>
      <c r="D101" s="5"/>
      <c r="E101" s="5"/>
      <c r="F101" s="5"/>
      <c r="G101" s="5"/>
      <c r="H101" s="5"/>
      <c r="I101" s="5"/>
      <c r="J101" s="73"/>
      <c r="K101" s="75" t="str">
        <f>IFERROR(__xludf.DUMMYFUNCTION("""COMPUTED_VALUE"""),"")</f>
        <v/>
      </c>
      <c r="L101" s="48"/>
      <c r="M101" s="46" t="s">
        <v>2002</v>
      </c>
    </row>
    <row r="102">
      <c r="A102" s="70">
        <f>IFERROR(__xludf.DUMMYFUNCTION("""COMPUTED_VALUE"""),9.213599845E9)</f>
        <v>9213599845</v>
      </c>
      <c r="B102" s="46" t="str">
        <f>IFERROR(__xludf.DUMMYFUNCTION("""COMPUTED_VALUE"""),"Ashok")</f>
        <v>Ashok</v>
      </c>
      <c r="C102" s="5" t="s">
        <v>2002</v>
      </c>
      <c r="D102" s="5"/>
      <c r="E102" s="5"/>
      <c r="F102" s="5"/>
      <c r="G102" s="5"/>
      <c r="H102" s="5"/>
      <c r="I102" s="5"/>
      <c r="J102" s="73"/>
      <c r="K102" s="75" t="str">
        <f>IFERROR(__xludf.DUMMYFUNCTION("""COMPUTED_VALUE"""),"")</f>
        <v/>
      </c>
      <c r="L102" s="48"/>
      <c r="M102" s="46" t="s">
        <v>2002</v>
      </c>
    </row>
    <row r="103">
      <c r="A103" s="70">
        <f>IFERROR(__xludf.DUMMYFUNCTION("""COMPUTED_VALUE"""),8.700977029E9)</f>
        <v>8700977029</v>
      </c>
      <c r="B103" s="46" t="str">
        <f>IFERROR(__xludf.DUMMYFUNCTION("""COMPUTED_VALUE"""),"Deeksha Dhiman")</f>
        <v>Deeksha Dhiman</v>
      </c>
      <c r="C103" s="5" t="s">
        <v>2002</v>
      </c>
      <c r="D103" s="5"/>
      <c r="E103" s="5"/>
      <c r="F103" s="5"/>
      <c r="G103" s="5"/>
      <c r="H103" s="5"/>
      <c r="I103" s="5"/>
      <c r="J103" s="73"/>
      <c r="K103" s="75" t="str">
        <f>IFERROR(__xludf.DUMMYFUNCTION("""COMPUTED_VALUE"""),"")</f>
        <v/>
      </c>
      <c r="L103" s="48"/>
      <c r="M103" s="46" t="s">
        <v>2002</v>
      </c>
    </row>
    <row r="104">
      <c r="A104" s="70">
        <f>IFERROR(__xludf.DUMMYFUNCTION("""COMPUTED_VALUE"""),9.811661191E9)</f>
        <v>9811661191</v>
      </c>
      <c r="B104" s="46" t="str">
        <f>IFERROR(__xludf.DUMMYFUNCTION("""COMPUTED_VALUE"""),"Ak sehgal")</f>
        <v>Ak sehgal</v>
      </c>
      <c r="C104" s="5" t="s">
        <v>2002</v>
      </c>
      <c r="D104" s="5"/>
      <c r="E104" s="5"/>
      <c r="F104" s="5"/>
      <c r="G104" s="5"/>
      <c r="H104" s="5"/>
      <c r="I104" s="5"/>
      <c r="J104" s="73"/>
      <c r="K104" s="75" t="str">
        <f>IFERROR(__xludf.DUMMYFUNCTION("""COMPUTED_VALUE"""),"")</f>
        <v/>
      </c>
      <c r="L104" s="48"/>
      <c r="M104" s="46" t="s">
        <v>2002</v>
      </c>
    </row>
    <row r="105">
      <c r="A105" s="70">
        <f>IFERROR(__xludf.DUMMYFUNCTION("""COMPUTED_VALUE"""),8.799722173E9)</f>
        <v>8799722173</v>
      </c>
      <c r="B105" s="46" t="str">
        <f>IFERROR(__xludf.DUMMYFUNCTION("""COMPUTED_VALUE"""),"Pinkey")</f>
        <v>Pinkey</v>
      </c>
      <c r="C105" s="5" t="s">
        <v>2002</v>
      </c>
      <c r="D105" s="5"/>
      <c r="E105" s="5"/>
      <c r="F105" s="5"/>
      <c r="G105" s="5"/>
      <c r="H105" s="5"/>
      <c r="I105" s="5"/>
      <c r="J105" s="73"/>
      <c r="K105" s="75" t="str">
        <f>IFERROR(__xludf.DUMMYFUNCTION("""COMPUTED_VALUE"""),"")</f>
        <v/>
      </c>
      <c r="L105" s="48"/>
      <c r="M105" s="46" t="s">
        <v>2002</v>
      </c>
    </row>
    <row r="106">
      <c r="A106" s="70">
        <f>IFERROR(__xludf.DUMMYFUNCTION("""COMPUTED_VALUE"""),9.910368195E9)</f>
        <v>9910368195</v>
      </c>
      <c r="B106" s="46" t="str">
        <f>IFERROR(__xludf.DUMMYFUNCTION("""COMPUTED_VALUE"""),"Nidhi tomar")</f>
        <v>Nidhi tomar</v>
      </c>
      <c r="C106" s="5" t="s">
        <v>2002</v>
      </c>
      <c r="D106" s="5"/>
      <c r="E106" s="5"/>
      <c r="F106" s="5"/>
      <c r="G106" s="5"/>
      <c r="H106" s="5"/>
      <c r="I106" s="5"/>
      <c r="J106" s="73"/>
      <c r="K106" s="75" t="str">
        <f>IFERROR(__xludf.DUMMYFUNCTION("""COMPUTED_VALUE"""),"")</f>
        <v/>
      </c>
      <c r="L106" s="48"/>
      <c r="M106" s="46" t="s">
        <v>2002</v>
      </c>
    </row>
    <row r="107">
      <c r="A107" s="70">
        <f>IFERROR(__xludf.DUMMYFUNCTION("""COMPUTED_VALUE"""),7.827743525E9)</f>
        <v>7827743525</v>
      </c>
      <c r="B107" s="46" t="str">
        <f>IFERROR(__xludf.DUMMYFUNCTION("""COMPUTED_VALUE"""),"Anita Chaudhary ")</f>
        <v>Anita Chaudhary </v>
      </c>
      <c r="C107" s="5" t="s">
        <v>2002</v>
      </c>
      <c r="D107" s="5"/>
      <c r="E107" s="5"/>
      <c r="F107" s="5"/>
      <c r="G107" s="5"/>
      <c r="H107" s="5"/>
      <c r="I107" s="5"/>
      <c r="J107" s="73"/>
      <c r="K107" s="75" t="str">
        <f>IFERROR(__xludf.DUMMYFUNCTION("""COMPUTED_VALUE"""),"")</f>
        <v/>
      </c>
      <c r="L107" s="48"/>
      <c r="M107" s="46" t="s">
        <v>2002</v>
      </c>
    </row>
    <row r="108">
      <c r="A108" s="70">
        <f>IFERROR(__xludf.DUMMYFUNCTION("""COMPUTED_VALUE"""),9.4030017E9)</f>
        <v>9403001700</v>
      </c>
      <c r="B108" s="46" t="str">
        <f>IFERROR(__xludf.DUMMYFUNCTION("""COMPUTED_VALUE"""),"Roma devi")</f>
        <v>Roma devi</v>
      </c>
      <c r="C108" s="5" t="s">
        <v>2002</v>
      </c>
      <c r="D108" s="5"/>
      <c r="E108" s="5"/>
      <c r="F108" s="5"/>
      <c r="G108" s="5"/>
      <c r="H108" s="5"/>
      <c r="I108" s="5"/>
      <c r="J108" s="73"/>
      <c r="K108" s="75" t="str">
        <f>IFERROR(__xludf.DUMMYFUNCTION("""COMPUTED_VALUE"""),"")</f>
        <v/>
      </c>
      <c r="L108" s="48"/>
      <c r="M108" s="46" t="s">
        <v>2002</v>
      </c>
    </row>
    <row r="109">
      <c r="A109" s="70">
        <f>IFERROR(__xludf.DUMMYFUNCTION("""COMPUTED_VALUE"""),9.818713799E9)</f>
        <v>9818713799</v>
      </c>
      <c r="B109" s="46" t="str">
        <f>IFERROR(__xludf.DUMMYFUNCTION("""COMPUTED_VALUE"""),"Ritesh")</f>
        <v>Ritesh</v>
      </c>
      <c r="C109" s="5" t="s">
        <v>2002</v>
      </c>
      <c r="D109" s="5"/>
      <c r="E109" s="5"/>
      <c r="F109" s="5"/>
      <c r="G109" s="5"/>
      <c r="H109" s="5"/>
      <c r="I109" s="5"/>
      <c r="J109" s="73"/>
      <c r="K109" s="75" t="str">
        <f>IFERROR(__xludf.DUMMYFUNCTION("""COMPUTED_VALUE"""),"")</f>
        <v/>
      </c>
      <c r="L109" s="48"/>
      <c r="M109" s="46" t="s">
        <v>2002</v>
      </c>
    </row>
    <row r="110">
      <c r="A110" s="70">
        <f>IFERROR(__xludf.DUMMYFUNCTION("""COMPUTED_VALUE"""),8.882083128E9)</f>
        <v>8882083128</v>
      </c>
      <c r="B110" s="46" t="str">
        <f>IFERROR(__xludf.DUMMYFUNCTION("""COMPUTED_VALUE"""),"Chanda")</f>
        <v>Chanda</v>
      </c>
      <c r="C110" s="5" t="s">
        <v>2002</v>
      </c>
      <c r="D110" s="5"/>
      <c r="E110" s="5"/>
      <c r="F110" s="5"/>
      <c r="G110" s="5"/>
      <c r="H110" s="5"/>
      <c r="I110" s="5"/>
      <c r="J110" s="73"/>
      <c r="K110" s="75" t="str">
        <f>IFERROR(__xludf.DUMMYFUNCTION("""COMPUTED_VALUE"""),"")</f>
        <v/>
      </c>
      <c r="L110" s="48"/>
      <c r="M110" s="46" t="s">
        <v>2002</v>
      </c>
    </row>
    <row r="111">
      <c r="A111" s="70">
        <f>IFERROR(__xludf.DUMMYFUNCTION("""COMPUTED_VALUE"""),7.703867722E9)</f>
        <v>7703867722</v>
      </c>
      <c r="B111" s="46" t="str">
        <f>IFERROR(__xludf.DUMMYFUNCTION("""COMPUTED_VALUE"""),"Nikhat")</f>
        <v>Nikhat</v>
      </c>
      <c r="C111" s="5" t="s">
        <v>2002</v>
      </c>
      <c r="D111" s="5"/>
      <c r="E111" s="5"/>
      <c r="F111" s="5"/>
      <c r="G111" s="5"/>
      <c r="H111" s="5"/>
      <c r="I111" s="5"/>
      <c r="J111" s="73"/>
      <c r="K111" s="75" t="str">
        <f>IFERROR(__xludf.DUMMYFUNCTION("""COMPUTED_VALUE"""),"")</f>
        <v/>
      </c>
      <c r="L111" s="48"/>
      <c r="M111" s="46" t="s">
        <v>2002</v>
      </c>
    </row>
    <row r="112">
      <c r="A112" s="70">
        <f>IFERROR(__xludf.DUMMYFUNCTION("""COMPUTED_VALUE"""),7.503214251E9)</f>
        <v>7503214251</v>
      </c>
      <c r="B112" s="46" t="str">
        <f>IFERROR(__xludf.DUMMYFUNCTION("""COMPUTED_VALUE"""),"Anju")</f>
        <v>Anju</v>
      </c>
      <c r="C112" s="5" t="s">
        <v>2002</v>
      </c>
      <c r="D112" s="5"/>
      <c r="E112" s="5"/>
      <c r="F112" s="5"/>
      <c r="G112" s="5"/>
      <c r="H112" s="5"/>
      <c r="I112" s="5"/>
      <c r="J112" s="73"/>
      <c r="K112" s="75" t="str">
        <f>IFERROR(__xludf.DUMMYFUNCTION("""COMPUTED_VALUE"""),"")</f>
        <v/>
      </c>
      <c r="L112" s="48"/>
      <c r="M112" s="46" t="s">
        <v>2002</v>
      </c>
    </row>
    <row r="113">
      <c r="A113" s="70">
        <f>IFERROR(__xludf.DUMMYFUNCTION("""COMPUTED_VALUE"""),9.873410316E9)</f>
        <v>9873410316</v>
      </c>
      <c r="B113" s="46" t="str">
        <f>IFERROR(__xludf.DUMMYFUNCTION("""COMPUTED_VALUE"""),"Sona majumdar")</f>
        <v>Sona majumdar</v>
      </c>
      <c r="C113" s="5" t="s">
        <v>2002</v>
      </c>
      <c r="D113" s="5"/>
      <c r="E113" s="5"/>
      <c r="F113" s="5"/>
      <c r="G113" s="5"/>
      <c r="H113" s="5"/>
      <c r="I113" s="5"/>
      <c r="J113" s="73"/>
      <c r="K113" s="75" t="str">
        <f>IFERROR(__xludf.DUMMYFUNCTION("""COMPUTED_VALUE"""),"")</f>
        <v/>
      </c>
      <c r="L113" s="48"/>
      <c r="M113" s="46" t="s">
        <v>2002</v>
      </c>
    </row>
    <row r="114">
      <c r="A114" s="70">
        <f>IFERROR(__xludf.DUMMYFUNCTION("""COMPUTED_VALUE"""),9.810432902E9)</f>
        <v>9810432902</v>
      </c>
      <c r="B114" s="46" t="str">
        <f>IFERROR(__xludf.DUMMYFUNCTION("""COMPUTED_VALUE"""),"Vinay jain ")</f>
        <v>Vinay jain </v>
      </c>
      <c r="C114" s="5" t="s">
        <v>2002</v>
      </c>
      <c r="D114" s="5"/>
      <c r="E114" s="5"/>
      <c r="F114" s="5"/>
      <c r="G114" s="5"/>
      <c r="H114" s="5"/>
      <c r="I114" s="5"/>
      <c r="J114" s="73"/>
      <c r="K114" s="75" t="str">
        <f>IFERROR(__xludf.DUMMYFUNCTION("""COMPUTED_VALUE"""),"")</f>
        <v/>
      </c>
      <c r="L114" s="48"/>
      <c r="M114" s="46" t="s">
        <v>2002</v>
      </c>
    </row>
    <row r="115">
      <c r="A115" s="70">
        <f>IFERROR(__xludf.DUMMYFUNCTION("""COMPUTED_VALUE"""),7.982334384E9)</f>
        <v>7982334384</v>
      </c>
      <c r="B115" s="46" t="str">
        <f>IFERROR(__xludf.DUMMYFUNCTION("""COMPUTED_VALUE"""),"Ekta")</f>
        <v>Ekta</v>
      </c>
      <c r="C115" s="5" t="s">
        <v>2002</v>
      </c>
      <c r="D115" s="5"/>
      <c r="E115" s="5"/>
      <c r="F115" s="5"/>
      <c r="G115" s="5"/>
      <c r="H115" s="5"/>
      <c r="I115" s="5"/>
      <c r="J115" s="73"/>
      <c r="K115" s="75" t="str">
        <f>IFERROR(__xludf.DUMMYFUNCTION("""COMPUTED_VALUE"""),"")</f>
        <v/>
      </c>
      <c r="L115" s="48"/>
      <c r="M115" s="46" t="s">
        <v>2002</v>
      </c>
    </row>
    <row r="116">
      <c r="A116" s="70">
        <f>IFERROR(__xludf.DUMMYFUNCTION("""COMPUTED_VALUE"""),9.810156736E9)</f>
        <v>9810156736</v>
      </c>
      <c r="B116" s="46" t="str">
        <f>IFERROR(__xludf.DUMMYFUNCTION("""COMPUTED_VALUE"""),"Reji ")</f>
        <v>Reji </v>
      </c>
      <c r="C116" s="5" t="s">
        <v>2002</v>
      </c>
      <c r="D116" s="5"/>
      <c r="E116" s="5"/>
      <c r="F116" s="5"/>
      <c r="G116" s="5"/>
      <c r="H116" s="5"/>
      <c r="I116" s="5"/>
      <c r="J116" s="73"/>
      <c r="K116" s="75" t="str">
        <f>IFERROR(__xludf.DUMMYFUNCTION("""COMPUTED_VALUE"""),"")</f>
        <v/>
      </c>
      <c r="L116" s="48"/>
      <c r="M116" s="46" t="s">
        <v>2002</v>
      </c>
    </row>
    <row r="117">
      <c r="A117" s="70">
        <f>IFERROR(__xludf.DUMMYFUNCTION("""COMPUTED_VALUE"""),9.818468666E9)</f>
        <v>9818468666</v>
      </c>
      <c r="B117" s="46" t="str">
        <f>IFERROR(__xludf.DUMMYFUNCTION("""COMPUTED_VALUE"""),"Varsha jain")</f>
        <v>Varsha jain</v>
      </c>
      <c r="C117" s="5" t="s">
        <v>2002</v>
      </c>
      <c r="D117" s="5"/>
      <c r="E117" s="5"/>
      <c r="F117" s="5"/>
      <c r="G117" s="5"/>
      <c r="H117" s="5"/>
      <c r="I117" s="5"/>
      <c r="J117" s="73"/>
      <c r="K117" s="75" t="str">
        <f>IFERROR(__xludf.DUMMYFUNCTION("""COMPUTED_VALUE"""),"")</f>
        <v/>
      </c>
      <c r="L117" s="48"/>
      <c r="M117" s="46" t="s">
        <v>2002</v>
      </c>
    </row>
    <row r="118">
      <c r="A118" s="70">
        <f>IFERROR(__xludf.DUMMYFUNCTION("""COMPUTED_VALUE"""),8.368568171E9)</f>
        <v>8368568171</v>
      </c>
      <c r="B118" s="46" t="str">
        <f>IFERROR(__xludf.DUMMYFUNCTION("""COMPUTED_VALUE"""),"Ms. Jain")</f>
        <v>Ms. Jain</v>
      </c>
      <c r="C118" s="5" t="s">
        <v>2002</v>
      </c>
      <c r="D118" s="5"/>
      <c r="E118" s="5"/>
      <c r="F118" s="5"/>
      <c r="G118" s="5"/>
      <c r="H118" s="5"/>
      <c r="I118" s="5"/>
      <c r="J118" s="73"/>
      <c r="K118" s="75" t="str">
        <f>IFERROR(__xludf.DUMMYFUNCTION("""COMPUTED_VALUE"""),"")</f>
        <v/>
      </c>
      <c r="L118" s="48"/>
      <c r="M118" s="46" t="s">
        <v>2002</v>
      </c>
    </row>
    <row r="119">
      <c r="A119" s="70">
        <f>IFERROR(__xludf.DUMMYFUNCTION("""COMPUTED_VALUE"""),9.315928317E9)</f>
        <v>9315928317</v>
      </c>
      <c r="B119" s="46" t="str">
        <f>IFERROR(__xludf.DUMMYFUNCTION("""COMPUTED_VALUE"""),"Kanika Khanna")</f>
        <v>Kanika Khanna</v>
      </c>
      <c r="C119" s="5" t="s">
        <v>2002</v>
      </c>
      <c r="D119" s="5"/>
      <c r="E119" s="5"/>
      <c r="F119" s="5"/>
      <c r="G119" s="5"/>
      <c r="H119" s="5"/>
      <c r="I119" s="5"/>
      <c r="J119" s="73"/>
      <c r="K119" s="75" t="str">
        <f>IFERROR(__xludf.DUMMYFUNCTION("""COMPUTED_VALUE"""),"")</f>
        <v/>
      </c>
      <c r="L119" s="48"/>
      <c r="M119" s="46" t="s">
        <v>2002</v>
      </c>
    </row>
    <row r="120">
      <c r="A120" s="70">
        <f>IFERROR(__xludf.DUMMYFUNCTION("""COMPUTED_VALUE"""),9.958082239E9)</f>
        <v>9958082239</v>
      </c>
      <c r="B120" s="46" t="str">
        <f>IFERROR(__xludf.DUMMYFUNCTION("""COMPUTED_VALUE"""),"kiran")</f>
        <v>kiran</v>
      </c>
      <c r="C120" s="5" t="s">
        <v>2002</v>
      </c>
      <c r="D120" s="5"/>
      <c r="E120" s="5"/>
      <c r="F120" s="5"/>
      <c r="G120" s="5"/>
      <c r="H120" s="5"/>
      <c r="I120" s="5"/>
      <c r="J120" s="73"/>
      <c r="K120" s="75" t="str">
        <f>IFERROR(__xludf.DUMMYFUNCTION("""COMPUTED_VALUE"""),"")</f>
        <v/>
      </c>
      <c r="L120" s="48"/>
      <c r="M120" s="46" t="s">
        <v>2002</v>
      </c>
    </row>
    <row r="121">
      <c r="A121" s="70">
        <f>IFERROR(__xludf.DUMMYFUNCTION("""COMPUTED_VALUE"""),9.811011E9)</f>
        <v>9811011000</v>
      </c>
      <c r="B121" s="46"/>
      <c r="C121" s="5" t="s">
        <v>2002</v>
      </c>
      <c r="D121" s="5"/>
      <c r="E121" s="5"/>
      <c r="F121" s="5"/>
      <c r="G121" s="5"/>
      <c r="H121" s="5"/>
      <c r="I121" s="5"/>
      <c r="J121" s="73"/>
      <c r="K121" s="75" t="str">
        <f>IFERROR(__xludf.DUMMYFUNCTION("""COMPUTED_VALUE"""),"")</f>
        <v/>
      </c>
      <c r="L121" s="48"/>
      <c r="M121" s="46" t="s">
        <v>2002</v>
      </c>
    </row>
    <row r="122">
      <c r="A122" s="70">
        <f>IFERROR(__xludf.DUMMYFUNCTION("""COMPUTED_VALUE"""),9.350223438E9)</f>
        <v>9350223438</v>
      </c>
      <c r="B122" s="46" t="str">
        <f>IFERROR(__xludf.DUMMYFUNCTION("""COMPUTED_VALUE"""),"Manish Tiwari")</f>
        <v>Manish Tiwari</v>
      </c>
      <c r="C122" s="5" t="s">
        <v>2002</v>
      </c>
      <c r="D122" s="5"/>
      <c r="E122" s="5"/>
      <c r="F122" s="5"/>
      <c r="G122" s="5"/>
      <c r="H122" s="5"/>
      <c r="I122" s="5"/>
      <c r="J122" s="73"/>
      <c r="K122" s="75" t="str">
        <f>IFERROR(__xludf.DUMMYFUNCTION("""COMPUTED_VALUE"""),"")</f>
        <v/>
      </c>
      <c r="L122" s="48"/>
      <c r="M122" s="46" t="s">
        <v>2002</v>
      </c>
    </row>
    <row r="123">
      <c r="A123" s="70">
        <f>IFERROR(__xludf.DUMMYFUNCTION("""COMPUTED_VALUE"""),9.868381528E9)</f>
        <v>9868381528</v>
      </c>
      <c r="B123" s="46" t="str">
        <f>IFERROR(__xludf.DUMMYFUNCTION("""COMPUTED_VALUE"""),"Anita")</f>
        <v>Anita</v>
      </c>
      <c r="C123" s="5" t="s">
        <v>2002</v>
      </c>
      <c r="D123" s="5"/>
      <c r="E123" s="5"/>
      <c r="F123" s="5"/>
      <c r="G123" s="5"/>
      <c r="H123" s="5"/>
      <c r="I123" s="5"/>
      <c r="J123" s="73"/>
      <c r="K123" s="75" t="str">
        <f>IFERROR(__xludf.DUMMYFUNCTION("""COMPUTED_VALUE"""),"")</f>
        <v/>
      </c>
      <c r="L123" s="48"/>
      <c r="M123" s="46" t="s">
        <v>2002</v>
      </c>
    </row>
    <row r="124">
      <c r="A124" s="70">
        <f>IFERROR(__xludf.DUMMYFUNCTION("""COMPUTED_VALUE"""),7.906204355E9)</f>
        <v>7906204355</v>
      </c>
      <c r="B124" s="46" t="str">
        <f>IFERROR(__xludf.DUMMYFUNCTION("""COMPUTED_VALUE"""),"Amit soni")</f>
        <v>Amit soni</v>
      </c>
      <c r="C124" s="5" t="s">
        <v>2002</v>
      </c>
      <c r="D124" s="5"/>
      <c r="E124" s="5"/>
      <c r="F124" s="5"/>
      <c r="G124" s="5"/>
      <c r="H124" s="5"/>
      <c r="I124" s="5"/>
      <c r="J124" s="73"/>
      <c r="K124" s="75" t="str">
        <f>IFERROR(__xludf.DUMMYFUNCTION("""COMPUTED_VALUE"""),"")</f>
        <v/>
      </c>
      <c r="L124" s="48"/>
      <c r="M124" s="46" t="s">
        <v>2002</v>
      </c>
    </row>
    <row r="125">
      <c r="A125" s="70">
        <f>IFERROR(__xludf.DUMMYFUNCTION("""COMPUTED_VALUE"""),9.871474947E9)</f>
        <v>9871474947</v>
      </c>
      <c r="B125" s="46" t="str">
        <f>IFERROR(__xludf.DUMMYFUNCTION("""COMPUTED_VALUE"""),"Aman kumar")</f>
        <v>Aman kumar</v>
      </c>
      <c r="C125" s="5" t="s">
        <v>2002</v>
      </c>
      <c r="D125" s="5"/>
      <c r="E125" s="5"/>
      <c r="F125" s="5"/>
      <c r="G125" s="5"/>
      <c r="H125" s="5"/>
      <c r="I125" s="5"/>
      <c r="J125" s="73"/>
      <c r="K125" s="75" t="str">
        <f>IFERROR(__xludf.DUMMYFUNCTION("""COMPUTED_VALUE"""),"")</f>
        <v/>
      </c>
      <c r="L125" s="48"/>
      <c r="M125" s="46" t="s">
        <v>2002</v>
      </c>
    </row>
    <row r="126">
      <c r="A126" s="70">
        <f>IFERROR(__xludf.DUMMYFUNCTION("""COMPUTED_VALUE"""),9.266778087E9)</f>
        <v>9266778087</v>
      </c>
      <c r="B126" s="46" t="str">
        <f>IFERROR(__xludf.DUMMYFUNCTION("""COMPUTED_VALUE"""),"Kanhaya")</f>
        <v>Kanhaya</v>
      </c>
      <c r="C126" s="5" t="s">
        <v>2002</v>
      </c>
      <c r="D126" s="5"/>
      <c r="E126" s="5"/>
      <c r="F126" s="5"/>
      <c r="G126" s="5"/>
      <c r="H126" s="5"/>
      <c r="I126" s="5"/>
      <c r="J126" s="73"/>
      <c r="K126" s="75" t="str">
        <f>IFERROR(__xludf.DUMMYFUNCTION("""COMPUTED_VALUE"""),"")</f>
        <v/>
      </c>
      <c r="L126" s="48"/>
      <c r="M126" s="46" t="s">
        <v>2002</v>
      </c>
    </row>
    <row r="127">
      <c r="A127" s="70">
        <f>IFERROR(__xludf.DUMMYFUNCTION("""COMPUTED_VALUE"""),9.81199222E9)</f>
        <v>9811992220</v>
      </c>
      <c r="B127" s="46" t="str">
        <f>IFERROR(__xludf.DUMMYFUNCTION("""COMPUTED_VALUE"""),"sonali Gupta")</f>
        <v>sonali Gupta</v>
      </c>
      <c r="C127" s="5" t="s">
        <v>2002</v>
      </c>
      <c r="D127" s="5"/>
      <c r="E127" s="5"/>
      <c r="F127" s="5"/>
      <c r="G127" s="5"/>
      <c r="H127" s="5"/>
      <c r="I127" s="5"/>
      <c r="J127" s="73"/>
      <c r="K127" s="75" t="str">
        <f>IFERROR(__xludf.DUMMYFUNCTION("""COMPUTED_VALUE"""),"")</f>
        <v/>
      </c>
      <c r="L127" s="48"/>
      <c r="M127" s="46" t="s">
        <v>2002</v>
      </c>
    </row>
    <row r="128">
      <c r="A128" s="70">
        <f>IFERROR(__xludf.DUMMYFUNCTION("""COMPUTED_VALUE"""),9.810828927E9)</f>
        <v>9810828927</v>
      </c>
      <c r="B128" s="46" t="str">
        <f>IFERROR(__xludf.DUMMYFUNCTION("""COMPUTED_VALUE"""),"Kunjanm Kaur")</f>
        <v>Kunjanm Kaur</v>
      </c>
      <c r="C128" s="5" t="s">
        <v>2002</v>
      </c>
      <c r="D128" s="5"/>
      <c r="E128" s="5"/>
      <c r="F128" s="5"/>
      <c r="G128" s="5"/>
      <c r="H128" s="5"/>
      <c r="I128" s="5"/>
      <c r="J128" s="73"/>
      <c r="K128" s="75" t="str">
        <f>IFERROR(__xludf.DUMMYFUNCTION("""COMPUTED_VALUE"""),"")</f>
        <v/>
      </c>
      <c r="L128" s="48"/>
      <c r="M128" s="46" t="s">
        <v>2002</v>
      </c>
    </row>
    <row r="129">
      <c r="A129" s="70">
        <f>IFERROR(__xludf.DUMMYFUNCTION("""COMPUTED_VALUE"""),9.015383758E9)</f>
        <v>9015383758</v>
      </c>
      <c r="B129" s="46" t="str">
        <f>IFERROR(__xludf.DUMMYFUNCTION("""COMPUTED_VALUE"""),"Hema Goel")</f>
        <v>Hema Goel</v>
      </c>
      <c r="C129" s="5" t="s">
        <v>2002</v>
      </c>
      <c r="D129" s="5"/>
      <c r="E129" s="5"/>
      <c r="F129" s="5"/>
      <c r="G129" s="5"/>
      <c r="H129" s="5"/>
      <c r="I129" s="5"/>
      <c r="J129" s="73"/>
      <c r="K129" s="75" t="str">
        <f>IFERROR(__xludf.DUMMYFUNCTION("""COMPUTED_VALUE"""),"")</f>
        <v/>
      </c>
      <c r="L129" s="48"/>
      <c r="M129" s="46" t="s">
        <v>2002</v>
      </c>
    </row>
    <row r="130">
      <c r="A130" s="70">
        <f>IFERROR(__xludf.DUMMYFUNCTION("""COMPUTED_VALUE"""),9.711383909E9)</f>
        <v>9711383909</v>
      </c>
      <c r="B130" s="46" t="str">
        <f>IFERROR(__xludf.DUMMYFUNCTION("""COMPUTED_VALUE"""),"Anita")</f>
        <v>Anita</v>
      </c>
      <c r="C130" s="5" t="s">
        <v>2002</v>
      </c>
      <c r="D130" s="5"/>
      <c r="E130" s="5"/>
      <c r="F130" s="5"/>
      <c r="G130" s="5"/>
      <c r="H130" s="5"/>
      <c r="I130" s="5"/>
      <c r="J130" s="73"/>
      <c r="K130" s="75" t="str">
        <f>IFERROR(__xludf.DUMMYFUNCTION("""COMPUTED_VALUE"""),"")</f>
        <v/>
      </c>
      <c r="L130" s="48"/>
      <c r="M130" s="46" t="s">
        <v>2002</v>
      </c>
    </row>
    <row r="131">
      <c r="A131" s="70">
        <f>IFERROR(__xludf.DUMMYFUNCTION("""COMPUTED_VALUE"""),9.868323227E9)</f>
        <v>9868323227</v>
      </c>
      <c r="B131" s="46" t="str">
        <f>IFERROR(__xludf.DUMMYFUNCTION("""COMPUTED_VALUE"""),"Pradeep")</f>
        <v>Pradeep</v>
      </c>
      <c r="C131" s="5" t="s">
        <v>2002</v>
      </c>
      <c r="D131" s="5"/>
      <c r="E131" s="5"/>
      <c r="F131" s="5"/>
      <c r="G131" s="5"/>
      <c r="H131" s="5"/>
      <c r="I131" s="5"/>
      <c r="J131" s="73"/>
      <c r="K131" s="75" t="str">
        <f>IFERROR(__xludf.DUMMYFUNCTION("""COMPUTED_VALUE"""),"")</f>
        <v/>
      </c>
      <c r="L131" s="48"/>
      <c r="M131" s="46" t="s">
        <v>2002</v>
      </c>
    </row>
    <row r="132">
      <c r="A132" s="70">
        <f>IFERROR(__xludf.DUMMYFUNCTION("""COMPUTED_VALUE"""),9.911819068E9)</f>
        <v>9911819068</v>
      </c>
      <c r="B132" s="46" t="str">
        <f>IFERROR(__xludf.DUMMYFUNCTION("""COMPUTED_VALUE"""),"Kamal")</f>
        <v>Kamal</v>
      </c>
      <c r="C132" s="5" t="s">
        <v>2002</v>
      </c>
      <c r="D132" s="5"/>
      <c r="E132" s="5"/>
      <c r="F132" s="5"/>
      <c r="G132" s="5"/>
      <c r="H132" s="5"/>
      <c r="I132" s="5"/>
      <c r="J132" s="73"/>
      <c r="K132" s="75" t="str">
        <f>IFERROR(__xludf.DUMMYFUNCTION("""COMPUTED_VALUE"""),"")</f>
        <v/>
      </c>
      <c r="L132" s="48"/>
      <c r="M132" s="46" t="s">
        <v>2002</v>
      </c>
    </row>
    <row r="133">
      <c r="A133" s="70">
        <f>IFERROR(__xludf.DUMMYFUNCTION("""COMPUTED_VALUE"""),9.971743E9)</f>
        <v>9971743000</v>
      </c>
      <c r="B133" s="46" t="str">
        <f>IFERROR(__xludf.DUMMYFUNCTION("""COMPUTED_VALUE"""),"Anisha")</f>
        <v>Anisha</v>
      </c>
      <c r="C133" s="5" t="s">
        <v>2002</v>
      </c>
      <c r="D133" s="5"/>
      <c r="E133" s="5"/>
      <c r="F133" s="5"/>
      <c r="G133" s="5"/>
      <c r="H133" s="5"/>
      <c r="I133" s="5"/>
      <c r="J133" s="73"/>
      <c r="K133" s="75" t="str">
        <f>IFERROR(__xludf.DUMMYFUNCTION("""COMPUTED_VALUE"""),"")</f>
        <v/>
      </c>
      <c r="L133" s="48"/>
      <c r="M133" s="46" t="s">
        <v>2002</v>
      </c>
    </row>
    <row r="134">
      <c r="A134" s="70">
        <f>IFERROR(__xludf.DUMMYFUNCTION("""COMPUTED_VALUE"""),9.318181843E9)</f>
        <v>9318181843</v>
      </c>
      <c r="B134" s="46" t="str">
        <f>IFERROR(__xludf.DUMMYFUNCTION("""COMPUTED_VALUE"""),"Akshat Jain")</f>
        <v>Akshat Jain</v>
      </c>
      <c r="C134" s="5" t="s">
        <v>2002</v>
      </c>
      <c r="D134" s="5"/>
      <c r="E134" s="5"/>
      <c r="F134" s="5"/>
      <c r="G134" s="5"/>
      <c r="H134" s="5"/>
      <c r="I134" s="5"/>
      <c r="J134" s="73"/>
      <c r="K134" s="75" t="str">
        <f>IFERROR(__xludf.DUMMYFUNCTION("""COMPUTED_VALUE"""),"")</f>
        <v/>
      </c>
      <c r="L134" s="48"/>
      <c r="M134" s="46" t="s">
        <v>2002</v>
      </c>
    </row>
    <row r="135">
      <c r="A135" s="70">
        <f>IFERROR(__xludf.DUMMYFUNCTION("""COMPUTED_VALUE"""),8.470005997E9)</f>
        <v>8470005997</v>
      </c>
      <c r="B135" s="46" t="str">
        <f>IFERROR(__xludf.DUMMYFUNCTION("""COMPUTED_VALUE"""),"Yashita")</f>
        <v>Yashita</v>
      </c>
      <c r="C135" s="5" t="s">
        <v>2002</v>
      </c>
      <c r="D135" s="5"/>
      <c r="E135" s="5"/>
      <c r="F135" s="5"/>
      <c r="G135" s="5"/>
      <c r="H135" s="5"/>
      <c r="I135" s="5"/>
      <c r="J135" s="73"/>
      <c r="K135" s="75" t="str">
        <f>IFERROR(__xludf.DUMMYFUNCTION("""COMPUTED_VALUE"""),"")</f>
        <v/>
      </c>
      <c r="L135" s="48"/>
      <c r="M135" s="46" t="s">
        <v>2002</v>
      </c>
    </row>
    <row r="136">
      <c r="A136" s="70">
        <f>IFERROR(__xludf.DUMMYFUNCTION("""COMPUTED_VALUE"""),9.861990218E9)</f>
        <v>9861990218</v>
      </c>
      <c r="B136" s="46" t="str">
        <f>IFERROR(__xludf.DUMMYFUNCTION("""COMPUTED_VALUE"""),"lovely malik")</f>
        <v>lovely malik</v>
      </c>
      <c r="C136" s="5" t="s">
        <v>2002</v>
      </c>
      <c r="D136" s="5"/>
      <c r="E136" s="5"/>
      <c r="F136" s="5"/>
      <c r="G136" s="5"/>
      <c r="H136" s="5"/>
      <c r="I136" s="5"/>
      <c r="J136" s="73"/>
      <c r="K136" s="75" t="str">
        <f>IFERROR(__xludf.DUMMYFUNCTION("""COMPUTED_VALUE"""),"")</f>
        <v/>
      </c>
      <c r="L136" s="48"/>
      <c r="M136" s="46" t="s">
        <v>2002</v>
      </c>
    </row>
    <row r="137">
      <c r="A137" s="70">
        <f>IFERROR(__xludf.DUMMYFUNCTION("""COMPUTED_VALUE"""),9.910705306E9)</f>
        <v>9910705306</v>
      </c>
      <c r="B137" s="46" t="str">
        <f>IFERROR(__xludf.DUMMYFUNCTION("""COMPUTED_VALUE"""),"Ashok bansal")</f>
        <v>Ashok bansal</v>
      </c>
      <c r="C137" s="5" t="s">
        <v>2002</v>
      </c>
      <c r="D137" s="5"/>
      <c r="E137" s="5"/>
      <c r="F137" s="5"/>
      <c r="G137" s="5"/>
      <c r="H137" s="5"/>
      <c r="I137" s="5"/>
      <c r="J137" s="73"/>
      <c r="K137" s="75" t="str">
        <f>IFERROR(__xludf.DUMMYFUNCTION("""COMPUTED_VALUE"""),"")</f>
        <v/>
      </c>
      <c r="L137" s="48"/>
      <c r="M137" s="46" t="s">
        <v>2002</v>
      </c>
    </row>
    <row r="138">
      <c r="A138" s="70">
        <f>IFERROR(__xludf.DUMMYFUNCTION("""COMPUTED_VALUE"""),9.58040338E9)</f>
        <v>9580403380</v>
      </c>
      <c r="B138" s="46" t="str">
        <f>IFERROR(__xludf.DUMMYFUNCTION("""COMPUTED_VALUE"""),"Tanishq")</f>
        <v>Tanishq</v>
      </c>
      <c r="C138" s="5" t="s">
        <v>2002</v>
      </c>
      <c r="D138" s="5"/>
      <c r="E138" s="5"/>
      <c r="F138" s="5"/>
      <c r="G138" s="5"/>
      <c r="H138" s="5"/>
      <c r="I138" s="5"/>
      <c r="J138" s="73"/>
      <c r="K138" s="75" t="str">
        <f>IFERROR(__xludf.DUMMYFUNCTION("""COMPUTED_VALUE"""),"")</f>
        <v/>
      </c>
      <c r="L138" s="48"/>
      <c r="M138" s="46" t="s">
        <v>2002</v>
      </c>
    </row>
    <row r="139">
      <c r="A139" s="70">
        <f>IFERROR(__xludf.DUMMYFUNCTION("""COMPUTED_VALUE"""),8.130475858E9)</f>
        <v>8130475858</v>
      </c>
      <c r="B139" s="46" t="str">
        <f>IFERROR(__xludf.DUMMYFUNCTION("""COMPUTED_VALUE"""),"Gurneet")</f>
        <v>Gurneet</v>
      </c>
      <c r="C139" s="5" t="s">
        <v>2002</v>
      </c>
      <c r="D139" s="5"/>
      <c r="E139" s="5"/>
      <c r="F139" s="5"/>
      <c r="G139" s="5"/>
      <c r="H139" s="5"/>
      <c r="I139" s="5"/>
      <c r="J139" s="73"/>
      <c r="K139" s="75" t="str">
        <f>IFERROR(__xludf.DUMMYFUNCTION("""COMPUTED_VALUE"""),"")</f>
        <v/>
      </c>
      <c r="L139" s="48"/>
      <c r="M139" s="46" t="s">
        <v>2002</v>
      </c>
    </row>
    <row r="140">
      <c r="A140" s="70">
        <f>IFERROR(__xludf.DUMMYFUNCTION("""COMPUTED_VALUE"""),7.275888878E9)</f>
        <v>7275888878</v>
      </c>
      <c r="B140" s="46" t="str">
        <f>IFERROR(__xludf.DUMMYFUNCTION("""COMPUTED_VALUE"""),"Somesh Pasari")</f>
        <v>Somesh Pasari</v>
      </c>
      <c r="C140" s="5" t="s">
        <v>2002</v>
      </c>
      <c r="D140" s="5"/>
      <c r="E140" s="5"/>
      <c r="F140" s="5"/>
      <c r="G140" s="5"/>
      <c r="H140" s="5"/>
      <c r="I140" s="5"/>
      <c r="J140" s="73"/>
      <c r="K140" s="75" t="str">
        <f>IFERROR(__xludf.DUMMYFUNCTION("""COMPUTED_VALUE"""),"")</f>
        <v/>
      </c>
      <c r="L140" s="48"/>
      <c r="M140" s="46" t="s">
        <v>2002</v>
      </c>
    </row>
    <row r="141">
      <c r="A141" s="70">
        <f>IFERROR(__xludf.DUMMYFUNCTION("""COMPUTED_VALUE"""),9.810063069E9)</f>
        <v>9810063069</v>
      </c>
      <c r="B141" s="46" t="str">
        <f>IFERROR(__xludf.DUMMYFUNCTION("""COMPUTED_VALUE"""),"Anurag agrawal ")</f>
        <v>Anurag agrawal </v>
      </c>
      <c r="C141" s="5" t="s">
        <v>2002</v>
      </c>
      <c r="D141" s="5"/>
      <c r="E141" s="5"/>
      <c r="F141" s="5"/>
      <c r="G141" s="5"/>
      <c r="H141" s="5"/>
      <c r="I141" s="5"/>
      <c r="J141" s="73"/>
      <c r="K141" s="75" t="str">
        <f>IFERROR(__xludf.DUMMYFUNCTION("""COMPUTED_VALUE"""),"")</f>
        <v/>
      </c>
      <c r="L141" s="48"/>
      <c r="M141" s="46" t="s">
        <v>2002</v>
      </c>
    </row>
    <row r="142">
      <c r="A142" s="70">
        <f>IFERROR(__xludf.DUMMYFUNCTION("""COMPUTED_VALUE"""),9.818900489E9)</f>
        <v>9818900489</v>
      </c>
      <c r="B142" s="46" t="str">
        <f>IFERROR(__xludf.DUMMYFUNCTION("""COMPUTED_VALUE"""),"Kantika")</f>
        <v>Kantika</v>
      </c>
      <c r="C142" s="5" t="s">
        <v>2002</v>
      </c>
      <c r="D142" s="5"/>
      <c r="E142" s="5"/>
      <c r="F142" s="5"/>
      <c r="G142" s="5"/>
      <c r="H142" s="5"/>
      <c r="I142" s="5"/>
      <c r="J142" s="73"/>
      <c r="K142" s="75" t="str">
        <f>IFERROR(__xludf.DUMMYFUNCTION("""COMPUTED_VALUE"""),"")</f>
        <v/>
      </c>
      <c r="L142" s="48"/>
      <c r="M142" s="46" t="s">
        <v>2002</v>
      </c>
    </row>
    <row r="143">
      <c r="A143" s="70">
        <f>IFERROR(__xludf.DUMMYFUNCTION("""COMPUTED_VALUE"""),9.212168823E9)</f>
        <v>9212168823</v>
      </c>
      <c r="B143" s="46" t="str">
        <f>IFERROR(__xludf.DUMMYFUNCTION("""COMPUTED_VALUE"""),"Amarjeet singh")</f>
        <v>Amarjeet singh</v>
      </c>
      <c r="C143" s="5" t="s">
        <v>2002</v>
      </c>
      <c r="D143" s="5"/>
      <c r="E143" s="5"/>
      <c r="F143" s="5"/>
      <c r="G143" s="5"/>
      <c r="H143" s="5"/>
      <c r="I143" s="5"/>
      <c r="J143" s="73"/>
      <c r="K143" s="75" t="str">
        <f>IFERROR(__xludf.DUMMYFUNCTION("""COMPUTED_VALUE"""),"")</f>
        <v/>
      </c>
      <c r="L143" s="48"/>
      <c r="M143" s="46" t="s">
        <v>2002</v>
      </c>
    </row>
    <row r="144">
      <c r="A144" s="70">
        <f>IFERROR(__xludf.DUMMYFUNCTION("""COMPUTED_VALUE"""),8.860787306E9)</f>
        <v>8860787306</v>
      </c>
      <c r="B144" s="46" t="str">
        <f>IFERROR(__xludf.DUMMYFUNCTION("""COMPUTED_VALUE"""),"Nandani")</f>
        <v>Nandani</v>
      </c>
      <c r="C144" s="5" t="s">
        <v>2002</v>
      </c>
      <c r="D144" s="5"/>
      <c r="E144" s="5"/>
      <c r="F144" s="5"/>
      <c r="G144" s="5"/>
      <c r="H144" s="5"/>
      <c r="I144" s="5"/>
      <c r="J144" s="73"/>
      <c r="K144" s="75" t="str">
        <f>IFERROR(__xludf.DUMMYFUNCTION("""COMPUTED_VALUE"""),"")</f>
        <v/>
      </c>
      <c r="L144" s="48"/>
      <c r="M144" s="46" t="s">
        <v>2002</v>
      </c>
    </row>
    <row r="145">
      <c r="A145" s="70">
        <f>IFERROR(__xludf.DUMMYFUNCTION("""COMPUTED_VALUE"""),7.042462567E9)</f>
        <v>7042462567</v>
      </c>
      <c r="B145" s="46" t="str">
        <f>IFERROR(__xludf.DUMMYFUNCTION("""COMPUTED_VALUE"""),"Simran")</f>
        <v>Simran</v>
      </c>
      <c r="C145" s="5" t="s">
        <v>2002</v>
      </c>
      <c r="D145" s="5"/>
      <c r="E145" s="5"/>
      <c r="F145" s="5"/>
      <c r="G145" s="5"/>
      <c r="H145" s="5"/>
      <c r="I145" s="5"/>
      <c r="J145" s="73"/>
      <c r="K145" s="75" t="str">
        <f>IFERROR(__xludf.DUMMYFUNCTION("""COMPUTED_VALUE"""),"")</f>
        <v/>
      </c>
      <c r="L145" s="48"/>
      <c r="M145" s="46" t="s">
        <v>2002</v>
      </c>
    </row>
    <row r="146">
      <c r="A146" s="70">
        <f>IFERROR(__xludf.DUMMYFUNCTION("""COMPUTED_VALUE"""),9.354548931E9)</f>
        <v>9354548931</v>
      </c>
      <c r="B146" s="46" t="str">
        <f>IFERROR(__xludf.DUMMYFUNCTION("""COMPUTED_VALUE"""),"Tabassum")</f>
        <v>Tabassum</v>
      </c>
      <c r="C146" s="5" t="s">
        <v>2002</v>
      </c>
      <c r="D146" s="5"/>
      <c r="E146" s="5"/>
      <c r="F146" s="5"/>
      <c r="G146" s="5"/>
      <c r="H146" s="5"/>
      <c r="I146" s="5"/>
      <c r="J146" s="73"/>
      <c r="K146" s="75" t="str">
        <f>IFERROR(__xludf.DUMMYFUNCTION("""COMPUTED_VALUE"""),"")</f>
        <v/>
      </c>
      <c r="L146" s="48"/>
      <c r="M146" s="46" t="s">
        <v>2002</v>
      </c>
    </row>
    <row r="147">
      <c r="A147" s="70">
        <f>IFERROR(__xludf.DUMMYFUNCTION("""COMPUTED_VALUE"""),8.86037224E9)</f>
        <v>8860372240</v>
      </c>
      <c r="B147" s="46" t="str">
        <f>IFERROR(__xludf.DUMMYFUNCTION("""COMPUTED_VALUE"""),"Nida")</f>
        <v>Nida</v>
      </c>
      <c r="C147" s="5" t="s">
        <v>2002</v>
      </c>
      <c r="D147" s="5"/>
      <c r="E147" s="5"/>
      <c r="F147" s="5"/>
      <c r="G147" s="5"/>
      <c r="H147" s="5"/>
      <c r="I147" s="5"/>
      <c r="J147" s="73"/>
      <c r="K147" s="75" t="str">
        <f>IFERROR(__xludf.DUMMYFUNCTION("""COMPUTED_VALUE"""),"")</f>
        <v/>
      </c>
      <c r="L147" s="48"/>
      <c r="M147" s="46" t="s">
        <v>2002</v>
      </c>
    </row>
    <row r="148">
      <c r="A148" s="70">
        <f>IFERROR(__xludf.DUMMYFUNCTION("""COMPUTED_VALUE"""),9.310536E9)</f>
        <v>9310536000</v>
      </c>
      <c r="B148" s="46" t="str">
        <f>IFERROR(__xludf.DUMMYFUNCTION("""COMPUTED_VALUE"""),"Sumit")</f>
        <v>Sumit</v>
      </c>
      <c r="C148" s="5" t="s">
        <v>2002</v>
      </c>
      <c r="D148" s="5"/>
      <c r="E148" s="5"/>
      <c r="F148" s="5"/>
      <c r="G148" s="5"/>
      <c r="H148" s="5"/>
      <c r="I148" s="5"/>
      <c r="J148" s="73"/>
      <c r="K148" s="75" t="str">
        <f>IFERROR(__xludf.DUMMYFUNCTION("""COMPUTED_VALUE"""),"")</f>
        <v/>
      </c>
      <c r="L148" s="48"/>
      <c r="M148" s="46" t="s">
        <v>2002</v>
      </c>
    </row>
    <row r="149">
      <c r="A149" s="70">
        <f>IFERROR(__xludf.DUMMYFUNCTION("""COMPUTED_VALUE"""),8.800191827E9)</f>
        <v>8800191827</v>
      </c>
      <c r="B149" s="46" t="str">
        <f>IFERROR(__xludf.DUMMYFUNCTION("""COMPUTED_VALUE"""),"Himani")</f>
        <v>Himani</v>
      </c>
      <c r="C149" s="5" t="s">
        <v>2002</v>
      </c>
      <c r="D149" s="5"/>
      <c r="E149" s="5"/>
      <c r="F149" s="5"/>
      <c r="G149" s="5"/>
      <c r="H149" s="5"/>
      <c r="I149" s="5"/>
      <c r="J149" s="73"/>
      <c r="K149" s="75" t="str">
        <f>IFERROR(__xludf.DUMMYFUNCTION("""COMPUTED_VALUE"""),"")</f>
        <v/>
      </c>
      <c r="L149" s="48"/>
      <c r="M149" s="46" t="s">
        <v>2002</v>
      </c>
    </row>
    <row r="150">
      <c r="A150" s="70">
        <f>IFERROR(__xludf.DUMMYFUNCTION("""COMPUTED_VALUE"""),9.65460486E9)</f>
        <v>9654604860</v>
      </c>
      <c r="B150" s="46" t="str">
        <f>IFERROR(__xludf.DUMMYFUNCTION("""COMPUTED_VALUE"""),"Nisha Soni")</f>
        <v>Nisha Soni</v>
      </c>
      <c r="C150" s="5" t="s">
        <v>2002</v>
      </c>
      <c r="D150" s="5"/>
      <c r="E150" s="5"/>
      <c r="F150" s="5"/>
      <c r="G150" s="5"/>
      <c r="H150" s="5"/>
      <c r="I150" s="5"/>
      <c r="J150" s="73"/>
      <c r="K150" s="75" t="str">
        <f>IFERROR(__xludf.DUMMYFUNCTION("""COMPUTED_VALUE"""),"")</f>
        <v/>
      </c>
      <c r="L150" s="48"/>
      <c r="M150" s="46" t="s">
        <v>2002</v>
      </c>
    </row>
    <row r="151">
      <c r="A151" s="70">
        <f>IFERROR(__xludf.DUMMYFUNCTION("""COMPUTED_VALUE"""),7.303350761E9)</f>
        <v>7303350761</v>
      </c>
      <c r="B151" s="46" t="str">
        <f>IFERROR(__xludf.DUMMYFUNCTION("""COMPUTED_VALUE"""),"Arvinder singh")</f>
        <v>Arvinder singh</v>
      </c>
      <c r="C151" s="5" t="s">
        <v>2002</v>
      </c>
      <c r="D151" s="5"/>
      <c r="E151" s="5"/>
      <c r="F151" s="5"/>
      <c r="G151" s="5"/>
      <c r="H151" s="5"/>
      <c r="I151" s="5"/>
      <c r="J151" s="73"/>
      <c r="K151" s="75" t="str">
        <f>IFERROR(__xludf.DUMMYFUNCTION("""COMPUTED_VALUE"""),"")</f>
        <v/>
      </c>
      <c r="L151" s="48"/>
      <c r="M151" s="46" t="s">
        <v>2002</v>
      </c>
    </row>
    <row r="152">
      <c r="A152" s="70">
        <f>IFERROR(__xludf.DUMMYFUNCTION("""COMPUTED_VALUE"""),9.560770805E9)</f>
        <v>9560770805</v>
      </c>
      <c r="B152" s="46"/>
      <c r="C152" s="5" t="s">
        <v>2002</v>
      </c>
      <c r="D152" s="5"/>
      <c r="E152" s="5"/>
      <c r="F152" s="5"/>
      <c r="G152" s="5"/>
      <c r="H152" s="5"/>
      <c r="I152" s="5"/>
      <c r="J152" s="73"/>
      <c r="K152" s="75" t="str">
        <f>IFERROR(__xludf.DUMMYFUNCTION("""COMPUTED_VALUE"""),"")</f>
        <v/>
      </c>
      <c r="L152" s="48"/>
      <c r="M152" s="46" t="s">
        <v>2002</v>
      </c>
    </row>
    <row r="153">
      <c r="A153" s="70">
        <f>IFERROR(__xludf.DUMMYFUNCTION("""COMPUTED_VALUE"""),9.55584441E9)</f>
        <v>9555844410</v>
      </c>
      <c r="B153" s="46" t="str">
        <f>IFERROR(__xludf.DUMMYFUNCTION("""COMPUTED_VALUE"""),"Satya veer Singh yadav")</f>
        <v>Satya veer Singh yadav</v>
      </c>
      <c r="C153" s="5" t="s">
        <v>2002</v>
      </c>
      <c r="D153" s="5"/>
      <c r="E153" s="5"/>
      <c r="F153" s="5"/>
      <c r="G153" s="5"/>
      <c r="H153" s="5"/>
      <c r="I153" s="5"/>
      <c r="J153" s="73"/>
      <c r="K153" s="75" t="str">
        <f>IFERROR(__xludf.DUMMYFUNCTION("""COMPUTED_VALUE"""),"")</f>
        <v/>
      </c>
      <c r="L153" s="48"/>
      <c r="M153" s="46" t="s">
        <v>2002</v>
      </c>
    </row>
    <row r="154">
      <c r="A154" s="70">
        <f>IFERROR(__xludf.DUMMYFUNCTION("""COMPUTED_VALUE"""),7.060008973E9)</f>
        <v>7060008973</v>
      </c>
      <c r="B154" s="46" t="str">
        <f>IFERROR(__xludf.DUMMYFUNCTION("""COMPUTED_VALUE"""),"Sachin Singhal")</f>
        <v>Sachin Singhal</v>
      </c>
      <c r="C154" s="5" t="s">
        <v>2002</v>
      </c>
      <c r="D154" s="5"/>
      <c r="E154" s="5"/>
      <c r="F154" s="5"/>
      <c r="G154" s="5"/>
      <c r="H154" s="5"/>
      <c r="I154" s="5"/>
      <c r="J154" s="73"/>
      <c r="K154" s="75" t="str">
        <f>IFERROR(__xludf.DUMMYFUNCTION("""COMPUTED_VALUE"""),"")</f>
        <v/>
      </c>
      <c r="L154" s="48"/>
      <c r="M154" s="46" t="s">
        <v>2002</v>
      </c>
    </row>
    <row r="155">
      <c r="A155" s="70">
        <f>IFERROR(__xludf.DUMMYFUNCTION("""COMPUTED_VALUE"""),9.871991971E9)</f>
        <v>9871991971</v>
      </c>
      <c r="B155" s="46" t="str">
        <f>IFERROR(__xludf.DUMMYFUNCTION("""COMPUTED_VALUE"""),"Kanchan goyal")</f>
        <v>Kanchan goyal</v>
      </c>
      <c r="C155" s="5" t="s">
        <v>2002</v>
      </c>
      <c r="D155" s="5"/>
      <c r="E155" s="5"/>
      <c r="F155" s="5"/>
      <c r="G155" s="5"/>
      <c r="H155" s="5"/>
      <c r="I155" s="5"/>
      <c r="J155" s="73"/>
      <c r="K155" s="75" t="str">
        <f>IFERROR(__xludf.DUMMYFUNCTION("""COMPUTED_VALUE"""),"")</f>
        <v/>
      </c>
      <c r="L155" s="48"/>
      <c r="M155" s="46" t="s">
        <v>2002</v>
      </c>
    </row>
    <row r="156">
      <c r="A156" s="70">
        <f>IFERROR(__xludf.DUMMYFUNCTION("""COMPUTED_VALUE"""),9.899916146E9)</f>
        <v>9899916146</v>
      </c>
      <c r="B156" s="46" t="str">
        <f>IFERROR(__xludf.DUMMYFUNCTION("""COMPUTED_VALUE"""),"Hema")</f>
        <v>Hema</v>
      </c>
      <c r="C156" s="5" t="s">
        <v>2002</v>
      </c>
      <c r="D156" s="5"/>
      <c r="E156" s="5"/>
      <c r="F156" s="5"/>
      <c r="G156" s="5"/>
      <c r="H156" s="5"/>
      <c r="I156" s="5"/>
      <c r="J156" s="73"/>
      <c r="K156" s="75" t="str">
        <f>IFERROR(__xludf.DUMMYFUNCTION("""COMPUTED_VALUE"""),"")</f>
        <v/>
      </c>
      <c r="L156" s="48"/>
      <c r="M156" s="46" t="s">
        <v>2002</v>
      </c>
    </row>
    <row r="157">
      <c r="A157" s="70">
        <f>IFERROR(__xludf.DUMMYFUNCTION("""COMPUTED_VALUE"""),9.971848148E9)</f>
        <v>9971848148</v>
      </c>
      <c r="B157" s="46" t="str">
        <f>IFERROR(__xludf.DUMMYFUNCTION("""COMPUTED_VALUE"""),"Aarti")</f>
        <v>Aarti</v>
      </c>
      <c r="C157" s="5" t="s">
        <v>2002</v>
      </c>
      <c r="D157" s="5"/>
      <c r="E157" s="5"/>
      <c r="F157" s="5"/>
      <c r="G157" s="5"/>
      <c r="H157" s="5"/>
      <c r="I157" s="5"/>
      <c r="J157" s="73"/>
      <c r="K157" s="75" t="str">
        <f>IFERROR(__xludf.DUMMYFUNCTION("""COMPUTED_VALUE"""),"")</f>
        <v/>
      </c>
      <c r="L157" s="48"/>
      <c r="M157" s="46" t="s">
        <v>2002</v>
      </c>
    </row>
    <row r="158">
      <c r="A158" s="70">
        <f>IFERROR(__xludf.DUMMYFUNCTION("""COMPUTED_VALUE"""),9.873705367E9)</f>
        <v>9873705367</v>
      </c>
      <c r="B158" s="46" t="str">
        <f>IFERROR(__xludf.DUMMYFUNCTION("""COMPUTED_VALUE"""),"Chandarpal Singh ")</f>
        <v>Chandarpal Singh </v>
      </c>
      <c r="C158" s="5" t="s">
        <v>2002</v>
      </c>
      <c r="D158" s="5"/>
      <c r="E158" s="5"/>
      <c r="F158" s="5"/>
      <c r="G158" s="5"/>
      <c r="H158" s="5"/>
      <c r="I158" s="5"/>
      <c r="J158" s="73"/>
      <c r="K158" s="75" t="str">
        <f>IFERROR(__xludf.DUMMYFUNCTION("""COMPUTED_VALUE"""),"")</f>
        <v/>
      </c>
      <c r="L158" s="48"/>
      <c r="M158" s="46" t="s">
        <v>2002</v>
      </c>
    </row>
    <row r="159">
      <c r="A159" s="70">
        <f>IFERROR(__xludf.DUMMYFUNCTION("""COMPUTED_VALUE"""),9.899883466E9)</f>
        <v>9899883466</v>
      </c>
      <c r="B159" s="46" t="str">
        <f>IFERROR(__xludf.DUMMYFUNCTION("""COMPUTED_VALUE"""),"Digwal")</f>
        <v>Digwal</v>
      </c>
      <c r="C159" s="5" t="s">
        <v>2002</v>
      </c>
      <c r="D159" s="5"/>
      <c r="E159" s="5"/>
      <c r="F159" s="5"/>
      <c r="G159" s="5"/>
      <c r="H159" s="5"/>
      <c r="I159" s="5"/>
      <c r="J159" s="73"/>
      <c r="K159" s="75" t="str">
        <f>IFERROR(__xludf.DUMMYFUNCTION("""COMPUTED_VALUE"""),"")</f>
        <v/>
      </c>
      <c r="L159" s="48"/>
      <c r="M159" s="46" t="s">
        <v>2002</v>
      </c>
    </row>
    <row r="160">
      <c r="A160" s="70">
        <f>IFERROR(__xludf.DUMMYFUNCTION("""COMPUTED_VALUE"""),8.816922333E9)</f>
        <v>8816922333</v>
      </c>
      <c r="B160" s="46" t="str">
        <f>IFERROR(__xludf.DUMMYFUNCTION("""COMPUTED_VALUE"""),"Indu")</f>
        <v>Indu</v>
      </c>
      <c r="C160" s="5" t="s">
        <v>2002</v>
      </c>
      <c r="D160" s="5"/>
      <c r="E160" s="5"/>
      <c r="F160" s="5"/>
      <c r="G160" s="5"/>
      <c r="H160" s="5"/>
      <c r="I160" s="5"/>
      <c r="J160" s="73"/>
      <c r="K160" s="75" t="str">
        <f>IFERROR(__xludf.DUMMYFUNCTION("""COMPUTED_VALUE"""),"")</f>
        <v/>
      </c>
      <c r="L160" s="48"/>
      <c r="M160" s="46" t="s">
        <v>2002</v>
      </c>
    </row>
    <row r="161">
      <c r="A161" s="70">
        <f>IFERROR(__xludf.DUMMYFUNCTION("""COMPUTED_VALUE"""),8.233131716E9)</f>
        <v>8233131716</v>
      </c>
      <c r="B161" s="46" t="str">
        <f>IFERROR(__xludf.DUMMYFUNCTION("""COMPUTED_VALUE"""),"pooja Sahu")</f>
        <v>pooja Sahu</v>
      </c>
      <c r="C161" s="5" t="s">
        <v>2002</v>
      </c>
      <c r="D161" s="5"/>
      <c r="E161" s="5"/>
      <c r="F161" s="5"/>
      <c r="G161" s="5"/>
      <c r="H161" s="5"/>
      <c r="I161" s="5"/>
      <c r="J161" s="73"/>
      <c r="K161" s="75" t="str">
        <f>IFERROR(__xludf.DUMMYFUNCTION("""COMPUTED_VALUE"""),"")</f>
        <v/>
      </c>
      <c r="L161" s="48"/>
      <c r="M161" s="46" t="s">
        <v>2002</v>
      </c>
    </row>
    <row r="162">
      <c r="A162" s="70">
        <f>IFERROR(__xludf.DUMMYFUNCTION("""COMPUTED_VALUE"""),9.603929783E9)</f>
        <v>9603929783</v>
      </c>
      <c r="B162" s="46" t="str">
        <f>IFERROR(__xludf.DUMMYFUNCTION("""COMPUTED_VALUE"""),"Lalit Kumar")</f>
        <v>Lalit Kumar</v>
      </c>
      <c r="C162" s="5" t="s">
        <v>2002</v>
      </c>
      <c r="D162" s="5"/>
      <c r="E162" s="5"/>
      <c r="F162" s="5"/>
      <c r="G162" s="5"/>
      <c r="H162" s="5"/>
      <c r="I162" s="5"/>
      <c r="J162" s="73"/>
      <c r="K162" s="75" t="str">
        <f>IFERROR(__xludf.DUMMYFUNCTION("""COMPUTED_VALUE"""),"")</f>
        <v/>
      </c>
      <c r="L162" s="48"/>
      <c r="M162" s="46" t="s">
        <v>2002</v>
      </c>
    </row>
    <row r="163">
      <c r="A163" s="70">
        <f>IFERROR(__xludf.DUMMYFUNCTION("""COMPUTED_VALUE"""),9.891477748E9)</f>
        <v>9891477748</v>
      </c>
      <c r="B163" s="46" t="str">
        <f>IFERROR(__xludf.DUMMYFUNCTION("""COMPUTED_VALUE"""),"seema Tills")</f>
        <v>seema Tills</v>
      </c>
      <c r="C163" s="5" t="s">
        <v>2002</v>
      </c>
      <c r="D163" s="5"/>
      <c r="E163" s="5"/>
      <c r="F163" s="5"/>
      <c r="G163" s="5"/>
      <c r="H163" s="5"/>
      <c r="I163" s="5"/>
      <c r="J163" s="73"/>
      <c r="K163" s="75" t="str">
        <f>IFERROR(__xludf.DUMMYFUNCTION("""COMPUTED_VALUE"""),"")</f>
        <v/>
      </c>
      <c r="L163" s="48"/>
      <c r="M163" s="46" t="s">
        <v>2002</v>
      </c>
    </row>
    <row r="164">
      <c r="A164" s="70">
        <f>IFERROR(__xludf.DUMMYFUNCTION("""COMPUTED_VALUE"""),9.891477748E9)</f>
        <v>9891477748</v>
      </c>
      <c r="B164" s="46" t="str">
        <f>IFERROR(__xludf.DUMMYFUNCTION("""COMPUTED_VALUE"""),"Seema tills")</f>
        <v>Seema tills</v>
      </c>
      <c r="C164" s="5" t="s">
        <v>2002</v>
      </c>
      <c r="D164" s="5"/>
      <c r="E164" s="5"/>
      <c r="F164" s="5"/>
      <c r="G164" s="5"/>
      <c r="H164" s="5"/>
      <c r="I164" s="5"/>
      <c r="J164" s="73"/>
      <c r="K164" s="75" t="str">
        <f>IFERROR(__xludf.DUMMYFUNCTION("""COMPUTED_VALUE"""),"")</f>
        <v/>
      </c>
      <c r="L164" s="48"/>
      <c r="M164" s="46" t="s">
        <v>2002</v>
      </c>
    </row>
    <row r="165">
      <c r="A165" s="70">
        <f>IFERROR(__xludf.DUMMYFUNCTION("""COMPUTED_VALUE"""),9.958379191E9)</f>
        <v>9958379191</v>
      </c>
      <c r="B165" s="46" t="str">
        <f>IFERROR(__xludf.DUMMYFUNCTION("""COMPUTED_VALUE"""),"Sudhir kumar")</f>
        <v>Sudhir kumar</v>
      </c>
      <c r="C165" s="5" t="s">
        <v>2002</v>
      </c>
      <c r="D165" s="5"/>
      <c r="E165" s="5"/>
      <c r="F165" s="5"/>
      <c r="G165" s="5"/>
      <c r="H165" s="5"/>
      <c r="I165" s="5"/>
      <c r="J165" s="73"/>
      <c r="K165" s="75" t="str">
        <f>IFERROR(__xludf.DUMMYFUNCTION("""COMPUTED_VALUE"""),"")</f>
        <v/>
      </c>
      <c r="L165" s="48"/>
      <c r="M165" s="46" t="s">
        <v>2002</v>
      </c>
    </row>
    <row r="166">
      <c r="A166" s="70">
        <f>IFERROR(__xludf.DUMMYFUNCTION("""COMPUTED_VALUE"""),9.811131753E9)</f>
        <v>9811131753</v>
      </c>
      <c r="B166" s="46" t="str">
        <f>IFERROR(__xludf.DUMMYFUNCTION("""COMPUTED_VALUE"""),"Promila")</f>
        <v>Promila</v>
      </c>
      <c r="C166" s="5" t="s">
        <v>2002</v>
      </c>
      <c r="D166" s="5"/>
      <c r="E166" s="5"/>
      <c r="F166" s="5"/>
      <c r="G166" s="5"/>
      <c r="H166" s="5"/>
      <c r="I166" s="5"/>
      <c r="J166" s="73"/>
      <c r="K166" s="75" t="str">
        <f>IFERROR(__xludf.DUMMYFUNCTION("""COMPUTED_VALUE"""),"")</f>
        <v/>
      </c>
      <c r="L166" s="48"/>
      <c r="M166" s="46" t="s">
        <v>2002</v>
      </c>
    </row>
    <row r="167">
      <c r="A167" s="70">
        <f>IFERROR(__xludf.DUMMYFUNCTION("""COMPUTED_VALUE"""),9.311417626E9)</f>
        <v>9311417626</v>
      </c>
      <c r="B167" s="46" t="str">
        <f>IFERROR(__xludf.DUMMYFUNCTION("""COMPUTED_VALUE"""),"Joginder Singh")</f>
        <v>Joginder Singh</v>
      </c>
      <c r="C167" s="5" t="s">
        <v>2002</v>
      </c>
      <c r="D167" s="5"/>
      <c r="E167" s="5"/>
      <c r="F167" s="5"/>
      <c r="G167" s="5"/>
      <c r="H167" s="5"/>
      <c r="I167" s="5"/>
      <c r="J167" s="73"/>
      <c r="K167" s="75" t="str">
        <f>IFERROR(__xludf.DUMMYFUNCTION("""COMPUTED_VALUE"""),"")</f>
        <v/>
      </c>
      <c r="L167" s="48"/>
      <c r="M167" s="46" t="s">
        <v>2002</v>
      </c>
    </row>
    <row r="168">
      <c r="A168" s="70">
        <f>IFERROR(__xludf.DUMMYFUNCTION("""COMPUTED_VALUE"""),9.31015627E9)</f>
        <v>9310156270</v>
      </c>
      <c r="B168" s="46" t="str">
        <f>IFERROR(__xludf.DUMMYFUNCTION("""COMPUTED_VALUE"""),"Vandana Jindal")</f>
        <v>Vandana Jindal</v>
      </c>
      <c r="C168" s="5" t="s">
        <v>2002</v>
      </c>
      <c r="D168" s="5"/>
      <c r="E168" s="5"/>
      <c r="F168" s="5"/>
      <c r="G168" s="5"/>
      <c r="H168" s="5"/>
      <c r="I168" s="5"/>
      <c r="J168" s="73"/>
      <c r="K168" s="75" t="str">
        <f>IFERROR(__xludf.DUMMYFUNCTION("""COMPUTED_VALUE"""),"")</f>
        <v/>
      </c>
      <c r="L168" s="48"/>
      <c r="M168" s="46" t="s">
        <v>2002</v>
      </c>
    </row>
    <row r="169">
      <c r="A169" s="70">
        <f>IFERROR(__xludf.DUMMYFUNCTION("""COMPUTED_VALUE"""),8.851002687E9)</f>
        <v>8851002687</v>
      </c>
      <c r="B169" s="46" t="str">
        <f>IFERROR(__xludf.DUMMYFUNCTION("""COMPUTED_VALUE"""),"Ekta ")</f>
        <v>Ekta </v>
      </c>
      <c r="C169" s="5" t="s">
        <v>2002</v>
      </c>
      <c r="D169" s="5"/>
      <c r="E169" s="5"/>
      <c r="F169" s="5"/>
      <c r="G169" s="5"/>
      <c r="H169" s="5"/>
      <c r="I169" s="5"/>
      <c r="J169" s="73"/>
      <c r="K169" s="75" t="str">
        <f>IFERROR(__xludf.DUMMYFUNCTION("""COMPUTED_VALUE"""),"")</f>
        <v/>
      </c>
      <c r="L169" s="48"/>
      <c r="M169" s="46" t="s">
        <v>2002</v>
      </c>
    </row>
    <row r="170">
      <c r="A170" s="70">
        <f>IFERROR(__xludf.DUMMYFUNCTION("""COMPUTED_VALUE"""),9.540294686E9)</f>
        <v>9540294686</v>
      </c>
      <c r="B170" s="46" t="str">
        <f>IFERROR(__xludf.DUMMYFUNCTION("""COMPUTED_VALUE"""),"Induu")</f>
        <v>Induu</v>
      </c>
      <c r="C170" s="5" t="s">
        <v>2002</v>
      </c>
      <c r="D170" s="5"/>
      <c r="E170" s="5"/>
      <c r="F170" s="5"/>
      <c r="G170" s="5"/>
      <c r="H170" s="5"/>
      <c r="I170" s="5"/>
      <c r="J170" s="73"/>
      <c r="K170" s="75" t="str">
        <f>IFERROR(__xludf.DUMMYFUNCTION("""COMPUTED_VALUE"""),"")</f>
        <v/>
      </c>
      <c r="L170" s="48"/>
      <c r="M170" s="46" t="s">
        <v>2002</v>
      </c>
    </row>
    <row r="171">
      <c r="A171" s="70">
        <f>IFERROR(__xludf.DUMMYFUNCTION("""COMPUTED_VALUE"""),9.918690211E9)</f>
        <v>9918690211</v>
      </c>
      <c r="B171" s="46" t="str">
        <f>IFERROR(__xludf.DUMMYFUNCTION("""COMPUTED_VALUE"""),"vaishali Jain")</f>
        <v>vaishali Jain</v>
      </c>
      <c r="C171" s="5" t="s">
        <v>2002</v>
      </c>
      <c r="D171" s="5"/>
      <c r="E171" s="5"/>
      <c r="F171" s="5"/>
      <c r="G171" s="5"/>
      <c r="H171" s="5"/>
      <c r="I171" s="5"/>
      <c r="J171" s="73"/>
      <c r="K171" s="75" t="str">
        <f>IFERROR(__xludf.DUMMYFUNCTION("""COMPUTED_VALUE"""),"")</f>
        <v/>
      </c>
      <c r="L171" s="48"/>
      <c r="M171" s="46" t="s">
        <v>2002</v>
      </c>
    </row>
    <row r="172">
      <c r="A172" s="70">
        <f>IFERROR(__xludf.DUMMYFUNCTION("""COMPUTED_VALUE"""),9.971916298E9)</f>
        <v>9971916298</v>
      </c>
      <c r="B172" s="46" t="str">
        <f>IFERROR(__xludf.DUMMYFUNCTION("""COMPUTED_VALUE"""),"Dushyant ")</f>
        <v>Dushyant </v>
      </c>
      <c r="C172" s="5" t="s">
        <v>2002</v>
      </c>
      <c r="D172" s="5"/>
      <c r="E172" s="5"/>
      <c r="F172" s="5"/>
      <c r="G172" s="5"/>
      <c r="H172" s="5"/>
      <c r="I172" s="5"/>
      <c r="J172" s="73"/>
      <c r="K172" s="75" t="str">
        <f>IFERROR(__xludf.DUMMYFUNCTION("""COMPUTED_VALUE"""),"")</f>
        <v/>
      </c>
      <c r="L172" s="48"/>
      <c r="M172" s="46" t="s">
        <v>2002</v>
      </c>
    </row>
    <row r="173">
      <c r="A173" s="70">
        <f>IFERROR(__xludf.DUMMYFUNCTION("""COMPUTED_VALUE"""),9.814197351E9)</f>
        <v>9814197351</v>
      </c>
      <c r="B173" s="46" t="str">
        <f>IFERROR(__xludf.DUMMYFUNCTION("""COMPUTED_VALUE"""),"Umesh")</f>
        <v>Umesh</v>
      </c>
      <c r="C173" s="5" t="s">
        <v>2002</v>
      </c>
      <c r="D173" s="5"/>
      <c r="E173" s="5"/>
      <c r="F173" s="5"/>
      <c r="G173" s="5"/>
      <c r="H173" s="5"/>
      <c r="I173" s="5"/>
      <c r="J173" s="73"/>
      <c r="K173" s="75" t="str">
        <f>IFERROR(__xludf.DUMMYFUNCTION("""COMPUTED_VALUE"""),"")</f>
        <v/>
      </c>
      <c r="L173" s="48"/>
      <c r="M173" s="46" t="s">
        <v>2002</v>
      </c>
    </row>
    <row r="174">
      <c r="A174" s="70">
        <f>IFERROR(__xludf.DUMMYFUNCTION("""COMPUTED_VALUE"""),9.31111125E9)</f>
        <v>9311111250</v>
      </c>
      <c r="B174" s="46" t="str">
        <f>IFERROR(__xludf.DUMMYFUNCTION("""COMPUTED_VALUE"""),"Pawan trehan")</f>
        <v>Pawan trehan</v>
      </c>
      <c r="C174" s="5" t="s">
        <v>2002</v>
      </c>
      <c r="D174" s="5"/>
      <c r="E174" s="5"/>
      <c r="F174" s="5"/>
      <c r="G174" s="5"/>
      <c r="H174" s="5"/>
      <c r="I174" s="5"/>
      <c r="J174" s="73"/>
      <c r="K174" s="75" t="str">
        <f>IFERROR(__xludf.DUMMYFUNCTION("""COMPUTED_VALUE"""),"")</f>
        <v/>
      </c>
      <c r="L174" s="48"/>
      <c r="M174" s="46" t="s">
        <v>2002</v>
      </c>
    </row>
    <row r="175">
      <c r="A175" s="70">
        <f>IFERROR(__xludf.DUMMYFUNCTION("""COMPUTED_VALUE"""),7.678695876E9)</f>
        <v>7678695876</v>
      </c>
      <c r="B175" s="46" t="str">
        <f>IFERROR(__xludf.DUMMYFUNCTION("""COMPUTED_VALUE"""),"Larika")</f>
        <v>Larika</v>
      </c>
      <c r="C175" s="5" t="s">
        <v>2002</v>
      </c>
      <c r="D175" s="5"/>
      <c r="E175" s="5"/>
      <c r="F175" s="5"/>
      <c r="G175" s="5"/>
      <c r="H175" s="5"/>
      <c r="I175" s="5"/>
      <c r="J175" s="73"/>
      <c r="K175" s="75" t="str">
        <f>IFERROR(__xludf.DUMMYFUNCTION("""COMPUTED_VALUE"""),"")</f>
        <v/>
      </c>
      <c r="L175" s="48"/>
      <c r="M175" s="46" t="s">
        <v>2002</v>
      </c>
    </row>
    <row r="176">
      <c r="A176" s="70">
        <f>IFERROR(__xludf.DUMMYFUNCTION("""COMPUTED_VALUE"""),9.718176206E9)</f>
        <v>9718176206</v>
      </c>
      <c r="B176" s="46" t="str">
        <f>IFERROR(__xludf.DUMMYFUNCTION("""COMPUTED_VALUE"""),"Parvati")</f>
        <v>Parvati</v>
      </c>
      <c r="C176" s="5" t="s">
        <v>2002</v>
      </c>
      <c r="D176" s="5"/>
      <c r="E176" s="5"/>
      <c r="F176" s="5"/>
      <c r="G176" s="5"/>
      <c r="H176" s="5"/>
      <c r="I176" s="5"/>
      <c r="J176" s="73"/>
      <c r="K176" s="75" t="str">
        <f>IFERROR(__xludf.DUMMYFUNCTION("""COMPUTED_VALUE"""),"")</f>
        <v/>
      </c>
      <c r="L176" s="48"/>
      <c r="M176" s="46" t="s">
        <v>2002</v>
      </c>
    </row>
    <row r="177">
      <c r="A177" s="70">
        <f>IFERROR(__xludf.DUMMYFUNCTION("""COMPUTED_VALUE"""),9.213887979E9)</f>
        <v>9213887979</v>
      </c>
      <c r="B177" s="46" t="str">
        <f>IFERROR(__xludf.DUMMYFUNCTION("""COMPUTED_VALUE"""),"Neeru")</f>
        <v>Neeru</v>
      </c>
      <c r="C177" s="5" t="s">
        <v>2002</v>
      </c>
      <c r="D177" s="5"/>
      <c r="E177" s="5"/>
      <c r="F177" s="5"/>
      <c r="G177" s="5"/>
      <c r="H177" s="5"/>
      <c r="I177" s="5"/>
      <c r="J177" s="73"/>
      <c r="K177" s="75" t="str">
        <f>IFERROR(__xludf.DUMMYFUNCTION("""COMPUTED_VALUE"""),"")</f>
        <v/>
      </c>
      <c r="L177" s="48"/>
      <c r="M177" s="46" t="s">
        <v>2002</v>
      </c>
    </row>
    <row r="178">
      <c r="A178" s="70">
        <f>IFERROR(__xludf.DUMMYFUNCTION("""COMPUTED_VALUE"""),9.911338801E9)</f>
        <v>9911338801</v>
      </c>
      <c r="B178" s="46" t="str">
        <f>IFERROR(__xludf.DUMMYFUNCTION("""COMPUTED_VALUE"""),"Mohammad Khalid ")</f>
        <v>Mohammad Khalid </v>
      </c>
      <c r="C178" s="5" t="s">
        <v>2002</v>
      </c>
      <c r="D178" s="5"/>
      <c r="E178" s="5"/>
      <c r="F178" s="5"/>
      <c r="G178" s="5"/>
      <c r="H178" s="5"/>
      <c r="I178" s="5"/>
      <c r="J178" s="73"/>
      <c r="K178" s="75" t="str">
        <f>IFERROR(__xludf.DUMMYFUNCTION("""COMPUTED_VALUE"""),"")</f>
        <v/>
      </c>
      <c r="L178" s="48"/>
      <c r="M178" s="46" t="s">
        <v>2002</v>
      </c>
    </row>
    <row r="179">
      <c r="A179" s="70">
        <f>IFERROR(__xludf.DUMMYFUNCTION("""COMPUTED_VALUE"""),9.953710995E9)</f>
        <v>9953710995</v>
      </c>
      <c r="B179" s="46" t="str">
        <f>IFERROR(__xludf.DUMMYFUNCTION("""COMPUTED_VALUE"""),"Gayatri ")</f>
        <v>Gayatri </v>
      </c>
      <c r="C179" s="5" t="s">
        <v>2002</v>
      </c>
      <c r="D179" s="5"/>
      <c r="E179" s="5"/>
      <c r="F179" s="5"/>
      <c r="G179" s="5"/>
      <c r="H179" s="5"/>
      <c r="I179" s="5"/>
      <c r="J179" s="73"/>
      <c r="K179" s="75" t="str">
        <f>IFERROR(__xludf.DUMMYFUNCTION("""COMPUTED_VALUE"""),"")</f>
        <v/>
      </c>
      <c r="L179" s="48"/>
      <c r="M179" s="46" t="s">
        <v>2002</v>
      </c>
    </row>
    <row r="180">
      <c r="A180" s="70">
        <f>IFERROR(__xludf.DUMMYFUNCTION("""COMPUTED_VALUE"""),9.871434511E9)</f>
        <v>9871434511</v>
      </c>
      <c r="B180" s="46" t="str">
        <f>IFERROR(__xludf.DUMMYFUNCTION("""COMPUTED_VALUE"""),"Nisha")</f>
        <v>Nisha</v>
      </c>
      <c r="C180" s="5" t="s">
        <v>2002</v>
      </c>
      <c r="D180" s="5"/>
      <c r="E180" s="5"/>
      <c r="F180" s="5"/>
      <c r="G180" s="5"/>
      <c r="H180" s="5"/>
      <c r="I180" s="5"/>
      <c r="J180" s="73"/>
      <c r="K180" s="75" t="str">
        <f>IFERROR(__xludf.DUMMYFUNCTION("""COMPUTED_VALUE"""),"")</f>
        <v/>
      </c>
      <c r="L180" s="48"/>
      <c r="M180" s="46" t="s">
        <v>2002</v>
      </c>
    </row>
    <row r="181">
      <c r="A181" s="70">
        <f>IFERROR(__xludf.DUMMYFUNCTION("""COMPUTED_VALUE"""),9.315053207E9)</f>
        <v>9315053207</v>
      </c>
      <c r="B181" s="46" t="str">
        <f>IFERROR(__xludf.DUMMYFUNCTION("""COMPUTED_VALUE"""),"Rajiv")</f>
        <v>Rajiv</v>
      </c>
      <c r="C181" s="5" t="s">
        <v>2002</v>
      </c>
      <c r="D181" s="5"/>
      <c r="E181" s="5"/>
      <c r="F181" s="5"/>
      <c r="G181" s="5"/>
      <c r="H181" s="5"/>
      <c r="I181" s="5"/>
      <c r="J181" s="73"/>
      <c r="K181" s="75" t="str">
        <f>IFERROR(__xludf.DUMMYFUNCTION("""COMPUTED_VALUE"""),"")</f>
        <v/>
      </c>
      <c r="L181" s="48"/>
      <c r="M181" s="46" t="s">
        <v>2002</v>
      </c>
    </row>
    <row r="182">
      <c r="A182" s="70">
        <f>IFERROR(__xludf.DUMMYFUNCTION("""COMPUTED_VALUE"""),9.871193489E9)</f>
        <v>9871193489</v>
      </c>
      <c r="B182" s="46" t="str">
        <f>IFERROR(__xludf.DUMMYFUNCTION("""COMPUTED_VALUE"""),"ms Sunila Jain")</f>
        <v>ms Sunila Jain</v>
      </c>
      <c r="C182" s="5" t="s">
        <v>2002</v>
      </c>
      <c r="D182" s="5"/>
      <c r="E182" s="5"/>
      <c r="F182" s="5"/>
      <c r="G182" s="5"/>
      <c r="H182" s="5"/>
      <c r="I182" s="5"/>
      <c r="J182" s="73"/>
      <c r="K182" s="75" t="str">
        <f>IFERROR(__xludf.DUMMYFUNCTION("""COMPUTED_VALUE"""),"")</f>
        <v/>
      </c>
      <c r="L182" s="48"/>
      <c r="M182" s="46" t="s">
        <v>2002</v>
      </c>
    </row>
    <row r="183">
      <c r="A183" s="70">
        <f>IFERROR(__xludf.DUMMYFUNCTION("""COMPUTED_VALUE"""),9.71193235E9)</f>
        <v>9711932350</v>
      </c>
      <c r="B183" s="46" t="str">
        <f>IFERROR(__xludf.DUMMYFUNCTION("""COMPUTED_VALUE"""),"soniya Khanna ")</f>
        <v>soniya Khanna </v>
      </c>
      <c r="C183" s="5" t="s">
        <v>2002</v>
      </c>
      <c r="D183" s="5"/>
      <c r="E183" s="5"/>
      <c r="F183" s="5"/>
      <c r="G183" s="5"/>
      <c r="H183" s="5"/>
      <c r="I183" s="5"/>
      <c r="J183" s="73"/>
      <c r="K183" s="75" t="str">
        <f>IFERROR(__xludf.DUMMYFUNCTION("""COMPUTED_VALUE"""),"")</f>
        <v/>
      </c>
      <c r="L183" s="48"/>
      <c r="M183" s="46" t="s">
        <v>2002</v>
      </c>
    </row>
    <row r="184">
      <c r="A184" s="70">
        <f>IFERROR(__xludf.DUMMYFUNCTION("""COMPUTED_VALUE"""),9.899894096E9)</f>
        <v>9899894096</v>
      </c>
      <c r="B184" s="46" t="str">
        <f>IFERROR(__xludf.DUMMYFUNCTION("""COMPUTED_VALUE"""),"sumit Garg")</f>
        <v>sumit Garg</v>
      </c>
      <c r="C184" s="5" t="s">
        <v>2002</v>
      </c>
      <c r="D184" s="5"/>
      <c r="E184" s="5"/>
      <c r="F184" s="5"/>
      <c r="G184" s="5"/>
      <c r="H184" s="5"/>
      <c r="I184" s="5"/>
      <c r="J184" s="73"/>
      <c r="K184" s="75" t="str">
        <f>IFERROR(__xludf.DUMMYFUNCTION("""COMPUTED_VALUE"""),"")</f>
        <v/>
      </c>
      <c r="L184" s="48"/>
      <c r="M184" s="46" t="s">
        <v>2002</v>
      </c>
    </row>
    <row r="185">
      <c r="A185" s="70">
        <f>IFERROR(__xludf.DUMMYFUNCTION("""COMPUTED_VALUE"""),9.910536646E9)</f>
        <v>9910536646</v>
      </c>
      <c r="B185" s="46" t="str">
        <f>IFERROR(__xludf.DUMMYFUNCTION("""COMPUTED_VALUE"""),"sanyam Garg")</f>
        <v>sanyam Garg</v>
      </c>
      <c r="C185" s="5" t="s">
        <v>2002</v>
      </c>
      <c r="D185" s="5"/>
      <c r="E185" s="5"/>
      <c r="F185" s="5"/>
      <c r="G185" s="5"/>
      <c r="H185" s="5"/>
      <c r="I185" s="5"/>
      <c r="J185" s="73"/>
      <c r="K185" s="75" t="str">
        <f>IFERROR(__xludf.DUMMYFUNCTION("""COMPUTED_VALUE"""),"")</f>
        <v/>
      </c>
      <c r="L185" s="48"/>
      <c r="M185" s="46" t="s">
        <v>2002</v>
      </c>
    </row>
    <row r="186">
      <c r="A186" s="70">
        <f>IFERROR(__xludf.DUMMYFUNCTION("""COMPUTED_VALUE"""),9.871952223E9)</f>
        <v>9871952223</v>
      </c>
      <c r="B186" s="46" t="str">
        <f>IFERROR(__xludf.DUMMYFUNCTION("""COMPUTED_VALUE"""),"Sanjeev")</f>
        <v>Sanjeev</v>
      </c>
      <c r="C186" s="5" t="s">
        <v>2002</v>
      </c>
      <c r="D186" s="5"/>
      <c r="E186" s="5"/>
      <c r="F186" s="5"/>
      <c r="G186" s="5"/>
      <c r="H186" s="5"/>
      <c r="I186" s="5"/>
      <c r="J186" s="73"/>
      <c r="K186" s="75" t="str">
        <f>IFERROR(__xludf.DUMMYFUNCTION("""COMPUTED_VALUE"""),"")</f>
        <v/>
      </c>
      <c r="L186" s="48"/>
      <c r="M186" s="46" t="s">
        <v>2002</v>
      </c>
    </row>
    <row r="187">
      <c r="A187" s="70">
        <f>IFERROR(__xludf.DUMMYFUNCTION("""COMPUTED_VALUE"""),9.999830464E9)</f>
        <v>9999830464</v>
      </c>
      <c r="B187" s="46" t="str">
        <f>IFERROR(__xludf.DUMMYFUNCTION("""COMPUTED_VALUE"""),"Rohit")</f>
        <v>Rohit</v>
      </c>
      <c r="C187" s="5" t="s">
        <v>2002</v>
      </c>
      <c r="D187" s="5"/>
      <c r="E187" s="5"/>
      <c r="F187" s="5"/>
      <c r="G187" s="5"/>
      <c r="H187" s="5"/>
      <c r="I187" s="5"/>
      <c r="J187" s="73"/>
      <c r="K187" s="75" t="str">
        <f>IFERROR(__xludf.DUMMYFUNCTION("""COMPUTED_VALUE"""),"")</f>
        <v/>
      </c>
      <c r="L187" s="48"/>
      <c r="M187" s="46" t="s">
        <v>2002</v>
      </c>
    </row>
    <row r="188">
      <c r="A188" s="70">
        <f>IFERROR(__xludf.DUMMYFUNCTION("""COMPUTED_VALUE"""),9.315837731E9)</f>
        <v>9315837731</v>
      </c>
      <c r="B188" s="46" t="str">
        <f>IFERROR(__xludf.DUMMYFUNCTION("""COMPUTED_VALUE"""),"Poonam khandelwal ")</f>
        <v>Poonam khandelwal </v>
      </c>
      <c r="C188" s="5" t="s">
        <v>2002</v>
      </c>
      <c r="D188" s="5"/>
      <c r="E188" s="5"/>
      <c r="F188" s="5"/>
      <c r="G188" s="5"/>
      <c r="H188" s="5"/>
      <c r="I188" s="5"/>
      <c r="J188" s="73"/>
      <c r="K188" s="75" t="str">
        <f>IFERROR(__xludf.DUMMYFUNCTION("""COMPUTED_VALUE"""),"")</f>
        <v/>
      </c>
      <c r="L188" s="48"/>
      <c r="M188" s="46" t="s">
        <v>2002</v>
      </c>
    </row>
    <row r="189">
      <c r="A189" s="70">
        <f>IFERROR(__xludf.DUMMYFUNCTION("""COMPUTED_VALUE"""),9.891209008E9)</f>
        <v>9891209008</v>
      </c>
      <c r="B189" s="46" t="str">
        <f>IFERROR(__xludf.DUMMYFUNCTION("""COMPUTED_VALUE"""),"Naval Singh")</f>
        <v>Naval Singh</v>
      </c>
      <c r="C189" s="5" t="s">
        <v>2002</v>
      </c>
      <c r="D189" s="5"/>
      <c r="E189" s="5"/>
      <c r="F189" s="5"/>
      <c r="G189" s="5"/>
      <c r="H189" s="5"/>
      <c r="I189" s="5"/>
      <c r="J189" s="73"/>
      <c r="K189" s="75" t="str">
        <f>IFERROR(__xludf.DUMMYFUNCTION("""COMPUTED_VALUE"""),"")</f>
        <v/>
      </c>
      <c r="L189" s="48"/>
      <c r="M189" s="46" t="s">
        <v>2002</v>
      </c>
    </row>
    <row r="190">
      <c r="A190" s="70">
        <f>IFERROR(__xludf.DUMMYFUNCTION("""COMPUTED_VALUE"""),8.882377506E9)</f>
        <v>8882377506</v>
      </c>
      <c r="B190" s="46" t="str">
        <f>IFERROR(__xludf.DUMMYFUNCTION("""COMPUTED_VALUE"""),"Amit ")</f>
        <v>Amit </v>
      </c>
      <c r="C190" s="5" t="s">
        <v>2002</v>
      </c>
      <c r="D190" s="5"/>
      <c r="E190" s="5"/>
      <c r="F190" s="5"/>
      <c r="G190" s="5"/>
      <c r="H190" s="5"/>
      <c r="I190" s="5"/>
      <c r="J190" s="73"/>
      <c r="K190" s="75" t="str">
        <f>IFERROR(__xludf.DUMMYFUNCTION("""COMPUTED_VALUE"""),"")</f>
        <v/>
      </c>
      <c r="L190" s="48"/>
      <c r="M190" s="46" t="s">
        <v>2002</v>
      </c>
    </row>
    <row r="191">
      <c r="A191" s="70">
        <f>IFERROR(__xludf.DUMMYFUNCTION("""COMPUTED_VALUE"""),9.81886679E9)</f>
        <v>9818866790</v>
      </c>
      <c r="B191" s="46" t="str">
        <f>IFERROR(__xludf.DUMMYFUNCTION("""COMPUTED_VALUE"""),"Hushma")</f>
        <v>Hushma</v>
      </c>
      <c r="C191" s="5" t="s">
        <v>2002</v>
      </c>
      <c r="D191" s="5"/>
      <c r="E191" s="5"/>
      <c r="F191" s="5"/>
      <c r="G191" s="5"/>
      <c r="H191" s="5"/>
      <c r="I191" s="5"/>
      <c r="J191" s="73"/>
      <c r="K191" s="75" t="str">
        <f>IFERROR(__xludf.DUMMYFUNCTION("""COMPUTED_VALUE"""),"")</f>
        <v/>
      </c>
      <c r="L191" s="48"/>
      <c r="M191" s="46" t="s">
        <v>2002</v>
      </c>
    </row>
    <row r="192">
      <c r="A192" s="70">
        <f>IFERROR(__xludf.DUMMYFUNCTION("""COMPUTED_VALUE"""),9.958370703E9)</f>
        <v>9958370703</v>
      </c>
      <c r="B192" s="46" t="str">
        <f>IFERROR(__xludf.DUMMYFUNCTION("""COMPUTED_VALUE"""),"Shilpy Singhal ")</f>
        <v>Shilpy Singhal </v>
      </c>
      <c r="C192" s="5" t="s">
        <v>2002</v>
      </c>
      <c r="D192" s="5"/>
      <c r="E192" s="5"/>
      <c r="F192" s="5"/>
      <c r="G192" s="5"/>
      <c r="H192" s="5"/>
      <c r="I192" s="5"/>
      <c r="J192" s="73"/>
      <c r="K192" s="75" t="str">
        <f>IFERROR(__xludf.DUMMYFUNCTION("""COMPUTED_VALUE"""),"")</f>
        <v/>
      </c>
      <c r="L192" s="48"/>
      <c r="M192" s="46" t="s">
        <v>2002</v>
      </c>
    </row>
    <row r="193">
      <c r="A193" s="70">
        <f>IFERROR(__xludf.DUMMYFUNCTION("""COMPUTED_VALUE"""),9.266123588E9)</f>
        <v>9266123588</v>
      </c>
      <c r="B193" s="46" t="str">
        <f>IFERROR(__xludf.DUMMYFUNCTION("""COMPUTED_VALUE"""),"Veena ganesh")</f>
        <v>Veena ganesh</v>
      </c>
      <c r="C193" s="5" t="s">
        <v>2002</v>
      </c>
      <c r="D193" s="5"/>
      <c r="E193" s="5"/>
      <c r="F193" s="5"/>
      <c r="G193" s="5"/>
      <c r="H193" s="5"/>
      <c r="I193" s="5"/>
      <c r="J193" s="73"/>
      <c r="K193" s="75" t="str">
        <f>IFERROR(__xludf.DUMMYFUNCTION("""COMPUTED_VALUE"""),"")</f>
        <v/>
      </c>
      <c r="L193" s="48"/>
      <c r="M193" s="46" t="s">
        <v>2002</v>
      </c>
    </row>
    <row r="194">
      <c r="A194" s="70">
        <f>IFERROR(__xludf.DUMMYFUNCTION("""COMPUTED_VALUE"""),9.213938727E9)</f>
        <v>9213938727</v>
      </c>
      <c r="B194" s="46" t="str">
        <f>IFERROR(__xludf.DUMMYFUNCTION("""COMPUTED_VALUE"""),"Neelam")</f>
        <v>Neelam</v>
      </c>
      <c r="C194" s="5" t="s">
        <v>2002</v>
      </c>
      <c r="D194" s="5"/>
      <c r="E194" s="5"/>
      <c r="F194" s="5"/>
      <c r="G194" s="5"/>
      <c r="H194" s="5"/>
      <c r="I194" s="5"/>
      <c r="J194" s="73"/>
      <c r="K194" s="75" t="str">
        <f>IFERROR(__xludf.DUMMYFUNCTION("""COMPUTED_VALUE"""),"")</f>
        <v/>
      </c>
      <c r="L194" s="48"/>
      <c r="M194" s="46" t="s">
        <v>2002</v>
      </c>
    </row>
    <row r="195">
      <c r="A195" s="70">
        <f>IFERROR(__xludf.DUMMYFUNCTION("""COMPUTED_VALUE"""),9.999926937E9)</f>
        <v>9999926937</v>
      </c>
      <c r="B195" s="46" t="str">
        <f>IFERROR(__xludf.DUMMYFUNCTION("""COMPUTED_VALUE"""),"Deepak Garg")</f>
        <v>Deepak Garg</v>
      </c>
      <c r="C195" s="5" t="s">
        <v>2002</v>
      </c>
      <c r="D195" s="5"/>
      <c r="E195" s="5"/>
      <c r="F195" s="5"/>
      <c r="G195" s="5"/>
      <c r="H195" s="5"/>
      <c r="I195" s="5"/>
      <c r="J195" s="73"/>
      <c r="K195" s="75" t="str">
        <f>IFERROR(__xludf.DUMMYFUNCTION("""COMPUTED_VALUE"""),"")</f>
        <v/>
      </c>
      <c r="L195" s="48"/>
      <c r="M195" s="46" t="s">
        <v>2002</v>
      </c>
    </row>
    <row r="196">
      <c r="A196" s="70">
        <f>IFERROR(__xludf.DUMMYFUNCTION("""COMPUTED_VALUE"""),9.871071756E9)</f>
        <v>9871071756</v>
      </c>
      <c r="B196" s="46" t="str">
        <f>IFERROR(__xludf.DUMMYFUNCTION("""COMPUTED_VALUE"""),"Pramod kumar")</f>
        <v>Pramod kumar</v>
      </c>
      <c r="C196" s="5" t="s">
        <v>2002</v>
      </c>
      <c r="D196" s="5"/>
      <c r="E196" s="5"/>
      <c r="F196" s="5"/>
      <c r="G196" s="5"/>
      <c r="H196" s="5"/>
      <c r="I196" s="5"/>
      <c r="J196" s="73"/>
      <c r="K196" s="75" t="str">
        <f>IFERROR(__xludf.DUMMYFUNCTION("""COMPUTED_VALUE"""),"")</f>
        <v/>
      </c>
      <c r="L196" s="48"/>
      <c r="M196" s="46" t="s">
        <v>2002</v>
      </c>
    </row>
    <row r="197">
      <c r="A197" s="70">
        <f>IFERROR(__xludf.DUMMYFUNCTION("""COMPUTED_VALUE"""),9.213872247E9)</f>
        <v>9213872247</v>
      </c>
      <c r="B197" s="46" t="str">
        <f>IFERROR(__xludf.DUMMYFUNCTION("""COMPUTED_VALUE"""),"sadhna Gupta")</f>
        <v>sadhna Gupta</v>
      </c>
      <c r="C197" s="5" t="s">
        <v>2002</v>
      </c>
      <c r="D197" s="5"/>
      <c r="E197" s="5"/>
      <c r="F197" s="5"/>
      <c r="G197" s="5"/>
      <c r="H197" s="5"/>
      <c r="I197" s="5"/>
      <c r="J197" s="73"/>
      <c r="K197" s="75" t="str">
        <f>IFERROR(__xludf.DUMMYFUNCTION("""COMPUTED_VALUE"""),"")</f>
        <v/>
      </c>
      <c r="L197" s="48"/>
      <c r="M197" s="46" t="s">
        <v>2002</v>
      </c>
    </row>
    <row r="198">
      <c r="A198" s="70">
        <f>IFERROR(__xludf.DUMMYFUNCTION("""COMPUTED_VALUE"""),7.018285791E9)</f>
        <v>7018285791</v>
      </c>
      <c r="B198" s="46" t="str">
        <f>IFERROR(__xludf.DUMMYFUNCTION("""COMPUTED_VALUE"""),"Harsh")</f>
        <v>Harsh</v>
      </c>
      <c r="C198" s="5" t="s">
        <v>2002</v>
      </c>
      <c r="D198" s="5"/>
      <c r="E198" s="5"/>
      <c r="F198" s="5"/>
      <c r="G198" s="5"/>
      <c r="H198" s="5"/>
      <c r="I198" s="5"/>
      <c r="J198" s="73"/>
      <c r="K198" s="75" t="str">
        <f>IFERROR(__xludf.DUMMYFUNCTION("""COMPUTED_VALUE"""),"")</f>
        <v/>
      </c>
      <c r="L198" s="48"/>
      <c r="M198" s="46" t="s">
        <v>2002</v>
      </c>
    </row>
    <row r="199">
      <c r="A199" s="70">
        <f>IFERROR(__xludf.DUMMYFUNCTION("""COMPUTED_VALUE"""),8.802307409E9)</f>
        <v>8802307409</v>
      </c>
      <c r="B199" s="46" t="str">
        <f>IFERROR(__xludf.DUMMYFUNCTION("""COMPUTED_VALUE"""),"Mayank ")</f>
        <v>Mayank </v>
      </c>
      <c r="C199" s="5" t="s">
        <v>2002</v>
      </c>
      <c r="D199" s="5"/>
      <c r="E199" s="5"/>
      <c r="F199" s="5"/>
      <c r="G199" s="5"/>
      <c r="H199" s="5"/>
      <c r="I199" s="5"/>
      <c r="J199" s="73"/>
      <c r="K199" s="75" t="str">
        <f>IFERROR(__xludf.DUMMYFUNCTION("""COMPUTED_VALUE"""),"")</f>
        <v/>
      </c>
      <c r="L199" s="48"/>
      <c r="M199" s="46" t="s">
        <v>2002</v>
      </c>
    </row>
    <row r="200">
      <c r="A200" s="70">
        <f>IFERROR(__xludf.DUMMYFUNCTION("""COMPUTED_VALUE"""),9.811137056E9)</f>
        <v>9811137056</v>
      </c>
      <c r="B200" s="46" t="str">
        <f>IFERROR(__xludf.DUMMYFUNCTION("""COMPUTED_VALUE"""),"Vishal Kumar")</f>
        <v>Vishal Kumar</v>
      </c>
      <c r="C200" s="5" t="s">
        <v>2002</v>
      </c>
      <c r="D200" s="5"/>
      <c r="E200" s="5"/>
      <c r="F200" s="5"/>
      <c r="G200" s="5"/>
      <c r="H200" s="5"/>
      <c r="I200" s="5"/>
      <c r="J200" s="73"/>
      <c r="K200" s="75" t="str">
        <f>IFERROR(__xludf.DUMMYFUNCTION("""COMPUTED_VALUE"""),"")</f>
        <v/>
      </c>
      <c r="L200" s="48"/>
      <c r="M200" s="46" t="s">
        <v>2002</v>
      </c>
    </row>
    <row r="201">
      <c r="A201" s="70">
        <f>IFERROR(__xludf.DUMMYFUNCTION("""COMPUTED_VALUE"""),9.315070998E9)</f>
        <v>9315070998</v>
      </c>
      <c r="B201" s="46" t="str">
        <f>IFERROR(__xludf.DUMMYFUNCTION("""COMPUTED_VALUE"""),"Sanjay gupta")</f>
        <v>Sanjay gupta</v>
      </c>
      <c r="C201" s="5" t="s">
        <v>2002</v>
      </c>
      <c r="D201" s="5"/>
      <c r="E201" s="5"/>
      <c r="F201" s="5"/>
      <c r="G201" s="5"/>
      <c r="H201" s="5"/>
      <c r="I201" s="5"/>
      <c r="J201" s="73"/>
      <c r="K201" s="75" t="str">
        <f>IFERROR(__xludf.DUMMYFUNCTION("""COMPUTED_VALUE"""),"")</f>
        <v/>
      </c>
      <c r="L201" s="48"/>
      <c r="M201" s="46" t="s">
        <v>2002</v>
      </c>
    </row>
    <row r="202">
      <c r="A202" s="70">
        <f>IFERROR(__xludf.DUMMYFUNCTION("""COMPUTED_VALUE"""),9.868922637E9)</f>
        <v>9868922637</v>
      </c>
      <c r="B202" s="46" t="str">
        <f>IFERROR(__xludf.DUMMYFUNCTION("""COMPUTED_VALUE"""),"Maitraa")</f>
        <v>Maitraa</v>
      </c>
      <c r="C202" s="5" t="s">
        <v>2002</v>
      </c>
      <c r="D202" s="5"/>
      <c r="E202" s="5"/>
      <c r="F202" s="5"/>
      <c r="G202" s="5"/>
      <c r="H202" s="5"/>
      <c r="I202" s="5"/>
      <c r="J202" s="73"/>
      <c r="K202" s="75" t="str">
        <f>IFERROR(__xludf.DUMMYFUNCTION("""COMPUTED_VALUE"""),"")</f>
        <v/>
      </c>
      <c r="L202" s="48"/>
      <c r="M202" s="46" t="s">
        <v>2002</v>
      </c>
    </row>
    <row r="203">
      <c r="A203" s="70">
        <f>IFERROR(__xludf.DUMMYFUNCTION("""COMPUTED_VALUE"""),9.871137526E9)</f>
        <v>9871137526</v>
      </c>
      <c r="B203" s="46" t="str">
        <f>IFERROR(__xludf.DUMMYFUNCTION("""COMPUTED_VALUE"""),"renu")</f>
        <v>renu</v>
      </c>
      <c r="C203" s="5" t="s">
        <v>2002</v>
      </c>
      <c r="D203" s="5"/>
      <c r="E203" s="5"/>
      <c r="F203" s="5"/>
      <c r="G203" s="5"/>
      <c r="H203" s="5"/>
      <c r="I203" s="5"/>
      <c r="J203" s="73"/>
      <c r="K203" s="75" t="str">
        <f>IFERROR(__xludf.DUMMYFUNCTION("""COMPUTED_VALUE"""),"")</f>
        <v/>
      </c>
      <c r="L203" s="48"/>
      <c r="M203" s="46" t="s">
        <v>2002</v>
      </c>
    </row>
    <row r="204">
      <c r="A204" s="70">
        <f>IFERROR(__xludf.DUMMYFUNCTION("""COMPUTED_VALUE"""),9.971960101E9)</f>
        <v>9971960101</v>
      </c>
      <c r="B204" s="46" t="str">
        <f>IFERROR(__xludf.DUMMYFUNCTION("""COMPUTED_VALUE"""),"dr.Nidhi Jain")</f>
        <v>dr.Nidhi Jain</v>
      </c>
      <c r="C204" s="5" t="s">
        <v>2002</v>
      </c>
      <c r="D204" s="5"/>
      <c r="E204" s="5"/>
      <c r="F204" s="5"/>
      <c r="G204" s="5"/>
      <c r="H204" s="5"/>
      <c r="I204" s="5"/>
      <c r="J204" s="73"/>
      <c r="K204" s="75" t="str">
        <f>IFERROR(__xludf.DUMMYFUNCTION("""COMPUTED_VALUE"""),"")</f>
        <v/>
      </c>
      <c r="L204" s="48"/>
      <c r="M204" s="46" t="s">
        <v>2002</v>
      </c>
    </row>
    <row r="205">
      <c r="A205" s="70">
        <f>IFERROR(__xludf.DUMMYFUNCTION("""COMPUTED_VALUE"""),9.911115452E9)</f>
        <v>9911115452</v>
      </c>
      <c r="B205" s="46" t="str">
        <f>IFERROR(__xludf.DUMMYFUNCTION("""COMPUTED_VALUE"""),"Dr Rita matho")</f>
        <v>Dr Rita matho</v>
      </c>
      <c r="C205" s="5" t="s">
        <v>2002</v>
      </c>
      <c r="D205" s="5"/>
      <c r="E205" s="5"/>
      <c r="F205" s="5"/>
      <c r="G205" s="5"/>
      <c r="H205" s="5"/>
      <c r="I205" s="5"/>
      <c r="J205" s="73"/>
      <c r="K205" s="75" t="str">
        <f>IFERROR(__xludf.DUMMYFUNCTION("""COMPUTED_VALUE"""),"")</f>
        <v/>
      </c>
      <c r="L205" s="48"/>
      <c r="M205" s="46" t="s">
        <v>2002</v>
      </c>
    </row>
    <row r="206">
      <c r="A206" s="70">
        <f>IFERROR(__xludf.DUMMYFUNCTION("""COMPUTED_VALUE"""),9.111659999E9)</f>
        <v>9111659999</v>
      </c>
      <c r="B206" s="46" t="str">
        <f>IFERROR(__xludf.DUMMYFUNCTION("""COMPUTED_VALUE"""),"Sameer Denial")</f>
        <v>Sameer Denial</v>
      </c>
      <c r="C206" s="5" t="s">
        <v>2002</v>
      </c>
      <c r="D206" s="5"/>
      <c r="E206" s="5"/>
      <c r="F206" s="5"/>
      <c r="G206" s="5"/>
      <c r="H206" s="5"/>
      <c r="I206" s="5"/>
      <c r="J206" s="73"/>
      <c r="K206" s="75" t="str">
        <f>IFERROR(__xludf.DUMMYFUNCTION("""COMPUTED_VALUE"""),"")</f>
        <v/>
      </c>
      <c r="L206" s="48"/>
      <c r="M206" s="46" t="s">
        <v>2002</v>
      </c>
    </row>
    <row r="207">
      <c r="A207" s="70">
        <f>IFERROR(__xludf.DUMMYFUNCTION("""COMPUTED_VALUE"""),8.851507298E9)</f>
        <v>8851507298</v>
      </c>
      <c r="B207" s="46" t="str">
        <f>IFERROR(__xludf.DUMMYFUNCTION("""COMPUTED_VALUE"""),"Dr.ashu ghosla")</f>
        <v>Dr.ashu ghosla</v>
      </c>
      <c r="C207" s="5" t="s">
        <v>2002</v>
      </c>
      <c r="D207" s="5"/>
      <c r="E207" s="5"/>
      <c r="F207" s="5"/>
      <c r="G207" s="5"/>
      <c r="H207" s="5"/>
      <c r="I207" s="5"/>
      <c r="J207" s="73"/>
      <c r="K207" s="75" t="str">
        <f>IFERROR(__xludf.DUMMYFUNCTION("""COMPUTED_VALUE"""),"")</f>
        <v/>
      </c>
      <c r="L207" s="48"/>
      <c r="M207" s="46" t="s">
        <v>2002</v>
      </c>
    </row>
    <row r="208">
      <c r="A208" s="70">
        <f>IFERROR(__xludf.DUMMYFUNCTION("""COMPUTED_VALUE"""),9.999697707E9)</f>
        <v>9999697707</v>
      </c>
      <c r="B208" s="46" t="str">
        <f>IFERROR(__xludf.DUMMYFUNCTION("""COMPUTED_VALUE"""),"Yogesh Verma")</f>
        <v>Yogesh Verma</v>
      </c>
      <c r="C208" s="5" t="s">
        <v>2002</v>
      </c>
      <c r="D208" s="5"/>
      <c r="E208" s="5"/>
      <c r="F208" s="5"/>
      <c r="G208" s="5"/>
      <c r="H208" s="5"/>
      <c r="I208" s="5"/>
      <c r="J208" s="73"/>
      <c r="K208" s="75" t="str">
        <f>IFERROR(__xludf.DUMMYFUNCTION("""COMPUTED_VALUE"""),"")</f>
        <v/>
      </c>
      <c r="L208" s="48"/>
      <c r="M208" s="46" t="s">
        <v>2002</v>
      </c>
    </row>
    <row r="209">
      <c r="A209" s="70">
        <f>IFERROR(__xludf.DUMMYFUNCTION("""COMPUTED_VALUE"""),9.911614449E9)</f>
        <v>9911614449</v>
      </c>
      <c r="B209" s="46" t="str">
        <f>IFERROR(__xludf.DUMMYFUNCTION("""COMPUTED_VALUE"""),"Preeti bhala")</f>
        <v>Preeti bhala</v>
      </c>
      <c r="C209" s="5" t="s">
        <v>2002</v>
      </c>
      <c r="D209" s="5"/>
      <c r="E209" s="5"/>
      <c r="F209" s="5"/>
      <c r="G209" s="5"/>
      <c r="H209" s="5"/>
      <c r="I209" s="5"/>
      <c r="J209" s="73"/>
      <c r="K209" s="75" t="str">
        <f>IFERROR(__xludf.DUMMYFUNCTION("""COMPUTED_VALUE"""),"")</f>
        <v/>
      </c>
      <c r="L209" s="48"/>
      <c r="M209" s="46" t="s">
        <v>2002</v>
      </c>
    </row>
    <row r="210">
      <c r="A210" s="70">
        <f>IFERROR(__xludf.DUMMYFUNCTION("""COMPUTED_VALUE"""),9.87320992E9)</f>
        <v>9873209920</v>
      </c>
      <c r="B210" s="46" t="str">
        <f>IFERROR(__xludf.DUMMYFUNCTION("""COMPUTED_VALUE"""),"Soniya")</f>
        <v>Soniya</v>
      </c>
      <c r="C210" s="5" t="s">
        <v>2002</v>
      </c>
      <c r="D210" s="5"/>
      <c r="E210" s="5"/>
      <c r="F210" s="5"/>
      <c r="G210" s="5"/>
      <c r="H210" s="5"/>
      <c r="I210" s="5"/>
      <c r="J210" s="73"/>
      <c r="K210" s="75" t="str">
        <f>IFERROR(__xludf.DUMMYFUNCTION("""COMPUTED_VALUE"""),"")</f>
        <v/>
      </c>
      <c r="L210" s="48"/>
      <c r="M210" s="46" t="s">
        <v>2002</v>
      </c>
    </row>
    <row r="211">
      <c r="A211" s="70">
        <f>IFERROR(__xludf.DUMMYFUNCTION("""COMPUTED_VALUE"""),9.868141042E9)</f>
        <v>9868141042</v>
      </c>
      <c r="B211" s="46" t="str">
        <f>IFERROR(__xludf.DUMMYFUNCTION("""COMPUTED_VALUE"""),"Sunil ")</f>
        <v>Sunil </v>
      </c>
      <c r="C211" s="5" t="s">
        <v>2002</v>
      </c>
      <c r="D211" s="5"/>
      <c r="E211" s="5"/>
      <c r="F211" s="5"/>
      <c r="G211" s="5"/>
      <c r="H211" s="5"/>
      <c r="I211" s="5"/>
      <c r="J211" s="73"/>
      <c r="K211" s="75" t="str">
        <f>IFERROR(__xludf.DUMMYFUNCTION("""COMPUTED_VALUE"""),"")</f>
        <v/>
      </c>
      <c r="L211" s="48"/>
      <c r="M211" s="46" t="s">
        <v>2002</v>
      </c>
    </row>
    <row r="212">
      <c r="A212" s="70">
        <f>IFERROR(__xludf.DUMMYFUNCTION("""COMPUTED_VALUE"""),9.91162781E9)</f>
        <v>9911627810</v>
      </c>
      <c r="B212" s="46" t="str">
        <f>IFERROR(__xludf.DUMMYFUNCTION("""COMPUTED_VALUE"""),"Inder")</f>
        <v>Inder</v>
      </c>
      <c r="C212" s="5" t="s">
        <v>2002</v>
      </c>
      <c r="D212" s="5"/>
      <c r="E212" s="5"/>
      <c r="F212" s="5"/>
      <c r="G212" s="5"/>
      <c r="H212" s="5"/>
      <c r="I212" s="5"/>
      <c r="J212" s="73"/>
      <c r="K212" s="75" t="str">
        <f>IFERROR(__xludf.DUMMYFUNCTION("""COMPUTED_VALUE"""),"")</f>
        <v/>
      </c>
      <c r="L212" s="48"/>
      <c r="M212" s="46" t="s">
        <v>2002</v>
      </c>
    </row>
    <row r="213">
      <c r="A213" s="70">
        <f>IFERROR(__xludf.DUMMYFUNCTION("""COMPUTED_VALUE"""),9.999873448E9)</f>
        <v>9999873448</v>
      </c>
      <c r="B213" s="46" t="str">
        <f>IFERROR(__xludf.DUMMYFUNCTION("""COMPUTED_VALUE"""),"Nitin")</f>
        <v>Nitin</v>
      </c>
      <c r="C213" s="5" t="s">
        <v>2002</v>
      </c>
      <c r="D213" s="5"/>
      <c r="E213" s="5"/>
      <c r="F213" s="5"/>
      <c r="G213" s="5"/>
      <c r="H213" s="5"/>
      <c r="I213" s="5"/>
      <c r="J213" s="73"/>
      <c r="K213" s="75" t="str">
        <f>IFERROR(__xludf.DUMMYFUNCTION("""COMPUTED_VALUE"""),"")</f>
        <v/>
      </c>
      <c r="L213" s="48"/>
      <c r="M213" s="46" t="s">
        <v>2002</v>
      </c>
    </row>
    <row r="214">
      <c r="A214" s="70">
        <f>IFERROR(__xludf.DUMMYFUNCTION("""COMPUTED_VALUE"""),9.310382244E9)</f>
        <v>9310382244</v>
      </c>
      <c r="B214" s="46" t="str">
        <f>IFERROR(__xludf.DUMMYFUNCTION("""COMPUTED_VALUE"""),"Vijay Thakur")</f>
        <v>Vijay Thakur</v>
      </c>
      <c r="C214" s="5" t="s">
        <v>2002</v>
      </c>
      <c r="D214" s="5"/>
      <c r="E214" s="5"/>
      <c r="F214" s="5"/>
      <c r="G214" s="5"/>
      <c r="H214" s="5"/>
      <c r="I214" s="5"/>
      <c r="J214" s="73"/>
      <c r="K214" s="75" t="str">
        <f>IFERROR(__xludf.DUMMYFUNCTION("""COMPUTED_VALUE"""),"")</f>
        <v/>
      </c>
      <c r="L214" s="48"/>
      <c r="M214" s="46" t="s">
        <v>2002</v>
      </c>
    </row>
    <row r="215">
      <c r="A215" s="70">
        <f>IFERROR(__xludf.DUMMYFUNCTION("""COMPUTED_VALUE"""),9.891907806E9)</f>
        <v>9891907806</v>
      </c>
      <c r="B215" s="46" t="str">
        <f>IFERROR(__xludf.DUMMYFUNCTION("""COMPUTED_VALUE"""),"Alka ")</f>
        <v>Alka </v>
      </c>
      <c r="C215" s="5" t="s">
        <v>2002</v>
      </c>
      <c r="D215" s="5"/>
      <c r="E215" s="5"/>
      <c r="F215" s="5"/>
      <c r="G215" s="5"/>
      <c r="H215" s="5"/>
      <c r="I215" s="5"/>
      <c r="J215" s="73"/>
      <c r="K215" s="75" t="str">
        <f>IFERROR(__xludf.DUMMYFUNCTION("""COMPUTED_VALUE"""),"")</f>
        <v/>
      </c>
      <c r="L215" s="48"/>
      <c r="M215" s="46" t="s">
        <v>2002</v>
      </c>
    </row>
    <row r="216">
      <c r="A216" s="70">
        <f>IFERROR(__xludf.DUMMYFUNCTION("""COMPUTED_VALUE"""),9.538924001E9)</f>
        <v>9538924001</v>
      </c>
      <c r="B216" s="46" t="str">
        <f>IFERROR(__xludf.DUMMYFUNCTION("""COMPUTED_VALUE"""),"Neha sharma")</f>
        <v>Neha sharma</v>
      </c>
      <c r="C216" s="5" t="s">
        <v>2002</v>
      </c>
      <c r="D216" s="5"/>
      <c r="E216" s="5"/>
      <c r="F216" s="5"/>
      <c r="G216" s="5"/>
      <c r="H216" s="5"/>
      <c r="I216" s="5"/>
      <c r="J216" s="73"/>
      <c r="K216" s="75" t="str">
        <f>IFERROR(__xludf.DUMMYFUNCTION("""COMPUTED_VALUE"""),"")</f>
        <v/>
      </c>
      <c r="L216" s="48"/>
      <c r="M216" s="46" t="s">
        <v>2002</v>
      </c>
    </row>
    <row r="217">
      <c r="A217" s="70">
        <f>IFERROR(__xludf.DUMMYFUNCTION("""COMPUTED_VALUE"""),9.654237028E9)</f>
        <v>9654237028</v>
      </c>
      <c r="B217" s="46" t="str">
        <f>IFERROR(__xludf.DUMMYFUNCTION("""COMPUTED_VALUE"""),"Anjali")</f>
        <v>Anjali</v>
      </c>
      <c r="C217" s="5" t="s">
        <v>2002</v>
      </c>
      <c r="D217" s="5"/>
      <c r="E217" s="5"/>
      <c r="F217" s="5"/>
      <c r="G217" s="5"/>
      <c r="H217" s="5"/>
      <c r="I217" s="5"/>
      <c r="J217" s="73"/>
      <c r="K217" s="75" t="str">
        <f>IFERROR(__xludf.DUMMYFUNCTION("""COMPUTED_VALUE"""),"")</f>
        <v/>
      </c>
      <c r="L217" s="48"/>
      <c r="M217" s="46" t="s">
        <v>2002</v>
      </c>
    </row>
    <row r="218">
      <c r="A218" s="70">
        <f>IFERROR(__xludf.DUMMYFUNCTION("""COMPUTED_VALUE"""),9.319157833E9)</f>
        <v>9319157833</v>
      </c>
      <c r="B218" s="46" t="str">
        <f>IFERROR(__xludf.DUMMYFUNCTION("""COMPUTED_VALUE"""),"Inder kaur")</f>
        <v>Inder kaur</v>
      </c>
      <c r="C218" s="5" t="s">
        <v>2002</v>
      </c>
      <c r="D218" s="5"/>
      <c r="E218" s="5"/>
      <c r="F218" s="5"/>
      <c r="G218" s="5"/>
      <c r="H218" s="5"/>
      <c r="I218" s="5"/>
      <c r="J218" s="73"/>
      <c r="K218" s="75" t="str">
        <f>IFERROR(__xludf.DUMMYFUNCTION("""COMPUTED_VALUE"""),"")</f>
        <v/>
      </c>
      <c r="L218" s="48"/>
      <c r="M218" s="46" t="s">
        <v>2002</v>
      </c>
    </row>
    <row r="219">
      <c r="A219" s="70">
        <f>IFERROR(__xludf.DUMMYFUNCTION("""COMPUTED_VALUE"""),9.810003635E9)</f>
        <v>9810003635</v>
      </c>
      <c r="B219" s="46" t="str">
        <f>IFERROR(__xludf.DUMMYFUNCTION("""COMPUTED_VALUE"""),"Suresh Tanwar")</f>
        <v>Suresh Tanwar</v>
      </c>
      <c r="C219" s="5" t="s">
        <v>2002</v>
      </c>
      <c r="D219" s="5"/>
      <c r="E219" s="5"/>
      <c r="F219" s="5"/>
      <c r="G219" s="5"/>
      <c r="H219" s="5"/>
      <c r="I219" s="5"/>
      <c r="J219" s="73"/>
      <c r="K219" s="75" t="str">
        <f>IFERROR(__xludf.DUMMYFUNCTION("""COMPUTED_VALUE"""),"")</f>
        <v/>
      </c>
      <c r="L219" s="48"/>
      <c r="M219" s="46" t="s">
        <v>2002</v>
      </c>
    </row>
    <row r="220">
      <c r="A220" s="70">
        <f>IFERROR(__xludf.DUMMYFUNCTION("""COMPUTED_VALUE"""),9.315260228E9)</f>
        <v>9315260228</v>
      </c>
      <c r="B220" s="46" t="str">
        <f>IFERROR(__xludf.DUMMYFUNCTION("""COMPUTED_VALUE"""),"Jiteeshaa kadamb")</f>
        <v>Jiteeshaa kadamb</v>
      </c>
      <c r="C220" s="5" t="s">
        <v>2002</v>
      </c>
      <c r="D220" s="5"/>
      <c r="E220" s="5"/>
      <c r="F220" s="5"/>
      <c r="G220" s="5"/>
      <c r="H220" s="5"/>
      <c r="I220" s="5"/>
      <c r="J220" s="73"/>
      <c r="K220" s="75" t="str">
        <f>IFERROR(__xludf.DUMMYFUNCTION("""COMPUTED_VALUE"""),"")</f>
        <v/>
      </c>
      <c r="L220" s="48"/>
      <c r="M220" s="46" t="s">
        <v>2002</v>
      </c>
    </row>
    <row r="221">
      <c r="A221" s="70">
        <f>IFERROR(__xludf.DUMMYFUNCTION("""COMPUTED_VALUE"""),8.882071166E9)</f>
        <v>8882071166</v>
      </c>
      <c r="B221" s="46" t="str">
        <f>IFERROR(__xludf.DUMMYFUNCTION("""COMPUTED_VALUE"""),"Vikram Singh")</f>
        <v>Vikram Singh</v>
      </c>
      <c r="C221" s="5" t="s">
        <v>2002</v>
      </c>
      <c r="D221" s="5"/>
      <c r="E221" s="5"/>
      <c r="F221" s="5"/>
      <c r="G221" s="5"/>
      <c r="H221" s="5"/>
      <c r="I221" s="5"/>
      <c r="J221" s="73"/>
      <c r="K221" s="75" t="str">
        <f>IFERROR(__xludf.DUMMYFUNCTION("""COMPUTED_VALUE"""),"")</f>
        <v/>
      </c>
      <c r="L221" s="48"/>
      <c r="M221" s="46" t="s">
        <v>2002</v>
      </c>
    </row>
    <row r="222">
      <c r="A222" s="70">
        <f>IFERROR(__xludf.DUMMYFUNCTION("""COMPUTED_VALUE"""),9.654175618E9)</f>
        <v>9654175618</v>
      </c>
      <c r="B222" s="46" t="str">
        <f>IFERROR(__xludf.DUMMYFUNCTION("""COMPUTED_VALUE"""),"Radha Brijesh Pandey")</f>
        <v>Radha Brijesh Pandey</v>
      </c>
      <c r="C222" s="5" t="s">
        <v>2002</v>
      </c>
      <c r="D222" s="5"/>
      <c r="E222" s="5"/>
      <c r="F222" s="5"/>
      <c r="G222" s="5"/>
      <c r="H222" s="5"/>
      <c r="I222" s="5"/>
      <c r="J222" s="73"/>
      <c r="K222" s="75" t="str">
        <f>IFERROR(__xludf.DUMMYFUNCTION("""COMPUTED_VALUE"""),"")</f>
        <v/>
      </c>
      <c r="L222" s="48"/>
      <c r="M222" s="46" t="s">
        <v>2002</v>
      </c>
    </row>
    <row r="223">
      <c r="A223" s="70">
        <f>IFERROR(__xludf.DUMMYFUNCTION("""COMPUTED_VALUE"""),9.727484347E9)</f>
        <v>9727484347</v>
      </c>
      <c r="B223" s="46" t="str">
        <f>IFERROR(__xludf.DUMMYFUNCTION("""COMPUTED_VALUE"""),"Varun patel")</f>
        <v>Varun patel</v>
      </c>
      <c r="C223" s="5" t="s">
        <v>2002</v>
      </c>
      <c r="D223" s="5"/>
      <c r="E223" s="5"/>
      <c r="F223" s="5"/>
      <c r="G223" s="5"/>
      <c r="H223" s="5"/>
      <c r="I223" s="5"/>
      <c r="J223" s="73"/>
      <c r="K223" s="75" t="str">
        <f>IFERROR(__xludf.DUMMYFUNCTION("""COMPUTED_VALUE"""),"")</f>
        <v/>
      </c>
      <c r="L223" s="48"/>
      <c r="M223" s="46" t="s">
        <v>2002</v>
      </c>
    </row>
    <row r="224">
      <c r="A224" s="70">
        <f>IFERROR(__xludf.DUMMYFUNCTION("""COMPUTED_VALUE"""),9.811198839E9)</f>
        <v>9811198839</v>
      </c>
      <c r="B224" s="46" t="str">
        <f>IFERROR(__xludf.DUMMYFUNCTION("""COMPUTED_VALUE"""),"sanjay Tiwari")</f>
        <v>sanjay Tiwari</v>
      </c>
      <c r="C224" s="5" t="s">
        <v>2002</v>
      </c>
      <c r="D224" s="5"/>
      <c r="E224" s="5"/>
      <c r="F224" s="5"/>
      <c r="G224" s="5"/>
      <c r="H224" s="5"/>
      <c r="I224" s="5"/>
      <c r="J224" s="73"/>
      <c r="K224" s="75" t="str">
        <f>IFERROR(__xludf.DUMMYFUNCTION("""COMPUTED_VALUE"""),"")</f>
        <v/>
      </c>
      <c r="L224" s="48"/>
      <c r="M224" s="46" t="s">
        <v>2002</v>
      </c>
    </row>
    <row r="225">
      <c r="A225" s="70">
        <f>IFERROR(__xludf.DUMMYFUNCTION("""COMPUTED_VALUE"""),7.835981515E9)</f>
        <v>7835981515</v>
      </c>
      <c r="B225" s="46" t="str">
        <f>IFERROR(__xludf.DUMMYFUNCTION("""COMPUTED_VALUE"""),"Gaurav sharma")</f>
        <v>Gaurav sharma</v>
      </c>
      <c r="C225" s="5" t="s">
        <v>2002</v>
      </c>
      <c r="D225" s="5"/>
      <c r="E225" s="5"/>
      <c r="F225" s="5"/>
      <c r="G225" s="5"/>
      <c r="H225" s="5"/>
      <c r="I225" s="5"/>
      <c r="J225" s="73"/>
      <c r="K225" s="75" t="str">
        <f>IFERROR(__xludf.DUMMYFUNCTION("""COMPUTED_VALUE"""),"")</f>
        <v/>
      </c>
      <c r="L225" s="48"/>
      <c r="M225" s="46" t="s">
        <v>2002</v>
      </c>
    </row>
    <row r="226">
      <c r="A226" s="70">
        <f>IFERROR(__xludf.DUMMYFUNCTION("""COMPUTED_VALUE"""),7.280930368E9)</f>
        <v>7280930368</v>
      </c>
      <c r="B226" s="46" t="str">
        <f>IFERROR(__xludf.DUMMYFUNCTION("""COMPUTED_VALUE"""),"Pintu")</f>
        <v>Pintu</v>
      </c>
      <c r="C226" s="5" t="s">
        <v>2002</v>
      </c>
      <c r="D226" s="5"/>
      <c r="E226" s="5"/>
      <c r="F226" s="5"/>
      <c r="G226" s="5"/>
      <c r="H226" s="5"/>
      <c r="I226" s="5"/>
      <c r="J226" s="73"/>
      <c r="K226" s="75" t="str">
        <f>IFERROR(__xludf.DUMMYFUNCTION("""COMPUTED_VALUE"""),"")</f>
        <v/>
      </c>
      <c r="L226" s="48"/>
      <c r="M226" s="46" t="s">
        <v>2002</v>
      </c>
    </row>
    <row r="227">
      <c r="A227" s="70">
        <f>IFERROR(__xludf.DUMMYFUNCTION("""COMPUTED_VALUE"""),8.920818897E9)</f>
        <v>8920818897</v>
      </c>
      <c r="B227" s="46" t="str">
        <f>IFERROR(__xludf.DUMMYFUNCTION("""COMPUTED_VALUE"""),"Srimanta Kumar dey")</f>
        <v>Srimanta Kumar dey</v>
      </c>
      <c r="C227" s="5" t="s">
        <v>2002</v>
      </c>
      <c r="D227" s="5"/>
      <c r="E227" s="5"/>
      <c r="F227" s="5"/>
      <c r="G227" s="5"/>
      <c r="H227" s="5"/>
      <c r="I227" s="5"/>
      <c r="J227" s="73"/>
      <c r="K227" s="75" t="str">
        <f>IFERROR(__xludf.DUMMYFUNCTION("""COMPUTED_VALUE"""),"")</f>
        <v/>
      </c>
      <c r="L227" s="48"/>
      <c r="M227" s="46" t="s">
        <v>2002</v>
      </c>
    </row>
    <row r="228">
      <c r="A228" s="70">
        <f>IFERROR(__xludf.DUMMYFUNCTION("""COMPUTED_VALUE"""),9.811471267E9)</f>
        <v>9811471267</v>
      </c>
      <c r="B228" s="46" t="str">
        <f>IFERROR(__xludf.DUMMYFUNCTION("""COMPUTED_VALUE"""),"Darpan Tyagi")</f>
        <v>Darpan Tyagi</v>
      </c>
      <c r="C228" s="5" t="s">
        <v>2002</v>
      </c>
      <c r="D228" s="5"/>
      <c r="E228" s="5"/>
      <c r="F228" s="5"/>
      <c r="G228" s="5"/>
      <c r="H228" s="5"/>
      <c r="I228" s="5"/>
      <c r="J228" s="73"/>
      <c r="K228" s="75" t="str">
        <f>IFERROR(__xludf.DUMMYFUNCTION("""COMPUTED_VALUE"""),"")</f>
        <v/>
      </c>
      <c r="L228" s="48"/>
      <c r="M228" s="46" t="s">
        <v>2002</v>
      </c>
    </row>
    <row r="229">
      <c r="A229" s="70">
        <f>IFERROR(__xludf.DUMMYFUNCTION("""COMPUTED_VALUE"""),9.871349567E9)</f>
        <v>9871349567</v>
      </c>
      <c r="B229" s="46" t="str">
        <f>IFERROR(__xludf.DUMMYFUNCTION("""COMPUTED_VALUE"""),"Anjana")</f>
        <v>Anjana</v>
      </c>
      <c r="C229" s="5" t="s">
        <v>2002</v>
      </c>
      <c r="D229" s="5"/>
      <c r="E229" s="5"/>
      <c r="F229" s="5"/>
      <c r="G229" s="5"/>
      <c r="H229" s="5"/>
      <c r="I229" s="5"/>
      <c r="J229" s="73"/>
      <c r="K229" s="75" t="str">
        <f>IFERROR(__xludf.DUMMYFUNCTION("""COMPUTED_VALUE"""),"")</f>
        <v/>
      </c>
      <c r="L229" s="48"/>
      <c r="M229" s="46" t="s">
        <v>2002</v>
      </c>
    </row>
    <row r="230">
      <c r="A230" s="70">
        <f>IFERROR(__xludf.DUMMYFUNCTION("""COMPUTED_VALUE"""),8.384022854E9)</f>
        <v>8384022854</v>
      </c>
      <c r="B230" s="46" t="str">
        <f>IFERROR(__xludf.DUMMYFUNCTION("""COMPUTED_VALUE"""),"Ruchi Soni")</f>
        <v>Ruchi Soni</v>
      </c>
      <c r="C230" s="5" t="s">
        <v>2002</v>
      </c>
      <c r="D230" s="5"/>
      <c r="E230" s="5"/>
      <c r="F230" s="5"/>
      <c r="G230" s="5"/>
      <c r="H230" s="5"/>
      <c r="I230" s="5"/>
      <c r="J230" s="73"/>
      <c r="K230" s="75" t="str">
        <f>IFERROR(__xludf.DUMMYFUNCTION("""COMPUTED_VALUE"""),"")</f>
        <v/>
      </c>
      <c r="L230" s="48"/>
      <c r="M230" s="46" t="s">
        <v>2002</v>
      </c>
    </row>
    <row r="231">
      <c r="A231" s="70">
        <f>IFERROR(__xludf.DUMMYFUNCTION("""COMPUTED_VALUE"""),7.289937648E9)</f>
        <v>7289937648</v>
      </c>
      <c r="B231" s="46" t="str">
        <f>IFERROR(__xludf.DUMMYFUNCTION("""COMPUTED_VALUE"""),"Urmila")</f>
        <v>Urmila</v>
      </c>
      <c r="C231" s="5" t="s">
        <v>2002</v>
      </c>
      <c r="D231" s="5"/>
      <c r="E231" s="5"/>
      <c r="F231" s="5"/>
      <c r="G231" s="5"/>
      <c r="H231" s="5"/>
      <c r="I231" s="5"/>
      <c r="J231" s="73"/>
      <c r="K231" s="75" t="str">
        <f>IFERROR(__xludf.DUMMYFUNCTION("""COMPUTED_VALUE"""),"")</f>
        <v/>
      </c>
      <c r="L231" s="48"/>
      <c r="M231" s="46" t="s">
        <v>2002</v>
      </c>
    </row>
    <row r="232">
      <c r="A232" s="70">
        <f>IFERROR(__xludf.DUMMYFUNCTION("""COMPUTED_VALUE"""),9.971695993E9)</f>
        <v>9971695993</v>
      </c>
      <c r="B232" s="46" t="str">
        <f>IFERROR(__xludf.DUMMYFUNCTION("""COMPUTED_VALUE"""),"diksha Jain")</f>
        <v>diksha Jain</v>
      </c>
      <c r="C232" s="5" t="s">
        <v>2002</v>
      </c>
      <c r="D232" s="5"/>
      <c r="E232" s="5"/>
      <c r="F232" s="5"/>
      <c r="G232" s="5"/>
      <c r="H232" s="5"/>
      <c r="I232" s="5"/>
      <c r="J232" s="73"/>
      <c r="K232" s="75" t="str">
        <f>IFERROR(__xludf.DUMMYFUNCTION("""COMPUTED_VALUE"""),"")</f>
        <v/>
      </c>
      <c r="L232" s="48"/>
      <c r="M232" s="46" t="s">
        <v>2002</v>
      </c>
    </row>
    <row r="233">
      <c r="A233" s="70">
        <f>IFERROR(__xludf.DUMMYFUNCTION("""COMPUTED_VALUE"""),8.851229264E9)</f>
        <v>8851229264</v>
      </c>
      <c r="B233" s="46" t="str">
        <f>IFERROR(__xludf.DUMMYFUNCTION("""COMPUTED_VALUE"""),"yogita")</f>
        <v>yogita</v>
      </c>
      <c r="C233" s="5" t="s">
        <v>2002</v>
      </c>
      <c r="D233" s="5"/>
      <c r="E233" s="5"/>
      <c r="F233" s="5"/>
      <c r="G233" s="5"/>
      <c r="H233" s="5"/>
      <c r="I233" s="5"/>
      <c r="J233" s="73"/>
      <c r="K233" s="75" t="str">
        <f>IFERROR(__xludf.DUMMYFUNCTION("""COMPUTED_VALUE"""),"")</f>
        <v/>
      </c>
      <c r="L233" s="48"/>
      <c r="M233" s="46" t="s">
        <v>2002</v>
      </c>
    </row>
    <row r="234">
      <c r="A234" s="70">
        <f>IFERROR(__xludf.DUMMYFUNCTION("""COMPUTED_VALUE"""),9.810595267E9)</f>
        <v>9810595267</v>
      </c>
      <c r="B234" s="46" t="str">
        <f>IFERROR(__xludf.DUMMYFUNCTION("""COMPUTED_VALUE"""),"Geeta")</f>
        <v>Geeta</v>
      </c>
      <c r="C234" s="5" t="s">
        <v>2002</v>
      </c>
      <c r="D234" s="5"/>
      <c r="E234" s="5"/>
      <c r="F234" s="5"/>
      <c r="G234" s="5"/>
      <c r="H234" s="5"/>
      <c r="I234" s="5"/>
      <c r="J234" s="73"/>
      <c r="K234" s="75" t="str">
        <f>IFERROR(__xludf.DUMMYFUNCTION("""COMPUTED_VALUE"""),"")</f>
        <v/>
      </c>
      <c r="L234" s="48"/>
      <c r="M234" s="46" t="s">
        <v>2002</v>
      </c>
    </row>
    <row r="235">
      <c r="A235" s="70">
        <f>IFERROR(__xludf.DUMMYFUNCTION("""COMPUTED_VALUE"""),9.990361779E9)</f>
        <v>9990361779</v>
      </c>
      <c r="B235" s="46" t="str">
        <f>IFERROR(__xludf.DUMMYFUNCTION("""COMPUTED_VALUE"""),"Ritu")</f>
        <v>Ritu</v>
      </c>
      <c r="C235" s="5" t="s">
        <v>2002</v>
      </c>
      <c r="D235" s="5"/>
      <c r="E235" s="5"/>
      <c r="F235" s="5"/>
      <c r="G235" s="5"/>
      <c r="H235" s="5"/>
      <c r="I235" s="5"/>
      <c r="J235" s="73"/>
      <c r="K235" s="75" t="str">
        <f>IFERROR(__xludf.DUMMYFUNCTION("""COMPUTED_VALUE"""),"")</f>
        <v/>
      </c>
      <c r="L235" s="48"/>
      <c r="M235" s="46" t="s">
        <v>2002</v>
      </c>
    </row>
    <row r="236">
      <c r="A236" s="70">
        <f>IFERROR(__xludf.DUMMYFUNCTION("""COMPUTED_VALUE"""),8.810214823E9)</f>
        <v>8810214823</v>
      </c>
      <c r="B236" s="46" t="str">
        <f>IFERROR(__xludf.DUMMYFUNCTION("""COMPUTED_VALUE"""),"Shubham")</f>
        <v>Shubham</v>
      </c>
      <c r="C236" s="5" t="s">
        <v>2002</v>
      </c>
      <c r="D236" s="5"/>
      <c r="E236" s="5"/>
      <c r="F236" s="5"/>
      <c r="G236" s="5"/>
      <c r="H236" s="5"/>
      <c r="I236" s="5"/>
      <c r="J236" s="73"/>
      <c r="K236" s="75" t="str">
        <f>IFERROR(__xludf.DUMMYFUNCTION("""COMPUTED_VALUE"""),"")</f>
        <v/>
      </c>
      <c r="L236" s="48"/>
      <c r="M236" s="46" t="s">
        <v>2002</v>
      </c>
    </row>
    <row r="237">
      <c r="A237" s="70">
        <f>IFERROR(__xludf.DUMMYFUNCTION("""COMPUTED_VALUE"""),8.076143164E9)</f>
        <v>8076143164</v>
      </c>
      <c r="B237" s="46" t="str">
        <f>IFERROR(__xludf.DUMMYFUNCTION("""COMPUTED_VALUE"""),"Laxmi  Challa")</f>
        <v>Laxmi  Challa</v>
      </c>
      <c r="C237" s="5" t="s">
        <v>2002</v>
      </c>
      <c r="D237" s="5"/>
      <c r="E237" s="5"/>
      <c r="F237" s="5"/>
      <c r="G237" s="5"/>
      <c r="H237" s="5"/>
      <c r="I237" s="5"/>
      <c r="J237" s="73"/>
      <c r="K237" s="75" t="str">
        <f>IFERROR(__xludf.DUMMYFUNCTION("""COMPUTED_VALUE"""),"")</f>
        <v/>
      </c>
      <c r="L237" s="48"/>
      <c r="M237" s="46" t="s">
        <v>2002</v>
      </c>
    </row>
    <row r="238">
      <c r="A238" s="70">
        <f>IFERROR(__xludf.DUMMYFUNCTION("""COMPUTED_VALUE"""),9.837445E9)</f>
        <v>9837445000</v>
      </c>
      <c r="B238" s="46" t="str">
        <f>IFERROR(__xludf.DUMMYFUNCTION("""COMPUTED_VALUE"""),"Vinita")</f>
        <v>Vinita</v>
      </c>
      <c r="C238" s="5" t="s">
        <v>2002</v>
      </c>
      <c r="D238" s="5"/>
      <c r="E238" s="5"/>
      <c r="F238" s="5"/>
      <c r="G238" s="5"/>
      <c r="H238" s="5"/>
      <c r="I238" s="5"/>
      <c r="J238" s="73"/>
      <c r="K238" s="75" t="str">
        <f>IFERROR(__xludf.DUMMYFUNCTION("""COMPUTED_VALUE"""),"")</f>
        <v/>
      </c>
      <c r="L238" s="48"/>
      <c r="M238" s="46" t="s">
        <v>2002</v>
      </c>
    </row>
    <row r="239">
      <c r="A239" s="70">
        <f>IFERROR(__xludf.DUMMYFUNCTION("""COMPUTED_VALUE"""),9.837010736E9)</f>
        <v>9837010736</v>
      </c>
      <c r="B239" s="46" t="str">
        <f>IFERROR(__xludf.DUMMYFUNCTION("""COMPUTED_VALUE"""),"Atul Kumar")</f>
        <v>Atul Kumar</v>
      </c>
      <c r="C239" s="5" t="s">
        <v>2002</v>
      </c>
      <c r="D239" s="5"/>
      <c r="E239" s="5"/>
      <c r="F239" s="5"/>
      <c r="G239" s="5"/>
      <c r="H239" s="5"/>
      <c r="I239" s="5"/>
      <c r="J239" s="73"/>
      <c r="K239" s="75" t="str">
        <f>IFERROR(__xludf.DUMMYFUNCTION("""COMPUTED_VALUE"""),"")</f>
        <v/>
      </c>
      <c r="L239" s="48"/>
      <c r="M239" s="46" t="s">
        <v>2002</v>
      </c>
    </row>
    <row r="240">
      <c r="A240" s="70">
        <f>IFERROR(__xludf.DUMMYFUNCTION("""COMPUTED_VALUE"""),8.882856762E9)</f>
        <v>8882856762</v>
      </c>
      <c r="B240" s="46" t="str">
        <f>IFERROR(__xludf.DUMMYFUNCTION("""COMPUTED_VALUE"""),"Manish lodi")</f>
        <v>Manish lodi</v>
      </c>
      <c r="C240" s="5" t="s">
        <v>2002</v>
      </c>
      <c r="D240" s="5"/>
      <c r="E240" s="5"/>
      <c r="F240" s="5"/>
      <c r="G240" s="5"/>
      <c r="H240" s="5"/>
      <c r="I240" s="5"/>
      <c r="J240" s="73"/>
      <c r="K240" s="75" t="str">
        <f>IFERROR(__xludf.DUMMYFUNCTION("""COMPUTED_VALUE"""),"")</f>
        <v/>
      </c>
      <c r="L240" s="48"/>
      <c r="M240" s="46" t="s">
        <v>2002</v>
      </c>
    </row>
    <row r="241">
      <c r="A241" s="70">
        <f>IFERROR(__xludf.DUMMYFUNCTION("""COMPUTED_VALUE"""),8.800613336E9)</f>
        <v>8800613336</v>
      </c>
      <c r="B241" s="46" t="str">
        <f>IFERROR(__xludf.DUMMYFUNCTION("""COMPUTED_VALUE"""),"Amita")</f>
        <v>Amita</v>
      </c>
      <c r="C241" s="5" t="s">
        <v>2002</v>
      </c>
      <c r="D241" s="5"/>
      <c r="E241" s="5"/>
      <c r="F241" s="5"/>
      <c r="G241" s="5"/>
      <c r="H241" s="5"/>
      <c r="I241" s="5"/>
      <c r="J241" s="73"/>
      <c r="K241" s="75" t="str">
        <f>IFERROR(__xludf.DUMMYFUNCTION("""COMPUTED_VALUE"""),"")</f>
        <v/>
      </c>
      <c r="L241" s="48"/>
      <c r="M241" s="46" t="s">
        <v>2002</v>
      </c>
    </row>
    <row r="242">
      <c r="A242" s="70">
        <f>IFERROR(__xludf.DUMMYFUNCTION("""COMPUTED_VALUE"""),9.818009247E9)</f>
        <v>9818009247</v>
      </c>
      <c r="B242" s="46" t="str">
        <f>IFERROR(__xludf.DUMMYFUNCTION("""COMPUTED_VALUE"""),"Siddhartha")</f>
        <v>Siddhartha</v>
      </c>
      <c r="C242" s="5" t="s">
        <v>2002</v>
      </c>
      <c r="D242" s="5"/>
      <c r="E242" s="5"/>
      <c r="F242" s="5"/>
      <c r="G242" s="5"/>
      <c r="H242" s="5"/>
      <c r="I242" s="5"/>
      <c r="J242" s="73"/>
      <c r="K242" s="75" t="str">
        <f>IFERROR(__xludf.DUMMYFUNCTION("""COMPUTED_VALUE"""),"")</f>
        <v/>
      </c>
      <c r="L242" s="48"/>
      <c r="M242" s="46" t="s">
        <v>2002</v>
      </c>
    </row>
    <row r="243">
      <c r="A243" s="70">
        <f>IFERROR(__xludf.DUMMYFUNCTION("""COMPUTED_VALUE"""),9.711170176E9)</f>
        <v>9711170176</v>
      </c>
      <c r="B243" s="46" t="str">
        <f>IFERROR(__xludf.DUMMYFUNCTION("""COMPUTED_VALUE"""),"Hari Om")</f>
        <v>Hari Om</v>
      </c>
      <c r="C243" s="5" t="s">
        <v>2002</v>
      </c>
      <c r="D243" s="5"/>
      <c r="E243" s="5"/>
      <c r="F243" s="5"/>
      <c r="G243" s="5"/>
      <c r="H243" s="5"/>
      <c r="I243" s="5"/>
      <c r="J243" s="73"/>
      <c r="K243" s="75" t="str">
        <f>IFERROR(__xludf.DUMMYFUNCTION("""COMPUTED_VALUE"""),"")</f>
        <v/>
      </c>
      <c r="L243" s="48"/>
      <c r="M243" s="46" t="s">
        <v>2002</v>
      </c>
    </row>
    <row r="244">
      <c r="A244" s="70">
        <f>IFERROR(__xludf.DUMMYFUNCTION("""COMPUTED_VALUE"""),7.68306741E9)</f>
        <v>7683067410</v>
      </c>
      <c r="B244" s="46" t="str">
        <f>IFERROR(__xludf.DUMMYFUNCTION("""COMPUTED_VALUE"""),"Priya")</f>
        <v>Priya</v>
      </c>
      <c r="C244" s="5" t="s">
        <v>2002</v>
      </c>
      <c r="D244" s="5"/>
      <c r="E244" s="5"/>
      <c r="F244" s="5"/>
      <c r="G244" s="5"/>
      <c r="H244" s="5"/>
      <c r="I244" s="5"/>
      <c r="J244" s="73"/>
      <c r="K244" s="75" t="str">
        <f>IFERROR(__xludf.DUMMYFUNCTION("""COMPUTED_VALUE"""),"")</f>
        <v/>
      </c>
      <c r="L244" s="48"/>
      <c r="M244" s="46" t="s">
        <v>2002</v>
      </c>
    </row>
    <row r="245">
      <c r="A245" s="70">
        <f>IFERROR(__xludf.DUMMYFUNCTION("""COMPUTED_VALUE"""),9.671853414E9)</f>
        <v>9671853414</v>
      </c>
      <c r="B245" s="46" t="str">
        <f>IFERROR(__xludf.DUMMYFUNCTION("""COMPUTED_VALUE"""),"Surbhi")</f>
        <v>Surbhi</v>
      </c>
      <c r="C245" s="5" t="s">
        <v>2002</v>
      </c>
      <c r="D245" s="5"/>
      <c r="E245" s="5"/>
      <c r="F245" s="5"/>
      <c r="G245" s="5"/>
      <c r="H245" s="5"/>
      <c r="I245" s="5"/>
      <c r="J245" s="73"/>
      <c r="K245" s="75" t="str">
        <f>IFERROR(__xludf.DUMMYFUNCTION("""COMPUTED_VALUE"""),"")</f>
        <v/>
      </c>
      <c r="L245" s="48"/>
      <c r="M245" s="46" t="s">
        <v>2002</v>
      </c>
    </row>
    <row r="246">
      <c r="A246" s="70">
        <f>IFERROR(__xludf.DUMMYFUNCTION("""COMPUTED_VALUE"""),8.29540703E9)</f>
        <v>8295407030</v>
      </c>
      <c r="B246" s="46" t="str">
        <f>IFERROR(__xludf.DUMMYFUNCTION("""COMPUTED_VALUE"""),"Sahil")</f>
        <v>Sahil</v>
      </c>
      <c r="C246" s="5" t="s">
        <v>2002</v>
      </c>
      <c r="D246" s="5"/>
      <c r="E246" s="5"/>
      <c r="F246" s="5"/>
      <c r="G246" s="5"/>
      <c r="H246" s="5"/>
      <c r="I246" s="5"/>
      <c r="J246" s="73"/>
      <c r="K246" s="75" t="str">
        <f>IFERROR(__xludf.DUMMYFUNCTION("""COMPUTED_VALUE"""),"")</f>
        <v/>
      </c>
      <c r="L246" s="48"/>
      <c r="M246" s="46" t="s">
        <v>2002</v>
      </c>
    </row>
    <row r="247">
      <c r="A247" s="70">
        <f>IFERROR(__xludf.DUMMYFUNCTION("""COMPUTED_VALUE"""),8.826893089E9)</f>
        <v>8826893089</v>
      </c>
      <c r="B247" s="46" t="str">
        <f>IFERROR(__xludf.DUMMYFUNCTION("""COMPUTED_VALUE"""),"Shivfat Mishra")</f>
        <v>Shivfat Mishra</v>
      </c>
      <c r="C247" s="5" t="s">
        <v>2002</v>
      </c>
      <c r="D247" s="5"/>
      <c r="E247" s="5"/>
      <c r="F247" s="5"/>
      <c r="G247" s="5"/>
      <c r="H247" s="5"/>
      <c r="I247" s="5"/>
      <c r="J247" s="73"/>
      <c r="K247" s="75" t="str">
        <f>IFERROR(__xludf.DUMMYFUNCTION("""COMPUTED_VALUE"""),"")</f>
        <v/>
      </c>
      <c r="L247" s="48"/>
      <c r="M247" s="46" t="s">
        <v>2002</v>
      </c>
    </row>
    <row r="248">
      <c r="A248" s="70">
        <f>IFERROR(__xludf.DUMMYFUNCTION("""COMPUTED_VALUE"""),7.503459351E9)</f>
        <v>7503459351</v>
      </c>
      <c r="B248" s="46" t="str">
        <f>IFERROR(__xludf.DUMMYFUNCTION("""COMPUTED_VALUE"""),"Shalini Kansal")</f>
        <v>Shalini Kansal</v>
      </c>
      <c r="C248" s="5" t="s">
        <v>2002</v>
      </c>
      <c r="D248" s="5"/>
      <c r="E248" s="5"/>
      <c r="F248" s="5"/>
      <c r="G248" s="5"/>
      <c r="H248" s="5"/>
      <c r="I248" s="5"/>
      <c r="J248" s="73"/>
      <c r="K248" s="75" t="str">
        <f>IFERROR(__xludf.DUMMYFUNCTION("""COMPUTED_VALUE"""),"")</f>
        <v/>
      </c>
      <c r="L248" s="48"/>
      <c r="M248" s="46" t="s">
        <v>2002</v>
      </c>
    </row>
    <row r="249">
      <c r="A249" s="70">
        <f>IFERROR(__xludf.DUMMYFUNCTION("""COMPUTED_VALUE"""),9.72940152E9)</f>
        <v>9729401520</v>
      </c>
      <c r="B249" s="46" t="str">
        <f>IFERROR(__xludf.DUMMYFUNCTION("""COMPUTED_VALUE"""),"Ravi Kant ")</f>
        <v>Ravi Kant </v>
      </c>
      <c r="C249" s="5" t="s">
        <v>2002</v>
      </c>
      <c r="D249" s="5"/>
      <c r="E249" s="5"/>
      <c r="F249" s="5"/>
      <c r="G249" s="5"/>
      <c r="H249" s="5"/>
      <c r="I249" s="5"/>
      <c r="J249" s="73"/>
      <c r="K249" s="75" t="str">
        <f>IFERROR(__xludf.DUMMYFUNCTION("""COMPUTED_VALUE"""),"")</f>
        <v/>
      </c>
      <c r="L249" s="48"/>
      <c r="M249" s="46" t="s">
        <v>2002</v>
      </c>
    </row>
    <row r="250">
      <c r="A250" s="70">
        <f>IFERROR(__xludf.DUMMYFUNCTION("""COMPUTED_VALUE"""),7.056037777E9)</f>
        <v>7056037777</v>
      </c>
      <c r="B250" s="46" t="str">
        <f>IFERROR(__xludf.DUMMYFUNCTION("""COMPUTED_VALUE"""),"Anil Kumar")</f>
        <v>Anil Kumar</v>
      </c>
      <c r="C250" s="5" t="s">
        <v>2002</v>
      </c>
      <c r="D250" s="5"/>
      <c r="E250" s="5"/>
      <c r="F250" s="5"/>
      <c r="G250" s="5"/>
      <c r="H250" s="5"/>
      <c r="I250" s="5"/>
      <c r="J250" s="73"/>
      <c r="K250" s="75" t="str">
        <f>IFERROR(__xludf.DUMMYFUNCTION("""COMPUTED_VALUE"""),"")</f>
        <v/>
      </c>
      <c r="L250" s="48"/>
      <c r="M250" s="46" t="s">
        <v>2002</v>
      </c>
    </row>
    <row r="251">
      <c r="A251" s="70">
        <f>IFERROR(__xludf.DUMMYFUNCTION("""COMPUTED_VALUE"""),7.827617333E9)</f>
        <v>7827617333</v>
      </c>
      <c r="B251" s="46" t="str">
        <f>IFERROR(__xludf.DUMMYFUNCTION("""COMPUTED_VALUE"""),"Rakesh varma ")</f>
        <v>Rakesh varma </v>
      </c>
      <c r="C251" s="5" t="s">
        <v>2002</v>
      </c>
      <c r="D251" s="5"/>
      <c r="E251" s="5"/>
      <c r="F251" s="5"/>
      <c r="G251" s="5"/>
      <c r="H251" s="5"/>
      <c r="I251" s="5"/>
      <c r="J251" s="73"/>
      <c r="K251" s="75" t="str">
        <f>IFERROR(__xludf.DUMMYFUNCTION("""COMPUTED_VALUE"""),"")</f>
        <v/>
      </c>
      <c r="L251" s="48"/>
      <c r="M251" s="46" t="s">
        <v>2002</v>
      </c>
    </row>
    <row r="252">
      <c r="A252" s="70">
        <f>IFERROR(__xludf.DUMMYFUNCTION("""COMPUTED_VALUE"""),7.706904591E9)</f>
        <v>7706904591</v>
      </c>
      <c r="B252" s="46" t="str">
        <f>IFERROR(__xludf.DUMMYFUNCTION("""COMPUTED_VALUE"""),"Subh")</f>
        <v>Subh</v>
      </c>
      <c r="C252" s="5" t="s">
        <v>2002</v>
      </c>
      <c r="D252" s="5"/>
      <c r="E252" s="5"/>
      <c r="F252" s="5"/>
      <c r="G252" s="5"/>
      <c r="H252" s="5"/>
      <c r="I252" s="5"/>
      <c r="J252" s="73"/>
      <c r="K252" s="75" t="str">
        <f>IFERROR(__xludf.DUMMYFUNCTION("""COMPUTED_VALUE"""),"")</f>
        <v/>
      </c>
      <c r="L252" s="48"/>
      <c r="M252" s="46" t="s">
        <v>2002</v>
      </c>
    </row>
    <row r="253">
      <c r="A253" s="70">
        <f>IFERROR(__xludf.DUMMYFUNCTION("""COMPUTED_VALUE"""),7.053086007E9)</f>
        <v>7053086007</v>
      </c>
      <c r="B253" s="46" t="str">
        <f>IFERROR(__xludf.DUMMYFUNCTION("""COMPUTED_VALUE"""),"Mohit ji ")</f>
        <v>Mohit ji </v>
      </c>
      <c r="C253" s="5" t="s">
        <v>2002</v>
      </c>
      <c r="D253" s="5"/>
      <c r="E253" s="5"/>
      <c r="F253" s="5"/>
      <c r="G253" s="5"/>
      <c r="H253" s="5"/>
      <c r="I253" s="5"/>
      <c r="J253" s="73"/>
      <c r="K253" s="75" t="str">
        <f>IFERROR(__xludf.DUMMYFUNCTION("""COMPUTED_VALUE"""),"")</f>
        <v/>
      </c>
      <c r="L253" s="75"/>
      <c r="M253" s="46" t="s">
        <v>2002</v>
      </c>
    </row>
    <row r="254">
      <c r="A254" s="70">
        <f>IFERROR(__xludf.DUMMYFUNCTION("""COMPUTED_VALUE"""),9.217663281E9)</f>
        <v>9217663281</v>
      </c>
      <c r="B254" s="46" t="str">
        <f>IFERROR(__xludf.DUMMYFUNCTION("""COMPUTED_VALUE"""),"Uma Shankar Singla")</f>
        <v>Uma Shankar Singla</v>
      </c>
      <c r="C254" s="5" t="s">
        <v>2002</v>
      </c>
      <c r="D254" s="5"/>
      <c r="E254" s="5"/>
      <c r="F254" s="5"/>
      <c r="G254" s="5"/>
      <c r="H254" s="5"/>
      <c r="I254" s="5"/>
      <c r="J254" s="73"/>
      <c r="K254" s="75" t="str">
        <f>IFERROR(__xludf.DUMMYFUNCTION("""COMPUTED_VALUE"""),"")</f>
        <v/>
      </c>
      <c r="L254" s="75"/>
      <c r="M254" s="46" t="s">
        <v>2002</v>
      </c>
    </row>
    <row r="255">
      <c r="A255" s="70">
        <f>IFERROR(__xludf.DUMMYFUNCTION("""COMPUTED_VALUE"""),8.398992983E9)</f>
        <v>8398992983</v>
      </c>
      <c r="B255" s="46" t="str">
        <f>IFERROR(__xludf.DUMMYFUNCTION("""COMPUTED_VALUE"""),"Sachin")</f>
        <v>Sachin</v>
      </c>
      <c r="C255" s="5" t="s">
        <v>2002</v>
      </c>
      <c r="D255" s="5"/>
      <c r="E255" s="5"/>
      <c r="F255" s="5"/>
      <c r="G255" s="5"/>
      <c r="H255" s="5"/>
      <c r="I255" s="5"/>
      <c r="J255" s="73"/>
      <c r="K255" s="75" t="str">
        <f>IFERROR(__xludf.DUMMYFUNCTION("""COMPUTED_VALUE"""),"")</f>
        <v/>
      </c>
      <c r="L255" s="75"/>
      <c r="M255" s="46" t="s">
        <v>2002</v>
      </c>
    </row>
    <row r="256">
      <c r="A256" s="70">
        <f>IFERROR(__xludf.DUMMYFUNCTION("""COMPUTED_VALUE"""),7.217655299E9)</f>
        <v>7217655299</v>
      </c>
      <c r="B256" s="46" t="str">
        <f>IFERROR(__xludf.DUMMYFUNCTION("""COMPUTED_VALUE"""),"Rajesh")</f>
        <v>Rajesh</v>
      </c>
      <c r="C256" s="5" t="s">
        <v>2002</v>
      </c>
      <c r="D256" s="5"/>
      <c r="E256" s="5"/>
      <c r="F256" s="5"/>
      <c r="G256" s="5"/>
      <c r="H256" s="5"/>
      <c r="I256" s="5"/>
      <c r="J256" s="73"/>
      <c r="K256" s="75" t="str">
        <f>IFERROR(__xludf.DUMMYFUNCTION("""COMPUTED_VALUE"""),"")</f>
        <v/>
      </c>
      <c r="L256" s="75"/>
      <c r="M256" s="46" t="s">
        <v>2002</v>
      </c>
    </row>
    <row r="257">
      <c r="A257" s="70">
        <f>IFERROR(__xludf.DUMMYFUNCTION("""COMPUTED_VALUE"""),9.416080018E9)</f>
        <v>9416080018</v>
      </c>
      <c r="B257" s="46" t="str">
        <f>IFERROR(__xludf.DUMMYFUNCTION("""COMPUTED_VALUE"""),"Vikas Jain")</f>
        <v>Vikas Jain</v>
      </c>
      <c r="C257" s="5" t="s">
        <v>2002</v>
      </c>
      <c r="D257" s="5"/>
      <c r="E257" s="5"/>
      <c r="F257" s="5"/>
      <c r="G257" s="5"/>
      <c r="H257" s="5"/>
      <c r="I257" s="5"/>
      <c r="J257" s="73"/>
      <c r="K257" s="75" t="str">
        <f>IFERROR(__xludf.DUMMYFUNCTION("""COMPUTED_VALUE"""),"")</f>
        <v/>
      </c>
      <c r="L257" s="75"/>
      <c r="M257" s="46" t="s">
        <v>2002</v>
      </c>
    </row>
    <row r="258">
      <c r="A258" s="70">
        <f>IFERROR(__xludf.DUMMYFUNCTION("""COMPUTED_VALUE"""),9.560593114E9)</f>
        <v>9560593114</v>
      </c>
      <c r="B258" s="46" t="str">
        <f>IFERROR(__xludf.DUMMYFUNCTION("""COMPUTED_VALUE"""),"Manju")</f>
        <v>Manju</v>
      </c>
      <c r="C258" s="5" t="s">
        <v>2002</v>
      </c>
      <c r="D258" s="5"/>
      <c r="E258" s="5"/>
      <c r="F258" s="5"/>
      <c r="G258" s="5"/>
      <c r="H258" s="5"/>
      <c r="I258" s="5"/>
      <c r="J258" s="73"/>
      <c r="K258" s="75" t="str">
        <f>IFERROR(__xludf.DUMMYFUNCTION("""COMPUTED_VALUE"""),"")</f>
        <v/>
      </c>
      <c r="L258" s="75"/>
      <c r="M258" s="46" t="s">
        <v>2002</v>
      </c>
    </row>
    <row r="259">
      <c r="A259" s="70">
        <f>IFERROR(__xludf.DUMMYFUNCTION("""COMPUTED_VALUE"""),7.982341882E9)</f>
        <v>7982341882</v>
      </c>
      <c r="B259" s="46" t="str">
        <f>IFERROR(__xludf.DUMMYFUNCTION("""COMPUTED_VALUE"""),"Khushi")</f>
        <v>Khushi</v>
      </c>
      <c r="C259" s="5" t="s">
        <v>2002</v>
      </c>
      <c r="D259" s="5"/>
      <c r="E259" s="5"/>
      <c r="F259" s="5"/>
      <c r="G259" s="5"/>
      <c r="H259" s="5"/>
      <c r="I259" s="5"/>
      <c r="J259" s="73"/>
      <c r="K259" s="75" t="str">
        <f>IFERROR(__xludf.DUMMYFUNCTION("""COMPUTED_VALUE"""),"")</f>
        <v/>
      </c>
      <c r="L259" s="75"/>
      <c r="M259" s="46" t="s">
        <v>2002</v>
      </c>
    </row>
    <row r="260">
      <c r="A260" s="70">
        <f>IFERROR(__xludf.DUMMYFUNCTION("""COMPUTED_VALUE"""),8.81039181E9)</f>
        <v>8810391810</v>
      </c>
      <c r="B260" s="46" t="str">
        <f>IFERROR(__xludf.DUMMYFUNCTION("""COMPUTED_VALUE"""),"Divya")</f>
        <v>Divya</v>
      </c>
      <c r="C260" s="5" t="s">
        <v>2002</v>
      </c>
      <c r="D260" s="5"/>
      <c r="E260" s="5"/>
      <c r="F260" s="5"/>
      <c r="G260" s="5"/>
      <c r="H260" s="5"/>
      <c r="I260" s="5"/>
      <c r="J260" s="73"/>
      <c r="K260" s="75" t="str">
        <f>IFERROR(__xludf.DUMMYFUNCTION("""COMPUTED_VALUE"""),"")</f>
        <v/>
      </c>
      <c r="L260" s="75"/>
      <c r="M260" s="46" t="s">
        <v>2002</v>
      </c>
    </row>
    <row r="261">
      <c r="A261" s="70">
        <f>IFERROR(__xludf.DUMMYFUNCTION("""COMPUTED_VALUE"""),9.958052326E9)</f>
        <v>9958052326</v>
      </c>
      <c r="B261" s="46" t="str">
        <f>IFERROR(__xludf.DUMMYFUNCTION("""COMPUTED_VALUE"""),"Vishesh")</f>
        <v>Vishesh</v>
      </c>
      <c r="C261" s="5" t="s">
        <v>2002</v>
      </c>
      <c r="D261" s="5"/>
      <c r="E261" s="5"/>
      <c r="F261" s="5"/>
      <c r="G261" s="5"/>
      <c r="H261" s="5"/>
      <c r="I261" s="5"/>
      <c r="J261" s="73"/>
      <c r="K261" s="75" t="str">
        <f>IFERROR(__xludf.DUMMYFUNCTION("""COMPUTED_VALUE"""),"")</f>
        <v/>
      </c>
      <c r="L261" s="75"/>
      <c r="M261" s="46" t="s">
        <v>2002</v>
      </c>
    </row>
    <row r="262">
      <c r="A262" s="70">
        <f>IFERROR(__xludf.DUMMYFUNCTION("""COMPUTED_VALUE"""),7.037855976E9)</f>
        <v>7037855976</v>
      </c>
      <c r="B262" s="46" t="str">
        <f>IFERROR(__xludf.DUMMYFUNCTION("""COMPUTED_VALUE"""),"Kohinoor ")</f>
        <v>Kohinoor </v>
      </c>
      <c r="C262" s="5" t="s">
        <v>2002</v>
      </c>
      <c r="D262" s="5"/>
      <c r="E262" s="5"/>
      <c r="F262" s="5"/>
      <c r="G262" s="5"/>
      <c r="H262" s="5"/>
      <c r="I262" s="5"/>
      <c r="J262" s="73"/>
      <c r="K262" s="75" t="str">
        <f>IFERROR(__xludf.DUMMYFUNCTION("""COMPUTED_VALUE"""),"")</f>
        <v/>
      </c>
      <c r="L262" s="75"/>
      <c r="M262" s="46" t="s">
        <v>2002</v>
      </c>
    </row>
    <row r="263">
      <c r="A263" s="70">
        <f>IFERROR(__xludf.DUMMYFUNCTION("""COMPUTED_VALUE"""),9.818358636E9)</f>
        <v>9818358636</v>
      </c>
      <c r="B263" s="46" t="str">
        <f>IFERROR(__xludf.DUMMYFUNCTION("""COMPUTED_VALUE"""),"Amit Kumar chawla")</f>
        <v>Amit Kumar chawla</v>
      </c>
      <c r="C263" s="5" t="s">
        <v>2002</v>
      </c>
      <c r="D263" s="5"/>
      <c r="E263" s="5"/>
      <c r="F263" s="5"/>
      <c r="G263" s="5"/>
      <c r="H263" s="5"/>
      <c r="I263" s="5"/>
      <c r="J263" s="73"/>
      <c r="K263" s="75" t="str">
        <f>IFERROR(__xludf.DUMMYFUNCTION("""COMPUTED_VALUE"""),"")</f>
        <v/>
      </c>
      <c r="L263" s="75"/>
      <c r="M263" s="46" t="s">
        <v>2002</v>
      </c>
    </row>
    <row r="264">
      <c r="A264" s="70">
        <f>IFERROR(__xludf.DUMMYFUNCTION("""COMPUTED_VALUE"""),9.95365389E9)</f>
        <v>9953653890</v>
      </c>
      <c r="B264" s="46" t="str">
        <f>IFERROR(__xludf.DUMMYFUNCTION("""COMPUTED_VALUE"""),"Gunjan Jain")</f>
        <v>Gunjan Jain</v>
      </c>
      <c r="C264" s="5" t="s">
        <v>2002</v>
      </c>
      <c r="D264" s="5"/>
      <c r="E264" s="5"/>
      <c r="F264" s="5"/>
      <c r="G264" s="5"/>
      <c r="H264" s="5"/>
      <c r="I264" s="5"/>
      <c r="J264" s="73"/>
      <c r="K264" s="75" t="str">
        <f>IFERROR(__xludf.DUMMYFUNCTION("""COMPUTED_VALUE"""),"")</f>
        <v/>
      </c>
      <c r="L264" s="75"/>
      <c r="M264" s="46" t="s">
        <v>2002</v>
      </c>
    </row>
    <row r="265">
      <c r="A265" s="70">
        <f>IFERROR(__xludf.DUMMYFUNCTION("""COMPUTED_VALUE"""),6.398522478E9)</f>
        <v>6398522478</v>
      </c>
      <c r="B265" s="46" t="str">
        <f>IFERROR(__xludf.DUMMYFUNCTION("""COMPUTED_VALUE"""),"Anushri")</f>
        <v>Anushri</v>
      </c>
      <c r="C265" s="5" t="s">
        <v>2002</v>
      </c>
      <c r="D265" s="5"/>
      <c r="E265" s="5"/>
      <c r="F265" s="5"/>
      <c r="G265" s="5"/>
      <c r="H265" s="5"/>
      <c r="I265" s="5"/>
      <c r="J265" s="73"/>
      <c r="K265" s="75" t="str">
        <f>IFERROR(__xludf.DUMMYFUNCTION("""COMPUTED_VALUE"""),"")</f>
        <v/>
      </c>
      <c r="L265" s="75"/>
      <c r="M265" s="46" t="s">
        <v>2002</v>
      </c>
    </row>
    <row r="266">
      <c r="A266" s="70">
        <f>IFERROR(__xludf.DUMMYFUNCTION("""COMPUTED_VALUE"""),9.034748409E9)</f>
        <v>9034748409</v>
      </c>
      <c r="B266" s="46" t="str">
        <f>IFERROR(__xludf.DUMMYFUNCTION("""COMPUTED_VALUE"""),"Mahesh Kumar")</f>
        <v>Mahesh Kumar</v>
      </c>
      <c r="C266" s="5" t="s">
        <v>2002</v>
      </c>
      <c r="D266" s="5"/>
      <c r="E266" s="5"/>
      <c r="F266" s="5"/>
      <c r="G266" s="5"/>
      <c r="H266" s="5"/>
      <c r="I266" s="5"/>
      <c r="J266" s="73"/>
      <c r="K266" s="75" t="str">
        <f>IFERROR(__xludf.DUMMYFUNCTION("""COMPUTED_VALUE"""),"")</f>
        <v/>
      </c>
      <c r="L266" s="75"/>
      <c r="M266" s="46" t="s">
        <v>2002</v>
      </c>
    </row>
    <row r="267">
      <c r="A267" s="70">
        <f>IFERROR(__xludf.DUMMYFUNCTION("""COMPUTED_VALUE"""),9.654323271E9)</f>
        <v>9654323271</v>
      </c>
      <c r="B267" s="46" t="str">
        <f>IFERROR(__xludf.DUMMYFUNCTION("""COMPUTED_VALUE"""),"Mohan singh")</f>
        <v>Mohan singh</v>
      </c>
      <c r="C267" s="5" t="s">
        <v>2002</v>
      </c>
      <c r="D267" s="5"/>
      <c r="E267" s="5"/>
      <c r="F267" s="5"/>
      <c r="G267" s="5"/>
      <c r="H267" s="5"/>
      <c r="I267" s="5"/>
      <c r="J267" s="73"/>
      <c r="K267" s="75" t="str">
        <f>IFERROR(__xludf.DUMMYFUNCTION("""COMPUTED_VALUE"""),"")</f>
        <v/>
      </c>
      <c r="L267" s="75"/>
      <c r="M267" s="46" t="s">
        <v>2002</v>
      </c>
    </row>
    <row r="268">
      <c r="A268" s="70">
        <f>IFERROR(__xludf.DUMMYFUNCTION("""COMPUTED_VALUE"""),9.752644854E9)</f>
        <v>9752644854</v>
      </c>
      <c r="B268" s="46" t="str">
        <f>IFERROR(__xludf.DUMMYFUNCTION("""COMPUTED_VALUE"""),"Priyanka ")</f>
        <v>Priyanka </v>
      </c>
      <c r="C268" s="5" t="s">
        <v>2002</v>
      </c>
      <c r="D268" s="5"/>
      <c r="E268" s="5"/>
      <c r="F268" s="5"/>
      <c r="G268" s="5"/>
      <c r="H268" s="5"/>
      <c r="I268" s="5"/>
      <c r="J268" s="73"/>
      <c r="K268" s="75" t="str">
        <f>IFERROR(__xludf.DUMMYFUNCTION("""COMPUTED_VALUE"""),"")</f>
        <v/>
      </c>
      <c r="L268" s="75"/>
      <c r="M268" s="46" t="s">
        <v>2002</v>
      </c>
    </row>
    <row r="269">
      <c r="A269" s="70">
        <f>IFERROR(__xludf.DUMMYFUNCTION("""COMPUTED_VALUE"""),8.5272626E9)</f>
        <v>8527262600</v>
      </c>
      <c r="B269" s="46" t="str">
        <f>IFERROR(__xludf.DUMMYFUNCTION("""COMPUTED_VALUE"""),"Kimi ")</f>
        <v>Kimi </v>
      </c>
      <c r="C269" s="5" t="s">
        <v>2002</v>
      </c>
      <c r="D269" s="5"/>
      <c r="E269" s="5"/>
      <c r="F269" s="5"/>
      <c r="G269" s="5"/>
      <c r="H269" s="5"/>
      <c r="I269" s="5"/>
      <c r="J269" s="73"/>
      <c r="K269" s="75" t="str">
        <f>IFERROR(__xludf.DUMMYFUNCTION("""COMPUTED_VALUE"""),"")</f>
        <v/>
      </c>
      <c r="L269" s="75"/>
      <c r="M269" s="46" t="s">
        <v>2002</v>
      </c>
    </row>
    <row r="270">
      <c r="A270" s="70">
        <f>IFERROR(__xludf.DUMMYFUNCTION("""COMPUTED_VALUE"""),8.36825676E9)</f>
        <v>8368256760</v>
      </c>
      <c r="B270" s="46" t="str">
        <f>IFERROR(__xludf.DUMMYFUNCTION("""COMPUTED_VALUE"""),"Jyoti ji ")</f>
        <v>Jyoti ji </v>
      </c>
      <c r="C270" s="5" t="s">
        <v>2002</v>
      </c>
      <c r="D270" s="5"/>
      <c r="E270" s="5"/>
      <c r="F270" s="5"/>
      <c r="G270" s="5"/>
      <c r="H270" s="5"/>
      <c r="I270" s="5"/>
      <c r="J270" s="73"/>
      <c r="K270" s="75" t="str">
        <f>IFERROR(__xludf.DUMMYFUNCTION("""COMPUTED_VALUE"""),"")</f>
        <v/>
      </c>
      <c r="L270" s="75"/>
      <c r="M270" s="46" t="s">
        <v>2002</v>
      </c>
    </row>
    <row r="271">
      <c r="A271" s="70">
        <f>IFERROR(__xludf.DUMMYFUNCTION("""COMPUTED_VALUE"""),7.004491675E9)</f>
        <v>7004491675</v>
      </c>
      <c r="B271" s="46" t="str">
        <f>IFERROR(__xludf.DUMMYFUNCTION("""COMPUTED_VALUE"""),"Ranjana")</f>
        <v>Ranjana</v>
      </c>
      <c r="C271" s="5" t="s">
        <v>2002</v>
      </c>
      <c r="D271" s="5"/>
      <c r="E271" s="5"/>
      <c r="F271" s="5"/>
      <c r="G271" s="5"/>
      <c r="H271" s="5"/>
      <c r="I271" s="5"/>
      <c r="J271" s="73"/>
      <c r="K271" s="75" t="str">
        <f>IFERROR(__xludf.DUMMYFUNCTION("""COMPUTED_VALUE"""),"")</f>
        <v/>
      </c>
      <c r="L271" s="75"/>
      <c r="M271" s="46" t="s">
        <v>2002</v>
      </c>
    </row>
    <row r="272">
      <c r="A272" s="70">
        <f>IFERROR(__xludf.DUMMYFUNCTION("""COMPUTED_VALUE"""),8.882190498E9)</f>
        <v>8882190498</v>
      </c>
      <c r="B272" s="46" t="str">
        <f>IFERROR(__xludf.DUMMYFUNCTION("""COMPUTED_VALUE"""),"Yogesh war")</f>
        <v>Yogesh war</v>
      </c>
      <c r="C272" s="5" t="s">
        <v>2002</v>
      </c>
      <c r="D272" s="5"/>
      <c r="E272" s="5"/>
      <c r="F272" s="5"/>
      <c r="G272" s="5"/>
      <c r="H272" s="5"/>
      <c r="I272" s="5"/>
      <c r="J272" s="73"/>
      <c r="K272" s="75" t="str">
        <f>IFERROR(__xludf.DUMMYFUNCTION("""COMPUTED_VALUE"""),"")</f>
        <v/>
      </c>
      <c r="L272" s="75"/>
      <c r="M272" s="46" t="s">
        <v>2002</v>
      </c>
    </row>
    <row r="273">
      <c r="A273" s="70">
        <f>IFERROR(__xludf.DUMMYFUNCTION("""COMPUTED_VALUE"""),7.838305155E9)</f>
        <v>7838305155</v>
      </c>
      <c r="B273" s="46" t="str">
        <f>IFERROR(__xludf.DUMMYFUNCTION("""COMPUTED_VALUE"""),"Pooja")</f>
        <v>Pooja</v>
      </c>
      <c r="C273" s="5" t="s">
        <v>2002</v>
      </c>
      <c r="D273" s="5"/>
      <c r="E273" s="5"/>
      <c r="F273" s="5"/>
      <c r="G273" s="5"/>
      <c r="H273" s="5"/>
      <c r="I273" s="5"/>
      <c r="J273" s="73"/>
      <c r="K273" s="75" t="str">
        <f>IFERROR(__xludf.DUMMYFUNCTION("""COMPUTED_VALUE"""),"")</f>
        <v/>
      </c>
      <c r="L273" s="75"/>
      <c r="M273" s="46" t="s">
        <v>2002</v>
      </c>
    </row>
    <row r="274">
      <c r="A274" s="70">
        <f>IFERROR(__xludf.DUMMYFUNCTION("""COMPUTED_VALUE"""),9.650063938E9)</f>
        <v>9650063938</v>
      </c>
      <c r="B274" s="46" t="str">
        <f>IFERROR(__xludf.DUMMYFUNCTION("""COMPUTED_VALUE"""),"Bronika")</f>
        <v>Bronika</v>
      </c>
      <c r="C274" s="5" t="s">
        <v>2002</v>
      </c>
      <c r="D274" s="5"/>
      <c r="E274" s="5"/>
      <c r="F274" s="5"/>
      <c r="G274" s="5"/>
      <c r="H274" s="5"/>
      <c r="I274" s="5"/>
      <c r="J274" s="73"/>
      <c r="K274" s="75" t="str">
        <f>IFERROR(__xludf.DUMMYFUNCTION("""COMPUTED_VALUE"""),"")</f>
        <v/>
      </c>
      <c r="L274" s="75"/>
      <c r="M274" s="46" t="s">
        <v>2002</v>
      </c>
    </row>
    <row r="275">
      <c r="A275" s="70">
        <f>IFERROR(__xludf.DUMMYFUNCTION("""COMPUTED_VALUE"""),9.013444353E9)</f>
        <v>9013444353</v>
      </c>
      <c r="B275" s="46" t="str">
        <f>IFERROR(__xludf.DUMMYFUNCTION("""COMPUTED_VALUE"""),"Varsha bhatiya")</f>
        <v>Varsha bhatiya</v>
      </c>
      <c r="C275" s="5" t="s">
        <v>2002</v>
      </c>
      <c r="D275" s="5"/>
      <c r="E275" s="5"/>
      <c r="F275" s="5"/>
      <c r="G275" s="5"/>
      <c r="H275" s="5"/>
      <c r="I275" s="5"/>
      <c r="J275" s="73"/>
      <c r="K275" s="75" t="str">
        <f>IFERROR(__xludf.DUMMYFUNCTION("""COMPUTED_VALUE"""),"")</f>
        <v/>
      </c>
      <c r="L275" s="75"/>
      <c r="M275" s="46" t="s">
        <v>2002</v>
      </c>
    </row>
    <row r="276">
      <c r="A276" s="70">
        <f>IFERROR(__xludf.DUMMYFUNCTION("""COMPUTED_VALUE"""),8.948618421E9)</f>
        <v>8948618421</v>
      </c>
      <c r="B276" s="46" t="str">
        <f>IFERROR(__xludf.DUMMYFUNCTION("""COMPUTED_VALUE"""),"Nargis")</f>
        <v>Nargis</v>
      </c>
      <c r="C276" s="5" t="s">
        <v>2002</v>
      </c>
      <c r="D276" s="5"/>
      <c r="E276" s="5"/>
      <c r="F276" s="5"/>
      <c r="G276" s="5"/>
      <c r="H276" s="5"/>
      <c r="I276" s="5"/>
      <c r="J276" s="73"/>
      <c r="K276" s="75" t="str">
        <f>IFERROR(__xludf.DUMMYFUNCTION("""COMPUTED_VALUE"""),"")</f>
        <v/>
      </c>
      <c r="L276" s="75"/>
      <c r="M276" s="46" t="s">
        <v>2002</v>
      </c>
    </row>
    <row r="277">
      <c r="A277" s="70">
        <f>IFERROR(__xludf.DUMMYFUNCTION("""COMPUTED_VALUE"""),8.076918882E9)</f>
        <v>8076918882</v>
      </c>
      <c r="B277" s="46" t="str">
        <f>IFERROR(__xludf.DUMMYFUNCTION("""COMPUTED_VALUE"""),"Ekta")</f>
        <v>Ekta</v>
      </c>
      <c r="C277" s="5" t="s">
        <v>2002</v>
      </c>
      <c r="D277" s="5"/>
      <c r="E277" s="5"/>
      <c r="F277" s="5"/>
      <c r="G277" s="5"/>
      <c r="H277" s="5"/>
      <c r="I277" s="5"/>
      <c r="J277" s="73"/>
      <c r="K277" s="75" t="str">
        <f>IFERROR(__xludf.DUMMYFUNCTION("""COMPUTED_VALUE"""),"")</f>
        <v/>
      </c>
      <c r="L277" s="75"/>
      <c r="M277" s="46" t="s">
        <v>2002</v>
      </c>
    </row>
    <row r="278">
      <c r="A278" s="70">
        <f>IFERROR(__xludf.DUMMYFUNCTION("""COMPUTED_VALUE"""),9.810107784E9)</f>
        <v>9810107784</v>
      </c>
      <c r="B278" s="46" t="str">
        <f>IFERROR(__xludf.DUMMYFUNCTION("""COMPUTED_VALUE"""),"Satyam")</f>
        <v>Satyam</v>
      </c>
      <c r="C278" s="5" t="s">
        <v>2002</v>
      </c>
      <c r="D278" s="5"/>
      <c r="E278" s="5"/>
      <c r="F278" s="5"/>
      <c r="G278" s="5"/>
      <c r="H278" s="5"/>
      <c r="I278" s="5"/>
      <c r="J278" s="73"/>
      <c r="K278" s="75" t="str">
        <f>IFERROR(__xludf.DUMMYFUNCTION("""COMPUTED_VALUE"""),"")</f>
        <v/>
      </c>
      <c r="L278" s="75"/>
      <c r="M278" s="46" t="s">
        <v>2002</v>
      </c>
    </row>
    <row r="279">
      <c r="A279" s="70">
        <f>IFERROR(__xludf.DUMMYFUNCTION("""COMPUTED_VALUE"""),8.168563385E9)</f>
        <v>8168563385</v>
      </c>
      <c r="B279" s="46" t="str">
        <f>IFERROR(__xludf.DUMMYFUNCTION("""COMPUTED_VALUE"""),"Raman yadav")</f>
        <v>Raman yadav</v>
      </c>
      <c r="C279" s="5" t="s">
        <v>2002</v>
      </c>
      <c r="D279" s="5"/>
      <c r="E279" s="5"/>
      <c r="F279" s="5"/>
      <c r="G279" s="5"/>
      <c r="H279" s="5"/>
      <c r="I279" s="5"/>
      <c r="J279" s="73"/>
      <c r="K279" s="75" t="str">
        <f>IFERROR(__xludf.DUMMYFUNCTION("""COMPUTED_VALUE"""),"")</f>
        <v/>
      </c>
      <c r="L279" s="75"/>
      <c r="M279" s="46" t="s">
        <v>2002</v>
      </c>
    </row>
    <row r="280">
      <c r="A280" s="70">
        <f>IFERROR(__xludf.DUMMYFUNCTION("""COMPUTED_VALUE"""),9.518490658E9)</f>
        <v>9518490658</v>
      </c>
      <c r="B280" s="46" t="str">
        <f>IFERROR(__xludf.DUMMYFUNCTION("""COMPUTED_VALUE"""),"Kamal ")</f>
        <v>Kamal </v>
      </c>
      <c r="C280" s="5" t="s">
        <v>2002</v>
      </c>
      <c r="D280" s="5"/>
      <c r="E280" s="5"/>
      <c r="F280" s="5"/>
      <c r="G280" s="5"/>
      <c r="H280" s="5"/>
      <c r="I280" s="5"/>
      <c r="J280" s="73"/>
      <c r="K280" s="75" t="str">
        <f>IFERROR(__xludf.DUMMYFUNCTION("""COMPUTED_VALUE"""),"")</f>
        <v/>
      </c>
      <c r="L280" s="75"/>
      <c r="M280" s="46" t="s">
        <v>2002</v>
      </c>
    </row>
    <row r="281">
      <c r="A281" s="70">
        <f>IFERROR(__xludf.DUMMYFUNCTION("""COMPUTED_VALUE"""),9.971784005E9)</f>
        <v>9971784005</v>
      </c>
      <c r="B281" s="46" t="str">
        <f>IFERROR(__xludf.DUMMYFUNCTION("""COMPUTED_VALUE"""),"Bhram datt")</f>
        <v>Bhram datt</v>
      </c>
      <c r="C281" s="5" t="s">
        <v>2002</v>
      </c>
      <c r="D281" s="5"/>
      <c r="E281" s="5"/>
      <c r="F281" s="5"/>
      <c r="G281" s="5"/>
      <c r="H281" s="5"/>
      <c r="I281" s="5"/>
      <c r="J281" s="73"/>
      <c r="K281" s="75" t="str">
        <f>IFERROR(__xludf.DUMMYFUNCTION("""COMPUTED_VALUE"""),"")</f>
        <v/>
      </c>
      <c r="L281" s="75"/>
      <c r="M281" s="46" t="s">
        <v>2002</v>
      </c>
    </row>
    <row r="282">
      <c r="A282" s="70">
        <f>IFERROR(__xludf.DUMMYFUNCTION("""COMPUTED_VALUE"""),9.818193519E9)</f>
        <v>9818193519</v>
      </c>
      <c r="B282" s="46" t="str">
        <f>IFERROR(__xludf.DUMMYFUNCTION("""COMPUTED_VALUE"""),"Vandan ji ")</f>
        <v>Vandan ji </v>
      </c>
      <c r="C282" s="5" t="s">
        <v>2002</v>
      </c>
      <c r="D282" s="5"/>
      <c r="E282" s="5"/>
      <c r="F282" s="5"/>
      <c r="G282" s="5"/>
      <c r="H282" s="5"/>
      <c r="I282" s="5"/>
      <c r="J282" s="73"/>
      <c r="K282" s="75" t="str">
        <f>IFERROR(__xludf.DUMMYFUNCTION("""COMPUTED_VALUE"""),"")</f>
        <v/>
      </c>
      <c r="L282" s="75"/>
      <c r="M282" s="46" t="s">
        <v>2002</v>
      </c>
    </row>
    <row r="283">
      <c r="A283" s="70">
        <f>IFERROR(__xludf.DUMMYFUNCTION("""COMPUTED_VALUE"""),8.920035535E9)</f>
        <v>8920035535</v>
      </c>
      <c r="B283" s="46" t="str">
        <f>IFERROR(__xludf.DUMMYFUNCTION("""COMPUTED_VALUE"""),"Kavita rani ")</f>
        <v>Kavita rani </v>
      </c>
      <c r="C283" s="5" t="s">
        <v>2002</v>
      </c>
      <c r="D283" s="5"/>
      <c r="E283" s="5"/>
      <c r="F283" s="5"/>
      <c r="G283" s="5"/>
      <c r="H283" s="5"/>
      <c r="I283" s="5"/>
      <c r="J283" s="73"/>
      <c r="K283" s="75" t="str">
        <f>IFERROR(__xludf.DUMMYFUNCTION("""COMPUTED_VALUE"""),"")</f>
        <v/>
      </c>
      <c r="L283" s="75"/>
      <c r="M283" s="46" t="s">
        <v>2002</v>
      </c>
    </row>
    <row r="284">
      <c r="A284" s="70">
        <f>IFERROR(__xludf.DUMMYFUNCTION("""COMPUTED_VALUE"""),8.448443885E9)</f>
        <v>8448443885</v>
      </c>
      <c r="B284" s="46" t="str">
        <f>IFERROR(__xludf.DUMMYFUNCTION("""COMPUTED_VALUE"""),"Tarun")</f>
        <v>Tarun</v>
      </c>
      <c r="C284" s="5" t="s">
        <v>2002</v>
      </c>
      <c r="D284" s="5"/>
      <c r="E284" s="5"/>
      <c r="F284" s="5"/>
      <c r="G284" s="5"/>
      <c r="H284" s="5"/>
      <c r="I284" s="5"/>
      <c r="J284" s="73"/>
      <c r="K284" s="75" t="str">
        <f>IFERROR(__xludf.DUMMYFUNCTION("""COMPUTED_VALUE"""),"")</f>
        <v/>
      </c>
      <c r="L284" s="75"/>
      <c r="M284" s="46" t="s">
        <v>2002</v>
      </c>
    </row>
    <row r="285">
      <c r="A285" s="70">
        <f>IFERROR(__xludf.DUMMYFUNCTION("""COMPUTED_VALUE"""),9.958350501E9)</f>
        <v>9958350501</v>
      </c>
      <c r="B285" s="46" t="str">
        <f>IFERROR(__xludf.DUMMYFUNCTION("""COMPUTED_VALUE"""),"Raju ")</f>
        <v>Raju </v>
      </c>
      <c r="C285" s="5" t="s">
        <v>2002</v>
      </c>
      <c r="D285" s="5"/>
      <c r="E285" s="5"/>
      <c r="F285" s="5"/>
      <c r="G285" s="5"/>
      <c r="H285" s="5"/>
      <c r="I285" s="5"/>
      <c r="J285" s="73"/>
      <c r="K285" s="75" t="str">
        <f>IFERROR(__xludf.DUMMYFUNCTION("""COMPUTED_VALUE"""),"")</f>
        <v/>
      </c>
      <c r="L285" s="75"/>
      <c r="M285" s="46" t="s">
        <v>2002</v>
      </c>
    </row>
    <row r="286">
      <c r="A286" s="70">
        <f>IFERROR(__xludf.DUMMYFUNCTION("""COMPUTED_VALUE"""),9.899300593E9)</f>
        <v>9899300593</v>
      </c>
      <c r="B286" s="46" t="str">
        <f>IFERROR(__xludf.DUMMYFUNCTION("""COMPUTED_VALUE"""),"Teena")</f>
        <v>Teena</v>
      </c>
      <c r="C286" s="5" t="s">
        <v>2002</v>
      </c>
      <c r="D286" s="5"/>
      <c r="E286" s="5"/>
      <c r="F286" s="5"/>
      <c r="G286" s="5"/>
      <c r="H286" s="5"/>
      <c r="I286" s="5"/>
      <c r="J286" s="73"/>
      <c r="K286" s="75" t="str">
        <f>IFERROR(__xludf.DUMMYFUNCTION("""COMPUTED_VALUE"""),"")</f>
        <v/>
      </c>
      <c r="L286" s="75"/>
      <c r="M286" s="46" t="s">
        <v>2002</v>
      </c>
    </row>
    <row r="287">
      <c r="A287" s="70">
        <f>IFERROR(__xludf.DUMMYFUNCTION("""COMPUTED_VALUE"""),9.350242772E9)</f>
        <v>9350242772</v>
      </c>
      <c r="B287" s="46" t="str">
        <f>IFERROR(__xludf.DUMMYFUNCTION("""COMPUTED_VALUE"""),"Madhu chabda ji ")</f>
        <v>Madhu chabda ji </v>
      </c>
      <c r="C287" s="5" t="s">
        <v>2002</v>
      </c>
      <c r="D287" s="5"/>
      <c r="E287" s="5"/>
      <c r="F287" s="5"/>
      <c r="G287" s="5"/>
      <c r="H287" s="5"/>
      <c r="I287" s="5"/>
      <c r="J287" s="73"/>
      <c r="K287" s="75" t="str">
        <f>IFERROR(__xludf.DUMMYFUNCTION("""COMPUTED_VALUE"""),"")</f>
        <v/>
      </c>
      <c r="L287" s="75"/>
      <c r="M287" s="46" t="s">
        <v>2002</v>
      </c>
    </row>
    <row r="288">
      <c r="A288" s="70">
        <f>IFERROR(__xludf.DUMMYFUNCTION("""COMPUTED_VALUE"""),9.813387044E9)</f>
        <v>9813387044</v>
      </c>
      <c r="B288" s="46" t="str">
        <f>IFERROR(__xludf.DUMMYFUNCTION("""COMPUTED_VALUE"""),"Pawan")</f>
        <v>Pawan</v>
      </c>
      <c r="C288" s="5" t="s">
        <v>2002</v>
      </c>
      <c r="D288" s="5"/>
      <c r="E288" s="5"/>
      <c r="F288" s="5"/>
      <c r="G288" s="5"/>
      <c r="H288" s="5"/>
      <c r="I288" s="5"/>
      <c r="J288" s="73"/>
      <c r="K288" s="75" t="str">
        <f>IFERROR(__xludf.DUMMYFUNCTION("""COMPUTED_VALUE"""),"")</f>
        <v/>
      </c>
      <c r="L288" s="75"/>
      <c r="M288" s="46" t="s">
        <v>2002</v>
      </c>
    </row>
    <row r="289">
      <c r="A289" s="70">
        <f>IFERROR(__xludf.DUMMYFUNCTION("""COMPUTED_VALUE"""),8.950343046E9)</f>
        <v>8950343046</v>
      </c>
      <c r="B289" s="46" t="str">
        <f>IFERROR(__xludf.DUMMYFUNCTION("""COMPUTED_VALUE"""),"Vipul")</f>
        <v>Vipul</v>
      </c>
      <c r="C289" s="5" t="s">
        <v>2002</v>
      </c>
      <c r="D289" s="5"/>
      <c r="E289" s="5"/>
      <c r="F289" s="5"/>
      <c r="G289" s="5"/>
      <c r="H289" s="5"/>
      <c r="I289" s="5"/>
      <c r="J289" s="73"/>
      <c r="K289" s="75" t="str">
        <f>IFERROR(__xludf.DUMMYFUNCTION("""COMPUTED_VALUE"""),"")</f>
        <v/>
      </c>
      <c r="L289" s="75"/>
      <c r="M289" s="46" t="s">
        <v>2002</v>
      </c>
    </row>
    <row r="290">
      <c r="A290" s="70">
        <f>IFERROR(__xludf.DUMMYFUNCTION("""COMPUTED_VALUE"""),9.31307011E9)</f>
        <v>9313070110</v>
      </c>
      <c r="B290" s="46" t="str">
        <f>IFERROR(__xludf.DUMMYFUNCTION("""COMPUTED_VALUE"""),"Sumit")</f>
        <v>Sumit</v>
      </c>
      <c r="C290" s="5" t="s">
        <v>2002</v>
      </c>
      <c r="D290" s="5"/>
      <c r="E290" s="5"/>
      <c r="F290" s="5"/>
      <c r="G290" s="5"/>
      <c r="H290" s="5"/>
      <c r="I290" s="5"/>
      <c r="J290" s="73"/>
      <c r="K290" s="75" t="str">
        <f>IFERROR(__xludf.DUMMYFUNCTION("""COMPUTED_VALUE"""),"")</f>
        <v/>
      </c>
      <c r="L290" s="75"/>
      <c r="M290" s="46" t="s">
        <v>2002</v>
      </c>
    </row>
    <row r="291">
      <c r="A291" s="70">
        <f>IFERROR(__xludf.DUMMYFUNCTION("""COMPUTED_VALUE"""),9.810638093E9)</f>
        <v>9810638093</v>
      </c>
      <c r="B291" s="46" t="str">
        <f>IFERROR(__xludf.DUMMYFUNCTION("""COMPUTED_VALUE"""),"Rahul")</f>
        <v>Rahul</v>
      </c>
      <c r="C291" s="5" t="s">
        <v>2002</v>
      </c>
      <c r="D291" s="5"/>
      <c r="E291" s="5"/>
      <c r="F291" s="5"/>
      <c r="G291" s="5"/>
      <c r="H291" s="5"/>
      <c r="I291" s="5"/>
      <c r="J291" s="73"/>
      <c r="K291" s="75" t="str">
        <f>IFERROR(__xludf.DUMMYFUNCTION("""COMPUTED_VALUE"""),"")</f>
        <v/>
      </c>
      <c r="L291" s="75"/>
      <c r="M291" s="46" t="s">
        <v>2002</v>
      </c>
    </row>
    <row r="292">
      <c r="A292" s="70">
        <f>IFERROR(__xludf.DUMMYFUNCTION("""COMPUTED_VALUE"""),9.871477706E9)</f>
        <v>9871477706</v>
      </c>
      <c r="B292" s="46" t="str">
        <f>IFERROR(__xludf.DUMMYFUNCTION("""COMPUTED_VALUE"""),"Latika Sehgal")</f>
        <v>Latika Sehgal</v>
      </c>
      <c r="C292" s="5" t="s">
        <v>2002</v>
      </c>
      <c r="D292" s="5"/>
      <c r="E292" s="5"/>
      <c r="F292" s="5"/>
      <c r="G292" s="5"/>
      <c r="H292" s="5"/>
      <c r="I292" s="5"/>
      <c r="J292" s="73"/>
      <c r="K292" s="75" t="str">
        <f>IFERROR(__xludf.DUMMYFUNCTION("""COMPUTED_VALUE"""),"")</f>
        <v/>
      </c>
      <c r="L292" s="75"/>
      <c r="M292" s="46" t="s">
        <v>2002</v>
      </c>
    </row>
    <row r="293">
      <c r="A293" s="70">
        <f>IFERROR(__xludf.DUMMYFUNCTION("""COMPUTED_VALUE"""),9.953317903E9)</f>
        <v>9953317903</v>
      </c>
      <c r="B293" s="46" t="str">
        <f>IFERROR(__xludf.DUMMYFUNCTION("""COMPUTED_VALUE"""),"Aarti")</f>
        <v>Aarti</v>
      </c>
      <c r="C293" s="5" t="s">
        <v>2002</v>
      </c>
      <c r="D293" s="5"/>
      <c r="E293" s="5"/>
      <c r="F293" s="5"/>
      <c r="G293" s="5"/>
      <c r="H293" s="5"/>
      <c r="I293" s="5"/>
      <c r="J293" s="73"/>
      <c r="K293" s="75" t="str">
        <f>IFERROR(__xludf.DUMMYFUNCTION("""COMPUTED_VALUE"""),"")</f>
        <v/>
      </c>
      <c r="L293" s="75"/>
      <c r="M293" s="46" t="s">
        <v>2002</v>
      </c>
    </row>
    <row r="294">
      <c r="A294" s="70">
        <f>IFERROR(__xludf.DUMMYFUNCTION("""COMPUTED_VALUE"""),9.999888671E9)</f>
        <v>9999888671</v>
      </c>
      <c r="B294" s="46" t="str">
        <f>IFERROR(__xludf.DUMMYFUNCTION("""COMPUTED_VALUE"""),"Nikhil ji ")</f>
        <v>Nikhil ji </v>
      </c>
      <c r="C294" s="5" t="s">
        <v>2002</v>
      </c>
      <c r="D294" s="5"/>
      <c r="E294" s="5"/>
      <c r="F294" s="5"/>
      <c r="G294" s="5"/>
      <c r="H294" s="5"/>
      <c r="I294" s="5"/>
      <c r="J294" s="73"/>
      <c r="K294" s="75" t="str">
        <f>IFERROR(__xludf.DUMMYFUNCTION("""COMPUTED_VALUE"""),"")</f>
        <v/>
      </c>
      <c r="L294" s="75"/>
      <c r="M294" s="46" t="s">
        <v>2002</v>
      </c>
    </row>
    <row r="295">
      <c r="A295" s="70">
        <f>IFERROR(__xludf.DUMMYFUNCTION("""COMPUTED_VALUE"""),9.811228697E9)</f>
        <v>9811228697</v>
      </c>
      <c r="B295" s="46" t="str">
        <f>IFERROR(__xludf.DUMMYFUNCTION("""COMPUTED_VALUE"""),"Rekha Goyal")</f>
        <v>Rekha Goyal</v>
      </c>
      <c r="C295" s="5" t="s">
        <v>2002</v>
      </c>
      <c r="D295" s="5"/>
      <c r="E295" s="5"/>
      <c r="F295" s="5"/>
      <c r="G295" s="5"/>
      <c r="H295" s="5"/>
      <c r="I295" s="5"/>
      <c r="J295" s="73"/>
      <c r="K295" s="75" t="str">
        <f>IFERROR(__xludf.DUMMYFUNCTION("""COMPUTED_VALUE"""),"")</f>
        <v/>
      </c>
      <c r="L295" s="75"/>
      <c r="M295" s="46" t="s">
        <v>2002</v>
      </c>
    </row>
    <row r="296">
      <c r="A296" s="70">
        <f>IFERROR(__xludf.DUMMYFUNCTION("""COMPUTED_VALUE"""),9.891815228E9)</f>
        <v>9891815228</v>
      </c>
      <c r="B296" s="46" t="str">
        <f>IFERROR(__xludf.DUMMYFUNCTION("""COMPUTED_VALUE"""),"Naseem")</f>
        <v>Naseem</v>
      </c>
      <c r="C296" s="5" t="s">
        <v>2002</v>
      </c>
      <c r="D296" s="5"/>
      <c r="E296" s="5"/>
      <c r="F296" s="5"/>
      <c r="G296" s="5"/>
      <c r="H296" s="5"/>
      <c r="I296" s="5"/>
      <c r="J296" s="73"/>
      <c r="K296" s="75" t="str">
        <f>IFERROR(__xludf.DUMMYFUNCTION("""COMPUTED_VALUE"""),"")</f>
        <v/>
      </c>
      <c r="L296" s="75"/>
      <c r="M296" s="46" t="s">
        <v>2002</v>
      </c>
    </row>
    <row r="297">
      <c r="A297" s="70">
        <f>IFERROR(__xludf.DUMMYFUNCTION("""COMPUTED_VALUE"""),9.999205324E9)</f>
        <v>9999205324</v>
      </c>
      <c r="B297" s="46" t="str">
        <f>IFERROR(__xludf.DUMMYFUNCTION("""COMPUTED_VALUE"""),"Honey bhargav ")</f>
        <v>Honey bhargav </v>
      </c>
      <c r="C297" s="5" t="s">
        <v>2002</v>
      </c>
      <c r="D297" s="5"/>
      <c r="E297" s="5"/>
      <c r="F297" s="5"/>
      <c r="G297" s="5"/>
      <c r="H297" s="5"/>
      <c r="I297" s="5"/>
      <c r="J297" s="73"/>
      <c r="K297" s="75" t="str">
        <f>IFERROR(__xludf.DUMMYFUNCTION("""COMPUTED_VALUE"""),"")</f>
        <v/>
      </c>
      <c r="L297" s="75"/>
      <c r="M297" s="46" t="s">
        <v>2002</v>
      </c>
    </row>
    <row r="298">
      <c r="A298" s="70">
        <f>IFERROR(__xludf.DUMMYFUNCTION("""COMPUTED_VALUE"""),9.868593561E9)</f>
        <v>9868593561</v>
      </c>
      <c r="B298" s="46" t="str">
        <f>IFERROR(__xludf.DUMMYFUNCTION("""COMPUTED_VALUE"""),"Amit Kumar")</f>
        <v>Amit Kumar</v>
      </c>
      <c r="C298" s="5" t="s">
        <v>2002</v>
      </c>
      <c r="D298" s="5"/>
      <c r="E298" s="5"/>
      <c r="F298" s="5"/>
      <c r="G298" s="5"/>
      <c r="H298" s="5"/>
      <c r="I298" s="5"/>
      <c r="J298" s="73"/>
      <c r="K298" s="75" t="str">
        <f>IFERROR(__xludf.DUMMYFUNCTION("""COMPUTED_VALUE"""),"")</f>
        <v/>
      </c>
      <c r="L298" s="75"/>
      <c r="M298" s="46" t="s">
        <v>2002</v>
      </c>
    </row>
    <row r="299">
      <c r="A299" s="70">
        <f>IFERROR(__xludf.DUMMYFUNCTION("""COMPUTED_VALUE"""),9.310507886E9)</f>
        <v>9310507886</v>
      </c>
      <c r="B299" s="46" t="str">
        <f>IFERROR(__xludf.DUMMYFUNCTION("""COMPUTED_VALUE"""),"Aditya")</f>
        <v>Aditya</v>
      </c>
      <c r="C299" s="5" t="s">
        <v>2002</v>
      </c>
      <c r="D299" s="5"/>
      <c r="E299" s="5"/>
      <c r="F299" s="5"/>
      <c r="G299" s="5"/>
      <c r="H299" s="5"/>
      <c r="I299" s="5"/>
      <c r="J299" s="73"/>
      <c r="K299" s="75" t="str">
        <f>IFERROR(__xludf.DUMMYFUNCTION("""COMPUTED_VALUE"""),"")</f>
        <v/>
      </c>
      <c r="L299" s="75"/>
      <c r="M299" s="46" t="s">
        <v>2002</v>
      </c>
    </row>
    <row r="300">
      <c r="A300" s="70">
        <f>IFERROR(__xludf.DUMMYFUNCTION("""COMPUTED_VALUE"""),9.354521341E9)</f>
        <v>9354521341</v>
      </c>
      <c r="B300" s="46" t="str">
        <f>IFERROR(__xludf.DUMMYFUNCTION("""COMPUTED_VALUE"""),"Aswani Kumar ")</f>
        <v>Aswani Kumar </v>
      </c>
      <c r="C300" s="5" t="s">
        <v>2002</v>
      </c>
      <c r="D300" s="5"/>
      <c r="E300" s="5"/>
      <c r="F300" s="5"/>
      <c r="G300" s="5"/>
      <c r="H300" s="5"/>
      <c r="I300" s="5"/>
      <c r="J300" s="73"/>
      <c r="K300" s="75" t="str">
        <f>IFERROR(__xludf.DUMMYFUNCTION("""COMPUTED_VALUE"""),"")</f>
        <v/>
      </c>
      <c r="L300" s="75"/>
      <c r="M300" s="46" t="s">
        <v>2002</v>
      </c>
    </row>
    <row r="301">
      <c r="A301" s="70">
        <f>IFERROR(__xludf.DUMMYFUNCTION("""COMPUTED_VALUE"""),8.447750845E9)</f>
        <v>8447750845</v>
      </c>
      <c r="B301" s="46" t="str">
        <f>IFERROR(__xludf.DUMMYFUNCTION("""COMPUTED_VALUE"""),"Shivangi")</f>
        <v>Shivangi</v>
      </c>
      <c r="C301" s="5" t="s">
        <v>2002</v>
      </c>
      <c r="D301" s="5"/>
      <c r="E301" s="5"/>
      <c r="F301" s="5"/>
      <c r="G301" s="5"/>
      <c r="H301" s="5"/>
      <c r="I301" s="5"/>
      <c r="J301" s="73"/>
      <c r="K301" s="75" t="str">
        <f>IFERROR(__xludf.DUMMYFUNCTION("""COMPUTED_VALUE"""),"")</f>
        <v/>
      </c>
      <c r="L301" s="75"/>
      <c r="M301" s="46" t="s">
        <v>2002</v>
      </c>
    </row>
    <row r="302">
      <c r="A302" s="70">
        <f>IFERROR(__xludf.DUMMYFUNCTION("""COMPUTED_VALUE"""),8.447750849E9)</f>
        <v>8447750849</v>
      </c>
      <c r="B302" s="46" t="str">
        <f>IFERROR(__xludf.DUMMYFUNCTION("""COMPUTED_VALUE"""),"Gaurangi")</f>
        <v>Gaurangi</v>
      </c>
      <c r="C302" s="5" t="s">
        <v>2002</v>
      </c>
      <c r="D302" s="5"/>
      <c r="E302" s="5"/>
      <c r="F302" s="5"/>
      <c r="G302" s="5"/>
      <c r="H302" s="5"/>
      <c r="I302" s="5"/>
      <c r="J302" s="73"/>
      <c r="K302" s="75" t="str">
        <f>IFERROR(__xludf.DUMMYFUNCTION("""COMPUTED_VALUE"""),"")</f>
        <v/>
      </c>
      <c r="L302" s="75"/>
      <c r="M302" s="46" t="s">
        <v>2002</v>
      </c>
    </row>
    <row r="303">
      <c r="A303" s="70">
        <f>IFERROR(__xludf.DUMMYFUNCTION("""COMPUTED_VALUE"""),9.540658998E9)</f>
        <v>9540658998</v>
      </c>
      <c r="B303" s="46" t="str">
        <f>IFERROR(__xludf.DUMMYFUNCTION("""COMPUTED_VALUE"""),"Geeta")</f>
        <v>Geeta</v>
      </c>
      <c r="C303" s="5" t="s">
        <v>2002</v>
      </c>
      <c r="D303" s="5"/>
      <c r="E303" s="5"/>
      <c r="F303" s="5"/>
      <c r="G303" s="5"/>
      <c r="H303" s="5"/>
      <c r="I303" s="5"/>
      <c r="J303" s="73"/>
      <c r="K303" s="75" t="str">
        <f>IFERROR(__xludf.DUMMYFUNCTION("""COMPUTED_VALUE"""),"")</f>
        <v/>
      </c>
      <c r="L303" s="75"/>
      <c r="M303" s="46" t="s">
        <v>2002</v>
      </c>
    </row>
    <row r="304">
      <c r="A304" s="70">
        <f>IFERROR(__xludf.DUMMYFUNCTION("""COMPUTED_VALUE"""),9.711128103E9)</f>
        <v>9711128103</v>
      </c>
      <c r="B304" s="46" t="str">
        <f>IFERROR(__xludf.DUMMYFUNCTION("""COMPUTED_VALUE"""),"Preeti")</f>
        <v>Preeti</v>
      </c>
      <c r="C304" s="5" t="s">
        <v>2002</v>
      </c>
      <c r="D304" s="5"/>
      <c r="E304" s="5"/>
      <c r="F304" s="5"/>
      <c r="G304" s="5"/>
      <c r="H304" s="5"/>
      <c r="I304" s="5"/>
      <c r="J304" s="73"/>
      <c r="K304" s="75" t="str">
        <f>IFERROR(__xludf.DUMMYFUNCTION("""COMPUTED_VALUE"""),"")</f>
        <v/>
      </c>
      <c r="L304" s="75"/>
      <c r="M304" s="46" t="s">
        <v>2002</v>
      </c>
    </row>
    <row r="305">
      <c r="A305" s="70">
        <f>IFERROR(__xludf.DUMMYFUNCTION("""COMPUTED_VALUE"""),9.81816743E9)</f>
        <v>9818167430</v>
      </c>
      <c r="B305" s="46" t="str">
        <f>IFERROR(__xludf.DUMMYFUNCTION("""COMPUTED_VALUE"""),"Anwar Ali")</f>
        <v>Anwar Ali</v>
      </c>
      <c r="C305" s="5" t="s">
        <v>2002</v>
      </c>
      <c r="D305" s="5"/>
      <c r="E305" s="5"/>
      <c r="F305" s="5"/>
      <c r="G305" s="5"/>
      <c r="H305" s="5"/>
      <c r="I305" s="5"/>
      <c r="J305" s="73"/>
      <c r="K305" s="75" t="str">
        <f>IFERROR(__xludf.DUMMYFUNCTION("""COMPUTED_VALUE"""),"")</f>
        <v/>
      </c>
      <c r="L305" s="75"/>
      <c r="M305" s="46" t="s">
        <v>2002</v>
      </c>
    </row>
    <row r="306">
      <c r="A306" s="70">
        <f>IFERROR(__xludf.DUMMYFUNCTION("""COMPUTED_VALUE"""),7.50343398E9)</f>
        <v>7503433980</v>
      </c>
      <c r="B306" s="46" t="str">
        <f>IFERROR(__xludf.DUMMYFUNCTION("""COMPUTED_VALUE"""),"Harisha")</f>
        <v>Harisha</v>
      </c>
      <c r="C306" s="5" t="s">
        <v>2002</v>
      </c>
      <c r="D306" s="5"/>
      <c r="E306" s="5"/>
      <c r="F306" s="5"/>
      <c r="G306" s="5"/>
      <c r="H306" s="5"/>
      <c r="I306" s="5"/>
      <c r="J306" s="73"/>
      <c r="K306" s="75" t="str">
        <f>IFERROR(__xludf.DUMMYFUNCTION("""COMPUTED_VALUE"""),"")</f>
        <v/>
      </c>
      <c r="L306" s="75"/>
      <c r="M306" s="46" t="s">
        <v>2002</v>
      </c>
    </row>
    <row r="307">
      <c r="A307" s="70">
        <f>IFERROR(__xludf.DUMMYFUNCTION("""COMPUTED_VALUE"""),8.860607579E9)</f>
        <v>8860607579</v>
      </c>
      <c r="B307" s="46" t="str">
        <f>IFERROR(__xludf.DUMMYFUNCTION("""COMPUTED_VALUE"""),"Akanshi")</f>
        <v>Akanshi</v>
      </c>
      <c r="C307" s="5" t="s">
        <v>2002</v>
      </c>
      <c r="D307" s="5"/>
      <c r="E307" s="5"/>
      <c r="F307" s="5"/>
      <c r="G307" s="5"/>
      <c r="H307" s="5"/>
      <c r="I307" s="5"/>
      <c r="J307" s="73"/>
      <c r="K307" s="75" t="str">
        <f>IFERROR(__xludf.DUMMYFUNCTION("""COMPUTED_VALUE"""),"")</f>
        <v/>
      </c>
      <c r="L307" s="75"/>
      <c r="M307" s="46" t="s">
        <v>2002</v>
      </c>
    </row>
    <row r="308">
      <c r="A308" s="70">
        <f>IFERROR(__xludf.DUMMYFUNCTION("""COMPUTED_VALUE"""),8.285298978E9)</f>
        <v>8285298978</v>
      </c>
      <c r="B308" s="46" t="str">
        <f>IFERROR(__xludf.DUMMYFUNCTION("""COMPUTED_VALUE"""),"Rakhi")</f>
        <v>Rakhi</v>
      </c>
      <c r="C308" s="5" t="s">
        <v>2002</v>
      </c>
      <c r="D308" s="5"/>
      <c r="E308" s="5"/>
      <c r="F308" s="5"/>
      <c r="G308" s="5"/>
      <c r="H308" s="5"/>
      <c r="I308" s="5"/>
      <c r="J308" s="73"/>
      <c r="K308" s="75" t="str">
        <f>IFERROR(__xludf.DUMMYFUNCTION("""COMPUTED_VALUE"""),"")</f>
        <v/>
      </c>
      <c r="L308" s="75"/>
      <c r="M308" s="46" t="s">
        <v>2002</v>
      </c>
    </row>
    <row r="309">
      <c r="A309" s="70">
        <f>IFERROR(__xludf.DUMMYFUNCTION("""COMPUTED_VALUE"""),8.882486802E9)</f>
        <v>8882486802</v>
      </c>
      <c r="B309" s="46" t="str">
        <f>IFERROR(__xludf.DUMMYFUNCTION("""COMPUTED_VALUE"""),"K.k varma ji ")</f>
        <v>K.k varma ji </v>
      </c>
      <c r="C309" s="5" t="s">
        <v>2002</v>
      </c>
      <c r="D309" s="5"/>
      <c r="E309" s="5"/>
      <c r="F309" s="5"/>
      <c r="G309" s="5"/>
      <c r="H309" s="5"/>
      <c r="I309" s="5"/>
      <c r="J309" s="73"/>
      <c r="K309" s="75" t="str">
        <f>IFERROR(__xludf.DUMMYFUNCTION("""COMPUTED_VALUE"""),"")</f>
        <v/>
      </c>
      <c r="L309" s="75"/>
      <c r="M309" s="46" t="s">
        <v>2002</v>
      </c>
    </row>
    <row r="310">
      <c r="A310" s="70">
        <f>IFERROR(__xludf.DUMMYFUNCTION("""COMPUTED_VALUE"""),7.838454508E9)</f>
        <v>7838454508</v>
      </c>
      <c r="B310" s="46" t="str">
        <f>IFERROR(__xludf.DUMMYFUNCTION("""COMPUTED_VALUE"""),"Seema")</f>
        <v>Seema</v>
      </c>
      <c r="C310" s="5" t="s">
        <v>2002</v>
      </c>
      <c r="D310" s="5"/>
      <c r="E310" s="5"/>
      <c r="F310" s="5"/>
      <c r="G310" s="5"/>
      <c r="H310" s="5"/>
      <c r="I310" s="5"/>
      <c r="J310" s="73"/>
      <c r="K310" s="75" t="str">
        <f>IFERROR(__xludf.DUMMYFUNCTION("""COMPUTED_VALUE"""),"")</f>
        <v/>
      </c>
      <c r="L310" s="75"/>
      <c r="M310" s="46" t="s">
        <v>2002</v>
      </c>
    </row>
    <row r="311">
      <c r="A311" s="70">
        <f>IFERROR(__xludf.DUMMYFUNCTION("""COMPUTED_VALUE"""),7.015517269E9)</f>
        <v>7015517269</v>
      </c>
      <c r="B311" s="46" t="str">
        <f>IFERROR(__xludf.DUMMYFUNCTION("""COMPUTED_VALUE"""),"pooja")</f>
        <v>pooja</v>
      </c>
      <c r="C311" s="5" t="s">
        <v>2002</v>
      </c>
      <c r="D311" s="5"/>
      <c r="E311" s="5"/>
      <c r="F311" s="5"/>
      <c r="G311" s="5"/>
      <c r="H311" s="5"/>
      <c r="I311" s="5"/>
      <c r="J311" s="73"/>
      <c r="K311" s="75" t="str">
        <f>IFERROR(__xludf.DUMMYFUNCTION("""COMPUTED_VALUE"""),"")</f>
        <v/>
      </c>
      <c r="L311" s="75"/>
      <c r="M311" s="46" t="s">
        <v>2002</v>
      </c>
    </row>
    <row r="312">
      <c r="A312" s="70">
        <f>IFERROR(__xludf.DUMMYFUNCTION("""COMPUTED_VALUE"""),9.81832918E9)</f>
        <v>9818329180</v>
      </c>
      <c r="B312" s="46" t="str">
        <f>IFERROR(__xludf.DUMMYFUNCTION("""COMPUTED_VALUE"""),"Priya Agarwal ")</f>
        <v>Priya Agarwal </v>
      </c>
      <c r="C312" s="5" t="s">
        <v>2002</v>
      </c>
      <c r="D312" s="5"/>
      <c r="E312" s="5"/>
      <c r="F312" s="5"/>
      <c r="G312" s="5"/>
      <c r="H312" s="5"/>
      <c r="I312" s="5"/>
      <c r="J312" s="73"/>
      <c r="K312" s="75" t="str">
        <f>IFERROR(__xludf.DUMMYFUNCTION("""COMPUTED_VALUE"""),"")</f>
        <v/>
      </c>
      <c r="L312" s="75"/>
      <c r="M312" s="46" t="s">
        <v>2002</v>
      </c>
    </row>
    <row r="313">
      <c r="A313" s="70">
        <f>IFERROR(__xludf.DUMMYFUNCTION("""COMPUTED_VALUE"""),9.899187501E9)</f>
        <v>9899187501</v>
      </c>
      <c r="B313" s="46" t="str">
        <f>IFERROR(__xludf.DUMMYFUNCTION("""COMPUTED_VALUE"""),"Sanjeev Kumar ji ")</f>
        <v>Sanjeev Kumar ji </v>
      </c>
      <c r="C313" s="5" t="s">
        <v>2002</v>
      </c>
      <c r="D313" s="5"/>
      <c r="E313" s="5"/>
      <c r="F313" s="5"/>
      <c r="G313" s="5"/>
      <c r="H313" s="5"/>
      <c r="I313" s="5"/>
      <c r="J313" s="73"/>
      <c r="K313" s="75" t="str">
        <f>IFERROR(__xludf.DUMMYFUNCTION("""COMPUTED_VALUE"""),"")</f>
        <v/>
      </c>
      <c r="L313" s="75"/>
      <c r="M313" s="46" t="s">
        <v>2002</v>
      </c>
    </row>
    <row r="314">
      <c r="A314" s="70">
        <f>IFERROR(__xludf.DUMMYFUNCTION("""COMPUTED_VALUE"""),9.728500002E9)</f>
        <v>9728500002</v>
      </c>
      <c r="B314" s="46" t="str">
        <f>IFERROR(__xludf.DUMMYFUNCTION("""COMPUTED_VALUE"""),"sachit Aggarwal ")</f>
        <v>sachit Aggarwal </v>
      </c>
      <c r="C314" s="5" t="s">
        <v>2002</v>
      </c>
      <c r="D314" s="5"/>
      <c r="E314" s="5"/>
      <c r="F314" s="5"/>
      <c r="G314" s="5"/>
      <c r="H314" s="5"/>
      <c r="I314" s="5"/>
      <c r="J314" s="73"/>
      <c r="K314" s="75" t="str">
        <f>IFERROR(__xludf.DUMMYFUNCTION("""COMPUTED_VALUE"""),"")</f>
        <v/>
      </c>
      <c r="L314" s="75"/>
      <c r="M314" s="46" t="s">
        <v>2002</v>
      </c>
    </row>
    <row r="315">
      <c r="A315" s="70">
        <f>IFERROR(__xludf.DUMMYFUNCTION("""COMPUTED_VALUE"""),9.990090212E9)</f>
        <v>9990090212</v>
      </c>
      <c r="B315" s="46" t="str">
        <f>IFERROR(__xludf.DUMMYFUNCTION("""COMPUTED_VALUE"""),"Swarnima Jain")</f>
        <v>Swarnima Jain</v>
      </c>
      <c r="C315" s="5" t="s">
        <v>2002</v>
      </c>
      <c r="D315" s="5"/>
      <c r="E315" s="5"/>
      <c r="F315" s="5"/>
      <c r="G315" s="5"/>
      <c r="H315" s="5"/>
      <c r="I315" s="5"/>
      <c r="J315" s="73"/>
      <c r="K315" s="75" t="str">
        <f>IFERROR(__xludf.DUMMYFUNCTION("""COMPUTED_VALUE"""),"")</f>
        <v/>
      </c>
      <c r="L315" s="75"/>
      <c r="M315" s="46" t="s">
        <v>2002</v>
      </c>
    </row>
    <row r="316">
      <c r="A316" s="70">
        <f>IFERROR(__xludf.DUMMYFUNCTION("""COMPUTED_VALUE"""),9.999355536E9)</f>
        <v>9999355536</v>
      </c>
      <c r="B316" s="46" t="str">
        <f>IFERROR(__xludf.DUMMYFUNCTION("""COMPUTED_VALUE"""),"Shivam Giri")</f>
        <v>Shivam Giri</v>
      </c>
      <c r="C316" s="5" t="s">
        <v>2002</v>
      </c>
      <c r="D316" s="5"/>
      <c r="E316" s="5"/>
      <c r="F316" s="5"/>
      <c r="G316" s="5"/>
      <c r="H316" s="5"/>
      <c r="I316" s="5"/>
      <c r="J316" s="73"/>
      <c r="K316" s="75" t="str">
        <f>IFERROR(__xludf.DUMMYFUNCTION("""COMPUTED_VALUE"""),"")</f>
        <v/>
      </c>
      <c r="L316" s="75"/>
      <c r="M316" s="46" t="s">
        <v>2002</v>
      </c>
    </row>
    <row r="317">
      <c r="A317" s="70">
        <f>IFERROR(__xludf.DUMMYFUNCTION("""COMPUTED_VALUE"""),9.643593168E9)</f>
        <v>9643593168</v>
      </c>
      <c r="B317" s="46" t="str">
        <f>IFERROR(__xludf.DUMMYFUNCTION("""COMPUTED_VALUE"""),"Aniket ji ")</f>
        <v>Aniket ji </v>
      </c>
      <c r="C317" s="5" t="s">
        <v>2002</v>
      </c>
      <c r="D317" s="5"/>
      <c r="E317" s="5"/>
      <c r="F317" s="5"/>
      <c r="G317" s="5"/>
      <c r="H317" s="5"/>
      <c r="I317" s="5"/>
      <c r="J317" s="73"/>
      <c r="K317" s="75" t="str">
        <f>IFERROR(__xludf.DUMMYFUNCTION("""COMPUTED_VALUE"""),"")</f>
        <v/>
      </c>
      <c r="L317" s="75"/>
      <c r="M317" s="46" t="s">
        <v>2002</v>
      </c>
    </row>
    <row r="318">
      <c r="A318" s="70">
        <f>IFERROR(__xludf.DUMMYFUNCTION("""COMPUTED_VALUE"""),9.357777547E9)</f>
        <v>9357777547</v>
      </c>
      <c r="B318" s="46" t="str">
        <f>IFERROR(__xludf.DUMMYFUNCTION("""COMPUTED_VALUE"""),"Gurlal Singh")</f>
        <v>Gurlal Singh</v>
      </c>
      <c r="C318" s="5" t="s">
        <v>2002</v>
      </c>
      <c r="D318" s="5"/>
      <c r="E318" s="5"/>
      <c r="F318" s="5"/>
      <c r="G318" s="5"/>
      <c r="H318" s="5"/>
      <c r="I318" s="5"/>
      <c r="J318" s="73"/>
      <c r="K318" s="75" t="str">
        <f>IFERROR(__xludf.DUMMYFUNCTION("""COMPUTED_VALUE"""),"")</f>
        <v/>
      </c>
      <c r="L318" s="75"/>
      <c r="M318" s="46" t="s">
        <v>2002</v>
      </c>
    </row>
    <row r="319">
      <c r="A319" s="70">
        <f>IFERROR(__xludf.DUMMYFUNCTION("""COMPUTED_VALUE"""),8.558932188E9)</f>
        <v>8558932188</v>
      </c>
      <c r="B319" s="46" t="str">
        <f>IFERROR(__xludf.DUMMYFUNCTION("""COMPUTED_VALUE"""),"Yashika")</f>
        <v>Yashika</v>
      </c>
      <c r="C319" s="5" t="s">
        <v>2002</v>
      </c>
      <c r="D319" s="5"/>
      <c r="E319" s="5"/>
      <c r="F319" s="5"/>
      <c r="G319" s="5"/>
      <c r="H319" s="5"/>
      <c r="I319" s="5"/>
      <c r="J319" s="73"/>
      <c r="K319" s="75" t="str">
        <f>IFERROR(__xludf.DUMMYFUNCTION("""COMPUTED_VALUE"""),"")</f>
        <v/>
      </c>
      <c r="L319" s="75"/>
      <c r="M319" s="46" t="s">
        <v>2002</v>
      </c>
    </row>
    <row r="320">
      <c r="A320" s="70">
        <f>IFERROR(__xludf.DUMMYFUNCTION("""COMPUTED_VALUE"""),8.558932188E9)</f>
        <v>8558932188</v>
      </c>
      <c r="B320" s="46" t="str">
        <f>IFERROR(__xludf.DUMMYFUNCTION("""COMPUTED_VALUE"""),"Yashika")</f>
        <v>Yashika</v>
      </c>
      <c r="C320" s="5" t="s">
        <v>2002</v>
      </c>
      <c r="D320" s="5"/>
      <c r="E320" s="5"/>
      <c r="F320" s="5"/>
      <c r="G320" s="5"/>
      <c r="H320" s="5"/>
      <c r="I320" s="5"/>
      <c r="J320" s="73"/>
      <c r="K320" s="75" t="str">
        <f>IFERROR(__xludf.DUMMYFUNCTION("""COMPUTED_VALUE"""),"")</f>
        <v/>
      </c>
      <c r="L320" s="75"/>
      <c r="M320" s="46" t="s">
        <v>2002</v>
      </c>
    </row>
    <row r="321">
      <c r="A321" s="70">
        <f>IFERROR(__xludf.DUMMYFUNCTION("""COMPUTED_VALUE"""),9.717633424E9)</f>
        <v>9717633424</v>
      </c>
      <c r="B321" s="46" t="str">
        <f>IFERROR(__xludf.DUMMYFUNCTION("""COMPUTED_VALUE"""),"Ajay")</f>
        <v>Ajay</v>
      </c>
      <c r="C321" s="5" t="s">
        <v>2002</v>
      </c>
      <c r="D321" s="5"/>
      <c r="E321" s="5"/>
      <c r="F321" s="5"/>
      <c r="G321" s="5"/>
      <c r="H321" s="5"/>
      <c r="I321" s="5"/>
      <c r="J321" s="73"/>
      <c r="K321" s="75" t="str">
        <f>IFERROR(__xludf.DUMMYFUNCTION("""COMPUTED_VALUE"""),"")</f>
        <v/>
      </c>
      <c r="L321" s="75"/>
      <c r="M321" s="46" t="s">
        <v>2002</v>
      </c>
    </row>
    <row r="322">
      <c r="A322" s="70">
        <f>IFERROR(__xludf.DUMMYFUNCTION("""COMPUTED_VALUE"""),9.899195175E9)</f>
        <v>9899195175</v>
      </c>
      <c r="B322" s="46" t="str">
        <f>IFERROR(__xludf.DUMMYFUNCTION("""COMPUTED_VALUE"""),"Anju")</f>
        <v>Anju</v>
      </c>
      <c r="C322" s="5" t="s">
        <v>2002</v>
      </c>
      <c r="D322" s="5"/>
      <c r="E322" s="5"/>
      <c r="F322" s="5"/>
      <c r="G322" s="5"/>
      <c r="H322" s="5"/>
      <c r="I322" s="5"/>
      <c r="J322" s="73"/>
      <c r="K322" s="75" t="str">
        <f>IFERROR(__xludf.DUMMYFUNCTION("""COMPUTED_VALUE"""),"")</f>
        <v/>
      </c>
      <c r="L322" s="75"/>
      <c r="M322" s="46" t="s">
        <v>2002</v>
      </c>
    </row>
    <row r="323">
      <c r="A323" s="70">
        <f>IFERROR(__xludf.DUMMYFUNCTION("""COMPUTED_VALUE"""),9.958598121E9)</f>
        <v>9958598121</v>
      </c>
      <c r="B323" s="46" t="str">
        <f>IFERROR(__xludf.DUMMYFUNCTION("""COMPUTED_VALUE"""),"Gaurav singh ")</f>
        <v>Gaurav singh </v>
      </c>
      <c r="C323" s="5" t="s">
        <v>2002</v>
      </c>
      <c r="D323" s="5"/>
      <c r="E323" s="5"/>
      <c r="F323" s="5"/>
      <c r="G323" s="5"/>
      <c r="H323" s="5"/>
      <c r="I323" s="5"/>
      <c r="J323" s="73"/>
      <c r="K323" s="75" t="str">
        <f>IFERROR(__xludf.DUMMYFUNCTION("""COMPUTED_VALUE"""),"")</f>
        <v/>
      </c>
      <c r="L323" s="75"/>
      <c r="M323" s="46" t="s">
        <v>2002</v>
      </c>
    </row>
    <row r="324">
      <c r="A324" s="70">
        <f>IFERROR(__xludf.DUMMYFUNCTION("""COMPUTED_VALUE"""),7.982053421E9)</f>
        <v>7982053421</v>
      </c>
      <c r="B324" s="46" t="str">
        <f>IFERROR(__xludf.DUMMYFUNCTION("""COMPUTED_VALUE"""),"Satish kumar")</f>
        <v>Satish kumar</v>
      </c>
      <c r="C324" s="5" t="s">
        <v>2002</v>
      </c>
      <c r="D324" s="5"/>
      <c r="E324" s="5"/>
      <c r="F324" s="5"/>
      <c r="G324" s="5"/>
      <c r="H324" s="5"/>
      <c r="I324" s="5"/>
      <c r="J324" s="73"/>
      <c r="K324" s="75" t="str">
        <f>IFERROR(__xludf.DUMMYFUNCTION("""COMPUTED_VALUE"""),"")</f>
        <v/>
      </c>
      <c r="L324" s="75"/>
      <c r="M324" s="46" t="s">
        <v>2002</v>
      </c>
    </row>
    <row r="325">
      <c r="A325" s="70">
        <f>IFERROR(__xludf.DUMMYFUNCTION("""COMPUTED_VALUE"""),8.860441442E9)</f>
        <v>8860441442</v>
      </c>
      <c r="B325" s="46" t="str">
        <f>IFERROR(__xludf.DUMMYFUNCTION("""COMPUTED_VALUE"""),"Karan Arora")</f>
        <v>Karan Arora</v>
      </c>
      <c r="C325" s="5" t="s">
        <v>2002</v>
      </c>
      <c r="D325" s="5"/>
      <c r="E325" s="5"/>
      <c r="F325" s="5"/>
      <c r="G325" s="5"/>
      <c r="H325" s="5"/>
      <c r="I325" s="5"/>
      <c r="J325" s="73"/>
      <c r="K325" s="75" t="str">
        <f>IFERROR(__xludf.DUMMYFUNCTION("""COMPUTED_VALUE"""),"")</f>
        <v/>
      </c>
      <c r="L325" s="75"/>
      <c r="M325" s="46" t="s">
        <v>2002</v>
      </c>
    </row>
    <row r="326">
      <c r="A326" s="70">
        <f>IFERROR(__xludf.DUMMYFUNCTION("""COMPUTED_VALUE"""),7.98290861E9)</f>
        <v>7982908610</v>
      </c>
      <c r="B326" s="46" t="str">
        <f>IFERROR(__xludf.DUMMYFUNCTION("""COMPUTED_VALUE"""),"Ritu sharma")</f>
        <v>Ritu sharma</v>
      </c>
      <c r="C326" s="5" t="s">
        <v>2002</v>
      </c>
      <c r="D326" s="5"/>
      <c r="E326" s="5"/>
      <c r="F326" s="5"/>
      <c r="G326" s="5"/>
      <c r="H326" s="5"/>
      <c r="I326" s="5"/>
      <c r="J326" s="73"/>
      <c r="K326" s="75" t="str">
        <f>IFERROR(__xludf.DUMMYFUNCTION("""COMPUTED_VALUE"""),"")</f>
        <v/>
      </c>
      <c r="L326" s="75"/>
      <c r="M326" s="46" t="s">
        <v>2002</v>
      </c>
    </row>
    <row r="327">
      <c r="A327" s="70">
        <f>IFERROR(__xludf.DUMMYFUNCTION("""COMPUTED_VALUE"""),9.810500352E9)</f>
        <v>9810500352</v>
      </c>
      <c r="B327" s="46" t="str">
        <f>IFERROR(__xludf.DUMMYFUNCTION("""COMPUTED_VALUE"""),"Ritu")</f>
        <v>Ritu</v>
      </c>
      <c r="C327" s="5" t="s">
        <v>2002</v>
      </c>
      <c r="D327" s="5"/>
      <c r="E327" s="5"/>
      <c r="F327" s="5"/>
      <c r="G327" s="5"/>
      <c r="H327" s="5"/>
      <c r="I327" s="5"/>
      <c r="J327" s="73"/>
      <c r="K327" s="75" t="str">
        <f>IFERROR(__xludf.DUMMYFUNCTION("""COMPUTED_VALUE"""),"")</f>
        <v/>
      </c>
      <c r="L327" s="75"/>
      <c r="M327" s="46" t="s">
        <v>2002</v>
      </c>
    </row>
    <row r="328">
      <c r="A328" s="70">
        <f>IFERROR(__xludf.DUMMYFUNCTION("""COMPUTED_VALUE"""),9.810455005E9)</f>
        <v>9810455005</v>
      </c>
      <c r="B328" s="46" t="str">
        <f>IFERROR(__xludf.DUMMYFUNCTION("""COMPUTED_VALUE"""),"nidhi")</f>
        <v>nidhi</v>
      </c>
      <c r="C328" s="5" t="s">
        <v>2002</v>
      </c>
      <c r="D328" s="5"/>
      <c r="E328" s="5"/>
      <c r="F328" s="5"/>
      <c r="G328" s="5"/>
      <c r="H328" s="5"/>
      <c r="I328" s="5"/>
      <c r="J328" s="73"/>
      <c r="K328" s="75" t="str">
        <f>IFERROR(__xludf.DUMMYFUNCTION("""COMPUTED_VALUE"""),"")</f>
        <v/>
      </c>
      <c r="L328" s="75"/>
      <c r="M328" s="46" t="s">
        <v>2002</v>
      </c>
    </row>
    <row r="329">
      <c r="A329" s="70">
        <f>IFERROR(__xludf.DUMMYFUNCTION("""COMPUTED_VALUE"""),9.911021076E9)</f>
        <v>9911021076</v>
      </c>
      <c r="B329" s="46" t="str">
        <f>IFERROR(__xludf.DUMMYFUNCTION("""COMPUTED_VALUE"""),"Achla Vig")</f>
        <v>Achla Vig</v>
      </c>
      <c r="C329" s="5" t="s">
        <v>2002</v>
      </c>
      <c r="D329" s="5"/>
      <c r="E329" s="5"/>
      <c r="F329" s="5"/>
      <c r="G329" s="5"/>
      <c r="H329" s="5"/>
      <c r="I329" s="5"/>
      <c r="J329" s="73"/>
      <c r="K329" s="75" t="str">
        <f>IFERROR(__xludf.DUMMYFUNCTION("""COMPUTED_VALUE"""),"")</f>
        <v/>
      </c>
      <c r="L329" s="75"/>
      <c r="M329" s="46" t="s">
        <v>2002</v>
      </c>
    </row>
    <row r="330">
      <c r="A330" s="70">
        <f>IFERROR(__xludf.DUMMYFUNCTION("""COMPUTED_VALUE"""),9.212189755E9)</f>
        <v>9212189755</v>
      </c>
      <c r="B330" s="46" t="str">
        <f>IFERROR(__xludf.DUMMYFUNCTION("""COMPUTED_VALUE"""),"anurag Mathur")</f>
        <v>anurag Mathur</v>
      </c>
      <c r="C330" s="5" t="s">
        <v>2002</v>
      </c>
      <c r="D330" s="5"/>
      <c r="E330" s="5"/>
      <c r="F330" s="5"/>
      <c r="G330" s="5"/>
      <c r="H330" s="5"/>
      <c r="I330" s="5"/>
      <c r="J330" s="73"/>
      <c r="K330" s="75" t="str">
        <f>IFERROR(__xludf.DUMMYFUNCTION("""COMPUTED_VALUE"""),"")</f>
        <v/>
      </c>
      <c r="L330" s="75"/>
      <c r="M330" s="46" t="s">
        <v>2002</v>
      </c>
    </row>
    <row r="331">
      <c r="A331" s="70">
        <f>IFERROR(__xludf.DUMMYFUNCTION("""COMPUTED_VALUE"""),9.967587582E9)</f>
        <v>9967587582</v>
      </c>
      <c r="B331" s="46" t="str">
        <f>IFERROR(__xludf.DUMMYFUNCTION("""COMPUTED_VALUE"""),"Anirudh")</f>
        <v>Anirudh</v>
      </c>
      <c r="C331" s="5" t="s">
        <v>2002</v>
      </c>
      <c r="D331" s="5"/>
      <c r="E331" s="5"/>
      <c r="F331" s="5"/>
      <c r="G331" s="5"/>
      <c r="H331" s="5"/>
      <c r="I331" s="5"/>
      <c r="J331" s="73"/>
      <c r="K331" s="75" t="str">
        <f>IFERROR(__xludf.DUMMYFUNCTION("""COMPUTED_VALUE"""),"")</f>
        <v/>
      </c>
      <c r="L331" s="75"/>
      <c r="M331" s="46" t="s">
        <v>2002</v>
      </c>
    </row>
    <row r="332">
      <c r="A332" s="70">
        <f>IFERROR(__xludf.DUMMYFUNCTION("""COMPUTED_VALUE"""),9.821717097E9)</f>
        <v>9821717097</v>
      </c>
      <c r="B332" s="46" t="str">
        <f>IFERROR(__xludf.DUMMYFUNCTION("""COMPUTED_VALUE"""),"poorti Punj")</f>
        <v>poorti Punj</v>
      </c>
      <c r="C332" s="5" t="s">
        <v>2002</v>
      </c>
      <c r="D332" s="5"/>
      <c r="E332" s="5"/>
      <c r="F332" s="5"/>
      <c r="G332" s="5"/>
      <c r="H332" s="5"/>
      <c r="I332" s="5"/>
      <c r="J332" s="73"/>
      <c r="K332" s="75" t="str">
        <f>IFERROR(__xludf.DUMMYFUNCTION("""COMPUTED_VALUE"""),"")</f>
        <v/>
      </c>
      <c r="L332" s="75"/>
      <c r="M332" s="46" t="s">
        <v>2002</v>
      </c>
    </row>
    <row r="333">
      <c r="A333" s="70">
        <f>IFERROR(__xludf.DUMMYFUNCTION("""COMPUTED_VALUE"""),8.233131816E9)</f>
        <v>8233131816</v>
      </c>
      <c r="B333" s="46" t="str">
        <f>IFERROR(__xludf.DUMMYFUNCTION("""COMPUTED_VALUE"""),"pooja sahu")</f>
        <v>pooja sahu</v>
      </c>
      <c r="C333" s="5" t="s">
        <v>2002</v>
      </c>
      <c r="D333" s="5"/>
      <c r="E333" s="5"/>
      <c r="F333" s="5"/>
      <c r="G333" s="5"/>
      <c r="H333" s="5"/>
      <c r="I333" s="5"/>
      <c r="J333" s="73"/>
      <c r="K333" s="75" t="str">
        <f>IFERROR(__xludf.DUMMYFUNCTION("""COMPUTED_VALUE"""),"")</f>
        <v/>
      </c>
      <c r="L333" s="75"/>
      <c r="M333" s="46" t="s">
        <v>2002</v>
      </c>
    </row>
    <row r="334">
      <c r="A334" s="70">
        <f>IFERROR(__xludf.DUMMYFUNCTION("""COMPUTED_VALUE"""),9.899193221E9)</f>
        <v>9899193221</v>
      </c>
      <c r="B334" s="46" t="str">
        <f>IFERROR(__xludf.DUMMYFUNCTION("""COMPUTED_VALUE"""),"Sunita")</f>
        <v>Sunita</v>
      </c>
      <c r="C334" s="5" t="s">
        <v>2002</v>
      </c>
      <c r="D334" s="5"/>
      <c r="E334" s="5"/>
      <c r="F334" s="5"/>
      <c r="G334" s="5"/>
      <c r="H334" s="5"/>
      <c r="I334" s="5"/>
      <c r="J334" s="73"/>
      <c r="K334" s="75" t="str">
        <f>IFERROR(__xludf.DUMMYFUNCTION("""COMPUTED_VALUE"""),"")</f>
        <v/>
      </c>
      <c r="L334" s="75"/>
      <c r="M334" s="46" t="s">
        <v>2002</v>
      </c>
    </row>
    <row r="335">
      <c r="A335" s="70">
        <f>IFERROR(__xludf.DUMMYFUNCTION("""COMPUTED_VALUE"""),9.31525881E9)</f>
        <v>9315258810</v>
      </c>
      <c r="B335" s="46" t="str">
        <f>IFERROR(__xludf.DUMMYFUNCTION("""COMPUTED_VALUE"""),"Dipta")</f>
        <v>Dipta</v>
      </c>
      <c r="C335" s="5" t="s">
        <v>2002</v>
      </c>
      <c r="D335" s="5"/>
      <c r="E335" s="5"/>
      <c r="F335" s="5"/>
      <c r="G335" s="5"/>
      <c r="H335" s="5"/>
      <c r="I335" s="5"/>
      <c r="J335" s="73"/>
      <c r="K335" s="75" t="str">
        <f>IFERROR(__xludf.DUMMYFUNCTION("""COMPUTED_VALUE"""),"")</f>
        <v/>
      </c>
      <c r="L335" s="75"/>
      <c r="M335" s="46" t="s">
        <v>2002</v>
      </c>
    </row>
    <row r="336">
      <c r="A336" s="70">
        <f>IFERROR(__xludf.DUMMYFUNCTION("""COMPUTED_VALUE"""),9.671932719E9)</f>
        <v>9671932719</v>
      </c>
      <c r="B336" s="46" t="str">
        <f>IFERROR(__xludf.DUMMYFUNCTION("""COMPUTED_VALUE"""),"Vinod kumar")</f>
        <v>Vinod kumar</v>
      </c>
      <c r="C336" s="5" t="s">
        <v>2002</v>
      </c>
      <c r="D336" s="5"/>
      <c r="E336" s="5"/>
      <c r="F336" s="5"/>
      <c r="G336" s="5"/>
      <c r="H336" s="5"/>
      <c r="I336" s="5"/>
      <c r="J336" s="73"/>
      <c r="K336" s="75" t="str">
        <f>IFERROR(__xludf.DUMMYFUNCTION("""COMPUTED_VALUE"""),"")</f>
        <v/>
      </c>
      <c r="L336" s="75"/>
      <c r="M336" s="46" t="s">
        <v>2002</v>
      </c>
    </row>
    <row r="337">
      <c r="A337" s="70">
        <f>IFERROR(__xludf.DUMMYFUNCTION("""COMPUTED_VALUE"""),9.81188726E9)</f>
        <v>9811887260</v>
      </c>
      <c r="B337" s="46" t="str">
        <f>IFERROR(__xludf.DUMMYFUNCTION("""COMPUTED_VALUE"""),"Pawan kumar")</f>
        <v>Pawan kumar</v>
      </c>
      <c r="C337" s="5" t="s">
        <v>2002</v>
      </c>
      <c r="D337" s="5"/>
      <c r="E337" s="5"/>
      <c r="F337" s="5"/>
      <c r="G337" s="5"/>
      <c r="H337" s="5"/>
      <c r="I337" s="5"/>
      <c r="J337" s="73"/>
      <c r="K337" s="75" t="str">
        <f>IFERROR(__xludf.DUMMYFUNCTION("""COMPUTED_VALUE"""),"")</f>
        <v/>
      </c>
      <c r="L337" s="75"/>
      <c r="M337" s="46" t="s">
        <v>2002</v>
      </c>
    </row>
    <row r="338">
      <c r="A338" s="70">
        <f>IFERROR(__xludf.DUMMYFUNCTION("""COMPUTED_VALUE"""),9.911883588E9)</f>
        <v>9911883588</v>
      </c>
      <c r="B338" s="46" t="str">
        <f>IFERROR(__xludf.DUMMYFUNCTION("""COMPUTED_VALUE"""),"Hiteshi")</f>
        <v>Hiteshi</v>
      </c>
      <c r="C338" s="5" t="s">
        <v>2002</v>
      </c>
      <c r="D338" s="5"/>
      <c r="E338" s="5"/>
      <c r="F338" s="5"/>
      <c r="G338" s="5"/>
      <c r="H338" s="5"/>
      <c r="I338" s="5"/>
      <c r="J338" s="73"/>
      <c r="K338" s="75" t="str">
        <f>IFERROR(__xludf.DUMMYFUNCTION("""COMPUTED_VALUE"""),"")</f>
        <v/>
      </c>
      <c r="L338" s="75"/>
      <c r="M338" s="46" t="s">
        <v>2002</v>
      </c>
    </row>
    <row r="339">
      <c r="A339" s="70">
        <f>IFERROR(__xludf.DUMMYFUNCTION("""COMPUTED_VALUE"""),7.527053735E9)</f>
        <v>7527053735</v>
      </c>
      <c r="B339" s="46" t="str">
        <f>IFERROR(__xludf.DUMMYFUNCTION("""COMPUTED_VALUE"""),"CP mishra")</f>
        <v>CP mishra</v>
      </c>
      <c r="C339" s="5" t="s">
        <v>2002</v>
      </c>
      <c r="D339" s="5"/>
      <c r="E339" s="5"/>
      <c r="F339" s="5"/>
      <c r="G339" s="5"/>
      <c r="H339" s="5"/>
      <c r="I339" s="5"/>
      <c r="J339" s="73"/>
      <c r="K339" s="75" t="str">
        <f>IFERROR(__xludf.DUMMYFUNCTION("""COMPUTED_VALUE"""),"")</f>
        <v/>
      </c>
      <c r="L339" s="75"/>
      <c r="M339" s="46" t="s">
        <v>2002</v>
      </c>
    </row>
    <row r="340">
      <c r="A340" s="70">
        <f>IFERROR(__xludf.DUMMYFUNCTION("""COMPUTED_VALUE"""),7.04242042E9)</f>
        <v>7042420420</v>
      </c>
      <c r="B340" s="46" t="str">
        <f>IFERROR(__xludf.DUMMYFUNCTION("""COMPUTED_VALUE"""),"Shivangi sharma")</f>
        <v>Shivangi sharma</v>
      </c>
      <c r="C340" s="5" t="s">
        <v>2002</v>
      </c>
      <c r="D340" s="5"/>
      <c r="E340" s="5"/>
      <c r="F340" s="5"/>
      <c r="G340" s="5"/>
      <c r="H340" s="5"/>
      <c r="I340" s="5"/>
      <c r="J340" s="73"/>
      <c r="K340" s="75" t="str">
        <f>IFERROR(__xludf.DUMMYFUNCTION("""COMPUTED_VALUE"""),"")</f>
        <v/>
      </c>
      <c r="L340" s="75"/>
      <c r="M340" s="46" t="s">
        <v>2002</v>
      </c>
    </row>
    <row r="341">
      <c r="A341" s="70">
        <f>IFERROR(__xludf.DUMMYFUNCTION("""COMPUTED_VALUE"""),9.817433373E9)</f>
        <v>9817433373</v>
      </c>
      <c r="B341" s="46" t="str">
        <f>IFERROR(__xludf.DUMMYFUNCTION("""COMPUTED_VALUE"""),"Shilpa")</f>
        <v>Shilpa</v>
      </c>
      <c r="C341" s="5" t="s">
        <v>2002</v>
      </c>
      <c r="D341" s="5"/>
      <c r="E341" s="5"/>
      <c r="F341" s="5"/>
      <c r="G341" s="5"/>
      <c r="H341" s="5"/>
      <c r="I341" s="5"/>
      <c r="J341" s="73"/>
      <c r="K341" s="75" t="str">
        <f>IFERROR(__xludf.DUMMYFUNCTION("""COMPUTED_VALUE"""),"")</f>
        <v/>
      </c>
      <c r="L341" s="75"/>
      <c r="M341" s="46" t="s">
        <v>2002</v>
      </c>
    </row>
    <row r="342">
      <c r="A342" s="70">
        <f>IFERROR(__xludf.DUMMYFUNCTION("""COMPUTED_VALUE"""),8.368214545E9)</f>
        <v>8368214545</v>
      </c>
      <c r="B342" s="46" t="str">
        <f>IFERROR(__xludf.DUMMYFUNCTION("""COMPUTED_VALUE"""),"Parkash batra")</f>
        <v>Parkash batra</v>
      </c>
      <c r="C342" s="5" t="s">
        <v>2002</v>
      </c>
      <c r="D342" s="5"/>
      <c r="E342" s="5"/>
      <c r="F342" s="5"/>
      <c r="G342" s="5"/>
      <c r="H342" s="5"/>
      <c r="I342" s="5"/>
      <c r="J342" s="73"/>
      <c r="K342" s="75" t="str">
        <f>IFERROR(__xludf.DUMMYFUNCTION("""COMPUTED_VALUE"""),"")</f>
        <v/>
      </c>
      <c r="L342" s="75"/>
      <c r="M342" s="46" t="s">
        <v>2002</v>
      </c>
    </row>
    <row r="343">
      <c r="A343" s="70">
        <f>IFERROR(__xludf.DUMMYFUNCTION("""COMPUTED_VALUE"""),9.6530181E9)</f>
        <v>9653018100</v>
      </c>
      <c r="B343" s="46" t="str">
        <f>IFERROR(__xludf.DUMMYFUNCTION("""COMPUTED_VALUE"""),"Saravjeet Sharma ji ")</f>
        <v>Saravjeet Sharma ji </v>
      </c>
      <c r="C343" s="5" t="s">
        <v>2002</v>
      </c>
      <c r="D343" s="5"/>
      <c r="E343" s="5"/>
      <c r="F343" s="5"/>
      <c r="G343" s="5"/>
      <c r="H343" s="5"/>
      <c r="I343" s="5"/>
      <c r="J343" s="73"/>
      <c r="K343" s="75" t="str">
        <f>IFERROR(__xludf.DUMMYFUNCTION("""COMPUTED_VALUE"""),"")</f>
        <v/>
      </c>
      <c r="L343" s="75"/>
      <c r="M343" s="46" t="s">
        <v>2002</v>
      </c>
    </row>
    <row r="344">
      <c r="A344" s="70">
        <f>IFERROR(__xludf.DUMMYFUNCTION("""COMPUTED_VALUE"""),9.971712516E9)</f>
        <v>9971712516</v>
      </c>
      <c r="B344" s="46" t="str">
        <f>IFERROR(__xludf.DUMMYFUNCTION("""COMPUTED_VALUE"""),"Anil saini")</f>
        <v>Anil saini</v>
      </c>
      <c r="C344" s="5" t="s">
        <v>2002</v>
      </c>
      <c r="D344" s="5"/>
      <c r="E344" s="5"/>
      <c r="F344" s="5"/>
      <c r="G344" s="5"/>
      <c r="H344" s="5"/>
      <c r="I344" s="5"/>
      <c r="J344" s="73"/>
      <c r="K344" s="75" t="str">
        <f>IFERROR(__xludf.DUMMYFUNCTION("""COMPUTED_VALUE"""),"")</f>
        <v/>
      </c>
      <c r="L344" s="75"/>
      <c r="M344" s="46" t="s">
        <v>2002</v>
      </c>
    </row>
    <row r="345">
      <c r="A345" s="70">
        <f>IFERROR(__xludf.DUMMYFUNCTION("""COMPUTED_VALUE"""),7.290997505E9)</f>
        <v>7290997505</v>
      </c>
      <c r="B345" s="46" t="str">
        <f>IFERROR(__xludf.DUMMYFUNCTION("""COMPUTED_VALUE"""),"Wajiha ")</f>
        <v>Wajiha </v>
      </c>
      <c r="C345" s="5" t="s">
        <v>2002</v>
      </c>
      <c r="D345" s="5"/>
      <c r="E345" s="5"/>
      <c r="F345" s="5"/>
      <c r="G345" s="5"/>
      <c r="H345" s="5"/>
      <c r="I345" s="5"/>
      <c r="J345" s="73"/>
      <c r="K345" s="75" t="str">
        <f>IFERROR(__xludf.DUMMYFUNCTION("""COMPUTED_VALUE"""),"")</f>
        <v/>
      </c>
      <c r="L345" s="75"/>
      <c r="M345" s="46" t="s">
        <v>2002</v>
      </c>
    </row>
    <row r="346">
      <c r="A346" s="70">
        <f>IFERROR(__xludf.DUMMYFUNCTION("""COMPUTED_VALUE"""),7.982978397E9)</f>
        <v>7982978397</v>
      </c>
      <c r="B346" s="46" t="str">
        <f>IFERROR(__xludf.DUMMYFUNCTION("""COMPUTED_VALUE"""),"Rajneet kaur")</f>
        <v>Rajneet kaur</v>
      </c>
      <c r="C346" s="5" t="s">
        <v>2002</v>
      </c>
      <c r="D346" s="5"/>
      <c r="E346" s="5"/>
      <c r="F346" s="5"/>
      <c r="G346" s="5"/>
      <c r="H346" s="5"/>
      <c r="I346" s="5"/>
      <c r="J346" s="73"/>
      <c r="K346" s="75" t="str">
        <f>IFERROR(__xludf.DUMMYFUNCTION("""COMPUTED_VALUE"""),"")</f>
        <v/>
      </c>
      <c r="L346" s="75"/>
      <c r="M346" s="46" t="s">
        <v>2002</v>
      </c>
    </row>
    <row r="347">
      <c r="A347" s="70">
        <f>IFERROR(__xludf.DUMMYFUNCTION("""COMPUTED_VALUE"""),9.870521545E9)</f>
        <v>9870521545</v>
      </c>
      <c r="B347" s="46" t="str">
        <f>IFERROR(__xludf.DUMMYFUNCTION("""COMPUTED_VALUE"""),"Aribq")</f>
        <v>Aribq</v>
      </c>
      <c r="C347" s="5" t="s">
        <v>2002</v>
      </c>
      <c r="D347" s="5"/>
      <c r="E347" s="5"/>
      <c r="F347" s="5"/>
      <c r="G347" s="5"/>
      <c r="H347" s="5"/>
      <c r="I347" s="5"/>
      <c r="J347" s="73"/>
      <c r="K347" s="75" t="str">
        <f>IFERROR(__xludf.DUMMYFUNCTION("""COMPUTED_VALUE"""),"")</f>
        <v/>
      </c>
      <c r="L347" s="75"/>
      <c r="M347" s="46" t="s">
        <v>2002</v>
      </c>
    </row>
    <row r="348">
      <c r="A348" s="70">
        <f>IFERROR(__xludf.DUMMYFUNCTION("""COMPUTED_VALUE"""),8.58687987E9)</f>
        <v>8586879870</v>
      </c>
      <c r="B348" s="46" t="str">
        <f>IFERROR(__xludf.DUMMYFUNCTION("""COMPUTED_VALUE"""),"Nargis")</f>
        <v>Nargis</v>
      </c>
      <c r="C348" s="5" t="s">
        <v>2002</v>
      </c>
      <c r="D348" s="5"/>
      <c r="E348" s="5"/>
      <c r="F348" s="5"/>
      <c r="G348" s="5"/>
      <c r="H348" s="5"/>
      <c r="I348" s="5"/>
      <c r="J348" s="73"/>
      <c r="K348" s="75" t="str">
        <f>IFERROR(__xludf.DUMMYFUNCTION("""COMPUTED_VALUE"""),"")</f>
        <v/>
      </c>
      <c r="L348" s="75"/>
      <c r="M348" s="46" t="s">
        <v>2002</v>
      </c>
    </row>
    <row r="349">
      <c r="A349" s="70">
        <f>IFERROR(__xludf.DUMMYFUNCTION("""COMPUTED_VALUE"""),8.901388384E9)</f>
        <v>8901388384</v>
      </c>
      <c r="B349" s="46" t="str">
        <f>IFERROR(__xludf.DUMMYFUNCTION("""COMPUTED_VALUE"""),"Jatin verma")</f>
        <v>Jatin verma</v>
      </c>
      <c r="C349" s="5" t="s">
        <v>2002</v>
      </c>
      <c r="D349" s="5"/>
      <c r="E349" s="5"/>
      <c r="F349" s="5"/>
      <c r="G349" s="5"/>
      <c r="H349" s="5"/>
      <c r="I349" s="5"/>
      <c r="J349" s="73"/>
      <c r="K349" s="75" t="str">
        <f>IFERROR(__xludf.DUMMYFUNCTION("""COMPUTED_VALUE"""),"")</f>
        <v/>
      </c>
      <c r="L349" s="75"/>
      <c r="M349" s="46" t="s">
        <v>2002</v>
      </c>
    </row>
    <row r="350">
      <c r="A350" s="70">
        <f>IFERROR(__xludf.DUMMYFUNCTION("""COMPUTED_VALUE"""),8.800787853E9)</f>
        <v>8800787853</v>
      </c>
      <c r="B350" s="46" t="str">
        <f>IFERROR(__xludf.DUMMYFUNCTION("""COMPUTED_VALUE"""),"Ankush jasuja")</f>
        <v>Ankush jasuja</v>
      </c>
      <c r="C350" s="5" t="s">
        <v>2002</v>
      </c>
      <c r="D350" s="5"/>
      <c r="E350" s="5"/>
      <c r="F350" s="5"/>
      <c r="G350" s="5"/>
      <c r="H350" s="5"/>
      <c r="I350" s="5"/>
      <c r="J350" s="73"/>
      <c r="K350" s="75" t="str">
        <f>IFERROR(__xludf.DUMMYFUNCTION("""COMPUTED_VALUE"""),"")</f>
        <v/>
      </c>
      <c r="L350" s="75"/>
      <c r="M350" s="46" t="s">
        <v>2002</v>
      </c>
    </row>
    <row r="351">
      <c r="A351" s="70">
        <f>IFERROR(__xludf.DUMMYFUNCTION("""COMPUTED_VALUE"""),9.692897928E9)</f>
        <v>9692897928</v>
      </c>
      <c r="B351" s="46" t="str">
        <f>IFERROR(__xludf.DUMMYFUNCTION("""COMPUTED_VALUE"""),"Himanshi alagh")</f>
        <v>Himanshi alagh</v>
      </c>
      <c r="C351" s="5" t="s">
        <v>2002</v>
      </c>
      <c r="D351" s="5"/>
      <c r="E351" s="5"/>
      <c r="F351" s="5"/>
      <c r="G351" s="5"/>
      <c r="H351" s="5"/>
      <c r="I351" s="5"/>
      <c r="J351" s="73"/>
      <c r="K351" s="75" t="str">
        <f>IFERROR(__xludf.DUMMYFUNCTION("""COMPUTED_VALUE"""),"")</f>
        <v/>
      </c>
      <c r="L351" s="75"/>
      <c r="M351" s="46" t="s">
        <v>2002</v>
      </c>
    </row>
    <row r="352">
      <c r="A352" s="70">
        <f>IFERROR(__xludf.DUMMYFUNCTION("""COMPUTED_VALUE"""),9.910310221E9)</f>
        <v>9910310221</v>
      </c>
      <c r="B352" s="46" t="str">
        <f>IFERROR(__xludf.DUMMYFUNCTION("""COMPUTED_VALUE"""),"Abhishek Kumar ")</f>
        <v>Abhishek Kumar </v>
      </c>
      <c r="C352" s="5" t="s">
        <v>2002</v>
      </c>
      <c r="D352" s="5"/>
      <c r="E352" s="5"/>
      <c r="F352" s="5"/>
      <c r="G352" s="5"/>
      <c r="H352" s="5"/>
      <c r="I352" s="5"/>
      <c r="J352" s="73"/>
      <c r="K352" s="75" t="str">
        <f>IFERROR(__xludf.DUMMYFUNCTION("""COMPUTED_VALUE"""),"")</f>
        <v/>
      </c>
      <c r="L352" s="75"/>
      <c r="M352" s="46" t="s">
        <v>2002</v>
      </c>
    </row>
    <row r="353">
      <c r="A353" s="70">
        <f>IFERROR(__xludf.DUMMYFUNCTION("""COMPUTED_VALUE"""),9.57204501E9)</f>
        <v>9572045010</v>
      </c>
      <c r="B353" s="46" t="str">
        <f>IFERROR(__xludf.DUMMYFUNCTION("""COMPUTED_VALUE"""),"Divesh Kumar ")</f>
        <v>Divesh Kumar </v>
      </c>
      <c r="C353" s="5" t="s">
        <v>2002</v>
      </c>
      <c r="D353" s="5"/>
      <c r="E353" s="5"/>
      <c r="F353" s="5"/>
      <c r="G353" s="5"/>
      <c r="H353" s="5"/>
      <c r="I353" s="5"/>
      <c r="J353" s="73"/>
      <c r="K353" s="75" t="str">
        <f>IFERROR(__xludf.DUMMYFUNCTION("""COMPUTED_VALUE"""),"")</f>
        <v/>
      </c>
      <c r="L353" s="75"/>
      <c r="M353" s="46" t="s">
        <v>2002</v>
      </c>
    </row>
    <row r="354">
      <c r="A354" s="70">
        <f>IFERROR(__xludf.DUMMYFUNCTION("""COMPUTED_VALUE"""),9.64395943E9)</f>
        <v>9643959430</v>
      </c>
      <c r="B354" s="46" t="str">
        <f>IFERROR(__xludf.DUMMYFUNCTION("""COMPUTED_VALUE"""),"Tanshi")</f>
        <v>Tanshi</v>
      </c>
      <c r="C354" s="5" t="s">
        <v>2002</v>
      </c>
      <c r="D354" s="5"/>
      <c r="E354" s="5"/>
      <c r="F354" s="5"/>
      <c r="G354" s="5"/>
      <c r="H354" s="5"/>
      <c r="I354" s="5"/>
      <c r="J354" s="73"/>
      <c r="K354" s="75" t="str">
        <f>IFERROR(__xludf.DUMMYFUNCTION("""COMPUTED_VALUE"""),"")</f>
        <v/>
      </c>
      <c r="L354" s="75"/>
      <c r="M354" s="46" t="s">
        <v>2002</v>
      </c>
    </row>
    <row r="355">
      <c r="A355" s="70">
        <f>IFERROR(__xludf.DUMMYFUNCTION("""COMPUTED_VALUE"""),8.802571074E9)</f>
        <v>8802571074</v>
      </c>
      <c r="B355" s="46" t="str">
        <f>IFERROR(__xludf.DUMMYFUNCTION("""COMPUTED_VALUE"""),"Darshan lal")</f>
        <v>Darshan lal</v>
      </c>
      <c r="C355" s="5" t="s">
        <v>2002</v>
      </c>
      <c r="D355" s="5"/>
      <c r="E355" s="5"/>
      <c r="F355" s="5"/>
      <c r="G355" s="5"/>
      <c r="H355" s="5"/>
      <c r="I355" s="5"/>
      <c r="J355" s="73"/>
      <c r="K355" s="75" t="str">
        <f>IFERROR(__xludf.DUMMYFUNCTION("""COMPUTED_VALUE"""),"")</f>
        <v/>
      </c>
      <c r="L355" s="75"/>
      <c r="M355" s="46" t="s">
        <v>2002</v>
      </c>
    </row>
    <row r="356">
      <c r="A356" s="70">
        <f>IFERROR(__xludf.DUMMYFUNCTION("""COMPUTED_VALUE"""),9.555311183E9)</f>
        <v>9555311183</v>
      </c>
      <c r="B356" s="46" t="str">
        <f>IFERROR(__xludf.DUMMYFUNCTION("""COMPUTED_VALUE"""),"Furqan ")</f>
        <v>Furqan </v>
      </c>
      <c r="C356" s="5" t="s">
        <v>2002</v>
      </c>
      <c r="D356" s="5"/>
      <c r="E356" s="5"/>
      <c r="F356" s="5"/>
      <c r="G356" s="5"/>
      <c r="H356" s="5"/>
      <c r="I356" s="5"/>
      <c r="J356" s="73"/>
      <c r="K356" s="75" t="str">
        <f>IFERROR(__xludf.DUMMYFUNCTION("""COMPUTED_VALUE"""),"")</f>
        <v/>
      </c>
      <c r="L356" s="75"/>
      <c r="M356" s="46" t="s">
        <v>2002</v>
      </c>
    </row>
    <row r="357">
      <c r="A357" s="70">
        <f>IFERROR(__xludf.DUMMYFUNCTION("""COMPUTED_VALUE"""),7.83836025E9)</f>
        <v>7838360250</v>
      </c>
      <c r="B357" s="46" t="str">
        <f>IFERROR(__xludf.DUMMYFUNCTION("""COMPUTED_VALUE"""),"Abhishek sriwastav")</f>
        <v>Abhishek sriwastav</v>
      </c>
      <c r="C357" s="5" t="s">
        <v>2002</v>
      </c>
      <c r="D357" s="5"/>
      <c r="E357" s="5"/>
      <c r="F357" s="5"/>
      <c r="G357" s="5"/>
      <c r="H357" s="5"/>
      <c r="I357" s="5"/>
      <c r="J357" s="73"/>
      <c r="K357" s="75" t="str">
        <f>IFERROR(__xludf.DUMMYFUNCTION("""COMPUTED_VALUE"""),"")</f>
        <v/>
      </c>
      <c r="L357" s="75"/>
      <c r="M357" s="46" t="s">
        <v>2002</v>
      </c>
    </row>
    <row r="358">
      <c r="A358" s="70">
        <f>IFERROR(__xludf.DUMMYFUNCTION("""COMPUTED_VALUE"""),7.72889472E9)</f>
        <v>7728894720</v>
      </c>
      <c r="B358" s="46" t="str">
        <f>IFERROR(__xludf.DUMMYFUNCTION("""COMPUTED_VALUE"""),"Nitin sharma")</f>
        <v>Nitin sharma</v>
      </c>
      <c r="C358" s="5" t="s">
        <v>2002</v>
      </c>
      <c r="D358" s="5"/>
      <c r="E358" s="5"/>
      <c r="F358" s="5"/>
      <c r="G358" s="5"/>
      <c r="H358" s="5"/>
      <c r="I358" s="5"/>
      <c r="J358" s="73"/>
      <c r="K358" s="75" t="str">
        <f>IFERROR(__xludf.DUMMYFUNCTION("""COMPUTED_VALUE"""),"")</f>
        <v/>
      </c>
      <c r="L358" s="75"/>
      <c r="M358" s="46" t="s">
        <v>2002</v>
      </c>
    </row>
    <row r="359">
      <c r="A359" s="70">
        <f>IFERROR(__xludf.DUMMYFUNCTION("""COMPUTED_VALUE"""),8.826269262E9)</f>
        <v>8826269262</v>
      </c>
      <c r="B359" s="46" t="str">
        <f>IFERROR(__xludf.DUMMYFUNCTION("""COMPUTED_VALUE"""),"anjali")</f>
        <v>anjali</v>
      </c>
      <c r="C359" s="5" t="s">
        <v>2002</v>
      </c>
      <c r="D359" s="5"/>
      <c r="E359" s="5"/>
      <c r="F359" s="5"/>
      <c r="G359" s="5"/>
      <c r="H359" s="5"/>
      <c r="I359" s="5"/>
      <c r="J359" s="73"/>
      <c r="K359" s="75" t="str">
        <f>IFERROR(__xludf.DUMMYFUNCTION("""COMPUTED_VALUE"""),"")</f>
        <v/>
      </c>
      <c r="L359" s="75"/>
      <c r="M359" s="46" t="s">
        <v>2002</v>
      </c>
    </row>
    <row r="360">
      <c r="A360" s="70">
        <f>IFERROR(__xludf.DUMMYFUNCTION("""COMPUTED_VALUE"""),7.428676767E9)</f>
        <v>7428676767</v>
      </c>
      <c r="B360" s="46" t="str">
        <f>IFERROR(__xludf.DUMMYFUNCTION("""COMPUTED_VALUE"""),"Davinder nath ")</f>
        <v>Davinder nath </v>
      </c>
      <c r="C360" s="5" t="s">
        <v>2002</v>
      </c>
      <c r="D360" s="5"/>
      <c r="E360" s="5"/>
      <c r="F360" s="5"/>
      <c r="G360" s="5"/>
      <c r="H360" s="5"/>
      <c r="I360" s="5"/>
      <c r="J360" s="73"/>
      <c r="K360" s="75" t="str">
        <f>IFERROR(__xludf.DUMMYFUNCTION("""COMPUTED_VALUE"""),"")</f>
        <v/>
      </c>
      <c r="L360" s="75"/>
      <c r="M360" s="46" t="s">
        <v>2002</v>
      </c>
    </row>
    <row r="361">
      <c r="A361" s="70">
        <f>IFERROR(__xludf.DUMMYFUNCTION("""COMPUTED_VALUE"""),8.37699338E9)</f>
        <v>8376993380</v>
      </c>
      <c r="B361" s="46" t="str">
        <f>IFERROR(__xludf.DUMMYFUNCTION("""COMPUTED_VALUE"""),"Ayushi")</f>
        <v>Ayushi</v>
      </c>
      <c r="C361" s="5" t="s">
        <v>2002</v>
      </c>
      <c r="D361" s="5"/>
      <c r="E361" s="5"/>
      <c r="F361" s="5"/>
      <c r="G361" s="5"/>
      <c r="H361" s="5"/>
      <c r="I361" s="5"/>
      <c r="J361" s="73"/>
      <c r="K361" s="75" t="str">
        <f>IFERROR(__xludf.DUMMYFUNCTION("""COMPUTED_VALUE"""),"")</f>
        <v/>
      </c>
      <c r="L361" s="75"/>
      <c r="M361" s="46" t="s">
        <v>2002</v>
      </c>
    </row>
    <row r="362">
      <c r="A362" s="70">
        <f>IFERROR(__xludf.DUMMYFUNCTION("""COMPUTED_VALUE"""),9.729600811E9)</f>
        <v>9729600811</v>
      </c>
      <c r="B362" s="46" t="str">
        <f>IFERROR(__xludf.DUMMYFUNCTION("""COMPUTED_VALUE"""),"Monika")</f>
        <v>Monika</v>
      </c>
      <c r="C362" s="5" t="s">
        <v>2002</v>
      </c>
      <c r="D362" s="5"/>
      <c r="E362" s="5"/>
      <c r="F362" s="5"/>
      <c r="G362" s="5"/>
      <c r="H362" s="5"/>
      <c r="I362" s="5"/>
      <c r="J362" s="73"/>
      <c r="K362" s="75" t="str">
        <f>IFERROR(__xludf.DUMMYFUNCTION("""COMPUTED_VALUE"""),"")</f>
        <v/>
      </c>
      <c r="L362" s="75"/>
      <c r="M362" s="46" t="s">
        <v>2002</v>
      </c>
    </row>
    <row r="363">
      <c r="A363" s="70">
        <f>IFERROR(__xludf.DUMMYFUNCTION("""COMPUTED_VALUE"""),9.255555983E9)</f>
        <v>9255555983</v>
      </c>
      <c r="B363" s="46" t="str">
        <f>IFERROR(__xludf.DUMMYFUNCTION("""COMPUTED_VALUE"""),"nitin goyal")</f>
        <v>nitin goyal</v>
      </c>
      <c r="C363" s="5" t="s">
        <v>2002</v>
      </c>
      <c r="D363" s="5"/>
      <c r="E363" s="5"/>
      <c r="F363" s="5"/>
      <c r="G363" s="5"/>
      <c r="H363" s="5"/>
      <c r="I363" s="5"/>
      <c r="J363" s="73"/>
      <c r="K363" s="75" t="str">
        <f>IFERROR(__xludf.DUMMYFUNCTION("""COMPUTED_VALUE"""),"")</f>
        <v/>
      </c>
      <c r="L363" s="75"/>
      <c r="M363" s="46" t="s">
        <v>2002</v>
      </c>
    </row>
    <row r="364">
      <c r="A364" s="70">
        <f>IFERROR(__xludf.DUMMYFUNCTION("""COMPUTED_VALUE"""),7.678427428E9)</f>
        <v>7678427428</v>
      </c>
      <c r="B364" s="46" t="str">
        <f>IFERROR(__xludf.DUMMYFUNCTION("""COMPUTED_VALUE"""),"Sunita")</f>
        <v>Sunita</v>
      </c>
      <c r="C364" s="5" t="s">
        <v>2002</v>
      </c>
      <c r="D364" s="5"/>
      <c r="E364" s="5"/>
      <c r="F364" s="5"/>
      <c r="G364" s="5"/>
      <c r="H364" s="5"/>
      <c r="I364" s="5"/>
      <c r="J364" s="73"/>
      <c r="K364" s="75" t="str">
        <f>IFERROR(__xludf.DUMMYFUNCTION("""COMPUTED_VALUE"""),"")</f>
        <v/>
      </c>
      <c r="L364" s="75"/>
      <c r="M364" s="46" t="s">
        <v>2002</v>
      </c>
    </row>
    <row r="365">
      <c r="A365" s="70">
        <f>IFERROR(__xludf.DUMMYFUNCTION("""COMPUTED_VALUE"""),9.999456491E9)</f>
        <v>9999456491</v>
      </c>
      <c r="B365" s="46" t="str">
        <f>IFERROR(__xludf.DUMMYFUNCTION("""COMPUTED_VALUE"""),"Gunjan")</f>
        <v>Gunjan</v>
      </c>
      <c r="C365" s="5" t="s">
        <v>2002</v>
      </c>
      <c r="D365" s="5"/>
      <c r="E365" s="5"/>
      <c r="F365" s="5"/>
      <c r="G365" s="5"/>
      <c r="H365" s="5"/>
      <c r="I365" s="5"/>
      <c r="J365" s="73"/>
      <c r="K365" s="75" t="str">
        <f>IFERROR(__xludf.DUMMYFUNCTION("""COMPUTED_VALUE"""),"")</f>
        <v/>
      </c>
      <c r="L365" s="75"/>
      <c r="M365" s="46" t="s">
        <v>2002</v>
      </c>
    </row>
    <row r="366">
      <c r="A366" s="70">
        <f>IFERROR(__xludf.DUMMYFUNCTION("""COMPUTED_VALUE"""),9.871041701E9)</f>
        <v>9871041701</v>
      </c>
      <c r="B366" s="46" t="str">
        <f>IFERROR(__xludf.DUMMYFUNCTION("""COMPUTED_VALUE"""),"sahiba kaur")</f>
        <v>sahiba kaur</v>
      </c>
      <c r="C366" s="5" t="s">
        <v>2002</v>
      </c>
      <c r="D366" s="5"/>
      <c r="E366" s="5"/>
      <c r="F366" s="5"/>
      <c r="G366" s="5"/>
      <c r="H366" s="5"/>
      <c r="I366" s="5"/>
      <c r="J366" s="73"/>
      <c r="K366" s="75" t="str">
        <f>IFERROR(__xludf.DUMMYFUNCTION("""COMPUTED_VALUE"""),"")</f>
        <v/>
      </c>
      <c r="L366" s="75"/>
      <c r="M366" s="46" t="s">
        <v>2002</v>
      </c>
    </row>
    <row r="367">
      <c r="A367" s="70">
        <f>IFERROR(__xludf.DUMMYFUNCTION("""COMPUTED_VALUE"""),9.510980962E9)</f>
        <v>9510980962</v>
      </c>
      <c r="B367" s="46" t="str">
        <f>IFERROR(__xludf.DUMMYFUNCTION("""COMPUTED_VALUE"""),"Yashu ")</f>
        <v>Yashu </v>
      </c>
      <c r="C367" s="5" t="s">
        <v>2002</v>
      </c>
      <c r="D367" s="5"/>
      <c r="E367" s="5"/>
      <c r="F367" s="5"/>
      <c r="G367" s="5"/>
      <c r="H367" s="5"/>
      <c r="I367" s="5"/>
      <c r="J367" s="73"/>
      <c r="K367" s="75" t="str">
        <f>IFERROR(__xludf.DUMMYFUNCTION("""COMPUTED_VALUE"""),"")</f>
        <v/>
      </c>
      <c r="L367" s="75"/>
      <c r="M367" s="46" t="s">
        <v>2002</v>
      </c>
    </row>
    <row r="368">
      <c r="A368" s="70">
        <f>IFERROR(__xludf.DUMMYFUNCTION("""COMPUTED_VALUE"""),9.729999195E9)</f>
        <v>9729999195</v>
      </c>
      <c r="B368" s="46" t="str">
        <f>IFERROR(__xludf.DUMMYFUNCTION("""COMPUTED_VALUE"""),"Payal Gupta")</f>
        <v>Payal Gupta</v>
      </c>
      <c r="C368" s="5" t="s">
        <v>2002</v>
      </c>
      <c r="D368" s="5"/>
      <c r="E368" s="5"/>
      <c r="F368" s="5"/>
      <c r="G368" s="5"/>
      <c r="H368" s="5"/>
      <c r="I368" s="5"/>
      <c r="J368" s="73"/>
      <c r="K368" s="75" t="str">
        <f>IFERROR(__xludf.DUMMYFUNCTION("""COMPUTED_VALUE"""),"")</f>
        <v/>
      </c>
      <c r="L368" s="75"/>
      <c r="M368" s="46" t="s">
        <v>2002</v>
      </c>
    </row>
    <row r="369">
      <c r="A369" s="70">
        <f>IFERROR(__xludf.DUMMYFUNCTION("""COMPUTED_VALUE"""),9.43196959E9)</f>
        <v>9431969590</v>
      </c>
      <c r="B369" s="46" t="str">
        <f>IFERROR(__xludf.DUMMYFUNCTION("""COMPUTED_VALUE"""),"Ranga nath jha ")</f>
        <v>Ranga nath jha </v>
      </c>
      <c r="C369" s="5" t="s">
        <v>2002</v>
      </c>
      <c r="D369" s="5"/>
      <c r="E369" s="5"/>
      <c r="F369" s="5"/>
      <c r="G369" s="5"/>
      <c r="H369" s="5"/>
      <c r="I369" s="5"/>
      <c r="J369" s="73"/>
      <c r="K369" s="75" t="str">
        <f>IFERROR(__xludf.DUMMYFUNCTION("""COMPUTED_VALUE"""),"")</f>
        <v/>
      </c>
      <c r="L369" s="75"/>
      <c r="M369" s="46" t="s">
        <v>2002</v>
      </c>
    </row>
    <row r="370">
      <c r="A370" s="70">
        <f>IFERROR(__xludf.DUMMYFUNCTION("""COMPUTED_VALUE"""),7.983758686E9)</f>
        <v>7983758686</v>
      </c>
      <c r="B370" s="46" t="str">
        <f>IFERROR(__xludf.DUMMYFUNCTION("""COMPUTED_VALUE"""),"pawan")</f>
        <v>pawan</v>
      </c>
      <c r="C370" s="5" t="s">
        <v>2002</v>
      </c>
      <c r="D370" s="5"/>
      <c r="E370" s="5"/>
      <c r="F370" s="5"/>
      <c r="G370" s="5"/>
      <c r="H370" s="5"/>
      <c r="I370" s="5"/>
      <c r="J370" s="73"/>
      <c r="K370" s="75" t="str">
        <f>IFERROR(__xludf.DUMMYFUNCTION("""COMPUTED_VALUE"""),"")</f>
        <v/>
      </c>
      <c r="L370" s="75"/>
      <c r="M370" s="46" t="s">
        <v>2002</v>
      </c>
    </row>
    <row r="371">
      <c r="A371" s="70">
        <f>IFERROR(__xludf.DUMMYFUNCTION("""COMPUTED_VALUE"""),7.503600259E9)</f>
        <v>7503600259</v>
      </c>
      <c r="B371" s="46" t="str">
        <f>IFERROR(__xludf.DUMMYFUNCTION("""COMPUTED_VALUE"""),"Abhishek ")</f>
        <v>Abhishek </v>
      </c>
      <c r="C371" s="5" t="s">
        <v>2002</v>
      </c>
      <c r="D371" s="5"/>
      <c r="E371" s="5"/>
      <c r="F371" s="5"/>
      <c r="G371" s="5"/>
      <c r="H371" s="5"/>
      <c r="I371" s="5"/>
      <c r="J371" s="73"/>
      <c r="K371" s="75" t="str">
        <f>IFERROR(__xludf.DUMMYFUNCTION("""COMPUTED_VALUE"""),"")</f>
        <v/>
      </c>
      <c r="L371" s="75"/>
      <c r="M371" s="46" t="s">
        <v>2002</v>
      </c>
    </row>
    <row r="372">
      <c r="A372" s="70">
        <f>IFERROR(__xludf.DUMMYFUNCTION("""COMPUTED_VALUE"""),9.667713321E9)</f>
        <v>9667713321</v>
      </c>
      <c r="B372" s="46" t="str">
        <f>IFERROR(__xludf.DUMMYFUNCTION("""COMPUTED_VALUE"""),"Mukesh kumar")</f>
        <v>Mukesh kumar</v>
      </c>
      <c r="C372" s="5" t="s">
        <v>2002</v>
      </c>
      <c r="D372" s="5"/>
      <c r="E372" s="5"/>
      <c r="F372" s="5"/>
      <c r="G372" s="5"/>
      <c r="H372" s="5"/>
      <c r="I372" s="5"/>
      <c r="J372" s="73"/>
      <c r="K372" s="75" t="str">
        <f>IFERROR(__xludf.DUMMYFUNCTION("""COMPUTED_VALUE"""),"")</f>
        <v/>
      </c>
      <c r="L372" s="75"/>
      <c r="M372" s="46" t="s">
        <v>2002</v>
      </c>
    </row>
    <row r="373">
      <c r="A373" s="70">
        <f>IFERROR(__xludf.DUMMYFUNCTION("""COMPUTED_VALUE"""),9.310108131E9)</f>
        <v>9310108131</v>
      </c>
      <c r="B373" s="46" t="str">
        <f>IFERROR(__xludf.DUMMYFUNCTION("""COMPUTED_VALUE"""),"renu")</f>
        <v>renu</v>
      </c>
      <c r="C373" s="5" t="s">
        <v>2002</v>
      </c>
      <c r="D373" s="5"/>
      <c r="E373" s="5"/>
      <c r="F373" s="5"/>
      <c r="G373" s="5"/>
      <c r="H373" s="5"/>
      <c r="I373" s="5"/>
      <c r="J373" s="73"/>
      <c r="K373" s="75" t="str">
        <f>IFERROR(__xludf.DUMMYFUNCTION("""COMPUTED_VALUE"""),"")</f>
        <v/>
      </c>
      <c r="L373" s="75"/>
      <c r="M373" s="46" t="s">
        <v>2002</v>
      </c>
    </row>
    <row r="374">
      <c r="A374" s="70">
        <f>IFERROR(__xludf.DUMMYFUNCTION("""COMPUTED_VALUE"""),8.447697639E9)</f>
        <v>8447697639</v>
      </c>
      <c r="B374" s="46" t="str">
        <f>IFERROR(__xludf.DUMMYFUNCTION("""COMPUTED_VALUE"""),"ritika")</f>
        <v>ritika</v>
      </c>
      <c r="C374" s="5" t="s">
        <v>2002</v>
      </c>
      <c r="D374" s="5"/>
      <c r="E374" s="5"/>
      <c r="F374" s="5"/>
      <c r="G374" s="5"/>
      <c r="H374" s="5"/>
      <c r="I374" s="5"/>
      <c r="J374" s="73"/>
      <c r="K374" s="75" t="str">
        <f>IFERROR(__xludf.DUMMYFUNCTION("""COMPUTED_VALUE"""),"")</f>
        <v/>
      </c>
      <c r="L374" s="75"/>
      <c r="M374" s="46" t="s">
        <v>2002</v>
      </c>
    </row>
    <row r="375">
      <c r="A375" s="70">
        <f>IFERROR(__xludf.DUMMYFUNCTION("""COMPUTED_VALUE"""),8.447697639E9)</f>
        <v>8447697639</v>
      </c>
      <c r="B375" s="46" t="str">
        <f>IFERROR(__xludf.DUMMYFUNCTION("""COMPUTED_VALUE"""),"Jatika")</f>
        <v>Jatika</v>
      </c>
      <c r="C375" s="5" t="s">
        <v>2002</v>
      </c>
      <c r="D375" s="5"/>
      <c r="E375" s="5"/>
      <c r="F375" s="5"/>
      <c r="G375" s="5"/>
      <c r="H375" s="5"/>
      <c r="I375" s="5"/>
      <c r="J375" s="73"/>
      <c r="K375" s="75" t="str">
        <f>IFERROR(__xludf.DUMMYFUNCTION("""COMPUTED_VALUE"""),"")</f>
        <v/>
      </c>
      <c r="L375" s="75"/>
      <c r="M375" s="46" t="s">
        <v>2002</v>
      </c>
    </row>
    <row r="376">
      <c r="A376" s="70">
        <f>IFERROR(__xludf.DUMMYFUNCTION("""COMPUTED_VALUE"""),9.910000632E9)</f>
        <v>9910000632</v>
      </c>
      <c r="B376" s="46" t="str">
        <f>IFERROR(__xludf.DUMMYFUNCTION("""COMPUTED_VALUE"""),"Kusha sharma")</f>
        <v>Kusha sharma</v>
      </c>
      <c r="C376" s="5" t="s">
        <v>2002</v>
      </c>
      <c r="D376" s="5"/>
      <c r="E376" s="5"/>
      <c r="F376" s="5"/>
      <c r="G376" s="5"/>
      <c r="H376" s="5"/>
      <c r="I376" s="5"/>
      <c r="J376" s="73"/>
      <c r="K376" s="75" t="str">
        <f>IFERROR(__xludf.DUMMYFUNCTION("""COMPUTED_VALUE"""),"")</f>
        <v/>
      </c>
      <c r="L376" s="75"/>
      <c r="M376" s="46" t="s">
        <v>2002</v>
      </c>
    </row>
    <row r="377">
      <c r="A377" s="70">
        <f>IFERROR(__xludf.DUMMYFUNCTION("""COMPUTED_VALUE"""),8.802343445E9)</f>
        <v>8802343445</v>
      </c>
      <c r="B377" s="46" t="str">
        <f>IFERROR(__xludf.DUMMYFUNCTION("""COMPUTED_VALUE"""),"Nitin ji ")</f>
        <v>Nitin ji </v>
      </c>
      <c r="C377" s="5" t="s">
        <v>2002</v>
      </c>
      <c r="D377" s="5"/>
      <c r="E377" s="5"/>
      <c r="F377" s="5"/>
      <c r="G377" s="5"/>
      <c r="H377" s="5"/>
      <c r="I377" s="5"/>
      <c r="J377" s="73"/>
      <c r="K377" s="75" t="str">
        <f>IFERROR(__xludf.DUMMYFUNCTION("""COMPUTED_VALUE"""),"")</f>
        <v/>
      </c>
      <c r="L377" s="75"/>
      <c r="M377" s="46" t="s">
        <v>2002</v>
      </c>
    </row>
    <row r="378">
      <c r="A378" s="70">
        <f>IFERROR(__xludf.DUMMYFUNCTION("""COMPUTED_VALUE"""),9.897628823E9)</f>
        <v>9897628823</v>
      </c>
      <c r="B378" s="46" t="str">
        <f>IFERROR(__xludf.DUMMYFUNCTION("""COMPUTED_VALUE"""),"Mohd.faheem shamsi")</f>
        <v>Mohd.faheem shamsi</v>
      </c>
      <c r="C378" s="5" t="s">
        <v>2002</v>
      </c>
      <c r="D378" s="5"/>
      <c r="E378" s="5"/>
      <c r="F378" s="5"/>
      <c r="G378" s="5"/>
      <c r="H378" s="5"/>
      <c r="I378" s="5"/>
      <c r="J378" s="73"/>
      <c r="K378" s="75" t="str">
        <f>IFERROR(__xludf.DUMMYFUNCTION("""COMPUTED_VALUE"""),"")</f>
        <v/>
      </c>
      <c r="L378" s="75"/>
      <c r="M378" s="46" t="s">
        <v>2002</v>
      </c>
    </row>
    <row r="379">
      <c r="A379" s="70">
        <f>IFERROR(__xludf.DUMMYFUNCTION("""COMPUTED_VALUE"""),9.560818599E9)</f>
        <v>9560818599</v>
      </c>
      <c r="B379" s="46" t="str">
        <f>IFERROR(__xludf.DUMMYFUNCTION("""COMPUTED_VALUE"""),"Soni bansal")</f>
        <v>Soni bansal</v>
      </c>
      <c r="C379" s="5" t="s">
        <v>2002</v>
      </c>
      <c r="D379" s="5"/>
      <c r="E379" s="5"/>
      <c r="F379" s="5"/>
      <c r="G379" s="5"/>
      <c r="H379" s="5"/>
      <c r="I379" s="5"/>
      <c r="J379" s="73"/>
      <c r="K379" s="75" t="str">
        <f>IFERROR(__xludf.DUMMYFUNCTION("""COMPUTED_VALUE"""),"")</f>
        <v/>
      </c>
      <c r="L379" s="75"/>
      <c r="M379" s="46" t="s">
        <v>2002</v>
      </c>
    </row>
    <row r="380">
      <c r="A380" s="70">
        <f>IFERROR(__xludf.DUMMYFUNCTION("""COMPUTED_VALUE"""),9.810850496E9)</f>
        <v>9810850496</v>
      </c>
      <c r="B380" s="46" t="str">
        <f>IFERROR(__xludf.DUMMYFUNCTION("""COMPUTED_VALUE"""),"Anil Singharia")</f>
        <v>Anil Singharia</v>
      </c>
      <c r="C380" s="5" t="s">
        <v>2002</v>
      </c>
      <c r="D380" s="5"/>
      <c r="E380" s="5"/>
      <c r="F380" s="5"/>
      <c r="G380" s="5"/>
      <c r="H380" s="5"/>
      <c r="I380" s="5"/>
      <c r="J380" s="73"/>
      <c r="K380" s="75" t="str">
        <f>IFERROR(__xludf.DUMMYFUNCTION("""COMPUTED_VALUE"""),"")</f>
        <v/>
      </c>
      <c r="L380" s="75"/>
      <c r="M380" s="46" t="s">
        <v>2002</v>
      </c>
    </row>
    <row r="381">
      <c r="A381" s="70">
        <f>IFERROR(__xludf.DUMMYFUNCTION("""COMPUTED_VALUE"""),9.899807013E9)</f>
        <v>9899807013</v>
      </c>
      <c r="B381" s="46" t="str">
        <f>IFERROR(__xludf.DUMMYFUNCTION("""COMPUTED_VALUE"""),"Sushila Garg")</f>
        <v>Sushila Garg</v>
      </c>
      <c r="C381" s="5" t="s">
        <v>2002</v>
      </c>
      <c r="D381" s="5"/>
      <c r="E381" s="5"/>
      <c r="F381" s="5"/>
      <c r="G381" s="5"/>
      <c r="H381" s="5"/>
      <c r="I381" s="5"/>
      <c r="J381" s="73"/>
      <c r="K381" s="75" t="str">
        <f>IFERROR(__xludf.DUMMYFUNCTION("""COMPUTED_VALUE"""),"")</f>
        <v/>
      </c>
      <c r="L381" s="75"/>
      <c r="M381" s="46" t="s">
        <v>2002</v>
      </c>
    </row>
    <row r="382">
      <c r="A382" s="70">
        <f>IFERROR(__xludf.DUMMYFUNCTION("""COMPUTED_VALUE"""),9.873078134E9)</f>
        <v>9873078134</v>
      </c>
      <c r="B382" s="46" t="str">
        <f>IFERROR(__xludf.DUMMYFUNCTION("""COMPUTED_VALUE"""),"surender tanwar")</f>
        <v>surender tanwar</v>
      </c>
      <c r="C382" s="5" t="s">
        <v>2002</v>
      </c>
      <c r="D382" s="5"/>
      <c r="E382" s="5"/>
      <c r="F382" s="5"/>
      <c r="G382" s="5"/>
      <c r="H382" s="5"/>
      <c r="I382" s="5"/>
      <c r="J382" s="73"/>
      <c r="K382" s="75" t="str">
        <f>IFERROR(__xludf.DUMMYFUNCTION("""COMPUTED_VALUE"""),"")</f>
        <v/>
      </c>
      <c r="L382" s="75"/>
      <c r="M382" s="46" t="s">
        <v>2002</v>
      </c>
    </row>
    <row r="383">
      <c r="A383" s="70">
        <f>IFERROR(__xludf.DUMMYFUNCTION("""COMPUTED_VALUE"""),9.821538053E9)</f>
        <v>9821538053</v>
      </c>
      <c r="B383" s="46" t="str">
        <f>IFERROR(__xludf.DUMMYFUNCTION("""COMPUTED_VALUE"""),"deepanshu sharma")</f>
        <v>deepanshu sharma</v>
      </c>
      <c r="C383" s="5" t="s">
        <v>2002</v>
      </c>
      <c r="D383" s="5"/>
      <c r="E383" s="5"/>
      <c r="F383" s="5"/>
      <c r="G383" s="5"/>
      <c r="H383" s="5"/>
      <c r="I383" s="5"/>
      <c r="J383" s="73"/>
      <c r="K383" s="75" t="str">
        <f>IFERROR(__xludf.DUMMYFUNCTION("""COMPUTED_VALUE"""),"")</f>
        <v/>
      </c>
      <c r="L383" s="75"/>
      <c r="M383" s="46" t="s">
        <v>2002</v>
      </c>
    </row>
    <row r="384">
      <c r="A384" s="70">
        <f>IFERROR(__xludf.DUMMYFUNCTION("""COMPUTED_VALUE"""),9.99794739E9)</f>
        <v>9997947390</v>
      </c>
      <c r="B384" s="46" t="str">
        <f>IFERROR(__xludf.DUMMYFUNCTION("""COMPUTED_VALUE"""),"Kajal sharma")</f>
        <v>Kajal sharma</v>
      </c>
      <c r="C384" s="5" t="s">
        <v>2002</v>
      </c>
      <c r="D384" s="5"/>
      <c r="E384" s="5"/>
      <c r="F384" s="5"/>
      <c r="G384" s="5"/>
      <c r="H384" s="5"/>
      <c r="I384" s="5"/>
      <c r="J384" s="73"/>
      <c r="K384" s="75" t="str">
        <f>IFERROR(__xludf.DUMMYFUNCTION("""COMPUTED_VALUE"""),"")</f>
        <v/>
      </c>
      <c r="L384" s="75"/>
      <c r="M384" s="46" t="s">
        <v>2002</v>
      </c>
    </row>
    <row r="385">
      <c r="A385" s="70">
        <f>IFERROR(__xludf.DUMMYFUNCTION("""COMPUTED_VALUE"""),9.358011988E9)</f>
        <v>9358011988</v>
      </c>
      <c r="B385" s="46" t="str">
        <f>IFERROR(__xludf.DUMMYFUNCTION("""COMPUTED_VALUE"""),"Pravin")</f>
        <v>Pravin</v>
      </c>
      <c r="C385" s="5" t="s">
        <v>2002</v>
      </c>
      <c r="D385" s="5"/>
      <c r="E385" s="5"/>
      <c r="F385" s="5"/>
      <c r="G385" s="5"/>
      <c r="H385" s="5"/>
      <c r="I385" s="5"/>
      <c r="J385" s="73"/>
      <c r="K385" s="75" t="str">
        <f>IFERROR(__xludf.DUMMYFUNCTION("""COMPUTED_VALUE"""),"")</f>
        <v/>
      </c>
      <c r="L385" s="75"/>
      <c r="M385" s="46" t="s">
        <v>2002</v>
      </c>
    </row>
    <row r="386">
      <c r="A386" s="70">
        <f>IFERROR(__xludf.DUMMYFUNCTION("""COMPUTED_VALUE"""),9.810850496E9)</f>
        <v>9810850496</v>
      </c>
      <c r="B386" s="46" t="str">
        <f>IFERROR(__xludf.DUMMYFUNCTION("""COMPUTED_VALUE"""),"Anil shingariya ")</f>
        <v>Anil shingariya </v>
      </c>
      <c r="C386" s="5" t="s">
        <v>2002</v>
      </c>
      <c r="D386" s="5"/>
      <c r="E386" s="5"/>
      <c r="F386" s="5"/>
      <c r="G386" s="5"/>
      <c r="H386" s="5"/>
      <c r="I386" s="5"/>
      <c r="J386" s="73"/>
      <c r="K386" s="75" t="str">
        <f>IFERROR(__xludf.DUMMYFUNCTION("""COMPUTED_VALUE"""),"")</f>
        <v/>
      </c>
      <c r="L386" s="75"/>
      <c r="M386" s="46" t="s">
        <v>2002</v>
      </c>
    </row>
    <row r="387">
      <c r="A387" s="70">
        <f>IFERROR(__xludf.DUMMYFUNCTION("""COMPUTED_VALUE"""),9.310055032E9)</f>
        <v>9310055032</v>
      </c>
      <c r="B387" s="46" t="str">
        <f>IFERROR(__xludf.DUMMYFUNCTION("""COMPUTED_VALUE"""),"Sushmita")</f>
        <v>Sushmita</v>
      </c>
      <c r="C387" s="5" t="s">
        <v>2002</v>
      </c>
      <c r="D387" s="5"/>
      <c r="E387" s="5"/>
      <c r="F387" s="5"/>
      <c r="G387" s="5"/>
      <c r="H387" s="5"/>
      <c r="I387" s="5"/>
      <c r="J387" s="73"/>
      <c r="K387" s="75" t="str">
        <f>IFERROR(__xludf.DUMMYFUNCTION("""COMPUTED_VALUE"""),"")</f>
        <v/>
      </c>
      <c r="L387" s="75"/>
      <c r="M387" s="46" t="s">
        <v>2002</v>
      </c>
    </row>
    <row r="388">
      <c r="A388" s="70">
        <f>IFERROR(__xludf.DUMMYFUNCTION("""COMPUTED_VALUE"""),9.8680933E9)</f>
        <v>9868093300</v>
      </c>
      <c r="B388" s="46" t="str">
        <f>IFERROR(__xludf.DUMMYFUNCTION("""COMPUTED_VALUE"""),"Rajesh Kumar")</f>
        <v>Rajesh Kumar</v>
      </c>
      <c r="C388" s="5" t="s">
        <v>2002</v>
      </c>
      <c r="D388" s="5"/>
      <c r="E388" s="5"/>
      <c r="F388" s="5"/>
      <c r="G388" s="5"/>
      <c r="H388" s="5"/>
      <c r="I388" s="5"/>
      <c r="J388" s="73"/>
      <c r="K388" s="75" t="str">
        <f>IFERROR(__xludf.DUMMYFUNCTION("""COMPUTED_VALUE"""),"")</f>
        <v/>
      </c>
      <c r="L388" s="75"/>
      <c r="M388" s="46" t="s">
        <v>2002</v>
      </c>
    </row>
    <row r="389">
      <c r="A389" s="70">
        <f>IFERROR(__xludf.DUMMYFUNCTION("""COMPUTED_VALUE"""),9.105564802E9)</f>
        <v>9105564802</v>
      </c>
      <c r="B389" s="46" t="str">
        <f>IFERROR(__xludf.DUMMYFUNCTION("""COMPUTED_VALUE"""),"Bhavya")</f>
        <v>Bhavya</v>
      </c>
      <c r="C389" s="5" t="s">
        <v>2002</v>
      </c>
      <c r="D389" s="5"/>
      <c r="E389" s="5"/>
      <c r="F389" s="5"/>
      <c r="G389" s="5"/>
      <c r="H389" s="5"/>
      <c r="I389" s="5"/>
      <c r="J389" s="73"/>
      <c r="K389" s="75" t="str">
        <f>IFERROR(__xludf.DUMMYFUNCTION("""COMPUTED_VALUE"""),"")</f>
        <v/>
      </c>
      <c r="L389" s="75"/>
      <c r="M389" s="46" t="s">
        <v>2002</v>
      </c>
    </row>
    <row r="390">
      <c r="A390" s="70">
        <f>IFERROR(__xludf.DUMMYFUNCTION("""COMPUTED_VALUE"""),9.89758288E9)</f>
        <v>9897582880</v>
      </c>
      <c r="B390" s="46" t="str">
        <f>IFERROR(__xludf.DUMMYFUNCTION("""COMPUTED_VALUE"""),"Indu bisht")</f>
        <v>Indu bisht</v>
      </c>
      <c r="C390" s="5" t="s">
        <v>2002</v>
      </c>
      <c r="D390" s="5"/>
      <c r="E390" s="5"/>
      <c r="F390" s="5"/>
      <c r="G390" s="5"/>
      <c r="H390" s="5"/>
      <c r="I390" s="5"/>
      <c r="J390" s="73"/>
      <c r="K390" s="75" t="str">
        <f>IFERROR(__xludf.DUMMYFUNCTION("""COMPUTED_VALUE"""),"")</f>
        <v/>
      </c>
      <c r="L390" s="75"/>
      <c r="M390" s="46" t="s">
        <v>2002</v>
      </c>
    </row>
    <row r="391">
      <c r="A391" s="70">
        <f>IFERROR(__xludf.DUMMYFUNCTION("""COMPUTED_VALUE"""),9.990729019E9)</f>
        <v>9990729019</v>
      </c>
      <c r="B391" s="46" t="str">
        <f>IFERROR(__xludf.DUMMYFUNCTION("""COMPUTED_VALUE"""),"usha")</f>
        <v>usha</v>
      </c>
      <c r="C391" s="5" t="s">
        <v>2002</v>
      </c>
      <c r="D391" s="5"/>
      <c r="E391" s="5"/>
      <c r="F391" s="5"/>
      <c r="G391" s="5"/>
      <c r="H391" s="5"/>
      <c r="I391" s="5"/>
      <c r="J391" s="73"/>
      <c r="K391" s="75" t="str">
        <f>IFERROR(__xludf.DUMMYFUNCTION("""COMPUTED_VALUE"""),"")</f>
        <v/>
      </c>
      <c r="L391" s="75"/>
      <c r="M391" s="46" t="s">
        <v>2002</v>
      </c>
    </row>
    <row r="392">
      <c r="A392" s="70">
        <f>IFERROR(__xludf.DUMMYFUNCTION("""COMPUTED_VALUE"""),9.971139277E9)</f>
        <v>9971139277</v>
      </c>
      <c r="B392" s="46" t="str">
        <f>IFERROR(__xludf.DUMMYFUNCTION("""COMPUTED_VALUE"""),"Guddu kumar")</f>
        <v>Guddu kumar</v>
      </c>
      <c r="C392" s="5" t="s">
        <v>2002</v>
      </c>
      <c r="D392" s="5"/>
      <c r="E392" s="5"/>
      <c r="F392" s="5"/>
      <c r="G392" s="5"/>
      <c r="H392" s="5"/>
      <c r="I392" s="5"/>
      <c r="J392" s="73"/>
      <c r="K392" s="75" t="str">
        <f>IFERROR(__xludf.DUMMYFUNCTION("""COMPUTED_VALUE"""),"")</f>
        <v/>
      </c>
      <c r="L392" s="75"/>
      <c r="M392" s="46" t="s">
        <v>2002</v>
      </c>
    </row>
    <row r="393">
      <c r="A393" s="70">
        <f>IFERROR(__xludf.DUMMYFUNCTION("""COMPUTED_VALUE"""),9.968278496E9)</f>
        <v>9968278496</v>
      </c>
      <c r="B393" s="46" t="str">
        <f>IFERROR(__xludf.DUMMYFUNCTION("""COMPUTED_VALUE"""),"Ramesh ji ")</f>
        <v>Ramesh ji </v>
      </c>
      <c r="C393" s="5" t="s">
        <v>2002</v>
      </c>
      <c r="D393" s="5"/>
      <c r="E393" s="5"/>
      <c r="F393" s="5"/>
      <c r="G393" s="5"/>
      <c r="H393" s="5"/>
      <c r="I393" s="5"/>
      <c r="J393" s="73"/>
      <c r="K393" s="75" t="str">
        <f>IFERROR(__xludf.DUMMYFUNCTION("""COMPUTED_VALUE"""),"")</f>
        <v/>
      </c>
      <c r="L393" s="75"/>
      <c r="M393" s="46" t="s">
        <v>2002</v>
      </c>
    </row>
    <row r="394">
      <c r="A394" s="70">
        <f>IFERROR(__xludf.DUMMYFUNCTION("""COMPUTED_VALUE"""),9.015292013E9)</f>
        <v>9015292013</v>
      </c>
      <c r="B394" s="46" t="str">
        <f>IFERROR(__xludf.DUMMYFUNCTION("""COMPUTED_VALUE"""),"Reena Sachdeva ")</f>
        <v>Reena Sachdeva </v>
      </c>
      <c r="C394" s="5" t="s">
        <v>2002</v>
      </c>
      <c r="D394" s="5"/>
      <c r="E394" s="5"/>
      <c r="F394" s="5"/>
      <c r="G394" s="5"/>
      <c r="H394" s="5"/>
      <c r="I394" s="5"/>
      <c r="J394" s="73"/>
      <c r="K394" s="75" t="str">
        <f>IFERROR(__xludf.DUMMYFUNCTION("""COMPUTED_VALUE"""),"")</f>
        <v/>
      </c>
      <c r="L394" s="75"/>
      <c r="M394" s="46" t="s">
        <v>2002</v>
      </c>
    </row>
    <row r="395">
      <c r="A395" s="70">
        <f>IFERROR(__xludf.DUMMYFUNCTION("""COMPUTED_VALUE"""),9.315574697E9)</f>
        <v>9315574697</v>
      </c>
      <c r="B395" s="46" t="str">
        <f>IFERROR(__xludf.DUMMYFUNCTION("""COMPUTED_VALUE"""),"Vibha")</f>
        <v>Vibha</v>
      </c>
      <c r="C395" s="5" t="s">
        <v>2002</v>
      </c>
      <c r="D395" s="5"/>
      <c r="E395" s="5"/>
      <c r="F395" s="5"/>
      <c r="G395" s="5"/>
      <c r="H395" s="5"/>
      <c r="I395" s="5"/>
      <c r="J395" s="73"/>
      <c r="K395" s="75" t="str">
        <f>IFERROR(__xludf.DUMMYFUNCTION("""COMPUTED_VALUE"""),"")</f>
        <v/>
      </c>
      <c r="L395" s="75"/>
      <c r="M395" s="46" t="s">
        <v>2002</v>
      </c>
    </row>
    <row r="396">
      <c r="A396" s="70">
        <f>IFERROR(__xludf.DUMMYFUNCTION("""COMPUTED_VALUE"""),9.810702912E9)</f>
        <v>9810702912</v>
      </c>
      <c r="B396" s="46" t="str">
        <f>IFERROR(__xludf.DUMMYFUNCTION("""COMPUTED_VALUE"""),"Anil kumar")</f>
        <v>Anil kumar</v>
      </c>
      <c r="C396" s="5" t="s">
        <v>2002</v>
      </c>
      <c r="D396" s="5"/>
      <c r="E396" s="5"/>
      <c r="F396" s="5"/>
      <c r="G396" s="5"/>
      <c r="H396" s="5"/>
      <c r="I396" s="5"/>
      <c r="J396" s="73"/>
      <c r="K396" s="75" t="str">
        <f>IFERROR(__xludf.DUMMYFUNCTION("""COMPUTED_VALUE"""),"")</f>
        <v/>
      </c>
      <c r="L396" s="75"/>
      <c r="M396" s="46" t="s">
        <v>2002</v>
      </c>
    </row>
    <row r="397">
      <c r="A397" s="70">
        <f>IFERROR(__xludf.DUMMYFUNCTION("""COMPUTED_VALUE"""),9.86863402E9)</f>
        <v>9868634020</v>
      </c>
      <c r="B397" s="46" t="str">
        <f>IFERROR(__xludf.DUMMYFUNCTION("""COMPUTED_VALUE"""),"Anmol")</f>
        <v>Anmol</v>
      </c>
      <c r="C397" s="5" t="s">
        <v>2002</v>
      </c>
      <c r="D397" s="5"/>
      <c r="E397" s="5"/>
      <c r="F397" s="5"/>
      <c r="G397" s="5"/>
      <c r="H397" s="5"/>
      <c r="I397" s="5"/>
      <c r="J397" s="73"/>
      <c r="K397" s="75" t="str">
        <f>IFERROR(__xludf.DUMMYFUNCTION("""COMPUTED_VALUE"""),"")</f>
        <v/>
      </c>
      <c r="L397" s="75"/>
      <c r="M397" s="46" t="s">
        <v>2002</v>
      </c>
    </row>
    <row r="398">
      <c r="A398" s="70">
        <f>IFERROR(__xludf.DUMMYFUNCTION("""COMPUTED_VALUE"""),9.953202106E9)</f>
        <v>9953202106</v>
      </c>
      <c r="B398" s="46" t="str">
        <f>IFERROR(__xludf.DUMMYFUNCTION("""COMPUTED_VALUE"""),"Yogesh")</f>
        <v>Yogesh</v>
      </c>
      <c r="C398" s="5" t="s">
        <v>2002</v>
      </c>
      <c r="D398" s="5"/>
      <c r="E398" s="5"/>
      <c r="F398" s="5"/>
      <c r="G398" s="5"/>
      <c r="H398" s="5"/>
      <c r="I398" s="5"/>
      <c r="J398" s="73"/>
      <c r="K398" s="75" t="str">
        <f>IFERROR(__xludf.DUMMYFUNCTION("""COMPUTED_VALUE"""),"")</f>
        <v/>
      </c>
      <c r="L398" s="75"/>
      <c r="M398" s="46" t="s">
        <v>2002</v>
      </c>
    </row>
    <row r="399">
      <c r="A399" s="70">
        <f>IFERROR(__xludf.DUMMYFUNCTION("""COMPUTED_VALUE"""),9.711004903E9)</f>
        <v>9711004903</v>
      </c>
      <c r="B399" s="46" t="str">
        <f>IFERROR(__xludf.DUMMYFUNCTION("""COMPUTED_VALUE"""),"Rethi")</f>
        <v>Rethi</v>
      </c>
      <c r="C399" s="5" t="s">
        <v>2002</v>
      </c>
      <c r="D399" s="5"/>
      <c r="E399" s="5"/>
      <c r="F399" s="5"/>
      <c r="G399" s="5"/>
      <c r="H399" s="5"/>
      <c r="I399" s="5"/>
      <c r="J399" s="73"/>
      <c r="K399" s="75" t="str">
        <f>IFERROR(__xludf.DUMMYFUNCTION("""COMPUTED_VALUE"""),"")</f>
        <v/>
      </c>
      <c r="L399" s="75"/>
      <c r="M399" s="46" t="s">
        <v>2002</v>
      </c>
    </row>
    <row r="400">
      <c r="A400" s="70">
        <f>IFERROR(__xludf.DUMMYFUNCTION("""COMPUTED_VALUE"""),9.540325879E9)</f>
        <v>9540325879</v>
      </c>
      <c r="B400" s="46" t="str">
        <f>IFERROR(__xludf.DUMMYFUNCTION("""COMPUTED_VALUE"""),"Mahavir Prasad ")</f>
        <v>Mahavir Prasad </v>
      </c>
      <c r="C400" s="5" t="s">
        <v>2002</v>
      </c>
      <c r="D400" s="5"/>
      <c r="E400" s="5"/>
      <c r="F400" s="5"/>
      <c r="G400" s="5"/>
      <c r="H400" s="5"/>
      <c r="I400" s="5"/>
      <c r="J400" s="73"/>
      <c r="K400" s="75" t="str">
        <f>IFERROR(__xludf.DUMMYFUNCTION("""COMPUTED_VALUE"""),"")</f>
        <v/>
      </c>
      <c r="L400" s="75"/>
      <c r="M400" s="46" t="s">
        <v>2002</v>
      </c>
    </row>
    <row r="401">
      <c r="A401" s="70">
        <f>IFERROR(__xludf.DUMMYFUNCTION("""COMPUTED_VALUE"""),9.868429229E9)</f>
        <v>9868429229</v>
      </c>
      <c r="B401" s="46" t="str">
        <f>IFERROR(__xludf.DUMMYFUNCTION("""COMPUTED_VALUE"""),"Monish ")</f>
        <v>Monish </v>
      </c>
      <c r="C401" s="5" t="s">
        <v>2002</v>
      </c>
      <c r="D401" s="5"/>
      <c r="E401" s="5"/>
      <c r="F401" s="5"/>
      <c r="G401" s="5"/>
      <c r="H401" s="5"/>
      <c r="I401" s="5"/>
      <c r="J401" s="73"/>
      <c r="K401" s="75" t="str">
        <f>IFERROR(__xludf.DUMMYFUNCTION("""COMPUTED_VALUE"""),"")</f>
        <v/>
      </c>
      <c r="L401" s="75"/>
      <c r="M401" s="46" t="s">
        <v>2002</v>
      </c>
    </row>
    <row r="402">
      <c r="A402" s="70">
        <f>IFERROR(__xludf.DUMMYFUNCTION("""COMPUTED_VALUE"""),8.527283567E9)</f>
        <v>8527283567</v>
      </c>
      <c r="B402" s="46" t="str">
        <f>IFERROR(__xludf.DUMMYFUNCTION("""COMPUTED_VALUE"""),"Ayush")</f>
        <v>Ayush</v>
      </c>
      <c r="C402" s="5" t="s">
        <v>2002</v>
      </c>
      <c r="D402" s="5"/>
      <c r="E402" s="5"/>
      <c r="F402" s="5"/>
      <c r="G402" s="5"/>
      <c r="H402" s="5"/>
      <c r="I402" s="5"/>
      <c r="J402" s="73"/>
      <c r="K402" s="75" t="str">
        <f>IFERROR(__xludf.DUMMYFUNCTION("""COMPUTED_VALUE"""),"")</f>
        <v/>
      </c>
      <c r="L402" s="75"/>
      <c r="M402" s="46" t="s">
        <v>2002</v>
      </c>
    </row>
    <row r="403">
      <c r="A403" s="70">
        <f>IFERROR(__xludf.DUMMYFUNCTION("""COMPUTED_VALUE"""),9.650766897E9)</f>
        <v>9650766897</v>
      </c>
      <c r="B403" s="46" t="str">
        <f>IFERROR(__xludf.DUMMYFUNCTION("""COMPUTED_VALUE"""),"Divya")</f>
        <v>Divya</v>
      </c>
      <c r="C403" s="5" t="s">
        <v>2002</v>
      </c>
      <c r="D403" s="5"/>
      <c r="E403" s="5"/>
      <c r="F403" s="5"/>
      <c r="G403" s="5"/>
      <c r="H403" s="5"/>
      <c r="I403" s="5"/>
      <c r="J403" s="73"/>
      <c r="K403" s="75" t="str">
        <f>IFERROR(__xludf.DUMMYFUNCTION("""COMPUTED_VALUE"""),"")</f>
        <v/>
      </c>
      <c r="L403" s="75"/>
      <c r="M403" s="46" t="s">
        <v>2002</v>
      </c>
    </row>
    <row r="404">
      <c r="A404" s="70">
        <f>IFERROR(__xludf.DUMMYFUNCTION("""COMPUTED_VALUE"""),7.835992121E9)</f>
        <v>7835992121</v>
      </c>
      <c r="B404" s="46" t="str">
        <f>IFERROR(__xludf.DUMMYFUNCTION("""COMPUTED_VALUE"""),"Mayan gera")</f>
        <v>Mayan gera</v>
      </c>
      <c r="C404" s="5" t="s">
        <v>2002</v>
      </c>
      <c r="D404" s="5"/>
      <c r="E404" s="5"/>
      <c r="F404" s="5"/>
      <c r="G404" s="5"/>
      <c r="H404" s="5"/>
      <c r="I404" s="5"/>
      <c r="J404" s="73"/>
      <c r="K404" s="75" t="str">
        <f>IFERROR(__xludf.DUMMYFUNCTION("""COMPUTED_VALUE"""),"")</f>
        <v/>
      </c>
      <c r="L404" s="75"/>
      <c r="M404" s="46" t="s">
        <v>2002</v>
      </c>
    </row>
    <row r="405">
      <c r="A405" s="70">
        <f>IFERROR(__xludf.DUMMYFUNCTION("""COMPUTED_VALUE"""),8.587975931E9)</f>
        <v>8587975931</v>
      </c>
      <c r="B405" s="46" t="str">
        <f>IFERROR(__xludf.DUMMYFUNCTION("""COMPUTED_VALUE"""),"Ashish Sharma ")</f>
        <v>Ashish Sharma </v>
      </c>
      <c r="C405" s="5" t="s">
        <v>2002</v>
      </c>
      <c r="D405" s="5"/>
      <c r="E405" s="5"/>
      <c r="F405" s="5"/>
      <c r="G405" s="5"/>
      <c r="H405" s="5"/>
      <c r="I405" s="5"/>
      <c r="J405" s="73"/>
      <c r="K405" s="75" t="str">
        <f>IFERROR(__xludf.DUMMYFUNCTION("""COMPUTED_VALUE"""),"")</f>
        <v/>
      </c>
      <c r="L405" s="75"/>
      <c r="M405" s="46" t="s">
        <v>2002</v>
      </c>
    </row>
    <row r="406">
      <c r="A406" s="70">
        <f>IFERROR(__xludf.DUMMYFUNCTION("""COMPUTED_VALUE"""),9.911189092E9)</f>
        <v>9911189092</v>
      </c>
      <c r="B406" s="46" t="str">
        <f>IFERROR(__xludf.DUMMYFUNCTION("""COMPUTED_VALUE"""),"Rajan")</f>
        <v>Rajan</v>
      </c>
      <c r="C406" s="5" t="s">
        <v>2002</v>
      </c>
      <c r="D406" s="5"/>
      <c r="E406" s="5"/>
      <c r="F406" s="5"/>
      <c r="G406" s="5"/>
      <c r="H406" s="5"/>
      <c r="I406" s="5"/>
      <c r="J406" s="73"/>
      <c r="K406" s="75" t="str">
        <f>IFERROR(__xludf.DUMMYFUNCTION("""COMPUTED_VALUE"""),"")</f>
        <v/>
      </c>
      <c r="L406" s="75"/>
      <c r="M406" s="46" t="s">
        <v>2002</v>
      </c>
    </row>
    <row r="407">
      <c r="A407" s="70">
        <f>IFERROR(__xludf.DUMMYFUNCTION("""COMPUTED_VALUE"""),9.819808647E9)</f>
        <v>9819808647</v>
      </c>
      <c r="B407" s="46" t="str">
        <f>IFERROR(__xludf.DUMMYFUNCTION("""COMPUTED_VALUE"""),"Sparsh")</f>
        <v>Sparsh</v>
      </c>
      <c r="C407" s="5" t="s">
        <v>2002</v>
      </c>
      <c r="D407" s="5"/>
      <c r="E407" s="5"/>
      <c r="F407" s="5"/>
      <c r="G407" s="5"/>
      <c r="H407" s="5"/>
      <c r="I407" s="5"/>
      <c r="J407" s="73"/>
      <c r="K407" s="75" t="str">
        <f>IFERROR(__xludf.DUMMYFUNCTION("""COMPUTED_VALUE"""),"")</f>
        <v/>
      </c>
      <c r="L407" s="75"/>
      <c r="M407" s="46" t="s">
        <v>2002</v>
      </c>
    </row>
    <row r="408">
      <c r="A408" s="70">
        <f>IFERROR(__xludf.DUMMYFUNCTION("""COMPUTED_VALUE"""),9.289846101E9)</f>
        <v>9289846101</v>
      </c>
      <c r="B408" s="46" t="str">
        <f>IFERROR(__xludf.DUMMYFUNCTION("""COMPUTED_VALUE"""),"khushi sharma")</f>
        <v>khushi sharma</v>
      </c>
      <c r="C408" s="5" t="s">
        <v>2002</v>
      </c>
      <c r="D408" s="5"/>
      <c r="E408" s="5"/>
      <c r="F408" s="5"/>
      <c r="G408" s="5"/>
      <c r="H408" s="5"/>
      <c r="I408" s="5"/>
      <c r="J408" s="73"/>
      <c r="K408" s="75" t="str">
        <f>IFERROR(__xludf.DUMMYFUNCTION("""COMPUTED_VALUE"""),"")</f>
        <v/>
      </c>
      <c r="L408" s="75"/>
      <c r="M408" s="46" t="s">
        <v>2002</v>
      </c>
    </row>
    <row r="409">
      <c r="A409" s="70">
        <f>IFERROR(__xludf.DUMMYFUNCTION("""COMPUTED_VALUE"""),7.838134901E9)</f>
        <v>7838134901</v>
      </c>
      <c r="B409" s="46" t="str">
        <f>IFERROR(__xludf.DUMMYFUNCTION("""COMPUTED_VALUE"""),"Deepa ")</f>
        <v>Deepa </v>
      </c>
      <c r="C409" s="5" t="s">
        <v>2002</v>
      </c>
      <c r="D409" s="5"/>
      <c r="E409" s="5"/>
      <c r="F409" s="5"/>
      <c r="G409" s="5"/>
      <c r="H409" s="5"/>
      <c r="I409" s="5"/>
      <c r="J409" s="73"/>
      <c r="K409" s="75" t="str">
        <f>IFERROR(__xludf.DUMMYFUNCTION("""COMPUTED_VALUE"""),"")</f>
        <v/>
      </c>
      <c r="L409" s="75"/>
      <c r="M409" s="46" t="s">
        <v>2002</v>
      </c>
    </row>
    <row r="410">
      <c r="A410" s="70">
        <f>IFERROR(__xludf.DUMMYFUNCTION("""COMPUTED_VALUE"""),7.011511636E9)</f>
        <v>7011511636</v>
      </c>
      <c r="B410" s="46" t="str">
        <f>IFERROR(__xludf.DUMMYFUNCTION("""COMPUTED_VALUE"""),"Bhushan ")</f>
        <v>Bhushan </v>
      </c>
      <c r="C410" s="5" t="s">
        <v>2002</v>
      </c>
      <c r="D410" s="5"/>
      <c r="E410" s="5"/>
      <c r="F410" s="5"/>
      <c r="G410" s="5"/>
      <c r="H410" s="5"/>
      <c r="I410" s="5"/>
      <c r="J410" s="73"/>
      <c r="K410" s="75" t="str">
        <f>IFERROR(__xludf.DUMMYFUNCTION("""COMPUTED_VALUE"""),"")</f>
        <v/>
      </c>
      <c r="L410" s="75"/>
      <c r="M410" s="46" t="s">
        <v>2002</v>
      </c>
    </row>
    <row r="411">
      <c r="A411" s="70">
        <f>IFERROR(__xludf.DUMMYFUNCTION("""COMPUTED_VALUE"""),8.05393043E9)</f>
        <v>8053930430</v>
      </c>
      <c r="B411" s="46" t="str">
        <f>IFERROR(__xludf.DUMMYFUNCTION("""COMPUTED_VALUE"""),"Mukesh kumar ")</f>
        <v>Mukesh kumar </v>
      </c>
      <c r="C411" s="5" t="s">
        <v>2002</v>
      </c>
      <c r="D411" s="5"/>
      <c r="E411" s="5"/>
      <c r="F411" s="5"/>
      <c r="G411" s="5"/>
      <c r="H411" s="5"/>
      <c r="I411" s="5"/>
      <c r="J411" s="73"/>
      <c r="K411" s="75" t="str">
        <f>IFERROR(__xludf.DUMMYFUNCTION("""COMPUTED_VALUE"""),"")</f>
        <v/>
      </c>
      <c r="L411" s="75"/>
      <c r="M411" s="46" t="s">
        <v>2002</v>
      </c>
    </row>
    <row r="412">
      <c r="A412" s="70">
        <f>IFERROR(__xludf.DUMMYFUNCTION("""COMPUTED_VALUE"""),8.813882129E9)</f>
        <v>8813882129</v>
      </c>
      <c r="B412" s="46" t="str">
        <f>IFERROR(__xludf.DUMMYFUNCTION("""COMPUTED_VALUE"""),"Rohit soni")</f>
        <v>Rohit soni</v>
      </c>
      <c r="C412" s="5" t="s">
        <v>2002</v>
      </c>
      <c r="D412" s="5"/>
      <c r="E412" s="5"/>
      <c r="F412" s="5"/>
      <c r="G412" s="5"/>
      <c r="H412" s="5"/>
      <c r="I412" s="5"/>
      <c r="J412" s="73"/>
      <c r="K412" s="75" t="str">
        <f>IFERROR(__xludf.DUMMYFUNCTION("""COMPUTED_VALUE"""),"")</f>
        <v/>
      </c>
      <c r="L412" s="75"/>
      <c r="M412" s="46" t="s">
        <v>2002</v>
      </c>
    </row>
    <row r="413">
      <c r="A413" s="70">
        <f>IFERROR(__xludf.DUMMYFUNCTION("""COMPUTED_VALUE"""),9.8710642E9)</f>
        <v>9871064200</v>
      </c>
      <c r="B413" s="46" t="str">
        <f>IFERROR(__xludf.DUMMYFUNCTION("""COMPUTED_VALUE"""),"Ishwari")</f>
        <v>Ishwari</v>
      </c>
      <c r="C413" s="5" t="s">
        <v>2002</v>
      </c>
      <c r="D413" s="5"/>
      <c r="E413" s="5"/>
      <c r="F413" s="5"/>
      <c r="G413" s="5"/>
      <c r="H413" s="5"/>
      <c r="I413" s="5"/>
      <c r="J413" s="73"/>
      <c r="K413" s="75" t="str">
        <f>IFERROR(__xludf.DUMMYFUNCTION("""COMPUTED_VALUE"""),"")</f>
        <v/>
      </c>
      <c r="L413" s="75"/>
      <c r="M413" s="46" t="s">
        <v>2002</v>
      </c>
    </row>
    <row r="414">
      <c r="A414" s="70">
        <f>IFERROR(__xludf.DUMMYFUNCTION("""COMPUTED_VALUE"""),9.650243333E9)</f>
        <v>9650243333</v>
      </c>
      <c r="B414" s="46" t="str">
        <f>IFERROR(__xludf.DUMMYFUNCTION("""COMPUTED_VALUE"""),"Deep")</f>
        <v>Deep</v>
      </c>
      <c r="C414" s="5" t="s">
        <v>2002</v>
      </c>
      <c r="D414" s="5"/>
      <c r="E414" s="5"/>
      <c r="F414" s="5"/>
      <c r="G414" s="5"/>
      <c r="H414" s="5"/>
      <c r="I414" s="5"/>
      <c r="J414" s="73"/>
      <c r="K414" s="75" t="str">
        <f>IFERROR(__xludf.DUMMYFUNCTION("""COMPUTED_VALUE"""),"")</f>
        <v/>
      </c>
      <c r="L414" s="75"/>
      <c r="M414" s="46" t="s">
        <v>2002</v>
      </c>
    </row>
    <row r="415">
      <c r="A415" s="70">
        <f>IFERROR(__xludf.DUMMYFUNCTION("""COMPUTED_VALUE"""),9.667993383E9)</f>
        <v>9667993383</v>
      </c>
      <c r="B415" s="46" t="str">
        <f>IFERROR(__xludf.DUMMYFUNCTION("""COMPUTED_VALUE"""),"Veera")</f>
        <v>Veera</v>
      </c>
      <c r="C415" s="5" t="s">
        <v>2002</v>
      </c>
      <c r="D415" s="5"/>
      <c r="E415" s="5"/>
      <c r="F415" s="5"/>
      <c r="G415" s="5"/>
      <c r="H415" s="5"/>
      <c r="I415" s="5"/>
      <c r="J415" s="73"/>
      <c r="K415" s="75" t="str">
        <f>IFERROR(__xludf.DUMMYFUNCTION("""COMPUTED_VALUE"""),"")</f>
        <v/>
      </c>
      <c r="L415" s="75"/>
      <c r="M415" s="46" t="s">
        <v>2002</v>
      </c>
    </row>
    <row r="416">
      <c r="A416" s="70">
        <f>IFERROR(__xludf.DUMMYFUNCTION("""COMPUTED_VALUE"""),8.764035354E9)</f>
        <v>8764035354</v>
      </c>
      <c r="B416" s="46" t="str">
        <f>IFERROR(__xludf.DUMMYFUNCTION("""COMPUTED_VALUE"""),"Seema")</f>
        <v>Seema</v>
      </c>
      <c r="C416" s="5" t="s">
        <v>2002</v>
      </c>
      <c r="D416" s="5"/>
      <c r="E416" s="5"/>
      <c r="F416" s="5"/>
      <c r="G416" s="5"/>
      <c r="H416" s="5"/>
      <c r="I416" s="5"/>
      <c r="J416" s="73"/>
      <c r="K416" s="75" t="str">
        <f>IFERROR(__xludf.DUMMYFUNCTION("""COMPUTED_VALUE"""),"")</f>
        <v/>
      </c>
      <c r="L416" s="75"/>
      <c r="M416" s="46" t="s">
        <v>2002</v>
      </c>
    </row>
    <row r="417">
      <c r="A417" s="70">
        <f>IFERROR(__xludf.DUMMYFUNCTION("""COMPUTED_VALUE"""),9.818926496E9)</f>
        <v>9818926496</v>
      </c>
      <c r="B417" s="46" t="str">
        <f>IFERROR(__xludf.DUMMYFUNCTION("""COMPUTED_VALUE"""),"Ashok sagar")</f>
        <v>Ashok sagar</v>
      </c>
      <c r="C417" s="5" t="s">
        <v>2002</v>
      </c>
      <c r="D417" s="5"/>
      <c r="E417" s="5"/>
      <c r="F417" s="5"/>
      <c r="G417" s="5"/>
      <c r="H417" s="5"/>
      <c r="I417" s="5"/>
      <c r="J417" s="73"/>
      <c r="K417" s="75" t="str">
        <f>IFERROR(__xludf.DUMMYFUNCTION("""COMPUTED_VALUE"""),"")</f>
        <v/>
      </c>
      <c r="L417" s="75"/>
      <c r="M417" s="46" t="s">
        <v>2002</v>
      </c>
    </row>
    <row r="418">
      <c r="A418" s="70">
        <f>IFERROR(__xludf.DUMMYFUNCTION("""COMPUTED_VALUE"""),9.810490279E9)</f>
        <v>9810490279</v>
      </c>
      <c r="B418" s="46" t="str">
        <f>IFERROR(__xludf.DUMMYFUNCTION("""COMPUTED_VALUE"""),"Vijay")</f>
        <v>Vijay</v>
      </c>
      <c r="C418" s="5" t="s">
        <v>2002</v>
      </c>
      <c r="D418" s="5"/>
      <c r="E418" s="5"/>
      <c r="F418" s="5"/>
      <c r="G418" s="5"/>
      <c r="H418" s="5"/>
      <c r="I418" s="5"/>
      <c r="J418" s="73"/>
      <c r="K418" s="75" t="str">
        <f>IFERROR(__xludf.DUMMYFUNCTION("""COMPUTED_VALUE"""),"")</f>
        <v/>
      </c>
      <c r="L418" s="75"/>
      <c r="M418" s="46" t="s">
        <v>2002</v>
      </c>
    </row>
    <row r="419">
      <c r="A419" s="70">
        <f>IFERROR(__xludf.DUMMYFUNCTION("""COMPUTED_VALUE"""),9.354316687E9)</f>
        <v>9354316687</v>
      </c>
      <c r="B419" s="46" t="str">
        <f>IFERROR(__xludf.DUMMYFUNCTION("""COMPUTED_VALUE"""),"shalini Singh")</f>
        <v>shalini Singh</v>
      </c>
      <c r="C419" s="5" t="s">
        <v>2002</v>
      </c>
      <c r="D419" s="5"/>
      <c r="E419" s="5"/>
      <c r="F419" s="5"/>
      <c r="G419" s="5"/>
      <c r="H419" s="5"/>
      <c r="I419" s="5"/>
      <c r="J419" s="73"/>
      <c r="K419" s="75" t="str">
        <f>IFERROR(__xludf.DUMMYFUNCTION("""COMPUTED_VALUE"""),"")</f>
        <v/>
      </c>
      <c r="L419" s="75"/>
      <c r="M419" s="46" t="s">
        <v>2002</v>
      </c>
    </row>
    <row r="420">
      <c r="A420" s="70">
        <f>IFERROR(__xludf.DUMMYFUNCTION("""COMPUTED_VALUE"""),9.929074118E9)</f>
        <v>9929074118</v>
      </c>
      <c r="B420" s="46" t="str">
        <f>IFERROR(__xludf.DUMMYFUNCTION("""COMPUTED_VALUE"""),"Dr.S kumar")</f>
        <v>Dr.S kumar</v>
      </c>
      <c r="C420" s="5" t="s">
        <v>2002</v>
      </c>
      <c r="D420" s="5"/>
      <c r="E420" s="5"/>
      <c r="F420" s="5"/>
      <c r="G420" s="5"/>
      <c r="H420" s="5"/>
      <c r="I420" s="5"/>
      <c r="J420" s="73"/>
      <c r="K420" s="75" t="str">
        <f>IFERROR(__xludf.DUMMYFUNCTION("""COMPUTED_VALUE"""),"")</f>
        <v/>
      </c>
      <c r="L420" s="75"/>
      <c r="M420" s="46" t="s">
        <v>2002</v>
      </c>
    </row>
    <row r="421">
      <c r="A421" s="70">
        <f>IFERROR(__xludf.DUMMYFUNCTION("""COMPUTED_VALUE"""),9.910044303E9)</f>
        <v>9910044303</v>
      </c>
      <c r="B421" s="46" t="str">
        <f>IFERROR(__xludf.DUMMYFUNCTION("""COMPUTED_VALUE"""),"Sunaina ")</f>
        <v>Sunaina </v>
      </c>
      <c r="C421" s="5" t="s">
        <v>2002</v>
      </c>
      <c r="D421" s="5"/>
      <c r="E421" s="5"/>
      <c r="F421" s="5"/>
      <c r="G421" s="5"/>
      <c r="H421" s="5"/>
      <c r="I421" s="5"/>
      <c r="J421" s="73"/>
      <c r="K421" s="75" t="str">
        <f>IFERROR(__xludf.DUMMYFUNCTION("""COMPUTED_VALUE"""),"")</f>
        <v/>
      </c>
      <c r="L421" s="75"/>
      <c r="M421" s="46" t="s">
        <v>2002</v>
      </c>
    </row>
    <row r="422">
      <c r="A422" s="70">
        <f>IFERROR(__xludf.DUMMYFUNCTION("""COMPUTED_VALUE"""),9.818989744E9)</f>
        <v>9818989744</v>
      </c>
      <c r="B422" s="46" t="str">
        <f>IFERROR(__xludf.DUMMYFUNCTION("""COMPUTED_VALUE"""),"Mamta ji")</f>
        <v>Mamta ji</v>
      </c>
      <c r="C422" s="5" t="s">
        <v>2002</v>
      </c>
      <c r="D422" s="5"/>
      <c r="E422" s="5"/>
      <c r="F422" s="5"/>
      <c r="G422" s="5"/>
      <c r="H422" s="5"/>
      <c r="I422" s="5"/>
      <c r="J422" s="73"/>
      <c r="K422" s="75" t="str">
        <f>IFERROR(__xludf.DUMMYFUNCTION("""COMPUTED_VALUE"""),"")</f>
        <v/>
      </c>
      <c r="L422" s="75"/>
      <c r="M422" s="46" t="s">
        <v>2002</v>
      </c>
    </row>
    <row r="423">
      <c r="A423" s="70">
        <f>IFERROR(__xludf.DUMMYFUNCTION("""COMPUTED_VALUE"""),7.678122408E9)</f>
        <v>7678122408</v>
      </c>
      <c r="B423" s="46" t="str">
        <f>IFERROR(__xludf.DUMMYFUNCTION("""COMPUTED_VALUE"""),"Zeba ")</f>
        <v>Zeba </v>
      </c>
      <c r="C423" s="5" t="s">
        <v>2002</v>
      </c>
      <c r="D423" s="5"/>
      <c r="E423" s="5"/>
      <c r="F423" s="5"/>
      <c r="G423" s="5"/>
      <c r="H423" s="5"/>
      <c r="I423" s="5"/>
      <c r="J423" s="73"/>
      <c r="K423" s="75" t="str">
        <f>IFERROR(__xludf.DUMMYFUNCTION("""COMPUTED_VALUE"""),"")</f>
        <v/>
      </c>
      <c r="L423" s="75"/>
      <c r="M423" s="46" t="s">
        <v>2002</v>
      </c>
    </row>
    <row r="424">
      <c r="A424" s="70">
        <f>IFERROR(__xludf.DUMMYFUNCTION("""COMPUTED_VALUE"""),7.982527397E9)</f>
        <v>7982527397</v>
      </c>
      <c r="B424" s="46" t="str">
        <f>IFERROR(__xludf.DUMMYFUNCTION("""COMPUTED_VALUE"""),"Manisha ")</f>
        <v>Manisha </v>
      </c>
      <c r="C424" s="5" t="s">
        <v>2002</v>
      </c>
      <c r="D424" s="5"/>
      <c r="E424" s="5"/>
      <c r="F424" s="5"/>
      <c r="G424" s="5"/>
      <c r="H424" s="5"/>
      <c r="I424" s="5"/>
      <c r="J424" s="73"/>
      <c r="K424" s="75" t="str">
        <f>IFERROR(__xludf.DUMMYFUNCTION("""COMPUTED_VALUE"""),"")</f>
        <v/>
      </c>
      <c r="L424" s="75"/>
      <c r="M424" s="46" t="s">
        <v>2002</v>
      </c>
    </row>
    <row r="425">
      <c r="A425" s="70">
        <f>IFERROR(__xludf.DUMMYFUNCTION("""COMPUTED_VALUE"""),9.971237514E9)</f>
        <v>9971237514</v>
      </c>
      <c r="B425" s="46" t="str">
        <f>IFERROR(__xludf.DUMMYFUNCTION("""COMPUTED_VALUE"""),"Magdlini")</f>
        <v>Magdlini</v>
      </c>
      <c r="C425" s="5" t="s">
        <v>2002</v>
      </c>
      <c r="D425" s="5"/>
      <c r="E425" s="5"/>
      <c r="F425" s="5"/>
      <c r="G425" s="5"/>
      <c r="H425" s="5"/>
      <c r="I425" s="5"/>
      <c r="J425" s="73"/>
      <c r="K425" s="75" t="str">
        <f>IFERROR(__xludf.DUMMYFUNCTION("""COMPUTED_VALUE"""),"")</f>
        <v/>
      </c>
      <c r="L425" s="75"/>
      <c r="M425" s="46" t="s">
        <v>2002</v>
      </c>
    </row>
    <row r="426">
      <c r="A426" s="70">
        <f>IFERROR(__xludf.DUMMYFUNCTION("""COMPUTED_VALUE"""),9.416032444E9)</f>
        <v>9416032444</v>
      </c>
      <c r="B426" s="46" t="str">
        <f>IFERROR(__xludf.DUMMYFUNCTION("""COMPUTED_VALUE"""),"Jagtar singh")</f>
        <v>Jagtar singh</v>
      </c>
      <c r="C426" s="5" t="s">
        <v>2002</v>
      </c>
      <c r="D426" s="5"/>
      <c r="E426" s="5"/>
      <c r="F426" s="5"/>
      <c r="G426" s="5"/>
      <c r="H426" s="5"/>
      <c r="I426" s="5"/>
      <c r="J426" s="73"/>
      <c r="K426" s="75" t="str">
        <f>IFERROR(__xludf.DUMMYFUNCTION("""COMPUTED_VALUE"""),"")</f>
        <v/>
      </c>
      <c r="L426" s="75"/>
      <c r="M426" s="46" t="s">
        <v>2002</v>
      </c>
    </row>
    <row r="427">
      <c r="A427" s="70">
        <f>IFERROR(__xludf.DUMMYFUNCTION("""COMPUTED_VALUE"""),8.860382778E9)</f>
        <v>8860382778</v>
      </c>
      <c r="B427" s="46" t="str">
        <f>IFERROR(__xludf.DUMMYFUNCTION("""COMPUTED_VALUE"""),"Vinay")</f>
        <v>Vinay</v>
      </c>
      <c r="C427" s="5" t="s">
        <v>2002</v>
      </c>
      <c r="D427" s="5"/>
      <c r="E427" s="5"/>
      <c r="F427" s="5"/>
      <c r="G427" s="5"/>
      <c r="H427" s="5"/>
      <c r="I427" s="5"/>
      <c r="J427" s="73"/>
      <c r="K427" s="75" t="str">
        <f>IFERROR(__xludf.DUMMYFUNCTION("""COMPUTED_VALUE"""),"")</f>
        <v/>
      </c>
      <c r="L427" s="75"/>
      <c r="M427" s="46" t="s">
        <v>2002</v>
      </c>
    </row>
    <row r="428">
      <c r="A428" s="70">
        <f>IFERROR(__xludf.DUMMYFUNCTION("""COMPUTED_VALUE"""),8.595701213E9)</f>
        <v>8595701213</v>
      </c>
      <c r="B428" s="46" t="str">
        <f>IFERROR(__xludf.DUMMYFUNCTION("""COMPUTED_VALUE"""),"Kunal")</f>
        <v>Kunal</v>
      </c>
      <c r="C428" s="5" t="s">
        <v>2002</v>
      </c>
      <c r="D428" s="5"/>
      <c r="E428" s="5"/>
      <c r="F428" s="5"/>
      <c r="G428" s="5"/>
      <c r="H428" s="5"/>
      <c r="I428" s="5"/>
      <c r="J428" s="73"/>
      <c r="K428" s="75" t="str">
        <f>IFERROR(__xludf.DUMMYFUNCTION("""COMPUTED_VALUE"""),"")</f>
        <v/>
      </c>
      <c r="L428" s="75"/>
      <c r="M428" s="46" t="s">
        <v>2002</v>
      </c>
    </row>
    <row r="429">
      <c r="A429" s="70">
        <f>IFERROR(__xludf.DUMMYFUNCTION("""COMPUTED_VALUE"""),9.818364903E9)</f>
        <v>9818364903</v>
      </c>
      <c r="B429" s="46" t="str">
        <f>IFERROR(__xludf.DUMMYFUNCTION("""COMPUTED_VALUE"""),"Jyoti")</f>
        <v>Jyoti</v>
      </c>
      <c r="C429" s="5" t="s">
        <v>2002</v>
      </c>
      <c r="D429" s="5"/>
      <c r="E429" s="5"/>
      <c r="F429" s="5"/>
      <c r="G429" s="5"/>
      <c r="H429" s="5"/>
      <c r="I429" s="5"/>
      <c r="J429" s="73"/>
      <c r="K429" s="75" t="str">
        <f>IFERROR(__xludf.DUMMYFUNCTION("""COMPUTED_VALUE"""),"")</f>
        <v/>
      </c>
      <c r="L429" s="75"/>
      <c r="M429" s="46" t="s">
        <v>2002</v>
      </c>
    </row>
    <row r="430">
      <c r="A430" s="70">
        <f>IFERROR(__xludf.DUMMYFUNCTION("""COMPUTED_VALUE"""),9.990087872E9)</f>
        <v>9990087872</v>
      </c>
      <c r="B430" s="46" t="str">
        <f>IFERROR(__xludf.DUMMYFUNCTION("""COMPUTED_VALUE"""),"Varun sharma")</f>
        <v>Varun sharma</v>
      </c>
      <c r="C430" s="5" t="s">
        <v>2002</v>
      </c>
      <c r="D430" s="5"/>
      <c r="E430" s="5"/>
      <c r="F430" s="5"/>
      <c r="G430" s="5"/>
      <c r="H430" s="5"/>
      <c r="I430" s="5"/>
      <c r="J430" s="73"/>
      <c r="K430" s="75" t="str">
        <f>IFERROR(__xludf.DUMMYFUNCTION("""COMPUTED_VALUE"""),"")</f>
        <v/>
      </c>
      <c r="L430" s="75"/>
      <c r="M430" s="46" t="s">
        <v>2002</v>
      </c>
    </row>
    <row r="431">
      <c r="A431" s="70">
        <f>IFERROR(__xludf.DUMMYFUNCTION("""COMPUTED_VALUE"""),7.042168871E9)</f>
        <v>7042168871</v>
      </c>
      <c r="B431" s="46" t="str">
        <f>IFERROR(__xludf.DUMMYFUNCTION("""COMPUTED_VALUE"""),"seema Garg")</f>
        <v>seema Garg</v>
      </c>
      <c r="C431" s="5" t="s">
        <v>2002</v>
      </c>
      <c r="D431" s="5"/>
      <c r="E431" s="5"/>
      <c r="F431" s="5"/>
      <c r="G431" s="5"/>
      <c r="H431" s="5"/>
      <c r="I431" s="5"/>
      <c r="J431" s="73"/>
      <c r="K431" s="75" t="str">
        <f>IFERROR(__xludf.DUMMYFUNCTION("""COMPUTED_VALUE"""),"")</f>
        <v/>
      </c>
      <c r="L431" s="75"/>
      <c r="M431" s="46" t="s">
        <v>2002</v>
      </c>
    </row>
    <row r="432">
      <c r="A432" s="70">
        <f>IFERROR(__xludf.DUMMYFUNCTION("""COMPUTED_VALUE"""),8.285968093E9)</f>
        <v>8285968093</v>
      </c>
      <c r="B432" s="46" t="str">
        <f>IFERROR(__xludf.DUMMYFUNCTION("""COMPUTED_VALUE"""),"Rekha")</f>
        <v>Rekha</v>
      </c>
      <c r="C432" s="5" t="s">
        <v>2002</v>
      </c>
      <c r="D432" s="5"/>
      <c r="E432" s="5"/>
      <c r="F432" s="5"/>
      <c r="G432" s="5"/>
      <c r="H432" s="5"/>
      <c r="I432" s="5"/>
      <c r="J432" s="73"/>
      <c r="K432" s="75" t="str">
        <f>IFERROR(__xludf.DUMMYFUNCTION("""COMPUTED_VALUE"""),"")</f>
        <v/>
      </c>
      <c r="L432" s="75"/>
      <c r="M432" s="46" t="s">
        <v>2002</v>
      </c>
    </row>
    <row r="433">
      <c r="A433" s="70">
        <f>IFERROR(__xludf.DUMMYFUNCTION("""COMPUTED_VALUE"""),9.999217858E9)</f>
        <v>9999217858</v>
      </c>
      <c r="B433" s="46" t="str">
        <f>IFERROR(__xludf.DUMMYFUNCTION("""COMPUTED_VALUE"""),"Prem Kumar arora")</f>
        <v>Prem Kumar arora</v>
      </c>
      <c r="C433" s="5" t="s">
        <v>2002</v>
      </c>
      <c r="D433" s="5"/>
      <c r="E433" s="5"/>
      <c r="F433" s="5"/>
      <c r="G433" s="5"/>
      <c r="H433" s="5"/>
      <c r="I433" s="5"/>
      <c r="J433" s="73"/>
      <c r="K433" s="75" t="str">
        <f>IFERROR(__xludf.DUMMYFUNCTION("""COMPUTED_VALUE"""),"")</f>
        <v/>
      </c>
      <c r="L433" s="75"/>
      <c r="M433" s="46" t="s">
        <v>2002</v>
      </c>
    </row>
    <row r="434">
      <c r="A434" s="70">
        <f>IFERROR(__xludf.DUMMYFUNCTION("""COMPUTED_VALUE"""),8.447410447E9)</f>
        <v>8447410447</v>
      </c>
      <c r="B434" s="46" t="str">
        <f>IFERROR(__xludf.DUMMYFUNCTION("""COMPUTED_VALUE"""),"meenakshi ")</f>
        <v>meenakshi </v>
      </c>
      <c r="C434" s="5" t="s">
        <v>2002</v>
      </c>
      <c r="D434" s="5"/>
      <c r="E434" s="5"/>
      <c r="F434" s="5"/>
      <c r="G434" s="5"/>
      <c r="H434" s="5"/>
      <c r="I434" s="5"/>
      <c r="J434" s="73"/>
      <c r="K434" s="75" t="str">
        <f>IFERROR(__xludf.DUMMYFUNCTION("""COMPUTED_VALUE"""),"")</f>
        <v/>
      </c>
      <c r="L434" s="75"/>
      <c r="M434" s="46" t="s">
        <v>2002</v>
      </c>
    </row>
    <row r="435">
      <c r="A435" s="70">
        <f>IFERROR(__xludf.DUMMYFUNCTION("""COMPUTED_VALUE"""),9.811425384E9)</f>
        <v>9811425384</v>
      </c>
      <c r="B435" s="46" t="str">
        <f>IFERROR(__xludf.DUMMYFUNCTION("""COMPUTED_VALUE"""),"vikas Singhal")</f>
        <v>vikas Singhal</v>
      </c>
      <c r="C435" s="5" t="s">
        <v>2002</v>
      </c>
      <c r="D435" s="5"/>
      <c r="E435" s="5"/>
      <c r="F435" s="5"/>
      <c r="G435" s="5"/>
      <c r="H435" s="5"/>
      <c r="I435" s="5"/>
      <c r="J435" s="73"/>
      <c r="K435" s="75" t="str">
        <f>IFERROR(__xludf.DUMMYFUNCTION("""COMPUTED_VALUE"""),"")</f>
        <v/>
      </c>
      <c r="L435" s="75"/>
      <c r="M435" s="46" t="s">
        <v>2002</v>
      </c>
    </row>
    <row r="436">
      <c r="A436" s="70">
        <f>IFERROR(__xludf.DUMMYFUNCTION("""COMPUTED_VALUE"""),7.042556601E9)</f>
        <v>7042556601</v>
      </c>
      <c r="B436" s="46" t="str">
        <f>IFERROR(__xludf.DUMMYFUNCTION("""COMPUTED_VALUE"""),"Dev")</f>
        <v>Dev</v>
      </c>
      <c r="C436" s="5" t="s">
        <v>2002</v>
      </c>
      <c r="D436" s="5"/>
      <c r="E436" s="5"/>
      <c r="F436" s="5"/>
      <c r="G436" s="5"/>
      <c r="H436" s="5"/>
      <c r="I436" s="5"/>
      <c r="J436" s="73"/>
      <c r="K436" s="75" t="str">
        <f>IFERROR(__xludf.DUMMYFUNCTION("""COMPUTED_VALUE"""),"")</f>
        <v/>
      </c>
      <c r="L436" s="75"/>
      <c r="M436" s="46" t="s">
        <v>2002</v>
      </c>
    </row>
    <row r="437">
      <c r="A437" s="70">
        <f>IFERROR(__xludf.DUMMYFUNCTION("""COMPUTED_VALUE"""),9.62595893E9)</f>
        <v>9625958930</v>
      </c>
      <c r="B437" s="46" t="str">
        <f>IFERROR(__xludf.DUMMYFUNCTION("""COMPUTED_VALUE"""),"Neha chauhan")</f>
        <v>Neha chauhan</v>
      </c>
      <c r="C437" s="5" t="s">
        <v>2002</v>
      </c>
      <c r="D437" s="5"/>
      <c r="E437" s="5"/>
      <c r="F437" s="5"/>
      <c r="G437" s="5"/>
      <c r="H437" s="5"/>
      <c r="I437" s="5"/>
      <c r="J437" s="73"/>
      <c r="K437" s="75" t="str">
        <f>IFERROR(__xludf.DUMMYFUNCTION("""COMPUTED_VALUE"""),"")</f>
        <v/>
      </c>
      <c r="L437" s="75"/>
      <c r="M437" s="46" t="s">
        <v>2002</v>
      </c>
    </row>
    <row r="438">
      <c r="A438" s="70">
        <f>IFERROR(__xludf.DUMMYFUNCTION("""COMPUTED_VALUE"""),9.210586675E9)</f>
        <v>9210586675</v>
      </c>
      <c r="B438" s="46" t="str">
        <f>IFERROR(__xludf.DUMMYFUNCTION("""COMPUTED_VALUE"""),"Sunita bansal ")</f>
        <v>Sunita bansal </v>
      </c>
      <c r="C438" s="5" t="s">
        <v>2002</v>
      </c>
      <c r="D438" s="5"/>
      <c r="E438" s="5"/>
      <c r="F438" s="5"/>
      <c r="G438" s="5"/>
      <c r="H438" s="5"/>
      <c r="I438" s="5"/>
      <c r="J438" s="73"/>
      <c r="K438" s="75" t="str">
        <f>IFERROR(__xludf.DUMMYFUNCTION("""COMPUTED_VALUE"""),"")</f>
        <v/>
      </c>
      <c r="L438" s="75"/>
      <c r="M438" s="46" t="s">
        <v>2002</v>
      </c>
    </row>
    <row r="439">
      <c r="A439" s="70">
        <f>IFERROR(__xludf.DUMMYFUNCTION("""COMPUTED_VALUE"""),9.212459436E9)</f>
        <v>9212459436</v>
      </c>
      <c r="B439" s="46" t="str">
        <f>IFERROR(__xludf.DUMMYFUNCTION("""COMPUTED_VALUE"""),"Vinod")</f>
        <v>Vinod</v>
      </c>
      <c r="C439" s="5" t="s">
        <v>2002</v>
      </c>
      <c r="D439" s="5"/>
      <c r="E439" s="5"/>
      <c r="F439" s="5"/>
      <c r="G439" s="5"/>
      <c r="H439" s="5"/>
      <c r="I439" s="5"/>
      <c r="J439" s="73"/>
      <c r="K439" s="75" t="str">
        <f>IFERROR(__xludf.DUMMYFUNCTION("""COMPUTED_VALUE"""),"")</f>
        <v/>
      </c>
      <c r="L439" s="75"/>
      <c r="M439" s="46" t="s">
        <v>2002</v>
      </c>
    </row>
    <row r="440">
      <c r="A440" s="70">
        <f>IFERROR(__xludf.DUMMYFUNCTION("""COMPUTED_VALUE"""),8.287455411E9)</f>
        <v>8287455411</v>
      </c>
      <c r="B440" s="46" t="str">
        <f>IFERROR(__xludf.DUMMYFUNCTION("""COMPUTED_VALUE"""),"Lavneet")</f>
        <v>Lavneet</v>
      </c>
      <c r="C440" s="5" t="s">
        <v>2002</v>
      </c>
      <c r="D440" s="5"/>
      <c r="E440" s="5"/>
      <c r="F440" s="5"/>
      <c r="G440" s="5"/>
      <c r="H440" s="5"/>
      <c r="I440" s="5"/>
      <c r="J440" s="73"/>
      <c r="K440" s="75" t="str">
        <f>IFERROR(__xludf.DUMMYFUNCTION("""COMPUTED_VALUE"""),"")</f>
        <v/>
      </c>
      <c r="L440" s="75"/>
      <c r="M440" s="46" t="s">
        <v>2002</v>
      </c>
    </row>
    <row r="441">
      <c r="A441" s="70">
        <f>IFERROR(__xludf.DUMMYFUNCTION("""COMPUTED_VALUE"""),9.810033194E9)</f>
        <v>9810033194</v>
      </c>
      <c r="B441" s="46" t="str">
        <f>IFERROR(__xludf.DUMMYFUNCTION("""COMPUTED_VALUE"""),"Mukul rustagi")</f>
        <v>Mukul rustagi</v>
      </c>
      <c r="C441" s="5" t="s">
        <v>2002</v>
      </c>
      <c r="D441" s="5"/>
      <c r="E441" s="5"/>
      <c r="F441" s="5"/>
      <c r="G441" s="5"/>
      <c r="H441" s="5"/>
      <c r="I441" s="5"/>
      <c r="J441" s="73"/>
      <c r="K441" s="75" t="str">
        <f>IFERROR(__xludf.DUMMYFUNCTION("""COMPUTED_VALUE"""),"")</f>
        <v/>
      </c>
      <c r="L441" s="75"/>
      <c r="M441" s="46" t="s">
        <v>2002</v>
      </c>
    </row>
    <row r="442">
      <c r="A442" s="70">
        <f>IFERROR(__xludf.DUMMYFUNCTION("""COMPUTED_VALUE"""),8.130655666E9)</f>
        <v>8130655666</v>
      </c>
      <c r="B442" s="46" t="str">
        <f>IFERROR(__xludf.DUMMYFUNCTION("""COMPUTED_VALUE"""),"Shikha rustagi")</f>
        <v>Shikha rustagi</v>
      </c>
      <c r="C442" s="5" t="s">
        <v>2002</v>
      </c>
      <c r="D442" s="5"/>
      <c r="E442" s="5"/>
      <c r="F442" s="5"/>
      <c r="G442" s="5"/>
      <c r="H442" s="5"/>
      <c r="I442" s="5"/>
      <c r="J442" s="73"/>
      <c r="K442" s="75" t="str">
        <f>IFERROR(__xludf.DUMMYFUNCTION("""COMPUTED_VALUE"""),"")</f>
        <v/>
      </c>
      <c r="L442" s="75"/>
      <c r="M442" s="46" t="s">
        <v>2002</v>
      </c>
    </row>
    <row r="443">
      <c r="A443" s="70">
        <f>IFERROR(__xludf.DUMMYFUNCTION("""COMPUTED_VALUE"""),8.860773648E9)</f>
        <v>8860773648</v>
      </c>
      <c r="B443" s="46" t="str">
        <f>IFERROR(__xludf.DUMMYFUNCTION("""COMPUTED_VALUE"""),"Deepika ")</f>
        <v>Deepika </v>
      </c>
      <c r="C443" s="5" t="s">
        <v>2002</v>
      </c>
      <c r="D443" s="5"/>
      <c r="E443" s="5"/>
      <c r="F443" s="5"/>
      <c r="G443" s="5"/>
      <c r="H443" s="5"/>
      <c r="I443" s="5"/>
      <c r="J443" s="73"/>
      <c r="K443" s="75" t="str">
        <f>IFERROR(__xludf.DUMMYFUNCTION("""COMPUTED_VALUE"""),"")</f>
        <v/>
      </c>
      <c r="L443" s="75"/>
      <c r="M443" s="46" t="s">
        <v>2002</v>
      </c>
    </row>
    <row r="444">
      <c r="A444" s="70">
        <f>IFERROR(__xludf.DUMMYFUNCTION("""COMPUTED_VALUE"""),9.871150444E9)</f>
        <v>9871150444</v>
      </c>
      <c r="B444" s="46" t="str">
        <f>IFERROR(__xludf.DUMMYFUNCTION("""COMPUTED_VALUE"""),"Deepak kumar")</f>
        <v>Deepak kumar</v>
      </c>
      <c r="C444" s="5" t="s">
        <v>2002</v>
      </c>
      <c r="D444" s="5"/>
      <c r="E444" s="5"/>
      <c r="F444" s="5"/>
      <c r="G444" s="5"/>
      <c r="H444" s="5"/>
      <c r="I444" s="5"/>
      <c r="J444" s="73"/>
      <c r="K444" s="75" t="str">
        <f>IFERROR(__xludf.DUMMYFUNCTION("""COMPUTED_VALUE"""),"")</f>
        <v/>
      </c>
      <c r="L444" s="75"/>
      <c r="M444" s="46" t="s">
        <v>2002</v>
      </c>
    </row>
    <row r="445">
      <c r="A445" s="70">
        <f>IFERROR(__xludf.DUMMYFUNCTION("""COMPUTED_VALUE"""),9.911574217E9)</f>
        <v>9911574217</v>
      </c>
      <c r="B445" s="46" t="str">
        <f>IFERROR(__xludf.DUMMYFUNCTION("""COMPUTED_VALUE"""),"Harman Deep Kaur")</f>
        <v>Harman Deep Kaur</v>
      </c>
      <c r="C445" s="5" t="s">
        <v>2002</v>
      </c>
      <c r="D445" s="5"/>
      <c r="E445" s="5"/>
      <c r="F445" s="5"/>
      <c r="G445" s="5"/>
      <c r="H445" s="5"/>
      <c r="I445" s="5"/>
      <c r="J445" s="73"/>
      <c r="K445" s="75" t="str">
        <f>IFERROR(__xludf.DUMMYFUNCTION("""COMPUTED_VALUE"""),"")</f>
        <v/>
      </c>
      <c r="L445" s="75"/>
      <c r="M445" s="46" t="s">
        <v>2002</v>
      </c>
    </row>
    <row r="446">
      <c r="A446" s="70">
        <f>IFERROR(__xludf.DUMMYFUNCTION("""COMPUTED_VALUE"""),9.999962973E9)</f>
        <v>9999962973</v>
      </c>
      <c r="B446" s="46" t="str">
        <f>IFERROR(__xludf.DUMMYFUNCTION("""COMPUTED_VALUE"""),"Komal ")</f>
        <v>Komal </v>
      </c>
      <c r="C446" s="5" t="s">
        <v>2002</v>
      </c>
      <c r="D446" s="5"/>
      <c r="E446" s="5"/>
      <c r="F446" s="5"/>
      <c r="G446" s="5"/>
      <c r="H446" s="5"/>
      <c r="I446" s="5"/>
      <c r="J446" s="73"/>
      <c r="K446" s="75" t="str">
        <f>IFERROR(__xludf.DUMMYFUNCTION("""COMPUTED_VALUE"""),"")</f>
        <v/>
      </c>
      <c r="L446" s="75"/>
      <c r="M446" s="46" t="s">
        <v>2002</v>
      </c>
    </row>
    <row r="447">
      <c r="A447" s="70">
        <f>IFERROR(__xludf.DUMMYFUNCTION("""COMPUTED_VALUE"""),9.81352136E9)</f>
        <v>9813521360</v>
      </c>
      <c r="B447" s="46" t="str">
        <f>IFERROR(__xludf.DUMMYFUNCTION("""COMPUTED_VALUE"""),"Naveen ji ")</f>
        <v>Naveen ji </v>
      </c>
      <c r="C447" s="5" t="s">
        <v>2002</v>
      </c>
      <c r="D447" s="5"/>
      <c r="E447" s="5"/>
      <c r="F447" s="5"/>
      <c r="G447" s="5"/>
      <c r="H447" s="5"/>
      <c r="I447" s="5"/>
      <c r="J447" s="73"/>
      <c r="K447" s="75" t="str">
        <f>IFERROR(__xludf.DUMMYFUNCTION("""COMPUTED_VALUE"""),"")</f>
        <v/>
      </c>
      <c r="L447" s="75"/>
      <c r="M447" s="46" t="s">
        <v>2002</v>
      </c>
    </row>
    <row r="448">
      <c r="A448" s="70">
        <f>IFERROR(__xludf.DUMMYFUNCTION("""COMPUTED_VALUE"""),9.289315307E9)</f>
        <v>9289315307</v>
      </c>
      <c r="B448" s="46" t="str">
        <f>IFERROR(__xludf.DUMMYFUNCTION("""COMPUTED_VALUE"""),"Shami khan")</f>
        <v>Shami khan</v>
      </c>
      <c r="C448" s="5" t="s">
        <v>2002</v>
      </c>
      <c r="D448" s="5"/>
      <c r="E448" s="5"/>
      <c r="F448" s="5"/>
      <c r="G448" s="5"/>
      <c r="H448" s="5"/>
      <c r="I448" s="5"/>
      <c r="J448" s="73"/>
      <c r="K448" s="75" t="str">
        <f>IFERROR(__xludf.DUMMYFUNCTION("""COMPUTED_VALUE"""),"")</f>
        <v/>
      </c>
      <c r="L448" s="75"/>
      <c r="M448" s="46" t="s">
        <v>2002</v>
      </c>
    </row>
    <row r="449">
      <c r="A449" s="70">
        <f>IFERROR(__xludf.DUMMYFUNCTION("""COMPUTED_VALUE"""),9.350007424E9)</f>
        <v>9350007424</v>
      </c>
      <c r="B449" s="46" t="str">
        <f>IFERROR(__xludf.DUMMYFUNCTION("""COMPUTED_VALUE"""),"Gopal Khurana")</f>
        <v>Gopal Khurana</v>
      </c>
      <c r="C449" s="5" t="s">
        <v>2002</v>
      </c>
      <c r="D449" s="5"/>
      <c r="E449" s="5"/>
      <c r="F449" s="5"/>
      <c r="G449" s="5"/>
      <c r="H449" s="5"/>
      <c r="I449" s="5"/>
      <c r="J449" s="73"/>
      <c r="K449" s="75" t="str">
        <f>IFERROR(__xludf.DUMMYFUNCTION("""COMPUTED_VALUE"""),"")</f>
        <v/>
      </c>
      <c r="L449" s="75"/>
      <c r="M449" s="46" t="s">
        <v>2002</v>
      </c>
    </row>
    <row r="450">
      <c r="A450" s="70">
        <f>IFERROR(__xludf.DUMMYFUNCTION("""COMPUTED_VALUE"""),9.818412381E9)</f>
        <v>9818412381</v>
      </c>
      <c r="B450" s="46" t="str">
        <f>IFERROR(__xludf.DUMMYFUNCTION("""COMPUTED_VALUE"""),"Kishor sharma")</f>
        <v>Kishor sharma</v>
      </c>
      <c r="C450" s="5" t="s">
        <v>2002</v>
      </c>
      <c r="D450" s="5"/>
      <c r="E450" s="5"/>
      <c r="F450" s="5"/>
      <c r="G450" s="5"/>
      <c r="H450" s="5"/>
      <c r="I450" s="5"/>
      <c r="J450" s="73"/>
      <c r="K450" s="75" t="str">
        <f>IFERROR(__xludf.DUMMYFUNCTION("""COMPUTED_VALUE"""),"")</f>
        <v/>
      </c>
      <c r="L450" s="75"/>
      <c r="M450" s="46" t="s">
        <v>2002</v>
      </c>
    </row>
    <row r="451">
      <c r="A451" s="70">
        <f>IFERROR(__xludf.DUMMYFUNCTION("""COMPUTED_VALUE"""),8.755677291E9)</f>
        <v>8755677291</v>
      </c>
      <c r="B451" s="46" t="str">
        <f>IFERROR(__xludf.DUMMYFUNCTION("""COMPUTED_VALUE"""),"Tushar Singh")</f>
        <v>Tushar Singh</v>
      </c>
      <c r="C451" s="5" t="s">
        <v>2002</v>
      </c>
      <c r="D451" s="5"/>
      <c r="E451" s="5"/>
      <c r="F451" s="5"/>
      <c r="G451" s="5"/>
      <c r="H451" s="5"/>
      <c r="I451" s="5"/>
      <c r="J451" s="73"/>
      <c r="K451" s="75" t="str">
        <f>IFERROR(__xludf.DUMMYFUNCTION("""COMPUTED_VALUE"""),"")</f>
        <v/>
      </c>
      <c r="L451" s="75"/>
      <c r="M451" s="46" t="s">
        <v>2002</v>
      </c>
    </row>
    <row r="452">
      <c r="A452" s="70">
        <f>IFERROR(__xludf.DUMMYFUNCTION("""COMPUTED_VALUE"""),9.654334311E9)</f>
        <v>9654334311</v>
      </c>
      <c r="B452" s="46" t="str">
        <f>IFERROR(__xludf.DUMMYFUNCTION("""COMPUTED_VALUE"""),"Anju")</f>
        <v>Anju</v>
      </c>
      <c r="C452" s="5" t="s">
        <v>2002</v>
      </c>
      <c r="D452" s="5"/>
      <c r="E452" s="5"/>
      <c r="F452" s="5"/>
      <c r="G452" s="5"/>
      <c r="H452" s="5"/>
      <c r="I452" s="5"/>
      <c r="J452" s="73"/>
      <c r="K452" s="75" t="str">
        <f>IFERROR(__xludf.DUMMYFUNCTION("""COMPUTED_VALUE"""),"")</f>
        <v/>
      </c>
      <c r="L452" s="75"/>
      <c r="M452" s="46" t="s">
        <v>2002</v>
      </c>
    </row>
    <row r="453">
      <c r="A453" s="70">
        <f>IFERROR(__xludf.DUMMYFUNCTION("""COMPUTED_VALUE"""),9.891170912E9)</f>
        <v>9891170912</v>
      </c>
      <c r="B453" s="46" t="str">
        <f>IFERROR(__xludf.DUMMYFUNCTION("""COMPUTED_VALUE"""),"poonam Gupta")</f>
        <v>poonam Gupta</v>
      </c>
      <c r="C453" s="5" t="s">
        <v>2002</v>
      </c>
      <c r="D453" s="5"/>
      <c r="E453" s="5"/>
      <c r="F453" s="5"/>
      <c r="G453" s="5"/>
      <c r="H453" s="5"/>
      <c r="I453" s="5"/>
      <c r="J453" s="73"/>
      <c r="K453" s="75" t="str">
        <f>IFERROR(__xludf.DUMMYFUNCTION("""COMPUTED_VALUE"""),"")</f>
        <v/>
      </c>
      <c r="L453" s="75"/>
      <c r="M453" s="46" t="s">
        <v>2002</v>
      </c>
    </row>
    <row r="454">
      <c r="A454" s="70">
        <f>IFERROR(__xludf.DUMMYFUNCTION("""COMPUTED_VALUE"""),9.958746147E9)</f>
        <v>9958746147</v>
      </c>
      <c r="B454" s="46" t="str">
        <f>IFERROR(__xludf.DUMMYFUNCTION("""COMPUTED_VALUE"""),"Sunita")</f>
        <v>Sunita</v>
      </c>
      <c r="C454" s="5" t="s">
        <v>2002</v>
      </c>
      <c r="D454" s="5"/>
      <c r="E454" s="5"/>
      <c r="F454" s="5"/>
      <c r="G454" s="5"/>
      <c r="H454" s="5"/>
      <c r="I454" s="5"/>
      <c r="J454" s="73"/>
      <c r="K454" s="75" t="str">
        <f>IFERROR(__xludf.DUMMYFUNCTION("""COMPUTED_VALUE"""),"")</f>
        <v/>
      </c>
      <c r="L454" s="75"/>
      <c r="M454" s="46" t="s">
        <v>2002</v>
      </c>
    </row>
    <row r="455">
      <c r="A455" s="70">
        <f>IFERROR(__xludf.DUMMYFUNCTION("""COMPUTED_VALUE"""),9.871489556E9)</f>
        <v>9871489556</v>
      </c>
      <c r="B455" s="46" t="str">
        <f>IFERROR(__xludf.DUMMYFUNCTION("""COMPUTED_VALUE"""),"Komal Chauhan")</f>
        <v>Komal Chauhan</v>
      </c>
      <c r="C455" s="5" t="s">
        <v>2002</v>
      </c>
      <c r="D455" s="5"/>
      <c r="E455" s="5"/>
      <c r="F455" s="5"/>
      <c r="G455" s="5"/>
      <c r="H455" s="5"/>
      <c r="I455" s="5"/>
      <c r="J455" s="73"/>
      <c r="K455" s="75" t="str">
        <f>IFERROR(__xludf.DUMMYFUNCTION("""COMPUTED_VALUE"""),"")</f>
        <v/>
      </c>
      <c r="L455" s="75"/>
      <c r="M455" s="46" t="s">
        <v>2002</v>
      </c>
    </row>
    <row r="456">
      <c r="A456" s="70">
        <f>IFERROR(__xludf.DUMMYFUNCTION("""COMPUTED_VALUE"""),8.076413835E9)</f>
        <v>8076413835</v>
      </c>
      <c r="B456" s="46" t="str">
        <f>IFERROR(__xludf.DUMMYFUNCTION("""COMPUTED_VALUE"""),"Mukesh")</f>
        <v>Mukesh</v>
      </c>
      <c r="C456" s="5" t="s">
        <v>2002</v>
      </c>
      <c r="D456" s="5"/>
      <c r="E456" s="5"/>
      <c r="F456" s="5"/>
      <c r="G456" s="5"/>
      <c r="H456" s="5"/>
      <c r="I456" s="5"/>
      <c r="J456" s="73"/>
      <c r="K456" s="75" t="str">
        <f>IFERROR(__xludf.DUMMYFUNCTION("""COMPUTED_VALUE"""),"")</f>
        <v/>
      </c>
      <c r="L456" s="75"/>
      <c r="M456" s="46" t="s">
        <v>2002</v>
      </c>
    </row>
    <row r="457">
      <c r="A457" s="70">
        <f>IFERROR(__xludf.DUMMYFUNCTION("""COMPUTED_VALUE"""),9.891766693E9)</f>
        <v>9891766693</v>
      </c>
      <c r="B457" s="46" t="str">
        <f>IFERROR(__xludf.DUMMYFUNCTION("""COMPUTED_VALUE"""),"Samira")</f>
        <v>Samira</v>
      </c>
      <c r="C457" s="5" t="s">
        <v>2002</v>
      </c>
      <c r="D457" s="5"/>
      <c r="E457" s="5"/>
      <c r="F457" s="5"/>
      <c r="G457" s="5"/>
      <c r="H457" s="5"/>
      <c r="I457" s="5"/>
      <c r="J457" s="73"/>
      <c r="K457" s="75" t="str">
        <f>IFERROR(__xludf.DUMMYFUNCTION("""COMPUTED_VALUE"""),"")</f>
        <v/>
      </c>
      <c r="L457" s="75"/>
      <c r="M457" s="46" t="s">
        <v>2002</v>
      </c>
    </row>
    <row r="458">
      <c r="A458" s="70">
        <f>IFERROR(__xludf.DUMMYFUNCTION("""COMPUTED_VALUE"""),8.1711798E9)</f>
        <v>8171179800</v>
      </c>
      <c r="B458" s="46" t="str">
        <f>IFERROR(__xludf.DUMMYFUNCTION("""COMPUTED_VALUE"""),"Hemant Kumar ")</f>
        <v>Hemant Kumar </v>
      </c>
      <c r="C458" s="5" t="s">
        <v>2002</v>
      </c>
      <c r="D458" s="5"/>
      <c r="E458" s="5"/>
      <c r="F458" s="5"/>
      <c r="G458" s="5"/>
      <c r="H458" s="5"/>
      <c r="I458" s="5"/>
      <c r="J458" s="73"/>
      <c r="K458" s="75" t="str">
        <f>IFERROR(__xludf.DUMMYFUNCTION("""COMPUTED_VALUE"""),"")</f>
        <v/>
      </c>
      <c r="L458" s="75"/>
      <c r="M458" s="46" t="s">
        <v>2002</v>
      </c>
    </row>
    <row r="459">
      <c r="A459" s="70">
        <f>IFERROR(__xludf.DUMMYFUNCTION("""COMPUTED_VALUE"""),9.837330846E9)</f>
        <v>9837330846</v>
      </c>
      <c r="B459" s="46" t="str">
        <f>IFERROR(__xludf.DUMMYFUNCTION("""COMPUTED_VALUE"""),"tarun Mittal")</f>
        <v>tarun Mittal</v>
      </c>
      <c r="C459" s="5" t="s">
        <v>2002</v>
      </c>
      <c r="D459" s="5"/>
      <c r="E459" s="5"/>
      <c r="F459" s="5"/>
      <c r="G459" s="5"/>
      <c r="H459" s="5"/>
      <c r="I459" s="5"/>
      <c r="J459" s="73"/>
      <c r="K459" s="75" t="str">
        <f>IFERROR(__xludf.DUMMYFUNCTION("""COMPUTED_VALUE"""),"")</f>
        <v/>
      </c>
      <c r="L459" s="75"/>
      <c r="M459" s="46" t="s">
        <v>2002</v>
      </c>
    </row>
    <row r="460">
      <c r="A460" s="70">
        <f>IFERROR(__xludf.DUMMYFUNCTION("""COMPUTED_VALUE"""),9.213650565E9)</f>
        <v>9213650565</v>
      </c>
      <c r="B460" s="46" t="str">
        <f>IFERROR(__xludf.DUMMYFUNCTION("""COMPUTED_VALUE"""),"Amul")</f>
        <v>Amul</v>
      </c>
      <c r="C460" s="5" t="s">
        <v>2002</v>
      </c>
      <c r="D460" s="5"/>
      <c r="E460" s="5"/>
      <c r="F460" s="5"/>
      <c r="G460" s="5"/>
      <c r="H460" s="5"/>
      <c r="I460" s="5"/>
      <c r="J460" s="73"/>
      <c r="K460" s="75" t="str">
        <f>IFERROR(__xludf.DUMMYFUNCTION("""COMPUTED_VALUE"""),"")</f>
        <v/>
      </c>
      <c r="L460" s="75"/>
      <c r="M460" s="46" t="s">
        <v>2002</v>
      </c>
    </row>
    <row r="461">
      <c r="A461" s="70">
        <f>IFERROR(__xludf.DUMMYFUNCTION("""COMPUTED_VALUE"""),9.910549664E9)</f>
        <v>9910549664</v>
      </c>
      <c r="B461" s="46" t="str">
        <f>IFERROR(__xludf.DUMMYFUNCTION("""COMPUTED_VALUE"""),"Sushil kumar ")</f>
        <v>Sushil kumar </v>
      </c>
      <c r="C461" s="5" t="s">
        <v>2002</v>
      </c>
      <c r="D461" s="5"/>
      <c r="E461" s="5"/>
      <c r="F461" s="5"/>
      <c r="G461" s="5"/>
      <c r="H461" s="5"/>
      <c r="I461" s="5"/>
      <c r="J461" s="73"/>
      <c r="K461" s="75" t="str">
        <f>IFERROR(__xludf.DUMMYFUNCTION("""COMPUTED_VALUE"""),"")</f>
        <v/>
      </c>
      <c r="L461" s="75"/>
      <c r="M461" s="46" t="s">
        <v>2002</v>
      </c>
    </row>
    <row r="462">
      <c r="A462" s="70">
        <f>IFERROR(__xludf.DUMMYFUNCTION("""COMPUTED_VALUE"""),9.81159611E9)</f>
        <v>9811596110</v>
      </c>
      <c r="B462" s="46" t="str">
        <f>IFERROR(__xludf.DUMMYFUNCTION("""COMPUTED_VALUE"""),"Jatinder ")</f>
        <v>Jatinder </v>
      </c>
      <c r="C462" s="5" t="s">
        <v>2002</v>
      </c>
      <c r="D462" s="5"/>
      <c r="E462" s="5"/>
      <c r="F462" s="5"/>
      <c r="G462" s="5"/>
      <c r="H462" s="5"/>
      <c r="I462" s="5"/>
      <c r="J462" s="73"/>
      <c r="K462" s="75" t="str">
        <f>IFERROR(__xludf.DUMMYFUNCTION("""COMPUTED_VALUE"""),"")</f>
        <v/>
      </c>
      <c r="L462" s="75"/>
      <c r="M462" s="46" t="s">
        <v>2002</v>
      </c>
    </row>
    <row r="463">
      <c r="A463" s="70">
        <f>IFERROR(__xludf.DUMMYFUNCTION("""COMPUTED_VALUE"""),7.042459239E9)</f>
        <v>7042459239</v>
      </c>
      <c r="B463" s="46" t="str">
        <f>IFERROR(__xludf.DUMMYFUNCTION("""COMPUTED_VALUE"""),"Shikha agarwal")</f>
        <v>Shikha agarwal</v>
      </c>
      <c r="C463" s="5" t="s">
        <v>2002</v>
      </c>
      <c r="D463" s="5"/>
      <c r="E463" s="5"/>
      <c r="F463" s="5"/>
      <c r="G463" s="5"/>
      <c r="H463" s="5"/>
      <c r="I463" s="5"/>
      <c r="J463" s="73"/>
      <c r="K463" s="75" t="str">
        <f>IFERROR(__xludf.DUMMYFUNCTION("""COMPUTED_VALUE"""),"")</f>
        <v/>
      </c>
      <c r="L463" s="75"/>
      <c r="M463" s="46" t="s">
        <v>2002</v>
      </c>
    </row>
    <row r="464">
      <c r="A464" s="70">
        <f>IFERROR(__xludf.DUMMYFUNCTION("""COMPUTED_VALUE"""),8.076546728E9)</f>
        <v>8076546728</v>
      </c>
      <c r="B464" s="46" t="str">
        <f>IFERROR(__xludf.DUMMYFUNCTION("""COMPUTED_VALUE"""),"Monika")</f>
        <v>Monika</v>
      </c>
      <c r="C464" s="5" t="s">
        <v>2002</v>
      </c>
      <c r="D464" s="5"/>
      <c r="E464" s="5"/>
      <c r="F464" s="5"/>
      <c r="G464" s="5"/>
      <c r="H464" s="5"/>
      <c r="I464" s="5"/>
      <c r="J464" s="73"/>
      <c r="K464" s="75" t="str">
        <f>IFERROR(__xludf.DUMMYFUNCTION("""COMPUTED_VALUE"""),"")</f>
        <v/>
      </c>
      <c r="L464" s="75"/>
      <c r="M464" s="46" t="s">
        <v>2002</v>
      </c>
    </row>
    <row r="465">
      <c r="A465" s="70">
        <f>IFERROR(__xludf.DUMMYFUNCTION("""COMPUTED_VALUE"""),9.498082453E9)</f>
        <v>9498082453</v>
      </c>
      <c r="B465" s="46" t="str">
        <f>IFERROR(__xludf.DUMMYFUNCTION("""COMPUTED_VALUE"""),"Shuma")</f>
        <v>Shuma</v>
      </c>
      <c r="C465" s="5" t="s">
        <v>2002</v>
      </c>
      <c r="D465" s="5"/>
      <c r="E465" s="5"/>
      <c r="F465" s="5"/>
      <c r="G465" s="5"/>
      <c r="H465" s="5"/>
      <c r="I465" s="5"/>
      <c r="J465" s="73"/>
      <c r="K465" s="75" t="str">
        <f>IFERROR(__xludf.DUMMYFUNCTION("""COMPUTED_VALUE"""),"")</f>
        <v/>
      </c>
      <c r="L465" s="75"/>
      <c r="M465" s="46" t="s">
        <v>2002</v>
      </c>
    </row>
    <row r="466">
      <c r="A466" s="70">
        <f>IFERROR(__xludf.DUMMYFUNCTION("""COMPUTED_VALUE"""),9.650038833E9)</f>
        <v>9650038833</v>
      </c>
      <c r="B466" s="46" t="str">
        <f>IFERROR(__xludf.DUMMYFUNCTION("""COMPUTED_VALUE"""),"Rajesh rathor")</f>
        <v>Rajesh rathor</v>
      </c>
      <c r="C466" s="5" t="s">
        <v>2002</v>
      </c>
      <c r="D466" s="5"/>
      <c r="E466" s="5"/>
      <c r="F466" s="5"/>
      <c r="G466" s="5"/>
      <c r="H466" s="5"/>
      <c r="I466" s="5"/>
      <c r="J466" s="73"/>
      <c r="K466" s="75" t="str">
        <f>IFERROR(__xludf.DUMMYFUNCTION("""COMPUTED_VALUE"""),"")</f>
        <v/>
      </c>
      <c r="L466" s="75"/>
      <c r="M466" s="46" t="s">
        <v>2002</v>
      </c>
    </row>
    <row r="467">
      <c r="A467" s="70">
        <f>IFERROR(__xludf.DUMMYFUNCTION("""COMPUTED_VALUE"""),7.683042525E9)</f>
        <v>7683042525</v>
      </c>
      <c r="B467" s="46" t="str">
        <f>IFERROR(__xludf.DUMMYFUNCTION("""COMPUTED_VALUE"""),"Kunal Agarwal ")</f>
        <v>Kunal Agarwal </v>
      </c>
      <c r="C467" s="5" t="s">
        <v>2002</v>
      </c>
      <c r="D467" s="5"/>
      <c r="E467" s="5"/>
      <c r="F467" s="5"/>
      <c r="G467" s="5"/>
      <c r="H467" s="5"/>
      <c r="I467" s="5"/>
      <c r="J467" s="73"/>
      <c r="K467" s="75" t="str">
        <f>IFERROR(__xludf.DUMMYFUNCTION("""COMPUTED_VALUE"""),"")</f>
        <v/>
      </c>
      <c r="L467" s="75"/>
      <c r="M467" s="46" t="s">
        <v>2002</v>
      </c>
    </row>
    <row r="468">
      <c r="A468" s="70">
        <f>IFERROR(__xludf.DUMMYFUNCTION("""COMPUTED_VALUE"""),9.811140702E9)</f>
        <v>9811140702</v>
      </c>
      <c r="B468" s="46" t="str">
        <f>IFERROR(__xludf.DUMMYFUNCTION("""COMPUTED_VALUE"""),"Vansh")</f>
        <v>Vansh</v>
      </c>
      <c r="C468" s="5" t="s">
        <v>2002</v>
      </c>
      <c r="D468" s="5"/>
      <c r="E468" s="5"/>
      <c r="F468" s="5"/>
      <c r="G468" s="5"/>
      <c r="H468" s="5"/>
      <c r="I468" s="5"/>
      <c r="J468" s="73"/>
      <c r="K468" s="75" t="str">
        <f>IFERROR(__xludf.DUMMYFUNCTION("""COMPUTED_VALUE"""),"")</f>
        <v/>
      </c>
      <c r="L468" s="75"/>
      <c r="M468" s="46" t="s">
        <v>2002</v>
      </c>
    </row>
    <row r="469">
      <c r="A469" s="70">
        <f>IFERROR(__xludf.DUMMYFUNCTION("""COMPUTED_VALUE"""),9.971607405E9)</f>
        <v>9971607405</v>
      </c>
      <c r="B469" s="46" t="str">
        <f>IFERROR(__xludf.DUMMYFUNCTION("""COMPUTED_VALUE"""),"Puneet jain ")</f>
        <v>Puneet jain </v>
      </c>
      <c r="C469" s="5" t="s">
        <v>2002</v>
      </c>
      <c r="D469" s="5"/>
      <c r="E469" s="5"/>
      <c r="F469" s="5"/>
      <c r="G469" s="5"/>
      <c r="H469" s="5"/>
      <c r="I469" s="5"/>
      <c r="J469" s="73"/>
      <c r="K469" s="75" t="str">
        <f>IFERROR(__xludf.DUMMYFUNCTION("""COMPUTED_VALUE"""),"")</f>
        <v/>
      </c>
      <c r="L469" s="75"/>
      <c r="M469" s="46" t="s">
        <v>2002</v>
      </c>
    </row>
    <row r="470">
      <c r="A470" s="70">
        <f>IFERROR(__xludf.DUMMYFUNCTION("""COMPUTED_VALUE"""),7.42820344E9)</f>
        <v>7428203440</v>
      </c>
      <c r="B470" s="46" t="str">
        <f>IFERROR(__xludf.DUMMYFUNCTION("""COMPUTED_VALUE"""),"Shudanshu")</f>
        <v>Shudanshu</v>
      </c>
      <c r="C470" s="5" t="s">
        <v>2002</v>
      </c>
      <c r="D470" s="5"/>
      <c r="E470" s="5"/>
      <c r="F470" s="5"/>
      <c r="G470" s="5"/>
      <c r="H470" s="5"/>
      <c r="I470" s="5"/>
      <c r="J470" s="73"/>
      <c r="K470" s="75" t="str">
        <f>IFERROR(__xludf.DUMMYFUNCTION("""COMPUTED_VALUE"""),"")</f>
        <v/>
      </c>
      <c r="L470" s="75"/>
      <c r="M470" s="46" t="s">
        <v>2002</v>
      </c>
    </row>
    <row r="471">
      <c r="A471" s="70">
        <f>IFERROR(__xludf.DUMMYFUNCTION("""COMPUTED_VALUE"""),9.968003624E9)</f>
        <v>9968003624</v>
      </c>
      <c r="B471" s="46" t="str">
        <f>IFERROR(__xludf.DUMMYFUNCTION("""COMPUTED_VALUE"""),"Sunil garg")</f>
        <v>Sunil garg</v>
      </c>
      <c r="C471" s="5" t="s">
        <v>2002</v>
      </c>
      <c r="D471" s="5"/>
      <c r="E471" s="5"/>
      <c r="F471" s="5"/>
      <c r="G471" s="5"/>
      <c r="H471" s="5"/>
      <c r="I471" s="5"/>
      <c r="J471" s="73"/>
      <c r="K471" s="75" t="str">
        <f>IFERROR(__xludf.DUMMYFUNCTION("""COMPUTED_VALUE"""),"")</f>
        <v/>
      </c>
      <c r="L471" s="75"/>
      <c r="M471" s="46" t="s">
        <v>2002</v>
      </c>
    </row>
    <row r="472">
      <c r="A472" s="70">
        <f>IFERROR(__xludf.DUMMYFUNCTION("""COMPUTED_VALUE"""),9.811228477E9)</f>
        <v>9811228477</v>
      </c>
      <c r="B472" s="46" t="str">
        <f>IFERROR(__xludf.DUMMYFUNCTION("""COMPUTED_VALUE"""),"Ajay")</f>
        <v>Ajay</v>
      </c>
      <c r="C472" s="5" t="s">
        <v>2002</v>
      </c>
      <c r="D472" s="5"/>
      <c r="E472" s="5"/>
      <c r="F472" s="5"/>
      <c r="G472" s="5"/>
      <c r="H472" s="5"/>
      <c r="I472" s="5"/>
      <c r="J472" s="73"/>
      <c r="K472" s="75" t="str">
        <f>IFERROR(__xludf.DUMMYFUNCTION("""COMPUTED_VALUE"""),"")</f>
        <v/>
      </c>
      <c r="L472" s="75"/>
      <c r="M472" s="46" t="s">
        <v>2002</v>
      </c>
    </row>
    <row r="473">
      <c r="A473" s="70">
        <f>IFERROR(__xludf.DUMMYFUNCTION("""COMPUTED_VALUE"""),9.910137295E9)</f>
        <v>9910137295</v>
      </c>
      <c r="B473" s="46" t="str">
        <f>IFERROR(__xludf.DUMMYFUNCTION("""COMPUTED_VALUE"""),"Meenu Jain")</f>
        <v>Meenu Jain</v>
      </c>
      <c r="C473" s="5" t="s">
        <v>2002</v>
      </c>
      <c r="D473" s="5"/>
      <c r="E473" s="5"/>
      <c r="F473" s="5"/>
      <c r="G473" s="5"/>
      <c r="H473" s="5"/>
      <c r="I473" s="5"/>
      <c r="J473" s="73"/>
      <c r="K473" s="75" t="str">
        <f>IFERROR(__xludf.DUMMYFUNCTION("""COMPUTED_VALUE"""),"")</f>
        <v/>
      </c>
      <c r="L473" s="75"/>
      <c r="M473" s="46" t="s">
        <v>2002</v>
      </c>
    </row>
    <row r="474">
      <c r="A474" s="70">
        <f>IFERROR(__xludf.DUMMYFUNCTION("""COMPUTED_VALUE"""),9.711947445E9)</f>
        <v>9711947445</v>
      </c>
      <c r="B474" s="46" t="str">
        <f>IFERROR(__xludf.DUMMYFUNCTION("""COMPUTED_VALUE"""),"Aditi ")</f>
        <v>Aditi </v>
      </c>
      <c r="C474" s="5" t="s">
        <v>2002</v>
      </c>
      <c r="D474" s="5"/>
      <c r="E474" s="5"/>
      <c r="F474" s="5"/>
      <c r="G474" s="5"/>
      <c r="H474" s="5"/>
      <c r="I474" s="5"/>
      <c r="J474" s="73"/>
      <c r="K474" s="75" t="str">
        <f>IFERROR(__xludf.DUMMYFUNCTION("""COMPUTED_VALUE"""),"")</f>
        <v/>
      </c>
      <c r="L474" s="75"/>
      <c r="M474" s="46" t="s">
        <v>2002</v>
      </c>
    </row>
    <row r="475">
      <c r="A475" s="70">
        <f>IFERROR(__xludf.DUMMYFUNCTION("""COMPUTED_VALUE"""),9.650745331E9)</f>
        <v>9650745331</v>
      </c>
      <c r="B475" s="46" t="str">
        <f>IFERROR(__xludf.DUMMYFUNCTION("""COMPUTED_VALUE"""),"Priya sahi")</f>
        <v>Priya sahi</v>
      </c>
      <c r="C475" s="5" t="s">
        <v>2002</v>
      </c>
      <c r="D475" s="5"/>
      <c r="E475" s="5"/>
      <c r="F475" s="5"/>
      <c r="G475" s="5"/>
      <c r="H475" s="5"/>
      <c r="I475" s="5"/>
      <c r="J475" s="73"/>
      <c r="K475" s="75" t="str">
        <f>IFERROR(__xludf.DUMMYFUNCTION("""COMPUTED_VALUE"""),"")</f>
        <v/>
      </c>
      <c r="L475" s="75"/>
      <c r="M475" s="46" t="s">
        <v>2002</v>
      </c>
    </row>
    <row r="476">
      <c r="A476" s="70">
        <f>IFERROR(__xludf.DUMMYFUNCTION("""COMPUTED_VALUE"""),9.212007023E9)</f>
        <v>9212007023</v>
      </c>
      <c r="B476" s="46" t="str">
        <f>IFERROR(__xludf.DUMMYFUNCTION("""COMPUTED_VALUE"""),"Harwrnder sahi ji ")</f>
        <v>Harwrnder sahi ji </v>
      </c>
      <c r="C476" s="5" t="s">
        <v>2002</v>
      </c>
      <c r="D476" s="5"/>
      <c r="E476" s="5"/>
      <c r="F476" s="5"/>
      <c r="G476" s="5"/>
      <c r="H476" s="5"/>
      <c r="I476" s="5"/>
      <c r="J476" s="73"/>
      <c r="K476" s="75" t="str">
        <f>IFERROR(__xludf.DUMMYFUNCTION("""COMPUTED_VALUE"""),"")</f>
        <v/>
      </c>
      <c r="L476" s="75"/>
      <c r="M476" s="46" t="s">
        <v>2002</v>
      </c>
    </row>
    <row r="477">
      <c r="A477" s="70">
        <f>IFERROR(__xludf.DUMMYFUNCTION("""COMPUTED_VALUE"""),9.87111801E9)</f>
        <v>9871118010</v>
      </c>
      <c r="B477" s="46" t="str">
        <f>IFERROR(__xludf.DUMMYFUNCTION("""COMPUTED_VALUE"""),"Neha gupta")</f>
        <v>Neha gupta</v>
      </c>
      <c r="C477" s="5" t="s">
        <v>2002</v>
      </c>
      <c r="D477" s="5"/>
      <c r="E477" s="5"/>
      <c r="F477" s="5"/>
      <c r="G477" s="5"/>
      <c r="H477" s="5"/>
      <c r="I477" s="5"/>
      <c r="J477" s="73"/>
      <c r="K477" s="75" t="str">
        <f>IFERROR(__xludf.DUMMYFUNCTION("""COMPUTED_VALUE"""),"")</f>
        <v/>
      </c>
      <c r="L477" s="75"/>
      <c r="M477" s="46" t="s">
        <v>2002</v>
      </c>
    </row>
    <row r="478">
      <c r="A478" s="70">
        <f>IFERROR(__xludf.DUMMYFUNCTION("""COMPUTED_VALUE"""),9.315000642E9)</f>
        <v>9315000642</v>
      </c>
      <c r="B478" s="46" t="str">
        <f>IFERROR(__xludf.DUMMYFUNCTION("""COMPUTED_VALUE"""),"Shefali")</f>
        <v>Shefali</v>
      </c>
      <c r="C478" s="5" t="s">
        <v>2002</v>
      </c>
      <c r="D478" s="5"/>
      <c r="E478" s="5"/>
      <c r="F478" s="5"/>
      <c r="G478" s="5"/>
      <c r="H478" s="5"/>
      <c r="I478" s="5"/>
      <c r="J478" s="73"/>
      <c r="K478" s="75" t="str">
        <f>IFERROR(__xludf.DUMMYFUNCTION("""COMPUTED_VALUE"""),"")</f>
        <v/>
      </c>
      <c r="L478" s="75"/>
      <c r="M478" s="46" t="s">
        <v>2002</v>
      </c>
    </row>
    <row r="479">
      <c r="A479" s="70">
        <f>IFERROR(__xludf.DUMMYFUNCTION("""COMPUTED_VALUE"""),8.700854695E9)</f>
        <v>8700854695</v>
      </c>
      <c r="B479" s="46" t="str">
        <f>IFERROR(__xludf.DUMMYFUNCTION("""COMPUTED_VALUE"""),"Saurav")</f>
        <v>Saurav</v>
      </c>
      <c r="C479" s="5" t="s">
        <v>2002</v>
      </c>
      <c r="D479" s="5"/>
      <c r="E479" s="5"/>
      <c r="F479" s="5"/>
      <c r="G479" s="5"/>
      <c r="H479" s="5"/>
      <c r="I479" s="5"/>
      <c r="J479" s="73"/>
      <c r="K479" s="75" t="str">
        <f>IFERROR(__xludf.DUMMYFUNCTION("""COMPUTED_VALUE"""),"")</f>
        <v/>
      </c>
      <c r="L479" s="75"/>
      <c r="M479" s="46" t="s">
        <v>2002</v>
      </c>
    </row>
    <row r="480">
      <c r="A480" s="70">
        <f>IFERROR(__xludf.DUMMYFUNCTION("""COMPUTED_VALUE"""),9.810339516E9)</f>
        <v>9810339516</v>
      </c>
      <c r="B480" s="46" t="str">
        <f>IFERROR(__xludf.DUMMYFUNCTION("""COMPUTED_VALUE"""),"sumit ")</f>
        <v>sumit </v>
      </c>
      <c r="C480" s="5" t="s">
        <v>2002</v>
      </c>
      <c r="D480" s="5"/>
      <c r="E480" s="5"/>
      <c r="F480" s="5"/>
      <c r="G480" s="5"/>
      <c r="H480" s="5"/>
      <c r="I480" s="5"/>
      <c r="J480" s="73"/>
      <c r="K480" s="75" t="str">
        <f>IFERROR(__xludf.DUMMYFUNCTION("""COMPUTED_VALUE"""),"")</f>
        <v/>
      </c>
      <c r="L480" s="75"/>
      <c r="M480" s="46" t="s">
        <v>2002</v>
      </c>
    </row>
    <row r="481">
      <c r="A481" s="70">
        <f>IFERROR(__xludf.DUMMYFUNCTION("""COMPUTED_VALUE"""),9.811956918E9)</f>
        <v>9811956918</v>
      </c>
      <c r="B481" s="46" t="str">
        <f>IFERROR(__xludf.DUMMYFUNCTION("""COMPUTED_VALUE"""),"suraj")</f>
        <v>suraj</v>
      </c>
      <c r="C481" s="5" t="s">
        <v>2002</v>
      </c>
      <c r="D481" s="5"/>
      <c r="E481" s="5"/>
      <c r="F481" s="5"/>
      <c r="G481" s="5"/>
      <c r="H481" s="5"/>
      <c r="I481" s="5"/>
      <c r="J481" s="73"/>
      <c r="K481" s="75" t="str">
        <f>IFERROR(__xludf.DUMMYFUNCTION("""COMPUTED_VALUE"""),"")</f>
        <v/>
      </c>
      <c r="L481" s="75"/>
      <c r="M481" s="46" t="s">
        <v>2002</v>
      </c>
    </row>
    <row r="482">
      <c r="A482" s="70">
        <f>IFERROR(__xludf.DUMMYFUNCTION("""COMPUTED_VALUE"""),9.648536015E9)</f>
        <v>9648536015</v>
      </c>
      <c r="B482" s="46" t="str">
        <f>IFERROR(__xludf.DUMMYFUNCTION("""COMPUTED_VALUE"""),"Tisha")</f>
        <v>Tisha</v>
      </c>
      <c r="C482" s="5" t="s">
        <v>2002</v>
      </c>
      <c r="D482" s="5"/>
      <c r="E482" s="5"/>
      <c r="F482" s="5"/>
      <c r="G482" s="5"/>
      <c r="H482" s="5"/>
      <c r="I482" s="5"/>
      <c r="J482" s="73"/>
      <c r="K482" s="75" t="str">
        <f>IFERROR(__xludf.DUMMYFUNCTION("""COMPUTED_VALUE"""),"")</f>
        <v/>
      </c>
      <c r="L482" s="75"/>
      <c r="M482" s="46" t="s">
        <v>2002</v>
      </c>
    </row>
    <row r="483">
      <c r="A483" s="70">
        <f>IFERROR(__xludf.DUMMYFUNCTION("""COMPUTED_VALUE"""),9.95309502E9)</f>
        <v>9953095020</v>
      </c>
      <c r="B483" s="46" t="str">
        <f>IFERROR(__xludf.DUMMYFUNCTION("""COMPUTED_VALUE"""),"Aniket")</f>
        <v>Aniket</v>
      </c>
      <c r="C483" s="5" t="s">
        <v>2002</v>
      </c>
      <c r="D483" s="5"/>
      <c r="E483" s="5"/>
      <c r="F483" s="5"/>
      <c r="G483" s="5"/>
      <c r="H483" s="5"/>
      <c r="I483" s="5"/>
      <c r="J483" s="73"/>
      <c r="K483" s="75" t="str">
        <f>IFERROR(__xludf.DUMMYFUNCTION("""COMPUTED_VALUE"""),"")</f>
        <v/>
      </c>
      <c r="L483" s="75"/>
      <c r="M483" s="46" t="s">
        <v>2002</v>
      </c>
    </row>
    <row r="484">
      <c r="A484" s="70">
        <f>IFERROR(__xludf.DUMMYFUNCTION("""COMPUTED_VALUE"""),9.89918112E9)</f>
        <v>9899181120</v>
      </c>
      <c r="B484" s="46" t="str">
        <f>IFERROR(__xludf.DUMMYFUNCTION("""COMPUTED_VALUE"""),"Arpita")</f>
        <v>Arpita</v>
      </c>
      <c r="C484" s="5" t="s">
        <v>2002</v>
      </c>
      <c r="D484" s="5"/>
      <c r="E484" s="5"/>
      <c r="F484" s="5"/>
      <c r="G484" s="5"/>
      <c r="H484" s="5"/>
      <c r="I484" s="5"/>
      <c r="J484" s="73"/>
      <c r="K484" s="75" t="str">
        <f>IFERROR(__xludf.DUMMYFUNCTION("""COMPUTED_VALUE"""),"")</f>
        <v/>
      </c>
      <c r="L484" s="75"/>
      <c r="M484" s="46" t="s">
        <v>2002</v>
      </c>
    </row>
    <row r="485">
      <c r="A485" s="70">
        <f>IFERROR(__xludf.DUMMYFUNCTION("""COMPUTED_VALUE"""),8.586844339E9)</f>
        <v>8586844339</v>
      </c>
      <c r="B485" s="46" t="str">
        <f>IFERROR(__xludf.DUMMYFUNCTION("""COMPUTED_VALUE"""),"Gunjan shagal ")</f>
        <v>Gunjan shagal </v>
      </c>
      <c r="C485" s="5" t="s">
        <v>2002</v>
      </c>
      <c r="D485" s="5"/>
      <c r="E485" s="5"/>
      <c r="F485" s="5"/>
      <c r="G485" s="5"/>
      <c r="H485" s="5"/>
      <c r="I485" s="5"/>
      <c r="J485" s="73"/>
      <c r="K485" s="75" t="str">
        <f>IFERROR(__xludf.DUMMYFUNCTION("""COMPUTED_VALUE"""),"")</f>
        <v/>
      </c>
      <c r="L485" s="75"/>
      <c r="M485" s="46" t="s">
        <v>2002</v>
      </c>
    </row>
    <row r="486">
      <c r="A486" s="70">
        <f>IFERROR(__xludf.DUMMYFUNCTION("""COMPUTED_VALUE"""),7.838785123E9)</f>
        <v>7838785123</v>
      </c>
      <c r="B486" s="46" t="str">
        <f>IFERROR(__xludf.DUMMYFUNCTION("""COMPUTED_VALUE"""),"neetu suman")</f>
        <v>neetu suman</v>
      </c>
      <c r="C486" s="5" t="s">
        <v>2002</v>
      </c>
      <c r="D486" s="5"/>
      <c r="E486" s="5"/>
      <c r="F486" s="5"/>
      <c r="G486" s="5"/>
      <c r="H486" s="5"/>
      <c r="I486" s="5"/>
      <c r="J486" s="73"/>
      <c r="K486" s="75" t="str">
        <f>IFERROR(__xludf.DUMMYFUNCTION("""COMPUTED_VALUE"""),"")</f>
        <v/>
      </c>
      <c r="L486" s="75"/>
      <c r="M486" s="46" t="s">
        <v>2002</v>
      </c>
    </row>
    <row r="487">
      <c r="A487" s="70">
        <f>IFERROR(__xludf.DUMMYFUNCTION("""COMPUTED_VALUE"""),9.278319726E9)</f>
        <v>9278319726</v>
      </c>
      <c r="B487" s="46" t="str">
        <f>IFERROR(__xludf.DUMMYFUNCTION("""COMPUTED_VALUE"""),"Kashish Garg")</f>
        <v>Kashish Garg</v>
      </c>
      <c r="C487" s="5" t="s">
        <v>2002</v>
      </c>
      <c r="D487" s="5"/>
      <c r="E487" s="5"/>
      <c r="F487" s="5"/>
      <c r="G487" s="5"/>
      <c r="H487" s="5"/>
      <c r="I487" s="5"/>
      <c r="J487" s="73"/>
      <c r="K487" s="75" t="str">
        <f>IFERROR(__xludf.DUMMYFUNCTION("""COMPUTED_VALUE"""),"")</f>
        <v/>
      </c>
      <c r="L487" s="75"/>
      <c r="M487" s="46" t="s">
        <v>2002</v>
      </c>
    </row>
    <row r="488">
      <c r="A488" s="70">
        <f>IFERROR(__xludf.DUMMYFUNCTION("""COMPUTED_VALUE"""),9.310579045E9)</f>
        <v>9310579045</v>
      </c>
      <c r="B488" s="46" t="str">
        <f>IFERROR(__xludf.DUMMYFUNCTION("""COMPUTED_VALUE"""),"Mamta")</f>
        <v>Mamta</v>
      </c>
      <c r="C488" s="5" t="s">
        <v>2002</v>
      </c>
      <c r="D488" s="5"/>
      <c r="E488" s="5"/>
      <c r="F488" s="5"/>
      <c r="G488" s="5"/>
      <c r="H488" s="5"/>
      <c r="I488" s="5"/>
      <c r="J488" s="73"/>
      <c r="K488" s="75" t="str">
        <f>IFERROR(__xludf.DUMMYFUNCTION("""COMPUTED_VALUE"""),"")</f>
        <v/>
      </c>
      <c r="L488" s="75"/>
      <c r="M488" s="46" t="s">
        <v>2002</v>
      </c>
    </row>
    <row r="489">
      <c r="A489" s="70">
        <f>IFERROR(__xludf.DUMMYFUNCTION("""COMPUTED_VALUE"""),8.860333929E9)</f>
        <v>8860333929</v>
      </c>
      <c r="B489" s="46" t="str">
        <f>IFERROR(__xludf.DUMMYFUNCTION("""COMPUTED_VALUE"""),"Jessica")</f>
        <v>Jessica</v>
      </c>
      <c r="C489" s="5" t="s">
        <v>2002</v>
      </c>
      <c r="D489" s="5"/>
      <c r="E489" s="5"/>
      <c r="F489" s="5"/>
      <c r="G489" s="5"/>
      <c r="H489" s="5"/>
      <c r="I489" s="5"/>
      <c r="J489" s="73"/>
      <c r="K489" s="75" t="str">
        <f>IFERROR(__xludf.DUMMYFUNCTION("""COMPUTED_VALUE"""),"")</f>
        <v/>
      </c>
      <c r="L489" s="75"/>
      <c r="M489" s="46" t="s">
        <v>2002</v>
      </c>
    </row>
    <row r="490">
      <c r="A490" s="70">
        <f>IFERROR(__xludf.DUMMYFUNCTION("""COMPUTED_VALUE"""),9.891073026E9)</f>
        <v>9891073026</v>
      </c>
      <c r="B490" s="46" t="str">
        <f>IFERROR(__xludf.DUMMYFUNCTION("""COMPUTED_VALUE"""),"Meenu bhatiya")</f>
        <v>Meenu bhatiya</v>
      </c>
      <c r="C490" s="5" t="s">
        <v>2002</v>
      </c>
      <c r="D490" s="5"/>
      <c r="E490" s="5"/>
      <c r="F490" s="5"/>
      <c r="G490" s="5"/>
      <c r="H490" s="5"/>
      <c r="I490" s="5"/>
      <c r="J490" s="73"/>
      <c r="K490" s="75" t="str">
        <f>IFERROR(__xludf.DUMMYFUNCTION("""COMPUTED_VALUE"""),"")</f>
        <v/>
      </c>
      <c r="L490" s="75"/>
      <c r="M490" s="46" t="s">
        <v>2002</v>
      </c>
    </row>
    <row r="491">
      <c r="A491" s="70">
        <f>IFERROR(__xludf.DUMMYFUNCTION("""COMPUTED_VALUE"""),9.210599666E9)</f>
        <v>9210599666</v>
      </c>
      <c r="B491" s="46" t="str">
        <f>IFERROR(__xludf.DUMMYFUNCTION("""COMPUTED_VALUE"""),"Varsha kalra")</f>
        <v>Varsha kalra</v>
      </c>
      <c r="C491" s="5" t="s">
        <v>2002</v>
      </c>
      <c r="D491" s="5"/>
      <c r="E491" s="5"/>
      <c r="F491" s="5"/>
      <c r="G491" s="5"/>
      <c r="H491" s="5"/>
      <c r="I491" s="5"/>
      <c r="J491" s="73"/>
      <c r="K491" s="75" t="str">
        <f>IFERROR(__xludf.DUMMYFUNCTION("""COMPUTED_VALUE"""),"")</f>
        <v/>
      </c>
      <c r="L491" s="75"/>
      <c r="M491" s="46" t="s">
        <v>2002</v>
      </c>
    </row>
    <row r="492">
      <c r="A492" s="70">
        <f>IFERROR(__xludf.DUMMYFUNCTION("""COMPUTED_VALUE"""),8.010083688E9)</f>
        <v>8010083688</v>
      </c>
      <c r="B492" s="46" t="str">
        <f>IFERROR(__xludf.DUMMYFUNCTION("""COMPUTED_VALUE"""),"Yatharth ")</f>
        <v>Yatharth </v>
      </c>
      <c r="C492" s="5" t="s">
        <v>2002</v>
      </c>
      <c r="D492" s="5"/>
      <c r="E492" s="5"/>
      <c r="F492" s="5"/>
      <c r="G492" s="5"/>
      <c r="H492" s="5"/>
      <c r="I492" s="5"/>
      <c r="J492" s="73"/>
      <c r="K492" s="75" t="str">
        <f>IFERROR(__xludf.DUMMYFUNCTION("""COMPUTED_VALUE"""),"")</f>
        <v/>
      </c>
      <c r="L492" s="75"/>
      <c r="M492" s="46" t="s">
        <v>2002</v>
      </c>
    </row>
    <row r="493">
      <c r="A493" s="70">
        <f>IFERROR(__xludf.DUMMYFUNCTION("""COMPUTED_VALUE"""),7.428640742E9)</f>
        <v>7428640742</v>
      </c>
      <c r="B493" s="46" t="str">
        <f>IFERROR(__xludf.DUMMYFUNCTION("""COMPUTED_VALUE"""),"Satya prakash tiwari")</f>
        <v>Satya prakash tiwari</v>
      </c>
      <c r="C493" s="5" t="s">
        <v>2002</v>
      </c>
      <c r="D493" s="5"/>
      <c r="E493" s="5"/>
      <c r="F493" s="5"/>
      <c r="G493" s="5"/>
      <c r="H493" s="5"/>
      <c r="I493" s="5"/>
      <c r="J493" s="73"/>
      <c r="K493" s="75" t="str">
        <f>IFERROR(__xludf.DUMMYFUNCTION("""COMPUTED_VALUE"""),"")</f>
        <v/>
      </c>
      <c r="L493" s="75"/>
      <c r="M493" s="46" t="s">
        <v>2002</v>
      </c>
    </row>
    <row r="494">
      <c r="A494" s="70">
        <f>IFERROR(__xludf.DUMMYFUNCTION("""COMPUTED_VALUE"""),9.810856174E9)</f>
        <v>9810856174</v>
      </c>
      <c r="B494" s="46" t="str">
        <f>IFERROR(__xludf.DUMMYFUNCTION("""COMPUTED_VALUE"""),"Karishma")</f>
        <v>Karishma</v>
      </c>
      <c r="C494" s="5" t="s">
        <v>2002</v>
      </c>
      <c r="D494" s="5"/>
      <c r="E494" s="5"/>
      <c r="F494" s="5"/>
      <c r="G494" s="5"/>
      <c r="H494" s="5"/>
      <c r="I494" s="5"/>
      <c r="J494" s="73"/>
      <c r="K494" s="75" t="str">
        <f>IFERROR(__xludf.DUMMYFUNCTION("""COMPUTED_VALUE"""),"")</f>
        <v/>
      </c>
      <c r="L494" s="75"/>
      <c r="M494" s="46" t="s">
        <v>2002</v>
      </c>
    </row>
    <row r="495">
      <c r="A495" s="70">
        <f>IFERROR(__xludf.DUMMYFUNCTION("""COMPUTED_VALUE"""),9.211406027E9)</f>
        <v>9211406027</v>
      </c>
      <c r="B495" s="46" t="str">
        <f>IFERROR(__xludf.DUMMYFUNCTION("""COMPUTED_VALUE"""),"Sapna Tokas")</f>
        <v>Sapna Tokas</v>
      </c>
      <c r="C495" s="5" t="s">
        <v>2002</v>
      </c>
      <c r="D495" s="5"/>
      <c r="E495" s="5"/>
      <c r="F495" s="5"/>
      <c r="G495" s="5"/>
      <c r="H495" s="5"/>
      <c r="I495" s="5"/>
      <c r="J495" s="73"/>
      <c r="K495" s="75" t="str">
        <f>IFERROR(__xludf.DUMMYFUNCTION("""COMPUTED_VALUE"""),"")</f>
        <v/>
      </c>
      <c r="L495" s="75"/>
      <c r="M495" s="46" t="s">
        <v>2002</v>
      </c>
    </row>
    <row r="496">
      <c r="A496" s="70">
        <f>IFERROR(__xludf.DUMMYFUNCTION("""COMPUTED_VALUE"""),9.910299194E9)</f>
        <v>9910299194</v>
      </c>
      <c r="B496" s="46" t="str">
        <f>IFERROR(__xludf.DUMMYFUNCTION("""COMPUTED_VALUE"""),"Mamta")</f>
        <v>Mamta</v>
      </c>
      <c r="C496" s="5" t="s">
        <v>2002</v>
      </c>
      <c r="D496" s="5"/>
      <c r="E496" s="5"/>
      <c r="F496" s="5"/>
      <c r="G496" s="5"/>
      <c r="H496" s="5"/>
      <c r="I496" s="5"/>
      <c r="J496" s="73"/>
      <c r="K496" s="75" t="str">
        <f>IFERROR(__xludf.DUMMYFUNCTION("""COMPUTED_VALUE"""),"")</f>
        <v/>
      </c>
      <c r="L496" s="75"/>
      <c r="M496" s="46" t="s">
        <v>2002</v>
      </c>
    </row>
    <row r="497">
      <c r="A497" s="70">
        <f>IFERROR(__xludf.DUMMYFUNCTION("""COMPUTED_VALUE"""),9.311731358E9)</f>
        <v>9311731358</v>
      </c>
      <c r="B497" s="46" t="str">
        <f>IFERROR(__xludf.DUMMYFUNCTION("""COMPUTED_VALUE"""),"Harmeet ji ")</f>
        <v>Harmeet ji </v>
      </c>
      <c r="C497" s="5" t="s">
        <v>2002</v>
      </c>
      <c r="D497" s="5"/>
      <c r="E497" s="5"/>
      <c r="F497" s="5"/>
      <c r="G497" s="5"/>
      <c r="H497" s="5"/>
      <c r="I497" s="5"/>
      <c r="J497" s="73"/>
      <c r="K497" s="75" t="str">
        <f>IFERROR(__xludf.DUMMYFUNCTION("""COMPUTED_VALUE"""),"")</f>
        <v/>
      </c>
      <c r="L497" s="75"/>
      <c r="M497" s="46" t="s">
        <v>2002</v>
      </c>
    </row>
    <row r="498">
      <c r="A498" s="70">
        <f>IFERROR(__xludf.DUMMYFUNCTION("""COMPUTED_VALUE"""),9.412411768E9)</f>
        <v>9412411768</v>
      </c>
      <c r="B498" s="46" t="str">
        <f>IFERROR(__xludf.DUMMYFUNCTION("""COMPUTED_VALUE"""),"Parveen")</f>
        <v>Parveen</v>
      </c>
      <c r="C498" s="5" t="s">
        <v>2002</v>
      </c>
      <c r="D498" s="5"/>
      <c r="E498" s="5"/>
      <c r="F498" s="5"/>
      <c r="G498" s="5"/>
      <c r="H498" s="5"/>
      <c r="I498" s="5"/>
      <c r="J498" s="73"/>
      <c r="K498" s="75" t="str">
        <f>IFERROR(__xludf.DUMMYFUNCTION("""COMPUTED_VALUE"""),"")</f>
        <v/>
      </c>
      <c r="L498" s="75"/>
      <c r="M498" s="46" t="s">
        <v>2002</v>
      </c>
    </row>
    <row r="499">
      <c r="A499" s="70">
        <f>IFERROR(__xludf.DUMMYFUNCTION("""COMPUTED_VALUE"""),9.891910994E9)</f>
        <v>9891910994</v>
      </c>
      <c r="B499" s="46" t="str">
        <f>IFERROR(__xludf.DUMMYFUNCTION("""COMPUTED_VALUE"""),"Deepak Kumar")</f>
        <v>Deepak Kumar</v>
      </c>
      <c r="C499" s="5" t="s">
        <v>2002</v>
      </c>
      <c r="D499" s="5"/>
      <c r="E499" s="5"/>
      <c r="F499" s="5"/>
      <c r="G499" s="5"/>
      <c r="H499" s="5"/>
      <c r="I499" s="5"/>
      <c r="J499" s="73"/>
      <c r="K499" s="75" t="str">
        <f>IFERROR(__xludf.DUMMYFUNCTION("""COMPUTED_VALUE"""),"")</f>
        <v/>
      </c>
      <c r="L499" s="75"/>
      <c r="M499" s="46" t="s">
        <v>2002</v>
      </c>
    </row>
    <row r="500">
      <c r="A500" s="70">
        <f>IFERROR(__xludf.DUMMYFUNCTION("""COMPUTED_VALUE"""),9.868668475E9)</f>
        <v>9868668475</v>
      </c>
      <c r="B500" s="46" t="str">
        <f>IFERROR(__xludf.DUMMYFUNCTION("""COMPUTED_VALUE"""),"Priya")</f>
        <v>Priya</v>
      </c>
      <c r="C500" s="5" t="s">
        <v>2002</v>
      </c>
      <c r="D500" s="5"/>
      <c r="E500" s="5"/>
      <c r="F500" s="5"/>
      <c r="G500" s="5"/>
      <c r="H500" s="5"/>
      <c r="I500" s="5"/>
      <c r="J500" s="73"/>
      <c r="K500" s="75" t="str">
        <f>IFERROR(__xludf.DUMMYFUNCTION("""COMPUTED_VALUE"""),"")</f>
        <v/>
      </c>
      <c r="L500" s="75"/>
      <c r="M500" s="46" t="s">
        <v>2002</v>
      </c>
    </row>
    <row r="501">
      <c r="A501" s="70">
        <f>IFERROR(__xludf.DUMMYFUNCTION("""COMPUTED_VALUE"""),9.891565625E9)</f>
        <v>9891565625</v>
      </c>
      <c r="B501" s="46" t="str">
        <f>IFERROR(__xludf.DUMMYFUNCTION("""COMPUTED_VALUE"""),"Suresh arora")</f>
        <v>Suresh arora</v>
      </c>
      <c r="C501" s="5" t="s">
        <v>2002</v>
      </c>
      <c r="D501" s="5"/>
      <c r="E501" s="5"/>
      <c r="F501" s="5"/>
      <c r="G501" s="5"/>
      <c r="H501" s="5"/>
      <c r="I501" s="5"/>
      <c r="J501" s="73"/>
      <c r="K501" s="75" t="str">
        <f>IFERROR(__xludf.DUMMYFUNCTION("""COMPUTED_VALUE"""),"")</f>
        <v/>
      </c>
      <c r="L501" s="75"/>
      <c r="M501" s="46" t="s">
        <v>2002</v>
      </c>
    </row>
    <row r="502">
      <c r="A502" s="70">
        <f>IFERROR(__xludf.DUMMYFUNCTION("""COMPUTED_VALUE"""),9.868200531E9)</f>
        <v>9868200531</v>
      </c>
      <c r="B502" s="46" t="str">
        <f>IFERROR(__xludf.DUMMYFUNCTION("""COMPUTED_VALUE"""),"Indu mittal")</f>
        <v>Indu mittal</v>
      </c>
      <c r="C502" s="5" t="s">
        <v>2002</v>
      </c>
      <c r="D502" s="5"/>
      <c r="E502" s="5"/>
      <c r="F502" s="5"/>
      <c r="G502" s="5"/>
      <c r="H502" s="5"/>
      <c r="I502" s="5"/>
      <c r="J502" s="73"/>
      <c r="K502" s="75" t="str">
        <f>IFERROR(__xludf.DUMMYFUNCTION("""COMPUTED_VALUE"""),"")</f>
        <v/>
      </c>
      <c r="L502" s="75"/>
      <c r="M502" s="46" t="s">
        <v>2002</v>
      </c>
    </row>
    <row r="503">
      <c r="A503" s="70">
        <f>IFERROR(__xludf.DUMMYFUNCTION("""COMPUTED_VALUE"""),9.811262577E9)</f>
        <v>9811262577</v>
      </c>
      <c r="B503" s="46" t="str">
        <f>IFERROR(__xludf.DUMMYFUNCTION("""COMPUTED_VALUE"""),"Renu aggarwal")</f>
        <v>Renu aggarwal</v>
      </c>
      <c r="C503" s="5" t="s">
        <v>2002</v>
      </c>
      <c r="D503" s="5"/>
      <c r="E503" s="5"/>
      <c r="F503" s="5"/>
      <c r="G503" s="5"/>
      <c r="H503" s="5"/>
      <c r="I503" s="5"/>
      <c r="J503" s="73"/>
      <c r="K503" s="75" t="str">
        <f>IFERROR(__xludf.DUMMYFUNCTION("""COMPUTED_VALUE"""),"")</f>
        <v/>
      </c>
      <c r="L503" s="75"/>
      <c r="M503" s="46" t="s">
        <v>2002</v>
      </c>
    </row>
    <row r="504">
      <c r="A504" s="70">
        <f>IFERROR(__xludf.DUMMYFUNCTION("""COMPUTED_VALUE"""),8.074445603E9)</f>
        <v>8074445603</v>
      </c>
      <c r="B504" s="46" t="str">
        <f>IFERROR(__xludf.DUMMYFUNCTION("""COMPUTED_VALUE"""),"p.k.p.Prakash")</f>
        <v>p.k.p.Prakash</v>
      </c>
      <c r="C504" s="5" t="s">
        <v>2002</v>
      </c>
      <c r="D504" s="5"/>
      <c r="E504" s="5"/>
      <c r="F504" s="5"/>
      <c r="G504" s="5"/>
      <c r="H504" s="5"/>
      <c r="I504" s="5"/>
      <c r="J504" s="73"/>
      <c r="K504" s="75" t="str">
        <f>IFERROR(__xludf.DUMMYFUNCTION("""COMPUTED_VALUE"""),"")</f>
        <v/>
      </c>
      <c r="L504" s="75"/>
      <c r="M504" s="46" t="s">
        <v>2002</v>
      </c>
    </row>
    <row r="505">
      <c r="A505" s="70">
        <f>IFERROR(__xludf.DUMMYFUNCTION("""COMPUTED_VALUE"""),8.800955909E9)</f>
        <v>8800955909</v>
      </c>
      <c r="B505" s="46" t="str">
        <f>IFERROR(__xludf.DUMMYFUNCTION("""COMPUTED_VALUE"""),"Shalini ")</f>
        <v>Shalini </v>
      </c>
      <c r="C505" s="5" t="s">
        <v>2002</v>
      </c>
      <c r="D505" s="5"/>
      <c r="E505" s="5"/>
      <c r="F505" s="5"/>
      <c r="G505" s="5"/>
      <c r="H505" s="5"/>
      <c r="I505" s="5"/>
      <c r="J505" s="73"/>
      <c r="K505" s="75" t="str">
        <f>IFERROR(__xludf.DUMMYFUNCTION("""COMPUTED_VALUE"""),"")</f>
        <v/>
      </c>
      <c r="L505" s="75"/>
      <c r="M505" s="46" t="s">
        <v>2002</v>
      </c>
    </row>
    <row r="506">
      <c r="A506" s="70">
        <f>IFERROR(__xludf.DUMMYFUNCTION("""COMPUTED_VALUE"""),9.899415802E9)</f>
        <v>9899415802</v>
      </c>
      <c r="B506" s="46" t="str">
        <f>IFERROR(__xludf.DUMMYFUNCTION("""COMPUTED_VALUE"""),"Reena Maurya")</f>
        <v>Reena Maurya</v>
      </c>
      <c r="C506" s="5" t="s">
        <v>2002</v>
      </c>
      <c r="D506" s="5"/>
      <c r="E506" s="5"/>
      <c r="F506" s="5"/>
      <c r="G506" s="5"/>
      <c r="H506" s="5"/>
      <c r="I506" s="5"/>
      <c r="J506" s="73"/>
      <c r="K506" s="75" t="str">
        <f>IFERROR(__xludf.DUMMYFUNCTION("""COMPUTED_VALUE"""),"")</f>
        <v/>
      </c>
      <c r="L506" s="75"/>
      <c r="M506" s="46" t="s">
        <v>2002</v>
      </c>
    </row>
    <row r="507">
      <c r="A507" s="70">
        <f>IFERROR(__xludf.DUMMYFUNCTION("""COMPUTED_VALUE"""),9.871377641E9)</f>
        <v>9871377641</v>
      </c>
      <c r="B507" s="46" t="str">
        <f>IFERROR(__xludf.DUMMYFUNCTION("""COMPUTED_VALUE"""),"Geeta")</f>
        <v>Geeta</v>
      </c>
      <c r="C507" s="5" t="s">
        <v>2002</v>
      </c>
      <c r="D507" s="5"/>
      <c r="E507" s="5"/>
      <c r="F507" s="5"/>
      <c r="G507" s="5"/>
      <c r="H507" s="5"/>
      <c r="I507" s="5"/>
      <c r="J507" s="73"/>
      <c r="K507" s="75" t="str">
        <f>IFERROR(__xludf.DUMMYFUNCTION("""COMPUTED_VALUE"""),"")</f>
        <v/>
      </c>
      <c r="L507" s="75"/>
      <c r="M507" s="46" t="s">
        <v>2002</v>
      </c>
    </row>
    <row r="508">
      <c r="A508" s="70">
        <f>IFERROR(__xludf.DUMMYFUNCTION("""COMPUTED_VALUE"""),8.882446736E9)</f>
        <v>8882446736</v>
      </c>
      <c r="B508" s="46" t="str">
        <f>IFERROR(__xludf.DUMMYFUNCTION("""COMPUTED_VALUE"""),"Paayal")</f>
        <v>Paayal</v>
      </c>
      <c r="C508" s="5" t="s">
        <v>2002</v>
      </c>
      <c r="D508" s="5"/>
      <c r="E508" s="5"/>
      <c r="F508" s="5"/>
      <c r="G508" s="5"/>
      <c r="H508" s="5"/>
      <c r="I508" s="5"/>
      <c r="J508" s="73"/>
      <c r="K508" s="75" t="str">
        <f>IFERROR(__xludf.DUMMYFUNCTION("""COMPUTED_VALUE"""),"")</f>
        <v/>
      </c>
      <c r="L508" s="75"/>
      <c r="M508" s="46" t="s">
        <v>2002</v>
      </c>
    </row>
    <row r="509">
      <c r="A509" s="70">
        <f>IFERROR(__xludf.DUMMYFUNCTION("""COMPUTED_VALUE"""),8.97905488E9)</f>
        <v>8979054880</v>
      </c>
      <c r="B509" s="46" t="str">
        <f>IFERROR(__xludf.DUMMYFUNCTION("""COMPUTED_VALUE"""),"Sachin cheema")</f>
        <v>Sachin cheema</v>
      </c>
      <c r="C509" s="5" t="s">
        <v>2002</v>
      </c>
      <c r="D509" s="5"/>
      <c r="E509" s="5"/>
      <c r="F509" s="5"/>
      <c r="G509" s="5"/>
      <c r="H509" s="5"/>
      <c r="I509" s="5"/>
      <c r="J509" s="73"/>
      <c r="K509" s="75" t="str">
        <f>IFERROR(__xludf.DUMMYFUNCTION("""COMPUTED_VALUE"""),"")</f>
        <v/>
      </c>
      <c r="L509" s="75"/>
      <c r="M509" s="46" t="s">
        <v>2002</v>
      </c>
    </row>
    <row r="510">
      <c r="A510" s="70">
        <f>IFERROR(__xludf.DUMMYFUNCTION("""COMPUTED_VALUE"""),9.389406565E9)</f>
        <v>9389406565</v>
      </c>
      <c r="B510" s="46" t="str">
        <f>IFERROR(__xludf.DUMMYFUNCTION("""COMPUTED_VALUE"""),"Abhinav nirvan")</f>
        <v>Abhinav nirvan</v>
      </c>
      <c r="C510" s="5" t="s">
        <v>2002</v>
      </c>
      <c r="D510" s="5"/>
      <c r="E510" s="5"/>
      <c r="F510" s="5"/>
      <c r="G510" s="5"/>
      <c r="H510" s="5"/>
      <c r="I510" s="5"/>
      <c r="J510" s="73"/>
      <c r="K510" s="75" t="str">
        <f>IFERROR(__xludf.DUMMYFUNCTION("""COMPUTED_VALUE"""),"")</f>
        <v/>
      </c>
      <c r="L510" s="75"/>
      <c r="M510" s="46" t="s">
        <v>2002</v>
      </c>
    </row>
    <row r="511">
      <c r="A511" s="70">
        <f>IFERROR(__xludf.DUMMYFUNCTION("""COMPUTED_VALUE"""),9.441432207E9)</f>
        <v>9441432207</v>
      </c>
      <c r="B511" s="46" t="str">
        <f>IFERROR(__xludf.DUMMYFUNCTION("""COMPUTED_VALUE"""),"Sandeep")</f>
        <v>Sandeep</v>
      </c>
      <c r="C511" s="5" t="s">
        <v>2002</v>
      </c>
      <c r="D511" s="5"/>
      <c r="E511" s="5"/>
      <c r="F511" s="5"/>
      <c r="G511" s="5"/>
      <c r="H511" s="5"/>
      <c r="I511" s="5"/>
      <c r="J511" s="73"/>
      <c r="K511" s="75" t="str">
        <f>IFERROR(__xludf.DUMMYFUNCTION("""COMPUTED_VALUE"""),"")</f>
        <v/>
      </c>
      <c r="L511" s="75"/>
      <c r="M511" s="46" t="s">
        <v>2002</v>
      </c>
    </row>
    <row r="512">
      <c r="A512" s="70">
        <f>IFERROR(__xludf.DUMMYFUNCTION("""COMPUTED_VALUE"""),8.810307887E9)</f>
        <v>8810307887</v>
      </c>
      <c r="B512" s="46" t="str">
        <f>IFERROR(__xludf.DUMMYFUNCTION("""COMPUTED_VALUE"""),"Vaishaali ")</f>
        <v>Vaishaali </v>
      </c>
      <c r="C512" s="5" t="s">
        <v>2002</v>
      </c>
      <c r="D512" s="5"/>
      <c r="E512" s="5"/>
      <c r="F512" s="5"/>
      <c r="G512" s="5"/>
      <c r="H512" s="5"/>
      <c r="I512" s="5"/>
      <c r="J512" s="73"/>
      <c r="K512" s="75" t="str">
        <f>IFERROR(__xludf.DUMMYFUNCTION("""COMPUTED_VALUE"""),"")</f>
        <v/>
      </c>
      <c r="L512" s="75"/>
      <c r="M512" s="46" t="s">
        <v>2002</v>
      </c>
    </row>
    <row r="513">
      <c r="A513" s="70">
        <f>IFERROR(__xludf.DUMMYFUNCTION("""COMPUTED_VALUE"""),9.8283271E9)</f>
        <v>9828327100</v>
      </c>
      <c r="B513" s="46" t="str">
        <f>IFERROR(__xludf.DUMMYFUNCTION("""COMPUTED_VALUE"""),"Prashant Aggarwal ")</f>
        <v>Prashant Aggarwal </v>
      </c>
      <c r="C513" s="5" t="s">
        <v>2002</v>
      </c>
      <c r="D513" s="5"/>
      <c r="E513" s="5"/>
      <c r="F513" s="5"/>
      <c r="G513" s="5"/>
      <c r="H513" s="5"/>
      <c r="I513" s="5"/>
      <c r="J513" s="73"/>
      <c r="K513" s="75" t="str">
        <f>IFERROR(__xludf.DUMMYFUNCTION("""COMPUTED_VALUE"""),"")</f>
        <v/>
      </c>
      <c r="L513" s="75"/>
      <c r="M513" s="46" t="s">
        <v>2002</v>
      </c>
    </row>
    <row r="514">
      <c r="A514" s="70">
        <f>IFERROR(__xludf.DUMMYFUNCTION("""COMPUTED_VALUE"""),9.891359335E9)</f>
        <v>9891359335</v>
      </c>
      <c r="B514" s="46" t="str">
        <f>IFERROR(__xludf.DUMMYFUNCTION("""COMPUTED_VALUE"""),"Sarita")</f>
        <v>Sarita</v>
      </c>
      <c r="C514" s="5" t="s">
        <v>2002</v>
      </c>
      <c r="D514" s="5"/>
      <c r="E514" s="5"/>
      <c r="F514" s="5"/>
      <c r="G514" s="5"/>
      <c r="H514" s="5"/>
      <c r="I514" s="5"/>
      <c r="J514" s="73"/>
      <c r="K514" s="75" t="str">
        <f>IFERROR(__xludf.DUMMYFUNCTION("""COMPUTED_VALUE"""),"")</f>
        <v/>
      </c>
      <c r="L514" s="75"/>
      <c r="M514" s="46" t="s">
        <v>2002</v>
      </c>
    </row>
    <row r="515">
      <c r="A515" s="70">
        <f>IFERROR(__xludf.DUMMYFUNCTION("""COMPUTED_VALUE"""),9.99008755E9)</f>
        <v>9990087550</v>
      </c>
      <c r="B515" s="46" t="str">
        <f>IFERROR(__xludf.DUMMYFUNCTION("""COMPUTED_VALUE"""),"Anand prakash ")</f>
        <v>Anand prakash </v>
      </c>
      <c r="C515" s="5" t="s">
        <v>2002</v>
      </c>
      <c r="D515" s="5"/>
      <c r="E515" s="5"/>
      <c r="F515" s="5"/>
      <c r="G515" s="5"/>
      <c r="H515" s="5"/>
      <c r="I515" s="5"/>
      <c r="J515" s="73"/>
      <c r="K515" s="75" t="str">
        <f>IFERROR(__xludf.DUMMYFUNCTION("""COMPUTED_VALUE"""),"")</f>
        <v/>
      </c>
      <c r="L515" s="75"/>
      <c r="M515" s="46" t="s">
        <v>2002</v>
      </c>
    </row>
    <row r="516">
      <c r="A516" s="70">
        <f>IFERROR(__xludf.DUMMYFUNCTION("""COMPUTED_VALUE"""),8.800498351E9)</f>
        <v>8800498351</v>
      </c>
      <c r="B516" s="46" t="str">
        <f>IFERROR(__xludf.DUMMYFUNCTION("""COMPUTED_VALUE"""),"K K Chopra")</f>
        <v>K K Chopra</v>
      </c>
      <c r="C516" s="5" t="s">
        <v>2002</v>
      </c>
      <c r="D516" s="5"/>
      <c r="E516" s="5"/>
      <c r="F516" s="5"/>
      <c r="G516" s="5"/>
      <c r="H516" s="5"/>
      <c r="I516" s="5"/>
      <c r="J516" s="73"/>
      <c r="K516" s="75" t="str">
        <f>IFERROR(__xludf.DUMMYFUNCTION("""COMPUTED_VALUE"""),"")</f>
        <v/>
      </c>
      <c r="L516" s="75"/>
      <c r="M516" s="46" t="s">
        <v>2002</v>
      </c>
    </row>
    <row r="517">
      <c r="A517" s="70">
        <f>IFERROR(__xludf.DUMMYFUNCTION("""COMPUTED_VALUE"""),8.076392071E9)</f>
        <v>8076392071</v>
      </c>
      <c r="B517" s="46" t="str">
        <f>IFERROR(__xludf.DUMMYFUNCTION("""COMPUTED_VALUE"""),"Priyanka")</f>
        <v>Priyanka</v>
      </c>
      <c r="C517" s="5" t="s">
        <v>2002</v>
      </c>
      <c r="D517" s="5"/>
      <c r="E517" s="5"/>
      <c r="F517" s="5"/>
      <c r="G517" s="5"/>
      <c r="H517" s="5"/>
      <c r="I517" s="5"/>
      <c r="J517" s="73"/>
      <c r="K517" s="75" t="str">
        <f>IFERROR(__xludf.DUMMYFUNCTION("""COMPUTED_VALUE"""),"")</f>
        <v/>
      </c>
      <c r="L517" s="75"/>
      <c r="M517" s="46" t="s">
        <v>2002</v>
      </c>
    </row>
    <row r="518">
      <c r="A518" s="70">
        <f>IFERROR(__xludf.DUMMYFUNCTION("""COMPUTED_VALUE"""),8.860568021E9)</f>
        <v>8860568021</v>
      </c>
      <c r="B518" s="46" t="str">
        <f>IFERROR(__xludf.DUMMYFUNCTION("""COMPUTED_VALUE"""),"Gunjan")</f>
        <v>Gunjan</v>
      </c>
      <c r="C518" s="5" t="s">
        <v>2002</v>
      </c>
      <c r="D518" s="5"/>
      <c r="E518" s="5"/>
      <c r="F518" s="5"/>
      <c r="G518" s="5"/>
      <c r="H518" s="5"/>
      <c r="I518" s="5"/>
      <c r="J518" s="73"/>
      <c r="K518" s="75" t="str">
        <f>IFERROR(__xludf.DUMMYFUNCTION("""COMPUTED_VALUE"""),"")</f>
        <v/>
      </c>
      <c r="L518" s="75"/>
      <c r="M518" s="46" t="s">
        <v>2002</v>
      </c>
    </row>
    <row r="519">
      <c r="A519" s="70">
        <f>IFERROR(__xludf.DUMMYFUNCTION("""COMPUTED_VALUE"""),9.899122033E9)</f>
        <v>9899122033</v>
      </c>
      <c r="B519" s="46" t="str">
        <f>IFERROR(__xludf.DUMMYFUNCTION("""COMPUTED_VALUE"""),"Sanjay singh")</f>
        <v>Sanjay singh</v>
      </c>
      <c r="C519" s="5" t="s">
        <v>2002</v>
      </c>
      <c r="D519" s="5"/>
      <c r="E519" s="5"/>
      <c r="F519" s="5"/>
      <c r="G519" s="5"/>
      <c r="H519" s="5"/>
      <c r="I519" s="5"/>
      <c r="J519" s="73"/>
      <c r="K519" s="75" t="str">
        <f>IFERROR(__xludf.DUMMYFUNCTION("""COMPUTED_VALUE"""),"")</f>
        <v/>
      </c>
      <c r="L519" s="75"/>
      <c r="M519" s="46" t="s">
        <v>2002</v>
      </c>
    </row>
    <row r="520">
      <c r="A520" s="70">
        <f>IFERROR(__xludf.DUMMYFUNCTION("""COMPUTED_VALUE"""),9.3118929E9)</f>
        <v>9311892900</v>
      </c>
      <c r="B520" s="46" t="str">
        <f>IFERROR(__xludf.DUMMYFUNCTION("""COMPUTED_VALUE"""),"Rajveer singh")</f>
        <v>Rajveer singh</v>
      </c>
      <c r="C520" s="5" t="s">
        <v>2002</v>
      </c>
      <c r="D520" s="5"/>
      <c r="E520" s="5"/>
      <c r="F520" s="5"/>
      <c r="G520" s="5"/>
      <c r="H520" s="5"/>
      <c r="I520" s="5"/>
      <c r="J520" s="73"/>
      <c r="K520" s="75" t="str">
        <f>IFERROR(__xludf.DUMMYFUNCTION("""COMPUTED_VALUE"""),"")</f>
        <v/>
      </c>
      <c r="L520" s="75"/>
      <c r="M520" s="46" t="s">
        <v>2002</v>
      </c>
    </row>
    <row r="521">
      <c r="A521" s="70">
        <f>IFERROR(__xludf.DUMMYFUNCTION("""COMPUTED_VALUE"""),9.810676701E9)</f>
        <v>9810676701</v>
      </c>
      <c r="B521" s="46" t="str">
        <f>IFERROR(__xludf.DUMMYFUNCTION("""COMPUTED_VALUE"""),"Rohit goyal")</f>
        <v>Rohit goyal</v>
      </c>
      <c r="C521" s="5" t="s">
        <v>2002</v>
      </c>
      <c r="D521" s="5"/>
      <c r="E521" s="5"/>
      <c r="F521" s="5"/>
      <c r="G521" s="5"/>
      <c r="H521" s="5"/>
      <c r="I521" s="5"/>
      <c r="J521" s="73"/>
      <c r="K521" s="75" t="str">
        <f>IFERROR(__xludf.DUMMYFUNCTION("""COMPUTED_VALUE"""),"")</f>
        <v/>
      </c>
      <c r="L521" s="75"/>
      <c r="M521" s="46" t="s">
        <v>2002</v>
      </c>
    </row>
    <row r="522">
      <c r="A522" s="70">
        <f>IFERROR(__xludf.DUMMYFUNCTION("""COMPUTED_VALUE"""),8.826584991E9)</f>
        <v>8826584991</v>
      </c>
      <c r="B522" s="46" t="str">
        <f>IFERROR(__xludf.DUMMYFUNCTION("""COMPUTED_VALUE"""),"Sofia")</f>
        <v>Sofia</v>
      </c>
      <c r="C522" s="5" t="s">
        <v>2002</v>
      </c>
      <c r="D522" s="5"/>
      <c r="E522" s="5"/>
      <c r="F522" s="5"/>
      <c r="G522" s="5"/>
      <c r="H522" s="5"/>
      <c r="I522" s="5"/>
      <c r="J522" s="73"/>
      <c r="K522" s="75" t="str">
        <f>IFERROR(__xludf.DUMMYFUNCTION("""COMPUTED_VALUE"""),"")</f>
        <v/>
      </c>
      <c r="L522" s="75"/>
      <c r="M522" s="46" t="s">
        <v>2002</v>
      </c>
    </row>
    <row r="523">
      <c r="A523" s="70">
        <f>IFERROR(__xludf.DUMMYFUNCTION("""COMPUTED_VALUE"""),9.140000675E9)</f>
        <v>9140000675</v>
      </c>
      <c r="B523" s="46" t="str">
        <f>IFERROR(__xludf.DUMMYFUNCTION("""COMPUTED_VALUE"""),"Urvashi")</f>
        <v>Urvashi</v>
      </c>
      <c r="C523" s="5" t="s">
        <v>2002</v>
      </c>
      <c r="D523" s="5"/>
      <c r="E523" s="5"/>
      <c r="F523" s="5"/>
      <c r="G523" s="5"/>
      <c r="H523" s="5"/>
      <c r="I523" s="5"/>
      <c r="J523" s="73"/>
      <c r="K523" s="75" t="str">
        <f>IFERROR(__xludf.DUMMYFUNCTION("""COMPUTED_VALUE"""),"")</f>
        <v/>
      </c>
      <c r="L523" s="75"/>
      <c r="M523" s="46" t="s">
        <v>2002</v>
      </c>
    </row>
    <row r="524">
      <c r="A524" s="70">
        <f>IFERROR(__xludf.DUMMYFUNCTION("""COMPUTED_VALUE"""),7.011881757E9)</f>
        <v>7011881757</v>
      </c>
      <c r="B524" s="46" t="str">
        <f>IFERROR(__xludf.DUMMYFUNCTION("""COMPUTED_VALUE"""),"Bharat")</f>
        <v>Bharat</v>
      </c>
      <c r="C524" s="5" t="s">
        <v>2002</v>
      </c>
      <c r="D524" s="5"/>
      <c r="E524" s="5"/>
      <c r="F524" s="5"/>
      <c r="G524" s="5"/>
      <c r="H524" s="5"/>
      <c r="I524" s="5"/>
      <c r="J524" s="73"/>
      <c r="K524" s="75" t="str">
        <f>IFERROR(__xludf.DUMMYFUNCTION("""COMPUTED_VALUE"""),"")</f>
        <v/>
      </c>
      <c r="L524" s="75"/>
      <c r="M524" s="46" t="s">
        <v>2002</v>
      </c>
    </row>
    <row r="525">
      <c r="A525" s="70">
        <f>IFERROR(__xludf.DUMMYFUNCTION("""COMPUTED_VALUE"""),9.968312164E9)</f>
        <v>9968312164</v>
      </c>
      <c r="B525" s="46" t="str">
        <f>IFERROR(__xludf.DUMMYFUNCTION("""COMPUTED_VALUE"""),"Anitta Singh")</f>
        <v>Anitta Singh</v>
      </c>
      <c r="C525" s="5" t="s">
        <v>2002</v>
      </c>
      <c r="D525" s="5"/>
      <c r="E525" s="5"/>
      <c r="F525" s="5"/>
      <c r="G525" s="5"/>
      <c r="H525" s="5"/>
      <c r="I525" s="5"/>
      <c r="J525" s="73"/>
      <c r="K525" s="75" t="str">
        <f>IFERROR(__xludf.DUMMYFUNCTION("""COMPUTED_VALUE"""),"")</f>
        <v/>
      </c>
      <c r="L525" s="75"/>
      <c r="M525" s="46" t="s">
        <v>2002</v>
      </c>
    </row>
    <row r="526">
      <c r="A526" s="70">
        <f>IFERROR(__xludf.DUMMYFUNCTION("""COMPUTED_VALUE"""),7.011312243E9)</f>
        <v>7011312243</v>
      </c>
      <c r="B526" s="46" t="str">
        <f>IFERROR(__xludf.DUMMYFUNCTION("""COMPUTED_VALUE"""),"Mahesh verma")</f>
        <v>Mahesh verma</v>
      </c>
      <c r="C526" s="5" t="s">
        <v>2002</v>
      </c>
      <c r="D526" s="5"/>
      <c r="E526" s="5"/>
      <c r="F526" s="5"/>
      <c r="G526" s="5"/>
      <c r="H526" s="5"/>
      <c r="I526" s="5"/>
      <c r="J526" s="73"/>
      <c r="K526" s="75" t="str">
        <f>IFERROR(__xludf.DUMMYFUNCTION("""COMPUTED_VALUE"""),"")</f>
        <v/>
      </c>
      <c r="L526" s="75"/>
      <c r="M526" s="46" t="s">
        <v>2002</v>
      </c>
    </row>
    <row r="527">
      <c r="A527" s="70">
        <f>IFERROR(__xludf.DUMMYFUNCTION("""COMPUTED_VALUE"""),9.319447459E9)</f>
        <v>9319447459</v>
      </c>
      <c r="B527" s="46" t="str">
        <f>IFERROR(__xludf.DUMMYFUNCTION("""COMPUTED_VALUE"""),"Priyanka ")</f>
        <v>Priyanka </v>
      </c>
      <c r="C527" s="5" t="s">
        <v>2002</v>
      </c>
      <c r="D527" s="5"/>
      <c r="E527" s="5"/>
      <c r="F527" s="5"/>
      <c r="G527" s="5"/>
      <c r="H527" s="5"/>
      <c r="I527" s="5"/>
      <c r="J527" s="73"/>
      <c r="K527" s="75" t="str">
        <f>IFERROR(__xludf.DUMMYFUNCTION("""COMPUTED_VALUE"""),"")</f>
        <v/>
      </c>
      <c r="L527" s="75"/>
      <c r="M527" s="46" t="s">
        <v>2002</v>
      </c>
    </row>
    <row r="528">
      <c r="A528" s="70">
        <f>IFERROR(__xludf.DUMMYFUNCTION("""COMPUTED_VALUE"""),9.3194292E9)</f>
        <v>9319429200</v>
      </c>
      <c r="B528" s="46" t="str">
        <f>IFERROR(__xludf.DUMMYFUNCTION("""COMPUTED_VALUE"""),"Lokesh ")</f>
        <v>Lokesh </v>
      </c>
      <c r="C528" s="5" t="s">
        <v>2002</v>
      </c>
      <c r="D528" s="5"/>
      <c r="E528" s="5"/>
      <c r="F528" s="5"/>
      <c r="G528" s="5"/>
      <c r="H528" s="5"/>
      <c r="I528" s="5"/>
      <c r="J528" s="73"/>
      <c r="K528" s="75" t="str">
        <f>IFERROR(__xludf.DUMMYFUNCTION("""COMPUTED_VALUE"""),"")</f>
        <v/>
      </c>
      <c r="L528" s="75"/>
      <c r="M528" s="46" t="s">
        <v>2002</v>
      </c>
    </row>
    <row r="529">
      <c r="A529" s="70">
        <f>IFERROR(__xludf.DUMMYFUNCTION("""COMPUTED_VALUE"""),9.318356185E9)</f>
        <v>9318356185</v>
      </c>
      <c r="B529" s="46" t="str">
        <f>IFERROR(__xludf.DUMMYFUNCTION("""COMPUTED_VALUE"""),"Kanchan ")</f>
        <v>Kanchan </v>
      </c>
      <c r="C529" s="5" t="s">
        <v>2002</v>
      </c>
      <c r="D529" s="5"/>
      <c r="E529" s="5"/>
      <c r="F529" s="5"/>
      <c r="G529" s="5"/>
      <c r="H529" s="5"/>
      <c r="I529" s="5"/>
      <c r="J529" s="73"/>
      <c r="K529" s="75" t="str">
        <f>IFERROR(__xludf.DUMMYFUNCTION("""COMPUTED_VALUE"""),"")</f>
        <v/>
      </c>
      <c r="L529" s="75"/>
      <c r="M529" s="46" t="s">
        <v>2002</v>
      </c>
    </row>
    <row r="530">
      <c r="A530" s="70">
        <f>IFERROR(__xludf.DUMMYFUNCTION("""COMPUTED_VALUE"""),8.74492049E9)</f>
        <v>8744920490</v>
      </c>
      <c r="B530" s="46" t="str">
        <f>IFERROR(__xludf.DUMMYFUNCTION("""COMPUTED_VALUE"""),"Pankaj ")</f>
        <v>Pankaj </v>
      </c>
      <c r="C530" s="5" t="s">
        <v>2002</v>
      </c>
      <c r="D530" s="5"/>
      <c r="E530" s="5"/>
      <c r="F530" s="5"/>
      <c r="G530" s="5"/>
      <c r="H530" s="5"/>
      <c r="I530" s="5"/>
      <c r="J530" s="73"/>
      <c r="K530" s="75" t="str">
        <f>IFERROR(__xludf.DUMMYFUNCTION("""COMPUTED_VALUE"""),"")</f>
        <v/>
      </c>
      <c r="L530" s="75"/>
      <c r="M530" s="46" t="s">
        <v>2002</v>
      </c>
    </row>
    <row r="531">
      <c r="A531" s="70">
        <f>IFERROR(__xludf.DUMMYFUNCTION("""COMPUTED_VALUE"""),9.837779696E9)</f>
        <v>9837779696</v>
      </c>
      <c r="B531" s="46" t="str">
        <f>IFERROR(__xludf.DUMMYFUNCTION("""COMPUTED_VALUE"""),"Vijay arora")</f>
        <v>Vijay arora</v>
      </c>
      <c r="C531" s="5" t="s">
        <v>2002</v>
      </c>
      <c r="D531" s="5"/>
      <c r="E531" s="5"/>
      <c r="F531" s="5"/>
      <c r="G531" s="5"/>
      <c r="H531" s="5"/>
      <c r="I531" s="5"/>
      <c r="J531" s="73"/>
      <c r="K531" s="75" t="str">
        <f>IFERROR(__xludf.DUMMYFUNCTION("""COMPUTED_VALUE"""),"")</f>
        <v/>
      </c>
      <c r="L531" s="75"/>
      <c r="M531" s="46" t="s">
        <v>2002</v>
      </c>
    </row>
    <row r="532">
      <c r="A532" s="70">
        <f>IFERROR(__xludf.DUMMYFUNCTION("""COMPUTED_VALUE"""),7.50399586E9)</f>
        <v>7503995860</v>
      </c>
      <c r="B532" s="46" t="str">
        <f>IFERROR(__xludf.DUMMYFUNCTION("""COMPUTED_VALUE"""),"anitta")</f>
        <v>anitta</v>
      </c>
      <c r="C532" s="5" t="s">
        <v>2002</v>
      </c>
      <c r="D532" s="5"/>
      <c r="E532" s="5"/>
      <c r="F532" s="5"/>
      <c r="G532" s="5"/>
      <c r="H532" s="5"/>
      <c r="I532" s="5"/>
      <c r="J532" s="73"/>
      <c r="K532" s="75" t="str">
        <f>IFERROR(__xludf.DUMMYFUNCTION("""COMPUTED_VALUE"""),"")</f>
        <v/>
      </c>
      <c r="L532" s="75"/>
      <c r="M532" s="46" t="s">
        <v>2002</v>
      </c>
    </row>
    <row r="533">
      <c r="A533" s="70">
        <f>IFERROR(__xludf.DUMMYFUNCTION("""COMPUTED_VALUE"""),9.837846489E9)</f>
        <v>9837846489</v>
      </c>
      <c r="B533" s="46" t="str">
        <f>IFERROR(__xludf.DUMMYFUNCTION("""COMPUTED_VALUE"""),"Nikhil arora")</f>
        <v>Nikhil arora</v>
      </c>
      <c r="C533" s="5" t="s">
        <v>2002</v>
      </c>
      <c r="D533" s="5"/>
      <c r="E533" s="5"/>
      <c r="F533" s="5"/>
      <c r="G533" s="5"/>
      <c r="H533" s="5"/>
      <c r="I533" s="5"/>
      <c r="J533" s="73"/>
      <c r="K533" s="75" t="str">
        <f>IFERROR(__xludf.DUMMYFUNCTION("""COMPUTED_VALUE"""),"")</f>
        <v/>
      </c>
      <c r="L533" s="75"/>
      <c r="M533" s="46" t="s">
        <v>2002</v>
      </c>
    </row>
    <row r="534">
      <c r="A534" s="70">
        <f>IFERROR(__xludf.DUMMYFUNCTION("""COMPUTED_VALUE"""),9.821024357E9)</f>
        <v>9821024357</v>
      </c>
      <c r="B534" s="46" t="str">
        <f>IFERROR(__xludf.DUMMYFUNCTION("""COMPUTED_VALUE"""),"Harsh Pathak")</f>
        <v>Harsh Pathak</v>
      </c>
      <c r="C534" s="5" t="s">
        <v>2002</v>
      </c>
      <c r="D534" s="5"/>
      <c r="E534" s="5"/>
      <c r="F534" s="5"/>
      <c r="G534" s="5"/>
      <c r="H534" s="5"/>
      <c r="I534" s="5"/>
      <c r="J534" s="73"/>
      <c r="K534" s="75" t="str">
        <f>IFERROR(__xludf.DUMMYFUNCTION("""COMPUTED_VALUE"""),"")</f>
        <v/>
      </c>
      <c r="L534" s="75"/>
      <c r="M534" s="46" t="s">
        <v>2002</v>
      </c>
    </row>
    <row r="535">
      <c r="A535" s="70">
        <f>IFERROR(__xludf.DUMMYFUNCTION("""COMPUTED_VALUE"""),7.042633543E9)</f>
        <v>7042633543</v>
      </c>
      <c r="B535" s="46" t="str">
        <f>IFERROR(__xludf.DUMMYFUNCTION("""COMPUTED_VALUE"""),"Aman")</f>
        <v>Aman</v>
      </c>
      <c r="C535" s="5" t="s">
        <v>2002</v>
      </c>
      <c r="D535" s="5"/>
      <c r="E535" s="5"/>
      <c r="F535" s="5"/>
      <c r="G535" s="5"/>
      <c r="H535" s="5"/>
      <c r="I535" s="5"/>
      <c r="J535" s="73"/>
      <c r="K535" s="75" t="str">
        <f>IFERROR(__xludf.DUMMYFUNCTION("""COMPUTED_VALUE"""),"")</f>
        <v/>
      </c>
      <c r="L535" s="75"/>
      <c r="M535" s="46" t="s">
        <v>2002</v>
      </c>
    </row>
    <row r="536">
      <c r="A536" s="70">
        <f>IFERROR(__xludf.DUMMYFUNCTION("""COMPUTED_VALUE"""),9.821024357E9)</f>
        <v>9821024357</v>
      </c>
      <c r="B536" s="46" t="str">
        <f>IFERROR(__xludf.DUMMYFUNCTION("""COMPUTED_VALUE"""),"Harsh pathak")</f>
        <v>Harsh pathak</v>
      </c>
      <c r="C536" s="5" t="s">
        <v>2002</v>
      </c>
      <c r="D536" s="5"/>
      <c r="E536" s="5"/>
      <c r="F536" s="5"/>
      <c r="G536" s="5"/>
      <c r="H536" s="5"/>
      <c r="I536" s="5"/>
      <c r="J536" s="73"/>
      <c r="K536" s="75" t="str">
        <f>IFERROR(__xludf.DUMMYFUNCTION("""COMPUTED_VALUE"""),"")</f>
        <v/>
      </c>
      <c r="L536" s="75"/>
      <c r="M536" s="46" t="s">
        <v>2002</v>
      </c>
    </row>
    <row r="537">
      <c r="A537" s="70">
        <f>IFERROR(__xludf.DUMMYFUNCTION("""COMPUTED_VALUE"""),8.28777919E9)</f>
        <v>8287779190</v>
      </c>
      <c r="B537" s="46" t="str">
        <f>IFERROR(__xludf.DUMMYFUNCTION("""COMPUTED_VALUE"""),"Neha Sah")</f>
        <v>Neha Sah</v>
      </c>
      <c r="C537" s="5" t="s">
        <v>2002</v>
      </c>
      <c r="D537" s="5"/>
      <c r="E537" s="5"/>
      <c r="F537" s="5"/>
      <c r="G537" s="5"/>
      <c r="H537" s="5"/>
      <c r="I537" s="5"/>
      <c r="J537" s="73"/>
      <c r="K537" s="75" t="str">
        <f>IFERROR(__xludf.DUMMYFUNCTION("""COMPUTED_VALUE"""),"")</f>
        <v/>
      </c>
      <c r="L537" s="75"/>
      <c r="M537" s="46" t="s">
        <v>2002</v>
      </c>
    </row>
    <row r="538">
      <c r="A538" s="70">
        <f>IFERROR(__xludf.DUMMYFUNCTION("""COMPUTED_VALUE"""),8.708933674E9)</f>
        <v>8708933674</v>
      </c>
      <c r="B538" s="46" t="str">
        <f>IFERROR(__xludf.DUMMYFUNCTION("""COMPUTED_VALUE"""),"Roobi")</f>
        <v>Roobi</v>
      </c>
      <c r="C538" s="5" t="s">
        <v>2002</v>
      </c>
      <c r="D538" s="5"/>
      <c r="E538" s="5"/>
      <c r="F538" s="5"/>
      <c r="G538" s="5"/>
      <c r="H538" s="5"/>
      <c r="I538" s="5"/>
      <c r="J538" s="73"/>
      <c r="K538" s="75" t="str">
        <f>IFERROR(__xludf.DUMMYFUNCTION("""COMPUTED_VALUE"""),"")</f>
        <v/>
      </c>
      <c r="L538" s="75"/>
      <c r="M538" s="46" t="s">
        <v>2002</v>
      </c>
    </row>
    <row r="539">
      <c r="A539" s="70">
        <f>IFERROR(__xludf.DUMMYFUNCTION("""COMPUTED_VALUE"""),9.31551315E9)</f>
        <v>9315513150</v>
      </c>
      <c r="B539" s="46" t="str">
        <f>IFERROR(__xludf.DUMMYFUNCTION("""COMPUTED_VALUE"""),"Nikhil Jain")</f>
        <v>Nikhil Jain</v>
      </c>
      <c r="C539" s="5" t="s">
        <v>2002</v>
      </c>
      <c r="D539" s="5"/>
      <c r="E539" s="5"/>
      <c r="F539" s="5"/>
      <c r="G539" s="5"/>
      <c r="H539" s="5"/>
      <c r="I539" s="5"/>
      <c r="J539" s="73"/>
      <c r="K539" s="75" t="str">
        <f>IFERROR(__xludf.DUMMYFUNCTION("""COMPUTED_VALUE"""),"")</f>
        <v/>
      </c>
      <c r="L539" s="75"/>
      <c r="M539" s="46" t="s">
        <v>2002</v>
      </c>
    </row>
    <row r="540">
      <c r="A540" s="70">
        <f>IFERROR(__xludf.DUMMYFUNCTION("""COMPUTED_VALUE"""),7.042077936E9)</f>
        <v>7042077936</v>
      </c>
      <c r="B540" s="46" t="str">
        <f>IFERROR(__xludf.DUMMYFUNCTION("""COMPUTED_VALUE"""),"Ritika baghel")</f>
        <v>Ritika baghel</v>
      </c>
      <c r="C540" s="5" t="s">
        <v>2002</v>
      </c>
      <c r="D540" s="5"/>
      <c r="E540" s="5"/>
      <c r="F540" s="5"/>
      <c r="G540" s="5"/>
      <c r="H540" s="5"/>
      <c r="I540" s="5"/>
      <c r="J540" s="73"/>
      <c r="K540" s="75" t="str">
        <f>IFERROR(__xludf.DUMMYFUNCTION("""COMPUTED_VALUE"""),"")</f>
        <v/>
      </c>
      <c r="L540" s="75"/>
      <c r="M540" s="46" t="s">
        <v>2002</v>
      </c>
    </row>
    <row r="541">
      <c r="A541" s="70">
        <f>IFERROR(__xludf.DUMMYFUNCTION("""COMPUTED_VALUE"""),9.821024357E9)</f>
        <v>9821024357</v>
      </c>
      <c r="B541" s="46" t="str">
        <f>IFERROR(__xludf.DUMMYFUNCTION("""COMPUTED_VALUE"""),"Harsh pathak")</f>
        <v>Harsh pathak</v>
      </c>
      <c r="C541" s="5" t="s">
        <v>2002</v>
      </c>
      <c r="D541" s="5"/>
      <c r="E541" s="5"/>
      <c r="F541" s="5"/>
      <c r="G541" s="5"/>
      <c r="H541" s="5"/>
      <c r="I541" s="5"/>
      <c r="J541" s="73"/>
      <c r="K541" s="75" t="str">
        <f>IFERROR(__xludf.DUMMYFUNCTION("""COMPUTED_VALUE"""),"")</f>
        <v/>
      </c>
      <c r="L541" s="75"/>
      <c r="M541" s="46" t="s">
        <v>2002</v>
      </c>
    </row>
    <row r="542">
      <c r="A542" s="70">
        <f>IFERROR(__xludf.DUMMYFUNCTION("""COMPUTED_VALUE"""),9.810824286E9)</f>
        <v>9810824286</v>
      </c>
      <c r="B542" s="46" t="str">
        <f>IFERROR(__xludf.DUMMYFUNCTION("""COMPUTED_VALUE"""),"Sunil Sachdeva ")</f>
        <v>Sunil Sachdeva </v>
      </c>
      <c r="C542" s="5" t="s">
        <v>2002</v>
      </c>
      <c r="D542" s="5"/>
      <c r="E542" s="5"/>
      <c r="F542" s="5"/>
      <c r="G542" s="5"/>
      <c r="H542" s="5"/>
      <c r="I542" s="5"/>
      <c r="J542" s="73"/>
      <c r="K542" s="75" t="str">
        <f>IFERROR(__xludf.DUMMYFUNCTION("""COMPUTED_VALUE"""),"")</f>
        <v/>
      </c>
      <c r="L542" s="75"/>
      <c r="M542" s="46" t="s">
        <v>2002</v>
      </c>
    </row>
    <row r="543">
      <c r="A543" s="70">
        <f>IFERROR(__xludf.DUMMYFUNCTION("""COMPUTED_VALUE"""),9.891108125E9)</f>
        <v>9891108125</v>
      </c>
      <c r="B543" s="46" t="str">
        <f>IFERROR(__xludf.DUMMYFUNCTION("""COMPUTED_VALUE"""),"kailash Kapoor")</f>
        <v>kailash Kapoor</v>
      </c>
      <c r="C543" s="5" t="s">
        <v>2002</v>
      </c>
      <c r="D543" s="5"/>
      <c r="E543" s="5"/>
      <c r="F543" s="5"/>
      <c r="G543" s="5"/>
      <c r="H543" s="5"/>
      <c r="I543" s="5"/>
      <c r="J543" s="73"/>
      <c r="K543" s="75" t="str">
        <f>IFERROR(__xludf.DUMMYFUNCTION("""COMPUTED_VALUE"""),"")</f>
        <v/>
      </c>
      <c r="L543" s="75"/>
      <c r="M543" s="46" t="s">
        <v>2002</v>
      </c>
    </row>
    <row r="544">
      <c r="A544" s="70">
        <f>IFERROR(__xludf.DUMMYFUNCTION("""COMPUTED_VALUE"""),9.899925289E9)</f>
        <v>9899925289</v>
      </c>
      <c r="B544" s="46" t="str">
        <f>IFERROR(__xludf.DUMMYFUNCTION("""COMPUTED_VALUE"""),"Anshika")</f>
        <v>Anshika</v>
      </c>
      <c r="C544" s="5" t="s">
        <v>2002</v>
      </c>
      <c r="D544" s="5"/>
      <c r="E544" s="5"/>
      <c r="F544" s="5"/>
      <c r="G544" s="5"/>
      <c r="H544" s="5"/>
      <c r="I544" s="5"/>
      <c r="J544" s="73"/>
      <c r="K544" s="75" t="str">
        <f>IFERROR(__xludf.DUMMYFUNCTION("""COMPUTED_VALUE"""),"")</f>
        <v/>
      </c>
      <c r="L544" s="75"/>
      <c r="M544" s="46" t="s">
        <v>2002</v>
      </c>
    </row>
    <row r="545">
      <c r="A545" s="70">
        <f>IFERROR(__xludf.DUMMYFUNCTION("""COMPUTED_VALUE"""),9.958797582E9)</f>
        <v>9958797582</v>
      </c>
      <c r="B545" s="46" t="str">
        <f>IFERROR(__xludf.DUMMYFUNCTION("""COMPUTED_VALUE"""),"HC jain")</f>
        <v>HC jain</v>
      </c>
      <c r="C545" s="5" t="s">
        <v>2002</v>
      </c>
      <c r="D545" s="5"/>
      <c r="E545" s="5"/>
      <c r="F545" s="5"/>
      <c r="G545" s="5"/>
      <c r="H545" s="5"/>
      <c r="I545" s="5"/>
      <c r="J545" s="73"/>
      <c r="K545" s="75" t="str">
        <f>IFERROR(__xludf.DUMMYFUNCTION("""COMPUTED_VALUE"""),"")</f>
        <v/>
      </c>
      <c r="L545" s="75"/>
      <c r="M545" s="46" t="s">
        <v>2002</v>
      </c>
    </row>
    <row r="546">
      <c r="A546" s="70">
        <f>IFERROR(__xludf.DUMMYFUNCTION("""COMPUTED_VALUE"""),9.999222644E9)</f>
        <v>9999222644</v>
      </c>
      <c r="B546" s="46" t="str">
        <f>IFERROR(__xludf.DUMMYFUNCTION("""COMPUTED_VALUE"""),"Meenakshi Gupta")</f>
        <v>Meenakshi Gupta</v>
      </c>
      <c r="C546" s="5" t="s">
        <v>2002</v>
      </c>
      <c r="D546" s="5"/>
      <c r="E546" s="5"/>
      <c r="F546" s="5"/>
      <c r="G546" s="5"/>
      <c r="H546" s="5"/>
      <c r="I546" s="5"/>
      <c r="J546" s="73"/>
      <c r="K546" s="75" t="str">
        <f>IFERROR(__xludf.DUMMYFUNCTION("""COMPUTED_VALUE"""),"")</f>
        <v/>
      </c>
      <c r="L546" s="75"/>
      <c r="M546" s="46" t="s">
        <v>2002</v>
      </c>
    </row>
    <row r="547">
      <c r="A547" s="70">
        <f>IFERROR(__xludf.DUMMYFUNCTION("""COMPUTED_VALUE"""),8.750919253E9)</f>
        <v>8750919253</v>
      </c>
      <c r="B547" s="46" t="str">
        <f>IFERROR(__xludf.DUMMYFUNCTION("""COMPUTED_VALUE"""),"Bhavna")</f>
        <v>Bhavna</v>
      </c>
      <c r="C547" s="5" t="s">
        <v>2002</v>
      </c>
      <c r="D547" s="5"/>
      <c r="E547" s="5"/>
      <c r="F547" s="5"/>
      <c r="G547" s="5"/>
      <c r="H547" s="5"/>
      <c r="I547" s="5"/>
      <c r="J547" s="73"/>
      <c r="K547" s="75" t="str">
        <f>IFERROR(__xludf.DUMMYFUNCTION("""COMPUTED_VALUE"""),"")</f>
        <v/>
      </c>
      <c r="L547" s="75"/>
      <c r="M547" s="46" t="s">
        <v>2002</v>
      </c>
    </row>
    <row r="548">
      <c r="A548" s="70">
        <f>IFERROR(__xludf.DUMMYFUNCTION("""COMPUTED_VALUE"""),7.053586786E9)</f>
        <v>7053586786</v>
      </c>
      <c r="B548" s="46" t="str">
        <f>IFERROR(__xludf.DUMMYFUNCTION("""COMPUTED_VALUE"""),"Yash ")</f>
        <v>Yash </v>
      </c>
      <c r="C548" s="5" t="s">
        <v>2002</v>
      </c>
      <c r="D548" s="5"/>
      <c r="E548" s="5"/>
      <c r="F548" s="5"/>
      <c r="G548" s="5"/>
      <c r="H548" s="5"/>
      <c r="I548" s="5"/>
      <c r="J548" s="73"/>
      <c r="K548" s="75" t="str">
        <f>IFERROR(__xludf.DUMMYFUNCTION("""COMPUTED_VALUE"""),"")</f>
        <v/>
      </c>
      <c r="L548" s="75"/>
      <c r="M548" s="46" t="s">
        <v>2002</v>
      </c>
    </row>
    <row r="549">
      <c r="A549" s="70">
        <f>IFERROR(__xludf.DUMMYFUNCTION("""COMPUTED_VALUE"""),9.711843859E9)</f>
        <v>9711843859</v>
      </c>
      <c r="B549" s="46" t="str">
        <f>IFERROR(__xludf.DUMMYFUNCTION("""COMPUTED_VALUE"""),"Kavita")</f>
        <v>Kavita</v>
      </c>
      <c r="C549" s="5" t="s">
        <v>2002</v>
      </c>
      <c r="D549" s="5"/>
      <c r="E549" s="5"/>
      <c r="F549" s="5"/>
      <c r="G549" s="5"/>
      <c r="H549" s="5"/>
      <c r="I549" s="5"/>
      <c r="J549" s="73"/>
      <c r="K549" s="75" t="str">
        <f>IFERROR(__xludf.DUMMYFUNCTION("""COMPUTED_VALUE"""),"")</f>
        <v/>
      </c>
      <c r="L549" s="75"/>
      <c r="M549" s="46" t="s">
        <v>2002</v>
      </c>
    </row>
    <row r="550">
      <c r="A550" s="70">
        <f>IFERROR(__xludf.DUMMYFUNCTION("""COMPUTED_VALUE"""),9.991511771E9)</f>
        <v>9991511771</v>
      </c>
      <c r="B550" s="46" t="str">
        <f>IFERROR(__xludf.DUMMYFUNCTION("""COMPUTED_VALUE"""),"Rajkumar")</f>
        <v>Rajkumar</v>
      </c>
      <c r="C550" s="5" t="s">
        <v>2002</v>
      </c>
      <c r="D550" s="5"/>
      <c r="E550" s="5"/>
      <c r="F550" s="5"/>
      <c r="G550" s="5"/>
      <c r="H550" s="5"/>
      <c r="I550" s="5"/>
      <c r="J550" s="73"/>
      <c r="K550" s="75" t="str">
        <f>IFERROR(__xludf.DUMMYFUNCTION("""COMPUTED_VALUE"""),"")</f>
        <v/>
      </c>
      <c r="L550" s="75"/>
      <c r="M550" s="46" t="s">
        <v>2002</v>
      </c>
    </row>
    <row r="551">
      <c r="A551" s="70">
        <f>IFERROR(__xludf.DUMMYFUNCTION("""COMPUTED_VALUE"""),9.013448282E9)</f>
        <v>9013448282</v>
      </c>
      <c r="B551" s="46" t="str">
        <f>IFERROR(__xludf.DUMMYFUNCTION("""COMPUTED_VALUE"""),"laxmi Chauhan")</f>
        <v>laxmi Chauhan</v>
      </c>
      <c r="C551" s="5" t="s">
        <v>2002</v>
      </c>
      <c r="D551" s="5"/>
      <c r="E551" s="5"/>
      <c r="F551" s="5"/>
      <c r="G551" s="5"/>
      <c r="H551" s="5"/>
      <c r="I551" s="5"/>
      <c r="J551" s="73"/>
      <c r="K551" s="75" t="str">
        <f>IFERROR(__xludf.DUMMYFUNCTION("""COMPUTED_VALUE"""),"")</f>
        <v/>
      </c>
      <c r="L551" s="75"/>
      <c r="M551" s="46" t="s">
        <v>2002</v>
      </c>
    </row>
    <row r="552">
      <c r="A552" s="70">
        <f>IFERROR(__xludf.DUMMYFUNCTION("""COMPUTED_VALUE"""),9.431083833E9)</f>
        <v>9431083833</v>
      </c>
      <c r="B552" s="46" t="str">
        <f>IFERROR(__xludf.DUMMYFUNCTION("""COMPUTED_VALUE"""),"Raj Kumar")</f>
        <v>Raj Kumar</v>
      </c>
      <c r="C552" s="5" t="s">
        <v>2002</v>
      </c>
      <c r="D552" s="5"/>
      <c r="E552" s="5"/>
      <c r="F552" s="5"/>
      <c r="G552" s="5"/>
      <c r="H552" s="5"/>
      <c r="I552" s="5"/>
      <c r="J552" s="73"/>
      <c r="K552" s="75" t="str">
        <f>IFERROR(__xludf.DUMMYFUNCTION("""COMPUTED_VALUE"""),"")</f>
        <v/>
      </c>
      <c r="L552" s="75"/>
      <c r="M552" s="46" t="s">
        <v>2002</v>
      </c>
    </row>
    <row r="553">
      <c r="A553" s="70">
        <f>IFERROR(__xludf.DUMMYFUNCTION("""COMPUTED_VALUE"""),9.467204416E9)</f>
        <v>9467204416</v>
      </c>
      <c r="B553" s="46" t="str">
        <f>IFERROR(__xludf.DUMMYFUNCTION("""COMPUTED_VALUE"""),"Ravinder choudhry ")</f>
        <v>Ravinder choudhry </v>
      </c>
      <c r="C553" s="5" t="s">
        <v>2002</v>
      </c>
      <c r="D553" s="5"/>
      <c r="E553" s="5"/>
      <c r="F553" s="5"/>
      <c r="G553" s="5"/>
      <c r="H553" s="5"/>
      <c r="I553" s="5"/>
      <c r="J553" s="73"/>
      <c r="K553" s="75" t="str">
        <f>IFERROR(__xludf.DUMMYFUNCTION("""COMPUTED_VALUE"""),"")</f>
        <v/>
      </c>
      <c r="L553" s="75"/>
      <c r="M553" s="46" t="s">
        <v>2002</v>
      </c>
    </row>
    <row r="554">
      <c r="A554" s="70">
        <f>IFERROR(__xludf.DUMMYFUNCTION("""COMPUTED_VALUE"""),9.981533372E9)</f>
        <v>9981533372</v>
      </c>
      <c r="B554" s="46" t="str">
        <f>IFERROR(__xludf.DUMMYFUNCTION("""COMPUTED_VALUE"""),"Rita gupta")</f>
        <v>Rita gupta</v>
      </c>
      <c r="C554" s="5" t="s">
        <v>2002</v>
      </c>
      <c r="D554" s="5"/>
      <c r="E554" s="5"/>
      <c r="F554" s="5"/>
      <c r="G554" s="5"/>
      <c r="H554" s="5"/>
      <c r="I554" s="5"/>
      <c r="J554" s="73"/>
      <c r="K554" s="75" t="str">
        <f>IFERROR(__xludf.DUMMYFUNCTION("""COMPUTED_VALUE"""),"")</f>
        <v/>
      </c>
      <c r="L554" s="75"/>
      <c r="M554" s="46" t="s">
        <v>2002</v>
      </c>
    </row>
    <row r="555">
      <c r="A555" s="70">
        <f>IFERROR(__xludf.DUMMYFUNCTION("""COMPUTED_VALUE"""),9.958565432E9)</f>
        <v>9958565432</v>
      </c>
      <c r="B555" s="46" t="str">
        <f>IFERROR(__xludf.DUMMYFUNCTION("""COMPUTED_VALUE"""),"Ishu")</f>
        <v>Ishu</v>
      </c>
      <c r="C555" s="5" t="s">
        <v>2002</v>
      </c>
      <c r="D555" s="5"/>
      <c r="E555" s="5"/>
      <c r="F555" s="5"/>
      <c r="G555" s="5"/>
      <c r="H555" s="5"/>
      <c r="I555" s="5"/>
      <c r="J555" s="73"/>
      <c r="K555" s="75" t="str">
        <f>IFERROR(__xludf.DUMMYFUNCTION("""COMPUTED_VALUE"""),"")</f>
        <v/>
      </c>
      <c r="L555" s="75"/>
      <c r="M555" s="46" t="s">
        <v>2002</v>
      </c>
    </row>
    <row r="556">
      <c r="A556" s="70">
        <f>IFERROR(__xludf.DUMMYFUNCTION("""COMPUTED_VALUE"""),8.459447702E9)</f>
        <v>8459447702</v>
      </c>
      <c r="B556" s="46" t="str">
        <f>IFERROR(__xludf.DUMMYFUNCTION("""COMPUTED_VALUE"""),"Munesh")</f>
        <v>Munesh</v>
      </c>
      <c r="C556" s="5" t="s">
        <v>2002</v>
      </c>
      <c r="D556" s="5"/>
      <c r="E556" s="5"/>
      <c r="F556" s="5"/>
      <c r="G556" s="5"/>
      <c r="H556" s="5"/>
      <c r="I556" s="5"/>
      <c r="J556" s="73"/>
      <c r="K556" s="75" t="str">
        <f>IFERROR(__xludf.DUMMYFUNCTION("""COMPUTED_VALUE"""),"")</f>
        <v/>
      </c>
      <c r="L556" s="75"/>
      <c r="M556" s="46" t="s">
        <v>2002</v>
      </c>
    </row>
    <row r="557">
      <c r="A557" s="70">
        <f>IFERROR(__xludf.DUMMYFUNCTION("""COMPUTED_VALUE"""),9.012151617E9)</f>
        <v>9012151617</v>
      </c>
      <c r="B557" s="46" t="str">
        <f>IFERROR(__xludf.DUMMYFUNCTION("""COMPUTED_VALUE"""),"Ashok Suri")</f>
        <v>Ashok Suri</v>
      </c>
      <c r="C557" s="5" t="s">
        <v>2002</v>
      </c>
      <c r="D557" s="5"/>
      <c r="E557" s="5"/>
      <c r="F557" s="5"/>
      <c r="G557" s="5"/>
      <c r="H557" s="5"/>
      <c r="I557" s="5"/>
      <c r="J557" s="73"/>
      <c r="K557" s="75" t="str">
        <f>IFERROR(__xludf.DUMMYFUNCTION("""COMPUTED_VALUE"""),"")</f>
        <v/>
      </c>
      <c r="L557" s="75"/>
      <c r="M557" s="46" t="s">
        <v>2002</v>
      </c>
    </row>
    <row r="558">
      <c r="A558" s="70">
        <f>IFERROR(__xludf.DUMMYFUNCTION("""COMPUTED_VALUE"""),7.703881613E9)</f>
        <v>7703881613</v>
      </c>
      <c r="B558" s="46" t="str">
        <f>IFERROR(__xludf.DUMMYFUNCTION("""COMPUTED_VALUE"""),"Geeta")</f>
        <v>Geeta</v>
      </c>
      <c r="C558" s="5" t="s">
        <v>2002</v>
      </c>
      <c r="D558" s="5"/>
      <c r="E558" s="5"/>
      <c r="F558" s="5"/>
      <c r="G558" s="5"/>
      <c r="H558" s="5"/>
      <c r="I558" s="5"/>
      <c r="J558" s="73"/>
      <c r="K558" s="75" t="str">
        <f>IFERROR(__xludf.DUMMYFUNCTION("""COMPUTED_VALUE"""),"")</f>
        <v/>
      </c>
      <c r="L558" s="75"/>
      <c r="M558" s="46" t="s">
        <v>2002</v>
      </c>
    </row>
    <row r="559">
      <c r="A559" s="70">
        <f>IFERROR(__xludf.DUMMYFUNCTION("""COMPUTED_VALUE"""),9.891872916E9)</f>
        <v>9891872916</v>
      </c>
      <c r="B559" s="46" t="str">
        <f>IFERROR(__xludf.DUMMYFUNCTION("""COMPUTED_VALUE"""),"Sudarshan kumar")</f>
        <v>Sudarshan kumar</v>
      </c>
      <c r="C559" s="5" t="s">
        <v>2002</v>
      </c>
      <c r="D559" s="5"/>
      <c r="E559" s="5"/>
      <c r="F559" s="5"/>
      <c r="G559" s="5"/>
      <c r="H559" s="5"/>
      <c r="I559" s="5"/>
      <c r="J559" s="73"/>
      <c r="K559" s="75" t="str">
        <f>IFERROR(__xludf.DUMMYFUNCTION("""COMPUTED_VALUE"""),"")</f>
        <v/>
      </c>
      <c r="L559" s="75"/>
      <c r="M559" s="46" t="s">
        <v>2002</v>
      </c>
    </row>
    <row r="560">
      <c r="A560" s="70">
        <f>IFERROR(__xludf.DUMMYFUNCTION("""COMPUTED_VALUE"""),9.711561566E9)</f>
        <v>9711561566</v>
      </c>
      <c r="B560" s="46" t="str">
        <f>IFERROR(__xludf.DUMMYFUNCTION("""COMPUTED_VALUE"""),"Tripta Chopra")</f>
        <v>Tripta Chopra</v>
      </c>
      <c r="C560" s="5" t="s">
        <v>2002</v>
      </c>
      <c r="D560" s="5"/>
      <c r="E560" s="5"/>
      <c r="F560" s="5"/>
      <c r="G560" s="5"/>
      <c r="H560" s="5"/>
      <c r="I560" s="5"/>
      <c r="J560" s="73"/>
      <c r="K560" s="75" t="str">
        <f>IFERROR(__xludf.DUMMYFUNCTION("""COMPUTED_VALUE"""),"")</f>
        <v/>
      </c>
      <c r="L560" s="75"/>
      <c r="M560" s="46" t="s">
        <v>2002</v>
      </c>
    </row>
    <row r="561">
      <c r="A561" s="70">
        <f>IFERROR(__xludf.DUMMYFUNCTION("""COMPUTED_VALUE"""),9.811237684E9)</f>
        <v>9811237684</v>
      </c>
      <c r="B561" s="46" t="str">
        <f>IFERROR(__xludf.DUMMYFUNCTION("""COMPUTED_VALUE"""),"Laxmi")</f>
        <v>Laxmi</v>
      </c>
      <c r="C561" s="5" t="s">
        <v>2002</v>
      </c>
      <c r="D561" s="5"/>
      <c r="E561" s="5"/>
      <c r="F561" s="5"/>
      <c r="G561" s="5"/>
      <c r="H561" s="5"/>
      <c r="I561" s="5"/>
      <c r="J561" s="73"/>
      <c r="K561" s="75" t="str">
        <f>IFERROR(__xludf.DUMMYFUNCTION("""COMPUTED_VALUE"""),"")</f>
        <v/>
      </c>
      <c r="L561" s="75"/>
      <c r="M561" s="46" t="s">
        <v>2002</v>
      </c>
    </row>
    <row r="562">
      <c r="A562" s="70">
        <f>IFERROR(__xludf.DUMMYFUNCTION("""COMPUTED_VALUE"""),9.811284065E9)</f>
        <v>9811284065</v>
      </c>
      <c r="B562" s="46" t="str">
        <f>IFERROR(__xludf.DUMMYFUNCTION("""COMPUTED_VALUE"""),"Manisha Gupta")</f>
        <v>Manisha Gupta</v>
      </c>
      <c r="C562" s="5" t="s">
        <v>2002</v>
      </c>
      <c r="D562" s="5"/>
      <c r="E562" s="5"/>
      <c r="F562" s="5"/>
      <c r="G562" s="5"/>
      <c r="H562" s="5"/>
      <c r="I562" s="5"/>
      <c r="J562" s="73"/>
      <c r="K562" s="75" t="str">
        <f>IFERROR(__xludf.DUMMYFUNCTION("""COMPUTED_VALUE"""),"")</f>
        <v/>
      </c>
      <c r="L562" s="75"/>
      <c r="M562" s="46" t="s">
        <v>2002</v>
      </c>
    </row>
    <row r="563">
      <c r="A563" s="70">
        <f>IFERROR(__xludf.DUMMYFUNCTION("""COMPUTED_VALUE"""),9.810013958E9)</f>
        <v>9810013958</v>
      </c>
      <c r="B563" s="46" t="str">
        <f>IFERROR(__xludf.DUMMYFUNCTION("""COMPUTED_VALUE"""),"Harish Kumar goyel")</f>
        <v>Harish Kumar goyel</v>
      </c>
      <c r="C563" s="5" t="s">
        <v>2002</v>
      </c>
      <c r="D563" s="5"/>
      <c r="E563" s="5"/>
      <c r="F563" s="5"/>
      <c r="G563" s="5"/>
      <c r="H563" s="5"/>
      <c r="I563" s="5"/>
      <c r="J563" s="73"/>
      <c r="K563" s="75" t="str">
        <f>IFERROR(__xludf.DUMMYFUNCTION("""COMPUTED_VALUE"""),"")</f>
        <v/>
      </c>
      <c r="L563" s="75"/>
      <c r="M563" s="46" t="s">
        <v>2002</v>
      </c>
    </row>
    <row r="564">
      <c r="A564" s="70">
        <f>IFERROR(__xludf.DUMMYFUNCTION("""COMPUTED_VALUE"""),9.818640261E9)</f>
        <v>9818640261</v>
      </c>
      <c r="B564" s="46" t="str">
        <f>IFERROR(__xludf.DUMMYFUNCTION("""COMPUTED_VALUE"""),"Nancy")</f>
        <v>Nancy</v>
      </c>
      <c r="C564" s="5" t="s">
        <v>2002</v>
      </c>
      <c r="D564" s="5"/>
      <c r="E564" s="5"/>
      <c r="F564" s="5"/>
      <c r="G564" s="5"/>
      <c r="H564" s="5"/>
      <c r="I564" s="5"/>
      <c r="J564" s="73"/>
      <c r="K564" s="75" t="str">
        <f>IFERROR(__xludf.DUMMYFUNCTION("""COMPUTED_VALUE"""),"")</f>
        <v/>
      </c>
      <c r="L564" s="75"/>
      <c r="M564" s="46" t="s">
        <v>2002</v>
      </c>
    </row>
    <row r="565">
      <c r="A565" s="70">
        <f>IFERROR(__xludf.DUMMYFUNCTION("""COMPUTED_VALUE"""),9.811066932E9)</f>
        <v>9811066932</v>
      </c>
      <c r="B565" s="46" t="str">
        <f>IFERROR(__xludf.DUMMYFUNCTION("""COMPUTED_VALUE"""),"Namita")</f>
        <v>Namita</v>
      </c>
      <c r="C565" s="5" t="s">
        <v>2002</v>
      </c>
      <c r="D565" s="5"/>
      <c r="E565" s="5"/>
      <c r="F565" s="5"/>
      <c r="G565" s="5"/>
      <c r="H565" s="5"/>
      <c r="I565" s="5"/>
      <c r="J565" s="73"/>
      <c r="K565" s="75" t="str">
        <f>IFERROR(__xludf.DUMMYFUNCTION("""COMPUTED_VALUE"""),"")</f>
        <v/>
      </c>
      <c r="L565" s="75"/>
      <c r="M565" s="46" t="s">
        <v>2002</v>
      </c>
    </row>
    <row r="566">
      <c r="A566" s="70">
        <f>IFERROR(__xludf.DUMMYFUNCTION("""COMPUTED_VALUE"""),9.958543101E9)</f>
        <v>9958543101</v>
      </c>
      <c r="B566" s="46" t="str">
        <f>IFERROR(__xludf.DUMMYFUNCTION("""COMPUTED_VALUE"""),"sunita")</f>
        <v>sunita</v>
      </c>
      <c r="C566" s="5" t="s">
        <v>2002</v>
      </c>
      <c r="D566" s="5"/>
      <c r="E566" s="5"/>
      <c r="F566" s="5"/>
      <c r="G566" s="5"/>
      <c r="H566" s="5"/>
      <c r="I566" s="5"/>
      <c r="J566" s="73"/>
      <c r="K566" s="75" t="str">
        <f>IFERROR(__xludf.DUMMYFUNCTION("""COMPUTED_VALUE"""),"")</f>
        <v/>
      </c>
      <c r="L566" s="75"/>
      <c r="M566" s="46" t="s">
        <v>2002</v>
      </c>
    </row>
    <row r="567">
      <c r="A567" s="70">
        <f>IFERROR(__xludf.DUMMYFUNCTION("""COMPUTED_VALUE"""),9.198938545E9)</f>
        <v>9198938545</v>
      </c>
      <c r="B567" s="46" t="str">
        <f>IFERROR(__xludf.DUMMYFUNCTION("""COMPUTED_VALUE"""),"DN Aggarwal ")</f>
        <v>DN Aggarwal </v>
      </c>
      <c r="C567" s="5" t="s">
        <v>2002</v>
      </c>
      <c r="D567" s="5"/>
      <c r="E567" s="5"/>
      <c r="F567" s="5"/>
      <c r="G567" s="5"/>
      <c r="H567" s="5"/>
      <c r="I567" s="5"/>
      <c r="J567" s="73"/>
      <c r="K567" s="75" t="str">
        <f>IFERROR(__xludf.DUMMYFUNCTION("""COMPUTED_VALUE"""),"")</f>
        <v/>
      </c>
      <c r="L567" s="75"/>
      <c r="M567" s="46" t="s">
        <v>2002</v>
      </c>
    </row>
    <row r="568">
      <c r="A568" s="70">
        <f>IFERROR(__xludf.DUMMYFUNCTION("""COMPUTED_VALUE"""),9.717200052E9)</f>
        <v>9717200052</v>
      </c>
      <c r="B568" s="46" t="str">
        <f>IFERROR(__xludf.DUMMYFUNCTION("""COMPUTED_VALUE"""),"Divya")</f>
        <v>Divya</v>
      </c>
      <c r="C568" s="5" t="s">
        <v>2002</v>
      </c>
      <c r="D568" s="5"/>
      <c r="E568" s="5"/>
      <c r="F568" s="5"/>
      <c r="G568" s="5"/>
      <c r="H568" s="5"/>
      <c r="I568" s="5"/>
      <c r="J568" s="73"/>
      <c r="K568" s="75" t="str">
        <f>IFERROR(__xludf.DUMMYFUNCTION("""COMPUTED_VALUE"""),"")</f>
        <v/>
      </c>
      <c r="L568" s="75"/>
      <c r="M568" s="46" t="s">
        <v>2002</v>
      </c>
    </row>
    <row r="569">
      <c r="A569" s="70">
        <f>IFERROR(__xludf.DUMMYFUNCTION("""COMPUTED_VALUE"""),8.076975798E9)</f>
        <v>8076975798</v>
      </c>
      <c r="B569" s="46" t="str">
        <f>IFERROR(__xludf.DUMMYFUNCTION("""COMPUTED_VALUE"""),"Sakshi Yadav")</f>
        <v>Sakshi Yadav</v>
      </c>
      <c r="C569" s="5" t="s">
        <v>2002</v>
      </c>
      <c r="D569" s="5"/>
      <c r="E569" s="5"/>
      <c r="F569" s="5"/>
      <c r="G569" s="5"/>
      <c r="H569" s="5"/>
      <c r="I569" s="5"/>
      <c r="J569" s="73"/>
      <c r="K569" s="75" t="str">
        <f>IFERROR(__xludf.DUMMYFUNCTION("""COMPUTED_VALUE"""),"")</f>
        <v/>
      </c>
      <c r="L569" s="75"/>
      <c r="M569" s="46" t="s">
        <v>2002</v>
      </c>
    </row>
    <row r="570">
      <c r="A570" s="70">
        <f>IFERROR(__xludf.DUMMYFUNCTION("""COMPUTED_VALUE"""),9.818032161E9)</f>
        <v>9818032161</v>
      </c>
      <c r="B570" s="46" t="str">
        <f>IFERROR(__xludf.DUMMYFUNCTION("""COMPUTED_VALUE"""),"Arun gupta")</f>
        <v>Arun gupta</v>
      </c>
      <c r="C570" s="5" t="s">
        <v>2002</v>
      </c>
      <c r="D570" s="5"/>
      <c r="E570" s="5"/>
      <c r="F570" s="5"/>
      <c r="G570" s="5"/>
      <c r="H570" s="5"/>
      <c r="I570" s="5"/>
      <c r="J570" s="73"/>
      <c r="K570" s="75" t="str">
        <f>IFERROR(__xludf.DUMMYFUNCTION("""COMPUTED_VALUE"""),"")</f>
        <v/>
      </c>
      <c r="L570" s="75"/>
      <c r="M570" s="46" t="s">
        <v>2002</v>
      </c>
    </row>
    <row r="571">
      <c r="A571" s="70">
        <f>IFERROR(__xludf.DUMMYFUNCTION("""COMPUTED_VALUE"""),8.360446177E9)</f>
        <v>8360446177</v>
      </c>
      <c r="B571" s="46" t="str">
        <f>IFERROR(__xludf.DUMMYFUNCTION("""COMPUTED_VALUE"""),"Mr jay")</f>
        <v>Mr jay</v>
      </c>
      <c r="C571" s="5" t="s">
        <v>2002</v>
      </c>
      <c r="D571" s="5"/>
      <c r="E571" s="5"/>
      <c r="F571" s="5"/>
      <c r="G571" s="5"/>
      <c r="H571" s="5"/>
      <c r="I571" s="5"/>
      <c r="J571" s="73"/>
      <c r="K571" s="75" t="str">
        <f>IFERROR(__xludf.DUMMYFUNCTION("""COMPUTED_VALUE"""),"")</f>
        <v/>
      </c>
      <c r="L571" s="75"/>
      <c r="M571" s="46" t="s">
        <v>2002</v>
      </c>
    </row>
    <row r="572">
      <c r="A572" s="70">
        <f>IFERROR(__xludf.DUMMYFUNCTION("""COMPUTED_VALUE"""),9.818636535E9)</f>
        <v>9818636535</v>
      </c>
      <c r="B572" s="46" t="str">
        <f>IFERROR(__xludf.DUMMYFUNCTION("""COMPUTED_VALUE"""),"Rajiv singh")</f>
        <v>Rajiv singh</v>
      </c>
      <c r="C572" s="5" t="s">
        <v>2002</v>
      </c>
      <c r="D572" s="5"/>
      <c r="E572" s="5"/>
      <c r="F572" s="5"/>
      <c r="G572" s="5"/>
      <c r="H572" s="5"/>
      <c r="I572" s="5"/>
      <c r="J572" s="73"/>
      <c r="K572" s="75" t="str">
        <f>IFERROR(__xludf.DUMMYFUNCTION("""COMPUTED_VALUE"""),"")</f>
        <v/>
      </c>
      <c r="L572" s="75"/>
      <c r="M572" s="46" t="s">
        <v>2002</v>
      </c>
    </row>
    <row r="573">
      <c r="A573" s="70">
        <f>IFERROR(__xludf.DUMMYFUNCTION("""COMPUTED_VALUE"""),9.99055662E9)</f>
        <v>9990556620</v>
      </c>
      <c r="B573" s="46" t="str">
        <f>IFERROR(__xludf.DUMMYFUNCTION("""COMPUTED_VALUE"""),"Rajan Agarwal ")</f>
        <v>Rajan Agarwal </v>
      </c>
      <c r="C573" s="5" t="s">
        <v>2002</v>
      </c>
      <c r="D573" s="5"/>
      <c r="E573" s="5"/>
      <c r="F573" s="5"/>
      <c r="G573" s="5"/>
      <c r="H573" s="5"/>
      <c r="I573" s="5"/>
      <c r="J573" s="73"/>
      <c r="K573" s="75" t="str">
        <f>IFERROR(__xludf.DUMMYFUNCTION("""COMPUTED_VALUE"""),"")</f>
        <v/>
      </c>
      <c r="L573" s="75"/>
      <c r="M573" s="46" t="s">
        <v>2002</v>
      </c>
    </row>
    <row r="574">
      <c r="A574" s="70">
        <f>IFERROR(__xludf.DUMMYFUNCTION("""COMPUTED_VALUE"""),8.468961059E9)</f>
        <v>8468961059</v>
      </c>
      <c r="B574" s="46" t="str">
        <f>IFERROR(__xludf.DUMMYFUNCTION("""COMPUTED_VALUE"""),"Raju ")</f>
        <v>Raju </v>
      </c>
      <c r="C574" s="5" t="s">
        <v>2002</v>
      </c>
      <c r="D574" s="5"/>
      <c r="E574" s="5"/>
      <c r="F574" s="5"/>
      <c r="G574" s="5"/>
      <c r="H574" s="5"/>
      <c r="I574" s="5"/>
      <c r="J574" s="73"/>
      <c r="K574" s="75" t="str">
        <f>IFERROR(__xludf.DUMMYFUNCTION("""COMPUTED_VALUE"""),"")</f>
        <v/>
      </c>
      <c r="L574" s="75"/>
      <c r="M574" s="46" t="s">
        <v>2002</v>
      </c>
    </row>
    <row r="575">
      <c r="A575" s="70">
        <f>IFERROR(__xludf.DUMMYFUNCTION("""COMPUTED_VALUE"""),9.65068026E9)</f>
        <v>9650680260</v>
      </c>
      <c r="B575" s="46" t="str">
        <f>IFERROR(__xludf.DUMMYFUNCTION("""COMPUTED_VALUE"""),"Nahi chopra")</f>
        <v>Nahi chopra</v>
      </c>
      <c r="C575" s="5" t="s">
        <v>2002</v>
      </c>
      <c r="D575" s="5"/>
      <c r="E575" s="5"/>
      <c r="F575" s="5"/>
      <c r="G575" s="5"/>
      <c r="H575" s="5"/>
      <c r="I575" s="5"/>
      <c r="J575" s="73"/>
      <c r="K575" s="75" t="str">
        <f>IFERROR(__xludf.DUMMYFUNCTION("""COMPUTED_VALUE"""),"")</f>
        <v/>
      </c>
      <c r="L575" s="75"/>
      <c r="M575" s="46" t="s">
        <v>2002</v>
      </c>
    </row>
    <row r="576">
      <c r="A576" s="70">
        <f>IFERROR(__xludf.DUMMYFUNCTION("""COMPUTED_VALUE"""),9.999060881E9)</f>
        <v>9999060881</v>
      </c>
      <c r="B576" s="46" t="str">
        <f>IFERROR(__xludf.DUMMYFUNCTION("""COMPUTED_VALUE"""),"Meenu dhuria")</f>
        <v>Meenu dhuria</v>
      </c>
      <c r="C576" s="5" t="s">
        <v>2002</v>
      </c>
      <c r="D576" s="5"/>
      <c r="E576" s="5"/>
      <c r="F576" s="5"/>
      <c r="G576" s="5"/>
      <c r="H576" s="5"/>
      <c r="I576" s="5"/>
      <c r="J576" s="73"/>
      <c r="K576" s="75" t="str">
        <f>IFERROR(__xludf.DUMMYFUNCTION("""COMPUTED_VALUE"""),"")</f>
        <v/>
      </c>
      <c r="L576" s="75"/>
      <c r="M576" s="46" t="s">
        <v>2002</v>
      </c>
    </row>
    <row r="577">
      <c r="A577" s="70">
        <f>IFERROR(__xludf.DUMMYFUNCTION("""COMPUTED_VALUE"""),8.010572273E9)</f>
        <v>8010572273</v>
      </c>
      <c r="B577" s="46" t="str">
        <f>IFERROR(__xludf.DUMMYFUNCTION("""COMPUTED_VALUE"""),"Garima goyal")</f>
        <v>Garima goyal</v>
      </c>
      <c r="C577" s="5" t="s">
        <v>2002</v>
      </c>
      <c r="D577" s="5"/>
      <c r="E577" s="5"/>
      <c r="F577" s="5"/>
      <c r="G577" s="5"/>
      <c r="H577" s="5"/>
      <c r="I577" s="5"/>
      <c r="J577" s="73"/>
      <c r="K577" s="75" t="str">
        <f>IFERROR(__xludf.DUMMYFUNCTION("""COMPUTED_VALUE"""),"")</f>
        <v/>
      </c>
      <c r="L577" s="75"/>
      <c r="M577" s="46" t="s">
        <v>2002</v>
      </c>
    </row>
    <row r="578">
      <c r="A578" s="70">
        <f>IFERROR(__xludf.DUMMYFUNCTION("""COMPUTED_VALUE"""),8.860939122E9)</f>
        <v>8860939122</v>
      </c>
      <c r="B578" s="46" t="str">
        <f>IFERROR(__xludf.DUMMYFUNCTION("""COMPUTED_VALUE"""),"Chanchal sharma")</f>
        <v>Chanchal sharma</v>
      </c>
      <c r="C578" s="5" t="s">
        <v>2002</v>
      </c>
      <c r="D578" s="5"/>
      <c r="E578" s="5"/>
      <c r="F578" s="5"/>
      <c r="G578" s="5"/>
      <c r="H578" s="5"/>
      <c r="I578" s="5"/>
      <c r="J578" s="73"/>
      <c r="K578" s="75" t="str">
        <f>IFERROR(__xludf.DUMMYFUNCTION("""COMPUTED_VALUE"""),"")</f>
        <v/>
      </c>
      <c r="L578" s="75"/>
      <c r="M578" s="46" t="s">
        <v>2002</v>
      </c>
    </row>
    <row r="579">
      <c r="A579" s="70">
        <f>IFERROR(__xludf.DUMMYFUNCTION("""COMPUTED_VALUE"""),9.716002225E9)</f>
        <v>9716002225</v>
      </c>
      <c r="B579" s="46" t="str">
        <f>IFERROR(__xludf.DUMMYFUNCTION("""COMPUTED_VALUE"""),"Pritpal singh")</f>
        <v>Pritpal singh</v>
      </c>
      <c r="C579" s="5" t="s">
        <v>2002</v>
      </c>
      <c r="D579" s="5"/>
      <c r="E579" s="5"/>
      <c r="F579" s="5"/>
      <c r="G579" s="5"/>
      <c r="H579" s="5"/>
      <c r="I579" s="5"/>
      <c r="J579" s="73"/>
      <c r="K579" s="75" t="str">
        <f>IFERROR(__xludf.DUMMYFUNCTION("""COMPUTED_VALUE"""),"")</f>
        <v/>
      </c>
      <c r="L579" s="75"/>
      <c r="M579" s="46" t="s">
        <v>2002</v>
      </c>
    </row>
    <row r="580">
      <c r="A580" s="70">
        <f>IFERROR(__xludf.DUMMYFUNCTION("""COMPUTED_VALUE"""),9.8688773E9)</f>
        <v>9868877300</v>
      </c>
      <c r="B580" s="46" t="str">
        <f>IFERROR(__xludf.DUMMYFUNCTION("""COMPUTED_VALUE"""),"Pritpal ")</f>
        <v>Pritpal </v>
      </c>
      <c r="C580" s="5" t="s">
        <v>2002</v>
      </c>
      <c r="D580" s="5"/>
      <c r="E580" s="5"/>
      <c r="F580" s="5"/>
      <c r="G580" s="5"/>
      <c r="H580" s="5"/>
      <c r="I580" s="5"/>
      <c r="J580" s="73"/>
      <c r="K580" s="75" t="str">
        <f>IFERROR(__xludf.DUMMYFUNCTION("""COMPUTED_VALUE"""),"")</f>
        <v/>
      </c>
      <c r="L580" s="75"/>
      <c r="M580" s="46" t="s">
        <v>2002</v>
      </c>
    </row>
    <row r="581">
      <c r="A581" s="70">
        <f>IFERROR(__xludf.DUMMYFUNCTION("""COMPUTED_VALUE"""),8.130582414E9)</f>
        <v>8130582414</v>
      </c>
      <c r="B581" s="46" t="str">
        <f>IFERROR(__xludf.DUMMYFUNCTION("""COMPUTED_VALUE"""),"Pramod kumarpal")</f>
        <v>Pramod kumarpal</v>
      </c>
      <c r="C581" s="5" t="s">
        <v>2002</v>
      </c>
      <c r="D581" s="5"/>
      <c r="E581" s="5"/>
      <c r="F581" s="5"/>
      <c r="G581" s="5"/>
      <c r="H581" s="5"/>
      <c r="I581" s="5"/>
      <c r="J581" s="73"/>
      <c r="K581" s="75" t="str">
        <f>IFERROR(__xludf.DUMMYFUNCTION("""COMPUTED_VALUE"""),"")</f>
        <v/>
      </c>
      <c r="L581" s="75"/>
      <c r="M581" s="46" t="s">
        <v>2002</v>
      </c>
    </row>
    <row r="582">
      <c r="A582" s="70">
        <f>IFERROR(__xludf.DUMMYFUNCTION("""COMPUTED_VALUE"""),7.42860708E9)</f>
        <v>7428607080</v>
      </c>
      <c r="B582" s="46" t="str">
        <f>IFERROR(__xludf.DUMMYFUNCTION("""COMPUTED_VALUE"""),"Ajit singh")</f>
        <v>Ajit singh</v>
      </c>
      <c r="C582" s="5" t="s">
        <v>2002</v>
      </c>
      <c r="D582" s="5"/>
      <c r="E582" s="5"/>
      <c r="F582" s="5"/>
      <c r="G582" s="5"/>
      <c r="H582" s="5"/>
      <c r="I582" s="5"/>
      <c r="J582" s="73"/>
      <c r="K582" s="75" t="str">
        <f>IFERROR(__xludf.DUMMYFUNCTION("""COMPUTED_VALUE"""),"")</f>
        <v/>
      </c>
      <c r="L582" s="75"/>
      <c r="M582" s="46" t="s">
        <v>2002</v>
      </c>
    </row>
    <row r="583">
      <c r="A583" s="70">
        <f>IFERROR(__xludf.DUMMYFUNCTION("""COMPUTED_VALUE"""),8.700949752E9)</f>
        <v>8700949752</v>
      </c>
      <c r="B583" s="46" t="str">
        <f>IFERROR(__xludf.DUMMYFUNCTION("""COMPUTED_VALUE"""),"Lata Singh ")</f>
        <v>Lata Singh </v>
      </c>
      <c r="C583" s="5" t="s">
        <v>2002</v>
      </c>
      <c r="D583" s="5"/>
      <c r="E583" s="5"/>
      <c r="F583" s="5"/>
      <c r="G583" s="5"/>
      <c r="H583" s="5"/>
      <c r="I583" s="5"/>
      <c r="J583" s="73"/>
      <c r="K583" s="75" t="str">
        <f>IFERROR(__xludf.DUMMYFUNCTION("""COMPUTED_VALUE"""),"")</f>
        <v/>
      </c>
      <c r="L583" s="75"/>
      <c r="M583" s="46" t="s">
        <v>2002</v>
      </c>
    </row>
    <row r="584">
      <c r="A584" s="70">
        <f>IFERROR(__xludf.DUMMYFUNCTION("""COMPUTED_VALUE"""),8.285622538E9)</f>
        <v>8285622538</v>
      </c>
      <c r="B584" s="46" t="str">
        <f>IFERROR(__xludf.DUMMYFUNCTION("""COMPUTED_VALUE"""),"munender")</f>
        <v>munender</v>
      </c>
      <c r="C584" s="5" t="s">
        <v>2002</v>
      </c>
      <c r="D584" s="5"/>
      <c r="E584" s="5"/>
      <c r="F584" s="5"/>
      <c r="G584" s="5"/>
      <c r="H584" s="5"/>
      <c r="I584" s="5"/>
      <c r="J584" s="73"/>
      <c r="K584" s="75" t="str">
        <f>IFERROR(__xludf.DUMMYFUNCTION("""COMPUTED_VALUE"""),"")</f>
        <v/>
      </c>
      <c r="L584" s="75"/>
      <c r="M584" s="46" t="s">
        <v>2002</v>
      </c>
    </row>
    <row r="585">
      <c r="A585" s="70">
        <f>IFERROR(__xludf.DUMMYFUNCTION("""COMPUTED_VALUE"""),9.910226915E9)</f>
        <v>9910226915</v>
      </c>
      <c r="B585" s="46" t="str">
        <f>IFERROR(__xludf.DUMMYFUNCTION("""COMPUTED_VALUE"""),"Shreshta ")</f>
        <v>Shreshta </v>
      </c>
      <c r="C585" s="5" t="s">
        <v>2002</v>
      </c>
      <c r="D585" s="5"/>
      <c r="E585" s="5"/>
      <c r="F585" s="5"/>
      <c r="G585" s="5"/>
      <c r="H585" s="5"/>
      <c r="I585" s="5"/>
      <c r="J585" s="73"/>
      <c r="K585" s="75" t="str">
        <f>IFERROR(__xludf.DUMMYFUNCTION("""COMPUTED_VALUE"""),"")</f>
        <v/>
      </c>
      <c r="L585" s="75"/>
      <c r="M585" s="46" t="s">
        <v>2002</v>
      </c>
    </row>
    <row r="586">
      <c r="A586" s="70">
        <f>IFERROR(__xludf.DUMMYFUNCTION("""COMPUTED_VALUE"""),9.315871515E9)</f>
        <v>9315871515</v>
      </c>
      <c r="B586" s="46" t="str">
        <f>IFERROR(__xludf.DUMMYFUNCTION("""COMPUTED_VALUE"""),"Bhawna gupta")</f>
        <v>Bhawna gupta</v>
      </c>
      <c r="C586" s="5" t="s">
        <v>2002</v>
      </c>
      <c r="D586" s="5"/>
      <c r="E586" s="5"/>
      <c r="F586" s="5"/>
      <c r="G586" s="5"/>
      <c r="H586" s="5"/>
      <c r="I586" s="5"/>
      <c r="J586" s="73"/>
      <c r="K586" s="75" t="str">
        <f>IFERROR(__xludf.DUMMYFUNCTION("""COMPUTED_VALUE"""),"")</f>
        <v/>
      </c>
      <c r="L586" s="75"/>
      <c r="M586" s="46" t="s">
        <v>2002</v>
      </c>
    </row>
    <row r="587">
      <c r="A587" s="70">
        <f>IFERROR(__xludf.DUMMYFUNCTION("""COMPUTED_VALUE"""),9.873186638E9)</f>
        <v>9873186638</v>
      </c>
      <c r="B587" s="46" t="str">
        <f>IFERROR(__xludf.DUMMYFUNCTION("""COMPUTED_VALUE"""),"Rajesh Goyal")</f>
        <v>Rajesh Goyal</v>
      </c>
      <c r="C587" s="5" t="s">
        <v>2002</v>
      </c>
      <c r="D587" s="5"/>
      <c r="E587" s="5"/>
      <c r="F587" s="5"/>
      <c r="G587" s="5"/>
      <c r="H587" s="5"/>
      <c r="I587" s="5"/>
      <c r="J587" s="73"/>
      <c r="K587" s="75" t="str">
        <f>IFERROR(__xludf.DUMMYFUNCTION("""COMPUTED_VALUE"""),"")</f>
        <v/>
      </c>
      <c r="L587" s="75"/>
      <c r="M587" s="46" t="s">
        <v>2002</v>
      </c>
    </row>
    <row r="588">
      <c r="A588" s="70">
        <f>IFERROR(__xludf.DUMMYFUNCTION("""COMPUTED_VALUE"""),7.070824743E9)</f>
        <v>7070824743</v>
      </c>
      <c r="B588" s="46" t="str">
        <f>IFERROR(__xludf.DUMMYFUNCTION("""COMPUTED_VALUE"""),"Faheem")</f>
        <v>Faheem</v>
      </c>
      <c r="C588" s="5" t="s">
        <v>2002</v>
      </c>
      <c r="D588" s="5"/>
      <c r="E588" s="5"/>
      <c r="F588" s="5"/>
      <c r="G588" s="5"/>
      <c r="H588" s="5"/>
      <c r="I588" s="5"/>
      <c r="J588" s="73"/>
      <c r="K588" s="75" t="str">
        <f>IFERROR(__xludf.DUMMYFUNCTION("""COMPUTED_VALUE"""),"")</f>
        <v/>
      </c>
      <c r="L588" s="75"/>
      <c r="M588" s="46" t="s">
        <v>2002</v>
      </c>
    </row>
    <row r="589">
      <c r="A589" s="70">
        <f>IFERROR(__xludf.DUMMYFUNCTION("""COMPUTED_VALUE"""),9.873854881E9)</f>
        <v>9873854881</v>
      </c>
      <c r="B589" s="46" t="str">
        <f>IFERROR(__xludf.DUMMYFUNCTION("""COMPUTED_VALUE"""),"Deepika")</f>
        <v>Deepika</v>
      </c>
      <c r="C589" s="5" t="s">
        <v>2002</v>
      </c>
      <c r="D589" s="5"/>
      <c r="E589" s="5"/>
      <c r="F589" s="5"/>
      <c r="G589" s="5"/>
      <c r="H589" s="5"/>
      <c r="I589" s="5"/>
      <c r="J589" s="73"/>
      <c r="K589" s="75" t="str">
        <f>IFERROR(__xludf.DUMMYFUNCTION("""COMPUTED_VALUE"""),"")</f>
        <v/>
      </c>
      <c r="L589" s="75"/>
      <c r="M589" s="46" t="s">
        <v>2002</v>
      </c>
    </row>
    <row r="590">
      <c r="A590" s="70">
        <f>IFERROR(__xludf.DUMMYFUNCTION("""COMPUTED_VALUE"""),8.287557112E9)</f>
        <v>8287557112</v>
      </c>
      <c r="B590" s="46" t="str">
        <f>IFERROR(__xludf.DUMMYFUNCTION("""COMPUTED_VALUE"""),"Payal gupta ")</f>
        <v>Payal gupta </v>
      </c>
      <c r="C590" s="5" t="s">
        <v>2002</v>
      </c>
      <c r="D590" s="5"/>
      <c r="E590" s="5"/>
      <c r="F590" s="5"/>
      <c r="G590" s="5"/>
      <c r="H590" s="5"/>
      <c r="I590" s="5"/>
      <c r="J590" s="73"/>
      <c r="K590" s="75" t="str">
        <f>IFERROR(__xludf.DUMMYFUNCTION("""COMPUTED_VALUE"""),"")</f>
        <v/>
      </c>
      <c r="L590" s="75"/>
      <c r="M590" s="46" t="s">
        <v>2002</v>
      </c>
    </row>
    <row r="591">
      <c r="A591" s="70">
        <f>IFERROR(__xludf.DUMMYFUNCTION("""COMPUTED_VALUE"""),8.586022117E9)</f>
        <v>8586022117</v>
      </c>
      <c r="B591" s="46" t="str">
        <f>IFERROR(__xludf.DUMMYFUNCTION("""COMPUTED_VALUE"""),"Rajiya")</f>
        <v>Rajiya</v>
      </c>
      <c r="C591" s="5" t="s">
        <v>2002</v>
      </c>
      <c r="D591" s="5"/>
      <c r="E591" s="5"/>
      <c r="F591" s="5"/>
      <c r="G591" s="5"/>
      <c r="H591" s="5"/>
      <c r="I591" s="5"/>
      <c r="J591" s="73"/>
      <c r="K591" s="75" t="str">
        <f>IFERROR(__xludf.DUMMYFUNCTION("""COMPUTED_VALUE"""),"")</f>
        <v/>
      </c>
      <c r="L591" s="75"/>
      <c r="M591" s="46" t="s">
        <v>2002</v>
      </c>
    </row>
    <row r="592">
      <c r="A592" s="70">
        <f>IFERROR(__xludf.DUMMYFUNCTION("""COMPUTED_VALUE"""),9.462564639E9)</f>
        <v>9462564639</v>
      </c>
      <c r="B592" s="46" t="str">
        <f>IFERROR(__xludf.DUMMYFUNCTION("""COMPUTED_VALUE"""),"Lallu")</f>
        <v>Lallu</v>
      </c>
      <c r="C592" s="5" t="s">
        <v>2002</v>
      </c>
      <c r="D592" s="5"/>
      <c r="E592" s="5"/>
      <c r="F592" s="5"/>
      <c r="G592" s="5"/>
      <c r="H592" s="5"/>
      <c r="I592" s="5"/>
      <c r="J592" s="73"/>
      <c r="K592" s="75" t="str">
        <f>IFERROR(__xludf.DUMMYFUNCTION("""COMPUTED_VALUE"""),"")</f>
        <v/>
      </c>
      <c r="L592" s="75"/>
      <c r="M592" s="46" t="s">
        <v>2002</v>
      </c>
    </row>
    <row r="593">
      <c r="A593" s="70">
        <f>IFERROR(__xludf.DUMMYFUNCTION("""COMPUTED_VALUE"""),9.899515049E9)</f>
        <v>9899515049</v>
      </c>
      <c r="B593" s="46" t="str">
        <f>IFERROR(__xludf.DUMMYFUNCTION("""COMPUTED_VALUE"""),"Amit Jain ")</f>
        <v>Amit Jain </v>
      </c>
      <c r="C593" s="5" t="s">
        <v>2002</v>
      </c>
      <c r="D593" s="5"/>
      <c r="E593" s="5"/>
      <c r="F593" s="5"/>
      <c r="G593" s="5"/>
      <c r="H593" s="5"/>
      <c r="I593" s="5"/>
      <c r="J593" s="73"/>
      <c r="K593" s="75" t="str">
        <f>IFERROR(__xludf.DUMMYFUNCTION("""COMPUTED_VALUE"""),"")</f>
        <v/>
      </c>
      <c r="L593" s="75"/>
      <c r="M593" s="46" t="s">
        <v>2002</v>
      </c>
    </row>
    <row r="594">
      <c r="A594" s="70">
        <f>IFERROR(__xludf.DUMMYFUNCTION("""COMPUTED_VALUE"""),9.999712408E9)</f>
        <v>9999712408</v>
      </c>
      <c r="B594" s="46" t="str">
        <f>IFERROR(__xludf.DUMMYFUNCTION("""COMPUTED_VALUE"""),"Aruna Jain")</f>
        <v>Aruna Jain</v>
      </c>
      <c r="C594" s="5" t="s">
        <v>2002</v>
      </c>
      <c r="D594" s="5"/>
      <c r="E594" s="5"/>
      <c r="F594" s="5"/>
      <c r="G594" s="5"/>
      <c r="H594" s="5"/>
      <c r="I594" s="5"/>
      <c r="J594" s="73"/>
      <c r="K594" s="75" t="str">
        <f>IFERROR(__xludf.DUMMYFUNCTION("""COMPUTED_VALUE"""),"")</f>
        <v/>
      </c>
      <c r="L594" s="75"/>
      <c r="M594" s="46" t="s">
        <v>2002</v>
      </c>
    </row>
    <row r="595">
      <c r="A595" s="70">
        <f>IFERROR(__xludf.DUMMYFUNCTION("""COMPUTED_VALUE"""),8.368284959E9)</f>
        <v>8368284959</v>
      </c>
      <c r="B595" s="46" t="str">
        <f>IFERROR(__xludf.DUMMYFUNCTION("""COMPUTED_VALUE"""),"Manya")</f>
        <v>Manya</v>
      </c>
      <c r="C595" s="5" t="s">
        <v>2002</v>
      </c>
      <c r="D595" s="5"/>
      <c r="E595" s="5"/>
      <c r="F595" s="5"/>
      <c r="G595" s="5"/>
      <c r="H595" s="5"/>
      <c r="I595" s="5"/>
      <c r="J595" s="73"/>
      <c r="K595" s="75" t="str">
        <f>IFERROR(__xludf.DUMMYFUNCTION("""COMPUTED_VALUE"""),"")</f>
        <v/>
      </c>
      <c r="L595" s="75"/>
      <c r="M595" s="46" t="s">
        <v>2002</v>
      </c>
    </row>
    <row r="596">
      <c r="A596" s="70">
        <f>IFERROR(__xludf.DUMMYFUNCTION("""COMPUTED_VALUE"""),9.582760144E9)</f>
        <v>9582760144</v>
      </c>
      <c r="B596" s="46" t="str">
        <f>IFERROR(__xludf.DUMMYFUNCTION("""COMPUTED_VALUE"""),"Poonam ")</f>
        <v>Poonam </v>
      </c>
      <c r="C596" s="5" t="s">
        <v>2002</v>
      </c>
      <c r="D596" s="5"/>
      <c r="E596" s="5"/>
      <c r="F596" s="5"/>
      <c r="G596" s="5"/>
      <c r="H596" s="5"/>
      <c r="I596" s="5"/>
      <c r="J596" s="73"/>
      <c r="K596" s="75" t="str">
        <f>IFERROR(__xludf.DUMMYFUNCTION("""COMPUTED_VALUE"""),"")</f>
        <v/>
      </c>
      <c r="L596" s="75"/>
      <c r="M596" s="46" t="s">
        <v>2002</v>
      </c>
    </row>
    <row r="597">
      <c r="A597" s="70">
        <f>IFERROR(__xludf.DUMMYFUNCTION("""COMPUTED_VALUE"""),9.643718626E9)</f>
        <v>9643718626</v>
      </c>
      <c r="B597" s="46" t="str">
        <f>IFERROR(__xludf.DUMMYFUNCTION("""COMPUTED_VALUE"""),"Radhika")</f>
        <v>Radhika</v>
      </c>
      <c r="C597" s="5" t="s">
        <v>2002</v>
      </c>
      <c r="D597" s="5"/>
      <c r="E597" s="5"/>
      <c r="F597" s="5"/>
      <c r="G597" s="5"/>
      <c r="H597" s="5"/>
      <c r="I597" s="5"/>
      <c r="J597" s="73"/>
      <c r="K597" s="75" t="str">
        <f>IFERROR(__xludf.DUMMYFUNCTION("""COMPUTED_VALUE"""),"")</f>
        <v/>
      </c>
      <c r="L597" s="75"/>
      <c r="M597" s="46" t="s">
        <v>2002</v>
      </c>
    </row>
    <row r="598">
      <c r="A598" s="70">
        <f>IFERROR(__xludf.DUMMYFUNCTION("""COMPUTED_VALUE"""),8.527023969E9)</f>
        <v>8527023969</v>
      </c>
      <c r="B598" s="46" t="str">
        <f>IFERROR(__xludf.DUMMYFUNCTION("""COMPUTED_VALUE"""),"Isha ")</f>
        <v>Isha </v>
      </c>
      <c r="C598" s="5" t="s">
        <v>2002</v>
      </c>
      <c r="D598" s="5"/>
      <c r="E598" s="5"/>
      <c r="F598" s="5"/>
      <c r="G598" s="5"/>
      <c r="H598" s="5"/>
      <c r="I598" s="5"/>
      <c r="J598" s="73"/>
      <c r="K598" s="75" t="str">
        <f>IFERROR(__xludf.DUMMYFUNCTION("""COMPUTED_VALUE"""),"")</f>
        <v/>
      </c>
      <c r="L598" s="75"/>
      <c r="M598" s="46" t="s">
        <v>2002</v>
      </c>
    </row>
    <row r="599">
      <c r="A599" s="70">
        <f>IFERROR(__xludf.DUMMYFUNCTION("""COMPUTED_VALUE"""),9.810871971E9)</f>
        <v>9810871971</v>
      </c>
      <c r="B599" s="46" t="str">
        <f>IFERROR(__xludf.DUMMYFUNCTION("""COMPUTED_VALUE"""),"Sapna Khanna")</f>
        <v>Sapna Khanna</v>
      </c>
      <c r="C599" s="5" t="s">
        <v>2002</v>
      </c>
      <c r="D599" s="5"/>
      <c r="E599" s="5"/>
      <c r="F599" s="5"/>
      <c r="G599" s="5"/>
      <c r="H599" s="5"/>
      <c r="I599" s="5"/>
      <c r="J599" s="73"/>
      <c r="K599" s="75" t="str">
        <f>IFERROR(__xludf.DUMMYFUNCTION("""COMPUTED_VALUE"""),"")</f>
        <v/>
      </c>
      <c r="L599" s="75"/>
      <c r="M599" s="46" t="s">
        <v>2002</v>
      </c>
    </row>
    <row r="600">
      <c r="A600" s="70">
        <f>IFERROR(__xludf.DUMMYFUNCTION("""COMPUTED_VALUE"""),9.310093134E9)</f>
        <v>9310093134</v>
      </c>
      <c r="B600" s="46" t="str">
        <f>IFERROR(__xludf.DUMMYFUNCTION("""COMPUTED_VALUE"""),"Mukesh Chand jain ")</f>
        <v>Mukesh Chand jain </v>
      </c>
      <c r="C600" s="5" t="s">
        <v>2002</v>
      </c>
      <c r="D600" s="5"/>
      <c r="E600" s="5"/>
      <c r="F600" s="5"/>
      <c r="G600" s="5"/>
      <c r="H600" s="5"/>
      <c r="I600" s="5"/>
      <c r="J600" s="73"/>
      <c r="K600" s="75" t="str">
        <f>IFERROR(__xludf.DUMMYFUNCTION("""COMPUTED_VALUE"""),"")</f>
        <v/>
      </c>
      <c r="L600" s="75"/>
      <c r="M600" s="46" t="s">
        <v>2002</v>
      </c>
    </row>
    <row r="601">
      <c r="A601" s="70">
        <f>IFERROR(__xludf.DUMMYFUNCTION("""COMPUTED_VALUE"""),9.212160399E9)</f>
        <v>9212160399</v>
      </c>
      <c r="B601" s="46" t="str">
        <f>IFERROR(__xludf.DUMMYFUNCTION("""COMPUTED_VALUE"""),"Dharmender kumar")</f>
        <v>Dharmender kumar</v>
      </c>
      <c r="C601" s="5" t="s">
        <v>2002</v>
      </c>
      <c r="D601" s="5"/>
      <c r="E601" s="5"/>
      <c r="F601" s="5"/>
      <c r="G601" s="5"/>
      <c r="H601" s="5"/>
      <c r="I601" s="5"/>
      <c r="J601" s="73"/>
      <c r="K601" s="75" t="str">
        <f>IFERROR(__xludf.DUMMYFUNCTION("""COMPUTED_VALUE"""),"")</f>
        <v/>
      </c>
      <c r="L601" s="75"/>
      <c r="M601" s="46" t="s">
        <v>2002</v>
      </c>
    </row>
    <row r="602">
      <c r="A602" s="70">
        <f>IFERROR(__xludf.DUMMYFUNCTION("""COMPUTED_VALUE"""),8.8828991E9)</f>
        <v>8882899100</v>
      </c>
      <c r="B602" s="46" t="str">
        <f>IFERROR(__xludf.DUMMYFUNCTION("""COMPUTED_VALUE"""),"Avtar Singh ")</f>
        <v>Avtar Singh </v>
      </c>
      <c r="C602" s="5" t="s">
        <v>2002</v>
      </c>
      <c r="D602" s="5"/>
      <c r="E602" s="5"/>
      <c r="F602" s="5"/>
      <c r="G602" s="5"/>
      <c r="H602" s="5"/>
      <c r="I602" s="5"/>
      <c r="J602" s="73"/>
      <c r="K602" s="75" t="str">
        <f>IFERROR(__xludf.DUMMYFUNCTION("""COMPUTED_VALUE"""),"")</f>
        <v/>
      </c>
      <c r="L602" s="75"/>
      <c r="M602" s="46" t="s">
        <v>2002</v>
      </c>
    </row>
    <row r="603">
      <c r="A603" s="70">
        <f>IFERROR(__xludf.DUMMYFUNCTION("""COMPUTED_VALUE"""),7.042752682E9)</f>
        <v>7042752682</v>
      </c>
      <c r="B603" s="46" t="str">
        <f>IFERROR(__xludf.DUMMYFUNCTION("""COMPUTED_VALUE"""),"Renu rajan")</f>
        <v>Renu rajan</v>
      </c>
      <c r="C603" s="5" t="s">
        <v>2002</v>
      </c>
      <c r="D603" s="5"/>
      <c r="E603" s="5"/>
      <c r="F603" s="5"/>
      <c r="G603" s="5"/>
      <c r="H603" s="5"/>
      <c r="I603" s="5"/>
      <c r="J603" s="73"/>
      <c r="K603" s="75" t="str">
        <f>IFERROR(__xludf.DUMMYFUNCTION("""COMPUTED_VALUE"""),"")</f>
        <v/>
      </c>
      <c r="L603" s="75"/>
      <c r="M603" s="46" t="s">
        <v>2002</v>
      </c>
    </row>
    <row r="604">
      <c r="A604" s="70">
        <f>IFERROR(__xludf.DUMMYFUNCTION("""COMPUTED_VALUE"""),9.06895336E9)</f>
        <v>9068953360</v>
      </c>
      <c r="B604" s="46" t="str">
        <f>IFERROR(__xludf.DUMMYFUNCTION("""COMPUTED_VALUE"""),"Anuj sharma")</f>
        <v>Anuj sharma</v>
      </c>
      <c r="C604" s="5" t="s">
        <v>2002</v>
      </c>
      <c r="D604" s="5"/>
      <c r="E604" s="5"/>
      <c r="F604" s="5"/>
      <c r="G604" s="5"/>
      <c r="H604" s="5"/>
      <c r="I604" s="5"/>
      <c r="J604" s="73"/>
      <c r="K604" s="75" t="str">
        <f>IFERROR(__xludf.DUMMYFUNCTION("""COMPUTED_VALUE"""),"")</f>
        <v/>
      </c>
      <c r="L604" s="75"/>
      <c r="M604" s="46" t="s">
        <v>2002</v>
      </c>
    </row>
    <row r="605">
      <c r="A605" s="70">
        <f>IFERROR(__xludf.DUMMYFUNCTION("""COMPUTED_VALUE"""),9.3548186E9)</f>
        <v>9354818600</v>
      </c>
      <c r="B605" s="46" t="str">
        <f>IFERROR(__xludf.DUMMYFUNCTION("""COMPUTED_VALUE"""),"Sonu bansal")</f>
        <v>Sonu bansal</v>
      </c>
      <c r="C605" s="5" t="s">
        <v>2002</v>
      </c>
      <c r="D605" s="5"/>
      <c r="E605" s="5"/>
      <c r="F605" s="5"/>
      <c r="G605" s="5"/>
      <c r="H605" s="5"/>
      <c r="I605" s="5"/>
      <c r="J605" s="73"/>
      <c r="K605" s="75" t="str">
        <f>IFERROR(__xludf.DUMMYFUNCTION("""COMPUTED_VALUE"""),"")</f>
        <v/>
      </c>
      <c r="L605" s="75"/>
      <c r="M605" s="46" t="s">
        <v>2002</v>
      </c>
    </row>
    <row r="606">
      <c r="A606" s="70">
        <f>IFERROR(__xludf.DUMMYFUNCTION("""COMPUTED_VALUE"""),9.04510811E9)</f>
        <v>9045108110</v>
      </c>
      <c r="B606" s="46" t="str">
        <f>IFERROR(__xludf.DUMMYFUNCTION("""COMPUTED_VALUE"""),"Deepant sharma")</f>
        <v>Deepant sharma</v>
      </c>
      <c r="C606" s="5" t="s">
        <v>2002</v>
      </c>
      <c r="D606" s="5"/>
      <c r="E606" s="5"/>
      <c r="F606" s="5"/>
      <c r="G606" s="5"/>
      <c r="H606" s="5"/>
      <c r="I606" s="5"/>
      <c r="J606" s="73"/>
      <c r="K606" s="75" t="str">
        <f>IFERROR(__xludf.DUMMYFUNCTION("""COMPUTED_VALUE"""),"")</f>
        <v/>
      </c>
      <c r="L606" s="75"/>
      <c r="M606" s="46" t="s">
        <v>2002</v>
      </c>
    </row>
    <row r="607">
      <c r="A607" s="70">
        <f>IFERROR(__xludf.DUMMYFUNCTION("""COMPUTED_VALUE"""),9.811979596E9)</f>
        <v>9811979596</v>
      </c>
      <c r="B607" s="46" t="str">
        <f>IFERROR(__xludf.DUMMYFUNCTION("""COMPUTED_VALUE"""),"Mohit ji ")</f>
        <v>Mohit ji </v>
      </c>
      <c r="C607" s="5" t="s">
        <v>2002</v>
      </c>
      <c r="D607" s="5"/>
      <c r="E607" s="5"/>
      <c r="F607" s="5"/>
      <c r="G607" s="5"/>
      <c r="H607" s="5"/>
      <c r="I607" s="5"/>
      <c r="J607" s="73"/>
      <c r="K607" s="75" t="str">
        <f>IFERROR(__xludf.DUMMYFUNCTION("""COMPUTED_VALUE"""),"")</f>
        <v/>
      </c>
      <c r="L607" s="75"/>
      <c r="M607" s="46" t="s">
        <v>2002</v>
      </c>
    </row>
    <row r="608">
      <c r="A608" s="70">
        <f>IFERROR(__xludf.DUMMYFUNCTION("""COMPUTED_VALUE"""),7.999942011E9)</f>
        <v>7999942011</v>
      </c>
      <c r="B608" s="46" t="str">
        <f>IFERROR(__xludf.DUMMYFUNCTION("""COMPUTED_VALUE"""),"Sunil Agarwal ")</f>
        <v>Sunil Agarwal </v>
      </c>
      <c r="C608" s="5" t="s">
        <v>2002</v>
      </c>
      <c r="D608" s="5"/>
      <c r="E608" s="5"/>
      <c r="F608" s="5"/>
      <c r="G608" s="5"/>
      <c r="H608" s="5"/>
      <c r="I608" s="5"/>
      <c r="J608" s="73"/>
      <c r="K608" s="75" t="str">
        <f>IFERROR(__xludf.DUMMYFUNCTION("""COMPUTED_VALUE"""),"")</f>
        <v/>
      </c>
      <c r="L608" s="75"/>
      <c r="M608" s="46" t="s">
        <v>2002</v>
      </c>
    </row>
    <row r="609">
      <c r="A609" s="70">
        <f>IFERROR(__xludf.DUMMYFUNCTION("""COMPUTED_VALUE"""),9.953519239E9)</f>
        <v>9953519239</v>
      </c>
      <c r="B609" s="46" t="str">
        <f>IFERROR(__xludf.DUMMYFUNCTION("""COMPUTED_VALUE"""),"Hazari lal")</f>
        <v>Hazari lal</v>
      </c>
      <c r="C609" s="5" t="s">
        <v>2002</v>
      </c>
      <c r="D609" s="5"/>
      <c r="E609" s="5"/>
      <c r="F609" s="5"/>
      <c r="G609" s="5"/>
      <c r="H609" s="5"/>
      <c r="I609" s="5"/>
      <c r="J609" s="73"/>
      <c r="K609" s="75" t="str">
        <f>IFERROR(__xludf.DUMMYFUNCTION("""COMPUTED_VALUE"""),"")</f>
        <v/>
      </c>
      <c r="L609" s="75"/>
      <c r="M609" s="46" t="s">
        <v>2002</v>
      </c>
    </row>
    <row r="610">
      <c r="A610" s="70">
        <f>IFERROR(__xludf.DUMMYFUNCTION("""COMPUTED_VALUE"""),9.927992777E9)</f>
        <v>9927992777</v>
      </c>
      <c r="B610" s="46" t="str">
        <f>IFERROR(__xludf.DUMMYFUNCTION("""COMPUTED_VALUE"""),"Mayank mittal")</f>
        <v>Mayank mittal</v>
      </c>
      <c r="C610" s="5" t="s">
        <v>2002</v>
      </c>
      <c r="D610" s="5"/>
      <c r="E610" s="5"/>
      <c r="F610" s="5"/>
      <c r="G610" s="5"/>
      <c r="H610" s="5"/>
      <c r="I610" s="5"/>
      <c r="J610" s="73"/>
      <c r="K610" s="75" t="str">
        <f>IFERROR(__xludf.DUMMYFUNCTION("""COMPUTED_VALUE"""),"")</f>
        <v/>
      </c>
      <c r="L610" s="75"/>
      <c r="M610" s="46" t="s">
        <v>2002</v>
      </c>
    </row>
    <row r="611">
      <c r="A611" s="70">
        <f>IFERROR(__xludf.DUMMYFUNCTION("""COMPUTED_VALUE"""),9.084935199E9)</f>
        <v>9084935199</v>
      </c>
      <c r="B611" s="46" t="str">
        <f>IFERROR(__xludf.DUMMYFUNCTION("""COMPUTED_VALUE"""),"Alash sharma")</f>
        <v>Alash sharma</v>
      </c>
      <c r="C611" s="5" t="s">
        <v>2002</v>
      </c>
      <c r="D611" s="5"/>
      <c r="E611" s="5"/>
      <c r="F611" s="5"/>
      <c r="G611" s="5"/>
      <c r="H611" s="5"/>
      <c r="I611" s="5"/>
      <c r="J611" s="73"/>
      <c r="K611" s="75" t="str">
        <f>IFERROR(__xludf.DUMMYFUNCTION("""COMPUTED_VALUE"""),"")</f>
        <v/>
      </c>
      <c r="L611" s="75"/>
      <c r="M611" s="46" t="s">
        <v>2002</v>
      </c>
    </row>
    <row r="612">
      <c r="A612" s="70">
        <f>IFERROR(__xludf.DUMMYFUNCTION("""COMPUTED_VALUE"""),9.873698127E9)</f>
        <v>9873698127</v>
      </c>
      <c r="B612" s="46" t="str">
        <f>IFERROR(__xludf.DUMMYFUNCTION("""COMPUTED_VALUE"""),"Yogesh hunda")</f>
        <v>Yogesh hunda</v>
      </c>
      <c r="C612" s="5" t="s">
        <v>2002</v>
      </c>
      <c r="D612" s="5"/>
      <c r="E612" s="5"/>
      <c r="F612" s="5"/>
      <c r="G612" s="5"/>
      <c r="H612" s="5"/>
      <c r="I612" s="5"/>
      <c r="J612" s="73"/>
      <c r="K612" s="75" t="str">
        <f>IFERROR(__xludf.DUMMYFUNCTION("""COMPUTED_VALUE"""),"")</f>
        <v/>
      </c>
      <c r="L612" s="75"/>
      <c r="M612" s="46" t="s">
        <v>2002</v>
      </c>
    </row>
    <row r="613">
      <c r="A613" s="70">
        <f>IFERROR(__xludf.DUMMYFUNCTION("""COMPUTED_VALUE"""),9.315318969E9)</f>
        <v>9315318969</v>
      </c>
      <c r="B613" s="46" t="str">
        <f>IFERROR(__xludf.DUMMYFUNCTION("""COMPUTED_VALUE"""),"Anil Das")</f>
        <v>Anil Das</v>
      </c>
      <c r="C613" s="5" t="s">
        <v>2002</v>
      </c>
      <c r="D613" s="5"/>
      <c r="E613" s="5"/>
      <c r="F613" s="5"/>
      <c r="G613" s="5"/>
      <c r="H613" s="5"/>
      <c r="I613" s="5"/>
      <c r="J613" s="73"/>
      <c r="K613" s="75" t="str">
        <f>IFERROR(__xludf.DUMMYFUNCTION("""COMPUTED_VALUE"""),"")</f>
        <v/>
      </c>
      <c r="L613" s="75"/>
      <c r="M613" s="46" t="s">
        <v>2002</v>
      </c>
    </row>
    <row r="614">
      <c r="A614" s="70">
        <f>IFERROR(__xludf.DUMMYFUNCTION("""COMPUTED_VALUE"""),9.818952362E9)</f>
        <v>9818952362</v>
      </c>
      <c r="B614" s="46" t="str">
        <f>IFERROR(__xludf.DUMMYFUNCTION("""COMPUTED_VALUE"""),"Pushpa Verma")</f>
        <v>Pushpa Verma</v>
      </c>
      <c r="C614" s="5" t="s">
        <v>2002</v>
      </c>
      <c r="D614" s="5"/>
      <c r="E614" s="5"/>
      <c r="F614" s="5"/>
      <c r="G614" s="5"/>
      <c r="H614" s="5"/>
      <c r="I614" s="5"/>
      <c r="J614" s="73"/>
      <c r="K614" s="75" t="str">
        <f>IFERROR(__xludf.DUMMYFUNCTION("""COMPUTED_VALUE"""),"")</f>
        <v/>
      </c>
      <c r="L614" s="75"/>
      <c r="M614" s="46" t="s">
        <v>2002</v>
      </c>
    </row>
    <row r="615">
      <c r="A615" s="70">
        <f>IFERROR(__xludf.DUMMYFUNCTION("""COMPUTED_VALUE"""),7.838529133E9)</f>
        <v>7838529133</v>
      </c>
      <c r="B615" s="46" t="str">
        <f>IFERROR(__xludf.DUMMYFUNCTION("""COMPUTED_VALUE"""),"Pancham")</f>
        <v>Pancham</v>
      </c>
      <c r="C615" s="5" t="s">
        <v>2002</v>
      </c>
      <c r="D615" s="5"/>
      <c r="E615" s="5"/>
      <c r="F615" s="5"/>
      <c r="G615" s="5"/>
      <c r="H615" s="5"/>
      <c r="I615" s="5"/>
      <c r="J615" s="73"/>
      <c r="K615" s="75" t="str">
        <f>IFERROR(__xludf.DUMMYFUNCTION("""COMPUTED_VALUE"""),"")</f>
        <v/>
      </c>
      <c r="L615" s="75"/>
      <c r="M615" s="46" t="s">
        <v>2002</v>
      </c>
    </row>
    <row r="616">
      <c r="A616" s="70">
        <f>IFERROR(__xludf.DUMMYFUNCTION("""COMPUTED_VALUE"""),8.851508406E9)</f>
        <v>8851508406</v>
      </c>
      <c r="B616" s="46" t="str">
        <f>IFERROR(__xludf.DUMMYFUNCTION("""COMPUTED_VALUE"""),"Rakhi")</f>
        <v>Rakhi</v>
      </c>
      <c r="C616" s="5" t="s">
        <v>2002</v>
      </c>
      <c r="D616" s="5"/>
      <c r="E616" s="5"/>
      <c r="F616" s="5"/>
      <c r="G616" s="5"/>
      <c r="H616" s="5"/>
      <c r="I616" s="5"/>
      <c r="J616" s="73"/>
      <c r="K616" s="75" t="str">
        <f>IFERROR(__xludf.DUMMYFUNCTION("""COMPUTED_VALUE"""),"")</f>
        <v/>
      </c>
      <c r="L616" s="75"/>
      <c r="M616" s="46" t="s">
        <v>2002</v>
      </c>
    </row>
    <row r="617">
      <c r="A617" s="70">
        <f>IFERROR(__xludf.DUMMYFUNCTION("""COMPUTED_VALUE"""),9.910888808E9)</f>
        <v>9910888808</v>
      </c>
      <c r="B617" s="46" t="str">
        <f>IFERROR(__xludf.DUMMYFUNCTION("""COMPUTED_VALUE"""),"Rahul ji ")</f>
        <v>Rahul ji </v>
      </c>
      <c r="C617" s="5" t="s">
        <v>2002</v>
      </c>
      <c r="D617" s="5"/>
      <c r="E617" s="5"/>
      <c r="F617" s="5"/>
      <c r="G617" s="5"/>
      <c r="H617" s="5"/>
      <c r="I617" s="5"/>
      <c r="J617" s="73"/>
      <c r="K617" s="75" t="str">
        <f>IFERROR(__xludf.DUMMYFUNCTION("""COMPUTED_VALUE"""),"")</f>
        <v/>
      </c>
      <c r="L617" s="75"/>
      <c r="M617" s="46" t="s">
        <v>2002</v>
      </c>
    </row>
    <row r="618">
      <c r="A618" s="70">
        <f>IFERROR(__xludf.DUMMYFUNCTION("""COMPUTED_VALUE"""),8.810378923E9)</f>
        <v>8810378923</v>
      </c>
      <c r="B618" s="46" t="str">
        <f>IFERROR(__xludf.DUMMYFUNCTION("""COMPUTED_VALUE"""),"Varun Jain")</f>
        <v>Varun Jain</v>
      </c>
      <c r="C618" s="5" t="s">
        <v>2002</v>
      </c>
      <c r="D618" s="5"/>
      <c r="E618" s="5"/>
      <c r="F618" s="5"/>
      <c r="G618" s="5"/>
      <c r="H618" s="5"/>
      <c r="I618" s="5"/>
      <c r="J618" s="73"/>
      <c r="K618" s="75" t="str">
        <f>IFERROR(__xludf.DUMMYFUNCTION("""COMPUTED_VALUE"""),"")</f>
        <v/>
      </c>
      <c r="L618" s="75"/>
      <c r="M618" s="46" t="s">
        <v>2002</v>
      </c>
    </row>
    <row r="619">
      <c r="A619" s="70">
        <f>IFERROR(__xludf.DUMMYFUNCTION("""COMPUTED_VALUE"""),7.840899907E9)</f>
        <v>7840899907</v>
      </c>
      <c r="B619" s="46" t="str">
        <f>IFERROR(__xludf.DUMMYFUNCTION("""COMPUTED_VALUE"""),"Hitesh")</f>
        <v>Hitesh</v>
      </c>
      <c r="C619" s="5" t="s">
        <v>2002</v>
      </c>
      <c r="D619" s="5"/>
      <c r="E619" s="5"/>
      <c r="F619" s="5"/>
      <c r="G619" s="5"/>
      <c r="H619" s="5"/>
      <c r="I619" s="5"/>
      <c r="J619" s="73"/>
      <c r="K619" s="75" t="str">
        <f>IFERROR(__xludf.DUMMYFUNCTION("""COMPUTED_VALUE"""),"")</f>
        <v/>
      </c>
      <c r="L619" s="75"/>
      <c r="M619" s="46" t="s">
        <v>2002</v>
      </c>
    </row>
    <row r="620">
      <c r="A620" s="70">
        <f>IFERROR(__xludf.DUMMYFUNCTION("""COMPUTED_VALUE"""),9.911022277E9)</f>
        <v>9911022277</v>
      </c>
      <c r="B620" s="46" t="str">
        <f>IFERROR(__xludf.DUMMYFUNCTION("""COMPUTED_VALUE"""),"S.k birla")</f>
        <v>S.k birla</v>
      </c>
      <c r="C620" s="5" t="s">
        <v>2002</v>
      </c>
      <c r="D620" s="5"/>
      <c r="E620" s="5"/>
      <c r="F620" s="5"/>
      <c r="G620" s="5"/>
      <c r="H620" s="5"/>
      <c r="I620" s="5"/>
      <c r="J620" s="73"/>
      <c r="K620" s="75" t="str">
        <f>IFERROR(__xludf.DUMMYFUNCTION("""COMPUTED_VALUE"""),"")</f>
        <v/>
      </c>
      <c r="L620" s="75"/>
      <c r="M620" s="46" t="s">
        <v>2002</v>
      </c>
    </row>
    <row r="621">
      <c r="A621" s="70">
        <f>IFERROR(__xludf.DUMMYFUNCTION("""COMPUTED_VALUE"""),7.529999495E9)</f>
        <v>7529999495</v>
      </c>
      <c r="B621" s="46" t="str">
        <f>IFERROR(__xludf.DUMMYFUNCTION("""COMPUTED_VALUE"""),"Preeti ")</f>
        <v>Preeti </v>
      </c>
      <c r="C621" s="5" t="s">
        <v>2002</v>
      </c>
      <c r="D621" s="5"/>
      <c r="E621" s="5"/>
      <c r="F621" s="5"/>
      <c r="G621" s="5"/>
      <c r="H621" s="5"/>
      <c r="I621" s="5"/>
      <c r="J621" s="73"/>
      <c r="K621" s="75" t="str">
        <f>IFERROR(__xludf.DUMMYFUNCTION("""COMPUTED_VALUE"""),"")</f>
        <v/>
      </c>
      <c r="L621" s="75"/>
      <c r="M621" s="46" t="s">
        <v>2002</v>
      </c>
    </row>
    <row r="622">
      <c r="A622" s="70">
        <f>IFERROR(__xludf.DUMMYFUNCTION("""COMPUTED_VALUE"""),7.290894806E9)</f>
        <v>7290894806</v>
      </c>
      <c r="B622" s="46" t="str">
        <f>IFERROR(__xludf.DUMMYFUNCTION("""COMPUTED_VALUE"""),"Manu Lamba")</f>
        <v>Manu Lamba</v>
      </c>
      <c r="C622" s="5" t="s">
        <v>2002</v>
      </c>
      <c r="D622" s="5"/>
      <c r="E622" s="5"/>
      <c r="F622" s="5"/>
      <c r="G622" s="5"/>
      <c r="H622" s="5"/>
      <c r="I622" s="5"/>
      <c r="J622" s="73"/>
      <c r="K622" s="75" t="str">
        <f>IFERROR(__xludf.DUMMYFUNCTION("""COMPUTED_VALUE"""),"")</f>
        <v/>
      </c>
      <c r="L622" s="75"/>
      <c r="M622" s="46" t="s">
        <v>2002</v>
      </c>
    </row>
    <row r="623">
      <c r="A623" s="70">
        <f>IFERROR(__xludf.DUMMYFUNCTION("""COMPUTED_VALUE"""),9.999152426E9)</f>
        <v>9999152426</v>
      </c>
      <c r="B623" s="46" t="str">
        <f>IFERROR(__xludf.DUMMYFUNCTION("""COMPUTED_VALUE"""),"Preeti")</f>
        <v>Preeti</v>
      </c>
      <c r="C623" s="5" t="s">
        <v>2002</v>
      </c>
      <c r="D623" s="5"/>
      <c r="E623" s="5"/>
      <c r="F623" s="5"/>
      <c r="G623" s="5"/>
      <c r="H623" s="5"/>
      <c r="I623" s="5"/>
      <c r="J623" s="73"/>
      <c r="K623" s="75" t="str">
        <f>IFERROR(__xludf.DUMMYFUNCTION("""COMPUTED_VALUE"""),"")</f>
        <v/>
      </c>
      <c r="L623" s="75"/>
      <c r="M623" s="46" t="s">
        <v>2002</v>
      </c>
    </row>
    <row r="624">
      <c r="A624" s="70">
        <f>IFERROR(__xludf.DUMMYFUNCTION("""COMPUTED_VALUE"""),9.557629228E9)</f>
        <v>9557629228</v>
      </c>
      <c r="B624" s="46" t="str">
        <f>IFERROR(__xludf.DUMMYFUNCTION("""COMPUTED_VALUE"""),"Sameer")</f>
        <v>Sameer</v>
      </c>
      <c r="C624" s="5" t="s">
        <v>2002</v>
      </c>
      <c r="D624" s="5"/>
      <c r="E624" s="5"/>
      <c r="F624" s="5"/>
      <c r="G624" s="5"/>
      <c r="H624" s="5"/>
      <c r="I624" s="5"/>
      <c r="J624" s="73"/>
      <c r="K624" s="75" t="str">
        <f>IFERROR(__xludf.DUMMYFUNCTION("""COMPUTED_VALUE"""),"")</f>
        <v/>
      </c>
      <c r="L624" s="75"/>
      <c r="M624" s="46" t="s">
        <v>2002</v>
      </c>
    </row>
    <row r="625">
      <c r="A625" s="70">
        <f>IFERROR(__xludf.DUMMYFUNCTION("""COMPUTED_VALUE"""),9.599276778E9)</f>
        <v>9599276778</v>
      </c>
      <c r="B625" s="46" t="str">
        <f>IFERROR(__xludf.DUMMYFUNCTION("""COMPUTED_VALUE"""),"Deepanshika")</f>
        <v>Deepanshika</v>
      </c>
      <c r="C625" s="5" t="s">
        <v>2002</v>
      </c>
      <c r="D625" s="5"/>
      <c r="E625" s="5"/>
      <c r="F625" s="5"/>
      <c r="G625" s="5"/>
      <c r="H625" s="5"/>
      <c r="I625" s="5"/>
      <c r="J625" s="73"/>
      <c r="K625" s="75" t="str">
        <f>IFERROR(__xludf.DUMMYFUNCTION("""COMPUTED_VALUE"""),"")</f>
        <v/>
      </c>
      <c r="L625" s="75"/>
      <c r="M625" s="46" t="s">
        <v>2002</v>
      </c>
    </row>
    <row r="626">
      <c r="A626" s="70">
        <f>IFERROR(__xludf.DUMMYFUNCTION("""COMPUTED_VALUE"""),8.810653464E9)</f>
        <v>8810653464</v>
      </c>
      <c r="B626" s="46" t="str">
        <f>IFERROR(__xludf.DUMMYFUNCTION("""COMPUTED_VALUE"""),"Hemant rana")</f>
        <v>Hemant rana</v>
      </c>
      <c r="C626" s="5" t="s">
        <v>2002</v>
      </c>
      <c r="D626" s="5"/>
      <c r="E626" s="5"/>
      <c r="F626" s="5"/>
      <c r="G626" s="5"/>
      <c r="H626" s="5"/>
      <c r="I626" s="5"/>
      <c r="J626" s="73"/>
      <c r="K626" s="75" t="str">
        <f>IFERROR(__xludf.DUMMYFUNCTION("""COMPUTED_VALUE"""),"")</f>
        <v/>
      </c>
      <c r="L626" s="75"/>
      <c r="M626" s="46" t="s">
        <v>2002</v>
      </c>
    </row>
    <row r="627">
      <c r="A627" s="70">
        <f>IFERROR(__xludf.DUMMYFUNCTION("""COMPUTED_VALUE"""),8.800916038E9)</f>
        <v>8800916038</v>
      </c>
      <c r="B627" s="46" t="str">
        <f>IFERROR(__xludf.DUMMYFUNCTION("""COMPUTED_VALUE"""),"shamsher")</f>
        <v>shamsher</v>
      </c>
      <c r="C627" s="5" t="s">
        <v>2002</v>
      </c>
      <c r="D627" s="5"/>
      <c r="E627" s="5"/>
      <c r="F627" s="5"/>
      <c r="G627" s="5"/>
      <c r="H627" s="5"/>
      <c r="I627" s="5"/>
      <c r="J627" s="73"/>
      <c r="K627" s="75" t="str">
        <f>IFERROR(__xludf.DUMMYFUNCTION("""COMPUTED_VALUE"""),"")</f>
        <v/>
      </c>
      <c r="L627" s="75"/>
      <c r="M627" s="46" t="s">
        <v>2002</v>
      </c>
    </row>
    <row r="628">
      <c r="A628" s="70">
        <f>IFERROR(__xludf.DUMMYFUNCTION("""COMPUTED_VALUE"""),9.818825444E9)</f>
        <v>9818825444</v>
      </c>
      <c r="B628" s="46" t="str">
        <f>IFERROR(__xludf.DUMMYFUNCTION("""COMPUTED_VALUE"""),"Soniya")</f>
        <v>Soniya</v>
      </c>
      <c r="C628" s="5" t="s">
        <v>2002</v>
      </c>
      <c r="D628" s="5"/>
      <c r="E628" s="5"/>
      <c r="F628" s="5"/>
      <c r="G628" s="5"/>
      <c r="H628" s="5"/>
      <c r="I628" s="5"/>
      <c r="J628" s="73"/>
      <c r="K628" s="75" t="str">
        <f>IFERROR(__xludf.DUMMYFUNCTION("""COMPUTED_VALUE"""),"")</f>
        <v/>
      </c>
      <c r="L628" s="75"/>
      <c r="M628" s="46" t="s">
        <v>2002</v>
      </c>
    </row>
    <row r="629">
      <c r="A629" s="70">
        <f>IFERROR(__xludf.DUMMYFUNCTION("""COMPUTED_VALUE"""),9.899134205E9)</f>
        <v>9899134205</v>
      </c>
      <c r="B629" s="46" t="str">
        <f>IFERROR(__xludf.DUMMYFUNCTION("""COMPUTED_VALUE"""),"Shweta")</f>
        <v>Shweta</v>
      </c>
      <c r="C629" s="5" t="s">
        <v>2002</v>
      </c>
      <c r="D629" s="5"/>
      <c r="E629" s="5"/>
      <c r="F629" s="5"/>
      <c r="G629" s="5"/>
      <c r="H629" s="5"/>
      <c r="I629" s="5"/>
      <c r="J629" s="73"/>
      <c r="K629" s="75" t="str">
        <f>IFERROR(__xludf.DUMMYFUNCTION("""COMPUTED_VALUE"""),"")</f>
        <v/>
      </c>
      <c r="L629" s="75"/>
      <c r="M629" s="46" t="s">
        <v>2002</v>
      </c>
    </row>
    <row r="630">
      <c r="A630" s="70">
        <f>IFERROR(__xludf.DUMMYFUNCTION("""COMPUTED_VALUE"""),9.910301357E9)</f>
        <v>9910301357</v>
      </c>
      <c r="B630" s="46" t="str">
        <f>IFERROR(__xludf.DUMMYFUNCTION("""COMPUTED_VALUE"""),"Namrita")</f>
        <v>Namrita</v>
      </c>
      <c r="C630" s="5" t="s">
        <v>2002</v>
      </c>
      <c r="D630" s="5"/>
      <c r="E630" s="5"/>
      <c r="F630" s="5"/>
      <c r="G630" s="5"/>
      <c r="H630" s="5"/>
      <c r="I630" s="5"/>
      <c r="J630" s="73"/>
      <c r="K630" s="75" t="str">
        <f>IFERROR(__xludf.DUMMYFUNCTION("""COMPUTED_VALUE"""),"")</f>
        <v/>
      </c>
      <c r="L630" s="75"/>
      <c r="M630" s="46" t="s">
        <v>2002</v>
      </c>
    </row>
    <row r="631">
      <c r="A631" s="70">
        <f>IFERROR(__xludf.DUMMYFUNCTION("""COMPUTED_VALUE"""),9.82078754E9)</f>
        <v>9820787540</v>
      </c>
      <c r="B631" s="46" t="str">
        <f>IFERROR(__xludf.DUMMYFUNCTION("""COMPUTED_VALUE"""),"Nikhil")</f>
        <v>Nikhil</v>
      </c>
      <c r="C631" s="5" t="s">
        <v>2002</v>
      </c>
      <c r="D631" s="5"/>
      <c r="E631" s="5"/>
      <c r="F631" s="5"/>
      <c r="G631" s="5"/>
      <c r="H631" s="5"/>
      <c r="I631" s="5"/>
      <c r="J631" s="73"/>
      <c r="K631" s="75" t="str">
        <f>IFERROR(__xludf.DUMMYFUNCTION("""COMPUTED_VALUE"""),"")</f>
        <v/>
      </c>
      <c r="L631" s="75"/>
      <c r="M631" s="46" t="s">
        <v>2002</v>
      </c>
    </row>
    <row r="632">
      <c r="A632" s="70">
        <f>IFERROR(__xludf.DUMMYFUNCTION("""COMPUTED_VALUE"""),9.871443232E9)</f>
        <v>9871443232</v>
      </c>
      <c r="B632" s="46" t="str">
        <f>IFERROR(__xludf.DUMMYFUNCTION("""COMPUTED_VALUE"""),"Deepak sirohi")</f>
        <v>Deepak sirohi</v>
      </c>
      <c r="C632" s="5" t="s">
        <v>2002</v>
      </c>
      <c r="D632" s="5"/>
      <c r="E632" s="5"/>
      <c r="F632" s="5"/>
      <c r="G632" s="5"/>
      <c r="H632" s="5"/>
      <c r="I632" s="5"/>
      <c r="J632" s="73"/>
      <c r="K632" s="75" t="str">
        <f>IFERROR(__xludf.DUMMYFUNCTION("""COMPUTED_VALUE"""),"")</f>
        <v/>
      </c>
      <c r="L632" s="75"/>
      <c r="M632" s="46" t="s">
        <v>2002</v>
      </c>
    </row>
    <row r="633">
      <c r="A633" s="70">
        <f>IFERROR(__xludf.DUMMYFUNCTION("""COMPUTED_VALUE"""),7.599323399E9)</f>
        <v>7599323399</v>
      </c>
      <c r="B633" s="46" t="str">
        <f>IFERROR(__xludf.DUMMYFUNCTION("""COMPUTED_VALUE"""),"Akshat")</f>
        <v>Akshat</v>
      </c>
      <c r="C633" s="5" t="s">
        <v>2002</v>
      </c>
      <c r="D633" s="5"/>
      <c r="E633" s="5"/>
      <c r="F633" s="5"/>
      <c r="G633" s="5"/>
      <c r="H633" s="5"/>
      <c r="I633" s="5"/>
      <c r="J633" s="73"/>
      <c r="K633" s="75" t="str">
        <f>IFERROR(__xludf.DUMMYFUNCTION("""COMPUTED_VALUE"""),"")</f>
        <v/>
      </c>
      <c r="L633" s="75"/>
      <c r="M633" s="46" t="s">
        <v>2002</v>
      </c>
    </row>
    <row r="634">
      <c r="A634" s="70">
        <f>IFERROR(__xludf.DUMMYFUNCTION("""COMPUTED_VALUE"""),9.254603624E9)</f>
        <v>9254603624</v>
      </c>
      <c r="B634" s="46" t="str">
        <f>IFERROR(__xludf.DUMMYFUNCTION("""COMPUTED_VALUE"""),"Shweta")</f>
        <v>Shweta</v>
      </c>
      <c r="C634" s="5" t="s">
        <v>2002</v>
      </c>
      <c r="D634" s="5"/>
      <c r="E634" s="5"/>
      <c r="F634" s="5"/>
      <c r="G634" s="5"/>
      <c r="H634" s="5"/>
      <c r="I634" s="5"/>
      <c r="J634" s="73"/>
      <c r="K634" s="75" t="str">
        <f>IFERROR(__xludf.DUMMYFUNCTION("""COMPUTED_VALUE"""),"")</f>
        <v/>
      </c>
      <c r="L634" s="75"/>
      <c r="M634" s="46" t="s">
        <v>2002</v>
      </c>
    </row>
    <row r="635">
      <c r="A635" s="70">
        <f>IFERROR(__xludf.DUMMYFUNCTION("""COMPUTED_VALUE"""),9.958899294E9)</f>
        <v>9958899294</v>
      </c>
      <c r="B635" s="46" t="str">
        <f>IFERROR(__xludf.DUMMYFUNCTION("""COMPUTED_VALUE"""),"Babita kumari verma")</f>
        <v>Babita kumari verma</v>
      </c>
      <c r="C635" s="5" t="s">
        <v>2002</v>
      </c>
      <c r="D635" s="5"/>
      <c r="E635" s="5"/>
      <c r="F635" s="5"/>
      <c r="G635" s="5"/>
      <c r="H635" s="5"/>
      <c r="I635" s="5"/>
      <c r="J635" s="73"/>
      <c r="K635" s="75" t="str">
        <f>IFERROR(__xludf.DUMMYFUNCTION("""COMPUTED_VALUE"""),"")</f>
        <v/>
      </c>
      <c r="L635" s="75"/>
      <c r="M635" s="46" t="s">
        <v>2002</v>
      </c>
    </row>
    <row r="636">
      <c r="A636" s="70">
        <f>IFERROR(__xludf.DUMMYFUNCTION("""COMPUTED_VALUE"""),8.700166943E9)</f>
        <v>8700166943</v>
      </c>
      <c r="B636" s="46" t="str">
        <f>IFERROR(__xludf.DUMMYFUNCTION("""COMPUTED_VALUE"""),"Pawan")</f>
        <v>Pawan</v>
      </c>
      <c r="C636" s="5" t="s">
        <v>2002</v>
      </c>
      <c r="D636" s="5"/>
      <c r="E636" s="5"/>
      <c r="F636" s="5"/>
      <c r="G636" s="5"/>
      <c r="H636" s="5"/>
      <c r="I636" s="5"/>
      <c r="J636" s="73"/>
      <c r="K636" s="75" t="str">
        <f>IFERROR(__xludf.DUMMYFUNCTION("""COMPUTED_VALUE"""),"")</f>
        <v/>
      </c>
      <c r="L636" s="75"/>
      <c r="M636" s="46" t="s">
        <v>2002</v>
      </c>
    </row>
    <row r="637">
      <c r="A637" s="70">
        <f>IFERROR(__xludf.DUMMYFUNCTION("""COMPUTED_VALUE"""),9.891848378E9)</f>
        <v>9891848378</v>
      </c>
      <c r="B637" s="46" t="str">
        <f>IFERROR(__xludf.DUMMYFUNCTION("""COMPUTED_VALUE"""),"Nitin sharma")</f>
        <v>Nitin sharma</v>
      </c>
      <c r="C637" s="5" t="s">
        <v>2002</v>
      </c>
      <c r="D637" s="5"/>
      <c r="E637" s="5"/>
      <c r="F637" s="5"/>
      <c r="G637" s="5"/>
      <c r="H637" s="5"/>
      <c r="I637" s="5"/>
      <c r="J637" s="73"/>
      <c r="K637" s="75" t="str">
        <f>IFERROR(__xludf.DUMMYFUNCTION("""COMPUTED_VALUE"""),"")</f>
        <v/>
      </c>
      <c r="L637" s="75"/>
      <c r="M637" s="46" t="s">
        <v>2002</v>
      </c>
    </row>
    <row r="638">
      <c r="A638" s="70">
        <f>IFERROR(__xludf.DUMMYFUNCTION("""COMPUTED_VALUE"""),9.89724067E9)</f>
        <v>9897240670</v>
      </c>
      <c r="B638" s="46" t="str">
        <f>IFERROR(__xludf.DUMMYFUNCTION("""COMPUTED_VALUE"""),"Naim rana ")</f>
        <v>Naim rana </v>
      </c>
      <c r="C638" s="5" t="s">
        <v>2002</v>
      </c>
      <c r="D638" s="5"/>
      <c r="E638" s="5"/>
      <c r="F638" s="5"/>
      <c r="G638" s="5"/>
      <c r="H638" s="5"/>
      <c r="I638" s="5"/>
      <c r="J638" s="73"/>
      <c r="K638" s="75" t="str">
        <f>IFERROR(__xludf.DUMMYFUNCTION("""COMPUTED_VALUE"""),"")</f>
        <v/>
      </c>
      <c r="L638" s="75"/>
      <c r="M638" s="46" t="s">
        <v>2002</v>
      </c>
    </row>
    <row r="639">
      <c r="A639" s="70">
        <f>IFERROR(__xludf.DUMMYFUNCTION("""COMPUTED_VALUE"""),9.810475416E9)</f>
        <v>9810475416</v>
      </c>
      <c r="B639" s="46" t="str">
        <f>IFERROR(__xludf.DUMMYFUNCTION("""COMPUTED_VALUE"""),"Dinesh Jain")</f>
        <v>Dinesh Jain</v>
      </c>
      <c r="C639" s="5" t="s">
        <v>2002</v>
      </c>
      <c r="D639" s="5"/>
      <c r="E639" s="5"/>
      <c r="F639" s="5"/>
      <c r="G639" s="5"/>
      <c r="H639" s="5"/>
      <c r="I639" s="5"/>
      <c r="J639" s="73"/>
      <c r="K639" s="75" t="str">
        <f>IFERROR(__xludf.DUMMYFUNCTION("""COMPUTED_VALUE"""),"")</f>
        <v/>
      </c>
      <c r="L639" s="75"/>
      <c r="M639" s="46" t="s">
        <v>2002</v>
      </c>
    </row>
    <row r="640">
      <c r="A640" s="70">
        <f>IFERROR(__xludf.DUMMYFUNCTION("""COMPUTED_VALUE"""),7.867863922E9)</f>
        <v>7867863922</v>
      </c>
      <c r="B640" s="46" t="str">
        <f>IFERROR(__xludf.DUMMYFUNCTION("""COMPUTED_VALUE"""),"Mohammad atil ansari")</f>
        <v>Mohammad atil ansari</v>
      </c>
      <c r="C640" s="5" t="s">
        <v>2002</v>
      </c>
      <c r="D640" s="5"/>
      <c r="E640" s="5"/>
      <c r="F640" s="5"/>
      <c r="G640" s="5"/>
      <c r="H640" s="5"/>
      <c r="I640" s="5"/>
      <c r="J640" s="73"/>
      <c r="K640" s="75" t="str">
        <f>IFERROR(__xludf.DUMMYFUNCTION("""COMPUTED_VALUE"""),"")</f>
        <v/>
      </c>
      <c r="L640" s="75"/>
      <c r="M640" s="46" t="s">
        <v>2002</v>
      </c>
    </row>
    <row r="641">
      <c r="A641" s="70">
        <f>IFERROR(__xludf.DUMMYFUNCTION("""COMPUTED_VALUE"""),9.837494154E9)</f>
        <v>9837494154</v>
      </c>
      <c r="B641" s="46" t="str">
        <f>IFERROR(__xludf.DUMMYFUNCTION("""COMPUTED_VALUE"""),"Piyush jain")</f>
        <v>Piyush jain</v>
      </c>
      <c r="C641" s="5" t="s">
        <v>2002</v>
      </c>
      <c r="D641" s="5"/>
      <c r="E641" s="5"/>
      <c r="F641" s="5"/>
      <c r="G641" s="5"/>
      <c r="H641" s="5"/>
      <c r="I641" s="5"/>
      <c r="J641" s="73"/>
      <c r="K641" s="75" t="str">
        <f>IFERROR(__xludf.DUMMYFUNCTION("""COMPUTED_VALUE"""),"")</f>
        <v/>
      </c>
      <c r="L641" s="75"/>
      <c r="M641" s="46" t="s">
        <v>2002</v>
      </c>
    </row>
    <row r="642">
      <c r="A642" s="70">
        <f>IFERROR(__xludf.DUMMYFUNCTION("""COMPUTED_VALUE"""),9.259266486E9)</f>
        <v>9259266486</v>
      </c>
      <c r="B642" s="46" t="str">
        <f>IFERROR(__xludf.DUMMYFUNCTION("""COMPUTED_VALUE"""),"Tushar jain")</f>
        <v>Tushar jain</v>
      </c>
      <c r="C642" s="5" t="s">
        <v>2002</v>
      </c>
      <c r="D642" s="5"/>
      <c r="E642" s="5"/>
      <c r="F642" s="5"/>
      <c r="G642" s="5"/>
      <c r="H642" s="5"/>
      <c r="I642" s="5"/>
      <c r="J642" s="73"/>
      <c r="K642" s="75" t="str">
        <f>IFERROR(__xludf.DUMMYFUNCTION("""COMPUTED_VALUE"""),"")</f>
        <v/>
      </c>
      <c r="L642" s="75"/>
      <c r="M642" s="46" t="s">
        <v>2002</v>
      </c>
    </row>
    <row r="643">
      <c r="A643" s="70">
        <f>IFERROR(__xludf.DUMMYFUNCTION("""COMPUTED_VALUE"""),9.811377734E9)</f>
        <v>9811377734</v>
      </c>
      <c r="B643" s="46" t="str">
        <f>IFERROR(__xludf.DUMMYFUNCTION("""COMPUTED_VALUE"""),"Mahima")</f>
        <v>Mahima</v>
      </c>
      <c r="C643" s="5" t="s">
        <v>2002</v>
      </c>
      <c r="D643" s="5"/>
      <c r="E643" s="5"/>
      <c r="F643" s="5"/>
      <c r="G643" s="5"/>
      <c r="H643" s="5"/>
      <c r="I643" s="5"/>
      <c r="J643" s="73"/>
      <c r="K643" s="75" t="str">
        <f>IFERROR(__xludf.DUMMYFUNCTION("""COMPUTED_VALUE"""),"")</f>
        <v/>
      </c>
      <c r="L643" s="75"/>
      <c r="M643" s="46" t="s">
        <v>2002</v>
      </c>
    </row>
    <row r="644">
      <c r="A644" s="70">
        <f>IFERROR(__xludf.DUMMYFUNCTION("""COMPUTED_VALUE"""),7.827464273E9)</f>
        <v>7827464273</v>
      </c>
      <c r="B644" s="46" t="str">
        <f>IFERROR(__xludf.DUMMYFUNCTION("""COMPUTED_VALUE"""),"Pooja")</f>
        <v>Pooja</v>
      </c>
      <c r="C644" s="5" t="s">
        <v>2002</v>
      </c>
      <c r="D644" s="5"/>
      <c r="E644" s="5"/>
      <c r="F644" s="5"/>
      <c r="G644" s="5"/>
      <c r="H644" s="5"/>
      <c r="I644" s="5"/>
      <c r="J644" s="73"/>
      <c r="K644" s="75" t="str">
        <f>IFERROR(__xludf.DUMMYFUNCTION("""COMPUTED_VALUE"""),"")</f>
        <v/>
      </c>
      <c r="L644" s="75"/>
      <c r="M644" s="46" t="s">
        <v>2002</v>
      </c>
    </row>
    <row r="645">
      <c r="A645" s="70">
        <f>IFERROR(__xludf.DUMMYFUNCTION("""COMPUTED_VALUE"""),8.130573386E9)</f>
        <v>8130573386</v>
      </c>
      <c r="B645" s="46" t="str">
        <f>IFERROR(__xludf.DUMMYFUNCTION("""COMPUTED_VALUE"""),"Deepali")</f>
        <v>Deepali</v>
      </c>
      <c r="C645" s="5" t="s">
        <v>2002</v>
      </c>
      <c r="D645" s="5"/>
      <c r="E645" s="5"/>
      <c r="F645" s="5"/>
      <c r="G645" s="5"/>
      <c r="H645" s="5"/>
      <c r="I645" s="5"/>
      <c r="J645" s="73"/>
      <c r="K645" s="75" t="str">
        <f>IFERROR(__xludf.DUMMYFUNCTION("""COMPUTED_VALUE"""),"")</f>
        <v/>
      </c>
      <c r="L645" s="75"/>
      <c r="M645" s="46" t="s">
        <v>2002</v>
      </c>
    </row>
    <row r="646">
      <c r="A646" s="70">
        <f>IFERROR(__xludf.DUMMYFUNCTION("""COMPUTED_VALUE"""),9.953131628E9)</f>
        <v>9953131628</v>
      </c>
      <c r="B646" s="46" t="str">
        <f>IFERROR(__xludf.DUMMYFUNCTION("""COMPUTED_VALUE"""),"Chanchal")</f>
        <v>Chanchal</v>
      </c>
      <c r="C646" s="5" t="s">
        <v>2002</v>
      </c>
      <c r="D646" s="5"/>
      <c r="E646" s="5"/>
      <c r="F646" s="5"/>
      <c r="G646" s="5"/>
      <c r="H646" s="5"/>
      <c r="I646" s="5"/>
      <c r="J646" s="73"/>
      <c r="K646" s="75" t="str">
        <f>IFERROR(__xludf.DUMMYFUNCTION("""COMPUTED_VALUE"""),"")</f>
        <v/>
      </c>
      <c r="L646" s="75"/>
      <c r="M646" s="46" t="s">
        <v>2002</v>
      </c>
    </row>
    <row r="647">
      <c r="A647" s="70">
        <f>IFERROR(__xludf.DUMMYFUNCTION("""COMPUTED_VALUE"""),8.700481289E9)</f>
        <v>8700481289</v>
      </c>
      <c r="B647" s="46" t="str">
        <f>IFERROR(__xludf.DUMMYFUNCTION("""COMPUTED_VALUE"""),"Preeti kumari ")</f>
        <v>Preeti kumari </v>
      </c>
      <c r="C647" s="5" t="s">
        <v>2002</v>
      </c>
      <c r="D647" s="5"/>
      <c r="E647" s="5"/>
      <c r="F647" s="5"/>
      <c r="G647" s="5"/>
      <c r="H647" s="5"/>
      <c r="I647" s="5"/>
      <c r="J647" s="73"/>
      <c r="K647" s="75" t="str">
        <f>IFERROR(__xludf.DUMMYFUNCTION("""COMPUTED_VALUE"""),"")</f>
        <v/>
      </c>
      <c r="L647" s="75"/>
      <c r="M647" s="46" t="s">
        <v>2002</v>
      </c>
    </row>
    <row r="648">
      <c r="A648" s="70">
        <f>IFERROR(__xludf.DUMMYFUNCTION("""COMPUTED_VALUE"""),9.91036172E9)</f>
        <v>9910361720</v>
      </c>
      <c r="B648" s="46" t="str">
        <f>IFERROR(__xludf.DUMMYFUNCTION("""COMPUTED_VALUE"""),"Om")</f>
        <v>Om</v>
      </c>
      <c r="C648" s="5" t="s">
        <v>2002</v>
      </c>
      <c r="D648" s="5"/>
      <c r="E648" s="5"/>
      <c r="F648" s="5"/>
      <c r="G648" s="5"/>
      <c r="H648" s="5"/>
      <c r="I648" s="5"/>
      <c r="J648" s="73"/>
      <c r="K648" s="75" t="str">
        <f>IFERROR(__xludf.DUMMYFUNCTION("""COMPUTED_VALUE"""),"")</f>
        <v/>
      </c>
      <c r="L648" s="75"/>
      <c r="M648" s="46" t="s">
        <v>2002</v>
      </c>
    </row>
    <row r="649">
      <c r="A649" s="70">
        <f>IFERROR(__xludf.DUMMYFUNCTION("""COMPUTED_VALUE"""),9.873009325E9)</f>
        <v>9873009325</v>
      </c>
      <c r="B649" s="46" t="str">
        <f>IFERROR(__xludf.DUMMYFUNCTION("""COMPUTED_VALUE"""),"Rajan Monga")</f>
        <v>Rajan Monga</v>
      </c>
      <c r="C649" s="5" t="s">
        <v>2002</v>
      </c>
      <c r="D649" s="5"/>
      <c r="E649" s="5"/>
      <c r="F649" s="5"/>
      <c r="G649" s="5"/>
      <c r="H649" s="5"/>
      <c r="I649" s="5"/>
      <c r="J649" s="73"/>
      <c r="K649" s="75" t="str">
        <f>IFERROR(__xludf.DUMMYFUNCTION("""COMPUTED_VALUE"""),"")</f>
        <v/>
      </c>
      <c r="L649" s="75"/>
      <c r="M649" s="46" t="s">
        <v>2002</v>
      </c>
    </row>
    <row r="650">
      <c r="A650" s="70">
        <f>IFERROR(__xludf.DUMMYFUNCTION("""COMPUTED_VALUE"""),9.81827868E9)</f>
        <v>9818278680</v>
      </c>
      <c r="B650" s="46" t="str">
        <f>IFERROR(__xludf.DUMMYFUNCTION("""COMPUTED_VALUE"""),"Dr Aalam")</f>
        <v>Dr Aalam</v>
      </c>
      <c r="C650" s="5" t="s">
        <v>2002</v>
      </c>
      <c r="D650" s="5"/>
      <c r="E650" s="5"/>
      <c r="F650" s="5"/>
      <c r="G650" s="5"/>
      <c r="H650" s="5"/>
      <c r="I650" s="5"/>
      <c r="J650" s="73"/>
      <c r="K650" s="75" t="str">
        <f>IFERROR(__xludf.DUMMYFUNCTION("""COMPUTED_VALUE"""),"")</f>
        <v/>
      </c>
      <c r="L650" s="75"/>
      <c r="M650" s="46" t="s">
        <v>2002</v>
      </c>
    </row>
    <row r="651">
      <c r="A651" s="70">
        <f>IFERROR(__xludf.DUMMYFUNCTION("""COMPUTED_VALUE"""),8.532842941E9)</f>
        <v>8532842941</v>
      </c>
      <c r="B651" s="46" t="str">
        <f>IFERROR(__xludf.DUMMYFUNCTION("""COMPUTED_VALUE"""),"Somesh")</f>
        <v>Somesh</v>
      </c>
      <c r="C651" s="5" t="s">
        <v>2002</v>
      </c>
      <c r="D651" s="5"/>
      <c r="E651" s="5"/>
      <c r="F651" s="5"/>
      <c r="G651" s="5"/>
      <c r="H651" s="5"/>
      <c r="I651" s="5"/>
      <c r="J651" s="73"/>
      <c r="K651" s="75" t="str">
        <f>IFERROR(__xludf.DUMMYFUNCTION("""COMPUTED_VALUE"""),"")</f>
        <v/>
      </c>
      <c r="L651" s="75"/>
      <c r="M651" s="46" t="s">
        <v>2002</v>
      </c>
    </row>
    <row r="652">
      <c r="A652" s="70">
        <f>IFERROR(__xludf.DUMMYFUNCTION("""COMPUTED_VALUE"""),9.953295326E9)</f>
        <v>9953295326</v>
      </c>
      <c r="B652" s="46" t="str">
        <f>IFERROR(__xludf.DUMMYFUNCTION("""COMPUTED_VALUE"""),"Ashu ji ")</f>
        <v>Ashu ji </v>
      </c>
      <c r="C652" s="5" t="s">
        <v>2002</v>
      </c>
      <c r="D652" s="5"/>
      <c r="E652" s="5"/>
      <c r="F652" s="5"/>
      <c r="G652" s="5"/>
      <c r="H652" s="5"/>
      <c r="I652" s="5"/>
      <c r="J652" s="73"/>
      <c r="K652" s="75" t="str">
        <f>IFERROR(__xludf.DUMMYFUNCTION("""COMPUTED_VALUE"""),"")</f>
        <v/>
      </c>
      <c r="L652" s="75"/>
      <c r="M652" s="46" t="s">
        <v>2002</v>
      </c>
    </row>
    <row r="653">
      <c r="A653" s="70">
        <f>IFERROR(__xludf.DUMMYFUNCTION("""COMPUTED_VALUE"""),9.313327555E9)</f>
        <v>9313327555</v>
      </c>
      <c r="B653" s="46" t="str">
        <f>IFERROR(__xludf.DUMMYFUNCTION("""COMPUTED_VALUE"""),"Meenu Bansal")</f>
        <v>Meenu Bansal</v>
      </c>
      <c r="C653" s="5" t="s">
        <v>2002</v>
      </c>
      <c r="D653" s="5"/>
      <c r="E653" s="5"/>
      <c r="F653" s="5"/>
      <c r="G653" s="5"/>
      <c r="H653" s="5"/>
      <c r="I653" s="5"/>
      <c r="J653" s="73"/>
      <c r="K653" s="75" t="str">
        <f>IFERROR(__xludf.DUMMYFUNCTION("""COMPUTED_VALUE"""),"")</f>
        <v/>
      </c>
      <c r="L653" s="75"/>
      <c r="M653" s="46" t="s">
        <v>2002</v>
      </c>
    </row>
    <row r="654">
      <c r="A654" s="70">
        <f>IFERROR(__xludf.DUMMYFUNCTION("""COMPUTED_VALUE"""),9.81893479E9)</f>
        <v>9818934790</v>
      </c>
      <c r="B654" s="46" t="str">
        <f>IFERROR(__xludf.DUMMYFUNCTION("""COMPUTED_VALUE"""),"Shekhar kumar")</f>
        <v>Shekhar kumar</v>
      </c>
      <c r="C654" s="5" t="s">
        <v>2002</v>
      </c>
      <c r="D654" s="5"/>
      <c r="E654" s="5"/>
      <c r="F654" s="5"/>
      <c r="G654" s="5"/>
      <c r="H654" s="5"/>
      <c r="I654" s="5"/>
      <c r="J654" s="73"/>
      <c r="K654" s="75" t="str">
        <f>IFERROR(__xludf.DUMMYFUNCTION("""COMPUTED_VALUE"""),"")</f>
        <v/>
      </c>
      <c r="L654" s="75"/>
      <c r="M654" s="46" t="s">
        <v>2002</v>
      </c>
    </row>
    <row r="655">
      <c r="A655" s="70">
        <f>IFERROR(__xludf.DUMMYFUNCTION("""COMPUTED_VALUE"""),8.851210573E9)</f>
        <v>8851210573</v>
      </c>
      <c r="B655" s="46" t="str">
        <f>IFERROR(__xludf.DUMMYFUNCTION("""COMPUTED_VALUE"""),"Raj singh")</f>
        <v>Raj singh</v>
      </c>
      <c r="C655" s="5" t="s">
        <v>2002</v>
      </c>
      <c r="D655" s="5"/>
      <c r="E655" s="5"/>
      <c r="F655" s="5"/>
      <c r="G655" s="5"/>
      <c r="H655" s="5"/>
      <c r="I655" s="5"/>
      <c r="J655" s="73"/>
      <c r="K655" s="75" t="str">
        <f>IFERROR(__xludf.DUMMYFUNCTION("""COMPUTED_VALUE"""),"")</f>
        <v/>
      </c>
      <c r="L655" s="75"/>
      <c r="M655" s="46" t="s">
        <v>2002</v>
      </c>
    </row>
    <row r="656">
      <c r="A656" s="70">
        <f>IFERROR(__xludf.DUMMYFUNCTION("""COMPUTED_VALUE"""),9.958204258E9)</f>
        <v>9958204258</v>
      </c>
      <c r="B656" s="46" t="str">
        <f>IFERROR(__xludf.DUMMYFUNCTION("""COMPUTED_VALUE"""),"Paras")</f>
        <v>Paras</v>
      </c>
      <c r="C656" s="5" t="s">
        <v>2002</v>
      </c>
      <c r="D656" s="5"/>
      <c r="E656" s="5"/>
      <c r="F656" s="5"/>
      <c r="G656" s="5"/>
      <c r="H656" s="5"/>
      <c r="I656" s="5"/>
      <c r="J656" s="73"/>
      <c r="K656" s="75" t="str">
        <f>IFERROR(__xludf.DUMMYFUNCTION("""COMPUTED_VALUE"""),"")</f>
        <v/>
      </c>
      <c r="L656" s="75"/>
      <c r="M656" s="46" t="s">
        <v>2002</v>
      </c>
    </row>
    <row r="657">
      <c r="A657" s="70">
        <f>IFERROR(__xludf.DUMMYFUNCTION("""COMPUTED_VALUE"""),9.78521872E9)</f>
        <v>9785218720</v>
      </c>
      <c r="B657" s="46" t="str">
        <f>IFERROR(__xludf.DUMMYFUNCTION("""COMPUTED_VALUE"""),"Krishna")</f>
        <v>Krishna</v>
      </c>
      <c r="C657" s="5" t="s">
        <v>2002</v>
      </c>
      <c r="D657" s="5"/>
      <c r="E657" s="5"/>
      <c r="F657" s="5"/>
      <c r="G657" s="5"/>
      <c r="H657" s="5"/>
      <c r="I657" s="5"/>
      <c r="J657" s="73"/>
      <c r="K657" s="75" t="str">
        <f>IFERROR(__xludf.DUMMYFUNCTION("""COMPUTED_VALUE"""),"")</f>
        <v/>
      </c>
      <c r="L657" s="75"/>
      <c r="M657" s="46" t="s">
        <v>2002</v>
      </c>
    </row>
    <row r="658">
      <c r="A658" s="70">
        <f>IFERROR(__xludf.DUMMYFUNCTION("""COMPUTED_VALUE"""),9.711226719E9)</f>
        <v>9711226719</v>
      </c>
      <c r="B658" s="46" t="str">
        <f>IFERROR(__xludf.DUMMYFUNCTION("""COMPUTED_VALUE"""),"Gaurav rajput")</f>
        <v>Gaurav rajput</v>
      </c>
      <c r="C658" s="5" t="s">
        <v>2002</v>
      </c>
      <c r="D658" s="5"/>
      <c r="E658" s="5"/>
      <c r="F658" s="5"/>
      <c r="G658" s="5"/>
      <c r="H658" s="5"/>
      <c r="I658" s="5"/>
      <c r="J658" s="73"/>
      <c r="K658" s="75" t="str">
        <f>IFERROR(__xludf.DUMMYFUNCTION("""COMPUTED_VALUE"""),"")</f>
        <v/>
      </c>
      <c r="L658" s="75"/>
      <c r="M658" s="46" t="s">
        <v>2002</v>
      </c>
    </row>
    <row r="659">
      <c r="A659" s="70">
        <f>IFERROR(__xludf.DUMMYFUNCTION("""COMPUTED_VALUE"""),9.868917674E9)</f>
        <v>9868917674</v>
      </c>
      <c r="B659" s="46" t="str">
        <f>IFERROR(__xludf.DUMMYFUNCTION("""COMPUTED_VALUE"""),"Sujata")</f>
        <v>Sujata</v>
      </c>
      <c r="C659" s="5" t="s">
        <v>2002</v>
      </c>
      <c r="D659" s="5"/>
      <c r="E659" s="5"/>
      <c r="F659" s="5"/>
      <c r="G659" s="5"/>
      <c r="H659" s="5"/>
      <c r="I659" s="5"/>
      <c r="J659" s="73"/>
      <c r="K659" s="75" t="str">
        <f>IFERROR(__xludf.DUMMYFUNCTION("""COMPUTED_VALUE"""),"")</f>
        <v/>
      </c>
      <c r="L659" s="75"/>
      <c r="M659" s="46" t="s">
        <v>2002</v>
      </c>
    </row>
    <row r="660">
      <c r="A660" s="70">
        <f>IFERROR(__xludf.DUMMYFUNCTION("""COMPUTED_VALUE"""),7.98818387E9)</f>
        <v>7988183870</v>
      </c>
      <c r="B660" s="46" t="str">
        <f>IFERROR(__xludf.DUMMYFUNCTION("""COMPUTED_VALUE"""),"Sundar laal ")</f>
        <v>Sundar laal </v>
      </c>
      <c r="C660" s="5" t="s">
        <v>2002</v>
      </c>
      <c r="D660" s="5"/>
      <c r="E660" s="5"/>
      <c r="F660" s="5"/>
      <c r="G660" s="5"/>
      <c r="H660" s="5"/>
      <c r="I660" s="5"/>
      <c r="J660" s="73"/>
      <c r="K660" s="75" t="str">
        <f>IFERROR(__xludf.DUMMYFUNCTION("""COMPUTED_VALUE"""),"")</f>
        <v/>
      </c>
      <c r="L660" s="75"/>
      <c r="M660" s="46" t="s">
        <v>2002</v>
      </c>
    </row>
    <row r="661">
      <c r="A661" s="70">
        <f>IFERROR(__xludf.DUMMYFUNCTION("""COMPUTED_VALUE"""),7.678302111E9)</f>
        <v>7678302111</v>
      </c>
      <c r="B661" s="46" t="str">
        <f>IFERROR(__xludf.DUMMYFUNCTION("""COMPUTED_VALUE"""),"Prrti aggarwal ")</f>
        <v>Prrti aggarwal </v>
      </c>
      <c r="C661" s="5" t="s">
        <v>2002</v>
      </c>
      <c r="D661" s="5"/>
      <c r="E661" s="5"/>
      <c r="F661" s="5"/>
      <c r="G661" s="5"/>
      <c r="H661" s="5"/>
      <c r="I661" s="5"/>
      <c r="J661" s="73"/>
      <c r="K661" s="75" t="str">
        <f>IFERROR(__xludf.DUMMYFUNCTION("""COMPUTED_VALUE"""),"")</f>
        <v/>
      </c>
      <c r="L661" s="75"/>
      <c r="M661" s="46" t="s">
        <v>2002</v>
      </c>
    </row>
    <row r="662">
      <c r="A662" s="70">
        <f>IFERROR(__xludf.DUMMYFUNCTION("""COMPUTED_VALUE"""),9.717047066E9)</f>
        <v>9717047066</v>
      </c>
      <c r="B662" s="46" t="str">
        <f>IFERROR(__xludf.DUMMYFUNCTION("""COMPUTED_VALUE"""),"Hairsh kumar Bansal ")</f>
        <v>Hairsh kumar Bansal </v>
      </c>
      <c r="C662" s="5" t="s">
        <v>2002</v>
      </c>
      <c r="D662" s="5"/>
      <c r="E662" s="5"/>
      <c r="F662" s="5"/>
      <c r="G662" s="5"/>
      <c r="H662" s="5"/>
      <c r="I662" s="5"/>
      <c r="J662" s="73"/>
      <c r="K662" s="75" t="str">
        <f>IFERROR(__xludf.DUMMYFUNCTION("""COMPUTED_VALUE"""),"")</f>
        <v/>
      </c>
      <c r="L662" s="75"/>
      <c r="M662" s="46" t="s">
        <v>2002</v>
      </c>
    </row>
    <row r="663">
      <c r="A663" s="70">
        <f>IFERROR(__xludf.DUMMYFUNCTION("""COMPUTED_VALUE"""),9.810357152E9)</f>
        <v>9810357152</v>
      </c>
      <c r="B663" s="46" t="str">
        <f>IFERROR(__xludf.DUMMYFUNCTION("""COMPUTED_VALUE"""),"Deepa Ahuja")</f>
        <v>Deepa Ahuja</v>
      </c>
      <c r="C663" s="5" t="s">
        <v>2002</v>
      </c>
      <c r="D663" s="5"/>
      <c r="E663" s="5"/>
      <c r="F663" s="5"/>
      <c r="G663" s="5"/>
      <c r="H663" s="5"/>
      <c r="I663" s="5"/>
      <c r="J663" s="73"/>
      <c r="K663" s="75" t="str">
        <f>IFERROR(__xludf.DUMMYFUNCTION("""COMPUTED_VALUE"""),"")</f>
        <v/>
      </c>
      <c r="L663" s="75"/>
      <c r="M663" s="46" t="s">
        <v>2002</v>
      </c>
    </row>
    <row r="664">
      <c r="A664" s="70">
        <f>IFERROR(__xludf.DUMMYFUNCTION("""COMPUTED_VALUE"""),7.011100151E9)</f>
        <v>7011100151</v>
      </c>
      <c r="B664" s="46" t="str">
        <f>IFERROR(__xludf.DUMMYFUNCTION("""COMPUTED_VALUE"""),"Nancy bansal")</f>
        <v>Nancy bansal</v>
      </c>
      <c r="C664" s="5" t="s">
        <v>2002</v>
      </c>
      <c r="D664" s="5"/>
      <c r="E664" s="5"/>
      <c r="F664" s="5"/>
      <c r="G664" s="5"/>
      <c r="H664" s="5"/>
      <c r="I664" s="5"/>
      <c r="J664" s="73"/>
      <c r="K664" s="75" t="str">
        <f>IFERROR(__xludf.DUMMYFUNCTION("""COMPUTED_VALUE"""),"")</f>
        <v/>
      </c>
      <c r="L664" s="75"/>
      <c r="M664" s="46" t="s">
        <v>2002</v>
      </c>
    </row>
    <row r="665">
      <c r="A665" s="70">
        <f>IFERROR(__xludf.DUMMYFUNCTION("""COMPUTED_VALUE"""),9.911071738E9)</f>
        <v>9911071738</v>
      </c>
      <c r="B665" s="46" t="str">
        <f>IFERROR(__xludf.DUMMYFUNCTION("""COMPUTED_VALUE"""),"Nanki ")</f>
        <v>Nanki </v>
      </c>
      <c r="C665" s="5" t="s">
        <v>2002</v>
      </c>
      <c r="D665" s="5"/>
      <c r="E665" s="5"/>
      <c r="F665" s="5"/>
      <c r="G665" s="5"/>
      <c r="H665" s="5"/>
      <c r="I665" s="5"/>
      <c r="J665" s="73"/>
      <c r="K665" s="75" t="str">
        <f>IFERROR(__xludf.DUMMYFUNCTION("""COMPUTED_VALUE"""),"")</f>
        <v/>
      </c>
      <c r="L665" s="75"/>
      <c r="M665" s="46" t="s">
        <v>2002</v>
      </c>
    </row>
    <row r="666">
      <c r="A666" s="70">
        <f>IFERROR(__xludf.DUMMYFUNCTION("""COMPUTED_VALUE"""),9.999778779E9)</f>
        <v>9999778779</v>
      </c>
      <c r="B666" s="46" t="str">
        <f>IFERROR(__xludf.DUMMYFUNCTION("""COMPUTED_VALUE"""),"Jai aggarwal")</f>
        <v>Jai aggarwal</v>
      </c>
      <c r="C666" s="5" t="s">
        <v>2002</v>
      </c>
      <c r="D666" s="5"/>
      <c r="E666" s="5"/>
      <c r="F666" s="5"/>
      <c r="G666" s="5"/>
      <c r="H666" s="5"/>
      <c r="I666" s="5"/>
      <c r="J666" s="73"/>
      <c r="K666" s="75" t="str">
        <f>IFERROR(__xludf.DUMMYFUNCTION("""COMPUTED_VALUE"""),"")</f>
        <v/>
      </c>
      <c r="L666" s="75"/>
      <c r="M666" s="46" t="s">
        <v>2002</v>
      </c>
    </row>
    <row r="667">
      <c r="A667" s="70">
        <f>IFERROR(__xludf.DUMMYFUNCTION("""COMPUTED_VALUE"""),8.076405075E9)</f>
        <v>8076405075</v>
      </c>
      <c r="B667" s="46" t="str">
        <f>IFERROR(__xludf.DUMMYFUNCTION("""COMPUTED_VALUE"""),"Mohammad iliyas")</f>
        <v>Mohammad iliyas</v>
      </c>
      <c r="C667" s="5" t="s">
        <v>2002</v>
      </c>
      <c r="D667" s="5"/>
      <c r="E667" s="5"/>
      <c r="F667" s="5"/>
      <c r="G667" s="5"/>
      <c r="H667" s="5"/>
      <c r="I667" s="5"/>
      <c r="J667" s="73"/>
      <c r="K667" s="75" t="str">
        <f>IFERROR(__xludf.DUMMYFUNCTION("""COMPUTED_VALUE"""),"")</f>
        <v/>
      </c>
      <c r="L667" s="75"/>
      <c r="M667" s="46" t="s">
        <v>2002</v>
      </c>
    </row>
    <row r="668">
      <c r="A668" s="70">
        <f>IFERROR(__xludf.DUMMYFUNCTION("""COMPUTED_VALUE"""),9.540715413E9)</f>
        <v>9540715413</v>
      </c>
      <c r="B668" s="46" t="str">
        <f>IFERROR(__xludf.DUMMYFUNCTION("""COMPUTED_VALUE"""),"Khushnuma")</f>
        <v>Khushnuma</v>
      </c>
      <c r="C668" s="5" t="s">
        <v>2002</v>
      </c>
      <c r="D668" s="5"/>
      <c r="E668" s="5"/>
      <c r="F668" s="5"/>
      <c r="G668" s="5"/>
      <c r="H668" s="5"/>
      <c r="I668" s="5"/>
      <c r="J668" s="73"/>
      <c r="K668" s="75" t="str">
        <f>IFERROR(__xludf.DUMMYFUNCTION("""COMPUTED_VALUE"""),"")</f>
        <v/>
      </c>
      <c r="L668" s="75"/>
      <c r="M668" s="46" t="s">
        <v>2002</v>
      </c>
    </row>
    <row r="669">
      <c r="A669" s="70">
        <f>IFERROR(__xludf.DUMMYFUNCTION("""COMPUTED_VALUE"""),9.87319521E9)</f>
        <v>9873195210</v>
      </c>
      <c r="B669" s="46" t="str">
        <f>IFERROR(__xludf.DUMMYFUNCTION("""COMPUTED_VALUE"""),"Inderpal singh")</f>
        <v>Inderpal singh</v>
      </c>
      <c r="C669" s="5" t="s">
        <v>2002</v>
      </c>
      <c r="D669" s="5"/>
      <c r="E669" s="5"/>
      <c r="F669" s="5"/>
      <c r="G669" s="5"/>
      <c r="H669" s="5"/>
      <c r="I669" s="5"/>
      <c r="J669" s="73"/>
      <c r="K669" s="75" t="str">
        <f>IFERROR(__xludf.DUMMYFUNCTION("""COMPUTED_VALUE"""),"")</f>
        <v/>
      </c>
      <c r="L669" s="75"/>
      <c r="M669" s="46" t="s">
        <v>2002</v>
      </c>
    </row>
    <row r="670">
      <c r="A670" s="70">
        <f>IFERROR(__xludf.DUMMYFUNCTION("""COMPUTED_VALUE"""),8.287384502E9)</f>
        <v>8287384502</v>
      </c>
      <c r="B670" s="46" t="str">
        <f>IFERROR(__xludf.DUMMYFUNCTION("""COMPUTED_VALUE"""),"Prince sharma")</f>
        <v>Prince sharma</v>
      </c>
      <c r="C670" s="5" t="s">
        <v>2002</v>
      </c>
      <c r="D670" s="5"/>
      <c r="E670" s="5"/>
      <c r="F670" s="5"/>
      <c r="G670" s="5"/>
      <c r="H670" s="5"/>
      <c r="I670" s="5"/>
      <c r="J670" s="73"/>
      <c r="K670" s="75" t="str">
        <f>IFERROR(__xludf.DUMMYFUNCTION("""COMPUTED_VALUE"""),"")</f>
        <v/>
      </c>
      <c r="L670" s="75"/>
      <c r="M670" s="46" t="s">
        <v>2002</v>
      </c>
    </row>
    <row r="671">
      <c r="A671" s="70">
        <f>IFERROR(__xludf.DUMMYFUNCTION("""COMPUTED_VALUE"""),8.920271919E9)</f>
        <v>8920271919</v>
      </c>
      <c r="B671" s="46" t="str">
        <f>IFERROR(__xludf.DUMMYFUNCTION("""COMPUTED_VALUE"""),"Renu aggarwal ")</f>
        <v>Renu aggarwal </v>
      </c>
      <c r="C671" s="5" t="s">
        <v>2002</v>
      </c>
      <c r="D671" s="5"/>
      <c r="E671" s="5"/>
      <c r="F671" s="5"/>
      <c r="G671" s="5"/>
      <c r="H671" s="5"/>
      <c r="I671" s="5"/>
      <c r="J671" s="73"/>
      <c r="K671" s="75" t="str">
        <f>IFERROR(__xludf.DUMMYFUNCTION("""COMPUTED_VALUE"""),"")</f>
        <v/>
      </c>
      <c r="L671" s="75"/>
      <c r="M671" s="46" t="s">
        <v>2002</v>
      </c>
    </row>
    <row r="672">
      <c r="A672" s="70">
        <f>IFERROR(__xludf.DUMMYFUNCTION("""COMPUTED_VALUE"""),9.898568358E9)</f>
        <v>9898568358</v>
      </c>
      <c r="B672" s="46" t="str">
        <f>IFERROR(__xludf.DUMMYFUNCTION("""COMPUTED_VALUE"""),"Rajdeep Singh ji ")</f>
        <v>Rajdeep Singh ji </v>
      </c>
      <c r="C672" s="5" t="s">
        <v>2002</v>
      </c>
      <c r="D672" s="5"/>
      <c r="E672" s="5"/>
      <c r="F672" s="5"/>
      <c r="G672" s="5"/>
      <c r="H672" s="5"/>
      <c r="I672" s="5"/>
      <c r="J672" s="73"/>
      <c r="K672" s="75" t="str">
        <f>IFERROR(__xludf.DUMMYFUNCTION("""COMPUTED_VALUE"""),"")</f>
        <v/>
      </c>
      <c r="L672" s="75"/>
      <c r="M672" s="46" t="s">
        <v>2002</v>
      </c>
    </row>
    <row r="673">
      <c r="A673" s="70">
        <f>IFERROR(__xludf.DUMMYFUNCTION("""COMPUTED_VALUE"""),9.560356725E9)</f>
        <v>9560356725</v>
      </c>
      <c r="B673" s="46" t="str">
        <f>IFERROR(__xludf.DUMMYFUNCTION("""COMPUTED_VALUE"""),"Shashi Chaudhary ")</f>
        <v>Shashi Chaudhary </v>
      </c>
      <c r="C673" s="5" t="s">
        <v>2002</v>
      </c>
      <c r="D673" s="5"/>
      <c r="E673" s="5"/>
      <c r="F673" s="5"/>
      <c r="G673" s="5"/>
      <c r="H673" s="5"/>
      <c r="I673" s="5"/>
      <c r="J673" s="73"/>
      <c r="K673" s="75" t="str">
        <f>IFERROR(__xludf.DUMMYFUNCTION("""COMPUTED_VALUE"""),"")</f>
        <v/>
      </c>
      <c r="L673" s="75"/>
      <c r="M673" s="46" t="s">
        <v>2002</v>
      </c>
    </row>
    <row r="674">
      <c r="A674" s="70"/>
      <c r="B674" s="46" t="str">
        <f>IFERROR(__xludf.DUMMYFUNCTION("""COMPUTED_VALUE"""),"Poonam singh")</f>
        <v>Poonam singh</v>
      </c>
      <c r="C674" s="5" t="s">
        <v>2002</v>
      </c>
      <c r="D674" s="5"/>
      <c r="E674" s="5"/>
      <c r="F674" s="5"/>
      <c r="G674" s="5"/>
      <c r="H674" s="5"/>
      <c r="I674" s="5"/>
      <c r="J674" s="73"/>
      <c r="K674" s="75" t="str">
        <f>IFERROR(__xludf.DUMMYFUNCTION("""COMPUTED_VALUE"""),"")</f>
        <v/>
      </c>
      <c r="L674" s="75"/>
      <c r="M674" s="46" t="s">
        <v>2002</v>
      </c>
    </row>
    <row r="675">
      <c r="A675" s="70">
        <f>IFERROR(__xludf.DUMMYFUNCTION("""COMPUTED_VALUE"""),9.897292396E9)</f>
        <v>9897292396</v>
      </c>
      <c r="B675" s="46" t="str">
        <f>IFERROR(__xludf.DUMMYFUNCTION("""COMPUTED_VALUE"""),"Isha")</f>
        <v>Isha</v>
      </c>
      <c r="C675" s="5" t="s">
        <v>2002</v>
      </c>
      <c r="D675" s="5"/>
      <c r="E675" s="5"/>
      <c r="F675" s="5"/>
      <c r="G675" s="5"/>
      <c r="H675" s="5"/>
      <c r="I675" s="5"/>
      <c r="J675" s="73"/>
      <c r="K675" s="75" t="str">
        <f>IFERROR(__xludf.DUMMYFUNCTION("""COMPUTED_VALUE"""),"")</f>
        <v/>
      </c>
      <c r="L675" s="75"/>
      <c r="M675" s="46" t="s">
        <v>2002</v>
      </c>
    </row>
    <row r="676">
      <c r="A676" s="70">
        <f>IFERROR(__xludf.DUMMYFUNCTION("""COMPUTED_VALUE"""),9.810050886E9)</f>
        <v>9810050886</v>
      </c>
      <c r="B676" s="46" t="str">
        <f>IFERROR(__xludf.DUMMYFUNCTION("""COMPUTED_VALUE"""),"Jitendra bhasin")</f>
        <v>Jitendra bhasin</v>
      </c>
      <c r="C676" s="5" t="s">
        <v>2002</v>
      </c>
      <c r="D676" s="5"/>
      <c r="E676" s="5"/>
      <c r="F676" s="5"/>
      <c r="G676" s="5"/>
      <c r="H676" s="5"/>
      <c r="I676" s="5"/>
      <c r="J676" s="73"/>
      <c r="K676" s="75" t="str">
        <f>IFERROR(__xludf.DUMMYFUNCTION("""COMPUTED_VALUE"""),"")</f>
        <v/>
      </c>
      <c r="L676" s="75"/>
      <c r="M676" s="46" t="s">
        <v>2002</v>
      </c>
    </row>
    <row r="677">
      <c r="A677" s="70">
        <f>IFERROR(__xludf.DUMMYFUNCTION("""COMPUTED_VALUE"""),9.650473808E9)</f>
        <v>9650473808</v>
      </c>
      <c r="B677" s="46" t="str">
        <f>IFERROR(__xludf.DUMMYFUNCTION("""COMPUTED_VALUE"""),"Jyoti")</f>
        <v>Jyoti</v>
      </c>
      <c r="C677" s="5" t="s">
        <v>2002</v>
      </c>
      <c r="D677" s="5"/>
      <c r="E677" s="5"/>
      <c r="F677" s="5"/>
      <c r="G677" s="5"/>
      <c r="H677" s="5"/>
      <c r="I677" s="5"/>
      <c r="J677" s="73"/>
      <c r="K677" s="75" t="str">
        <f>IFERROR(__xludf.DUMMYFUNCTION("""COMPUTED_VALUE"""),"")</f>
        <v/>
      </c>
      <c r="L677" s="75"/>
      <c r="M677" s="46" t="s">
        <v>2002</v>
      </c>
    </row>
    <row r="678">
      <c r="A678" s="70">
        <f>IFERROR(__xludf.DUMMYFUNCTION("""COMPUTED_VALUE"""),8.810455353E9)</f>
        <v>8810455353</v>
      </c>
      <c r="B678" s="46" t="str">
        <f>IFERROR(__xludf.DUMMYFUNCTION("""COMPUTED_VALUE"""),"Radha")</f>
        <v>Radha</v>
      </c>
      <c r="C678" s="5" t="s">
        <v>2002</v>
      </c>
      <c r="D678" s="5"/>
      <c r="E678" s="5"/>
      <c r="F678" s="5"/>
      <c r="G678" s="5"/>
      <c r="H678" s="5"/>
      <c r="I678" s="5"/>
      <c r="J678" s="73"/>
      <c r="K678" s="75" t="str">
        <f>IFERROR(__xludf.DUMMYFUNCTION("""COMPUTED_VALUE"""),"")</f>
        <v/>
      </c>
      <c r="L678" s="75"/>
      <c r="M678" s="46" t="s">
        <v>2002</v>
      </c>
    </row>
    <row r="679">
      <c r="A679" s="70">
        <f>IFERROR(__xludf.DUMMYFUNCTION("""COMPUTED_VALUE"""),8.287463205E9)</f>
        <v>8287463205</v>
      </c>
      <c r="B679" s="46" t="str">
        <f>IFERROR(__xludf.DUMMYFUNCTION("""COMPUTED_VALUE"""),"Jagveer")</f>
        <v>Jagveer</v>
      </c>
      <c r="C679" s="5" t="s">
        <v>2002</v>
      </c>
      <c r="D679" s="5"/>
      <c r="E679" s="5"/>
      <c r="F679" s="5"/>
      <c r="G679" s="5"/>
      <c r="H679" s="5"/>
      <c r="I679" s="5"/>
      <c r="J679" s="73"/>
      <c r="K679" s="75" t="str">
        <f>IFERROR(__xludf.DUMMYFUNCTION("""COMPUTED_VALUE"""),"")</f>
        <v/>
      </c>
      <c r="L679" s="75"/>
      <c r="M679" s="46" t="s">
        <v>2002</v>
      </c>
    </row>
    <row r="680">
      <c r="A680" s="70">
        <f>IFERROR(__xludf.DUMMYFUNCTION("""COMPUTED_VALUE"""),8.882757533E9)</f>
        <v>8882757533</v>
      </c>
      <c r="B680" s="46" t="str">
        <f>IFERROR(__xludf.DUMMYFUNCTION("""COMPUTED_VALUE"""),"Ritu")</f>
        <v>Ritu</v>
      </c>
      <c r="C680" s="5" t="s">
        <v>2002</v>
      </c>
      <c r="D680" s="5"/>
      <c r="E680" s="5"/>
      <c r="F680" s="5"/>
      <c r="G680" s="5"/>
      <c r="H680" s="5"/>
      <c r="I680" s="5"/>
      <c r="J680" s="73"/>
      <c r="K680" s="75" t="str">
        <f>IFERROR(__xludf.DUMMYFUNCTION("""COMPUTED_VALUE"""),"")</f>
        <v/>
      </c>
      <c r="L680" s="75"/>
      <c r="M680" s="46" t="s">
        <v>2002</v>
      </c>
    </row>
    <row r="681">
      <c r="A681" s="70">
        <f>IFERROR(__xludf.DUMMYFUNCTION("""COMPUTED_VALUE"""),7.701992094E9)</f>
        <v>7701992094</v>
      </c>
      <c r="B681" s="46" t="str">
        <f>IFERROR(__xludf.DUMMYFUNCTION("""COMPUTED_VALUE"""),"Soumya")</f>
        <v>Soumya</v>
      </c>
      <c r="C681" s="5" t="s">
        <v>2002</v>
      </c>
      <c r="D681" s="5"/>
      <c r="E681" s="5"/>
      <c r="F681" s="5"/>
      <c r="G681" s="5"/>
      <c r="H681" s="5"/>
      <c r="I681" s="5"/>
      <c r="J681" s="73"/>
      <c r="K681" s="75" t="str">
        <f>IFERROR(__xludf.DUMMYFUNCTION("""COMPUTED_VALUE"""),"")</f>
        <v/>
      </c>
      <c r="L681" s="75"/>
      <c r="M681" s="46" t="s">
        <v>2002</v>
      </c>
    </row>
    <row r="682">
      <c r="A682" s="70">
        <f>IFERROR(__xludf.DUMMYFUNCTION("""COMPUTED_VALUE"""),7.302058607E9)</f>
        <v>7302058607</v>
      </c>
      <c r="B682" s="46" t="str">
        <f>IFERROR(__xludf.DUMMYFUNCTION("""COMPUTED_VALUE"""),"Rahul")</f>
        <v>Rahul</v>
      </c>
      <c r="C682" s="5" t="s">
        <v>2002</v>
      </c>
      <c r="D682" s="5"/>
      <c r="E682" s="5"/>
      <c r="F682" s="5"/>
      <c r="G682" s="5"/>
      <c r="H682" s="5"/>
      <c r="I682" s="5"/>
      <c r="J682" s="73"/>
      <c r="K682" s="75" t="str">
        <f>IFERROR(__xludf.DUMMYFUNCTION("""COMPUTED_VALUE"""),"")</f>
        <v/>
      </c>
      <c r="L682" s="75"/>
      <c r="M682" s="46" t="s">
        <v>2002</v>
      </c>
    </row>
    <row r="683">
      <c r="A683" s="70">
        <f>IFERROR(__xludf.DUMMYFUNCTION("""COMPUTED_VALUE"""),9.069383477E9)</f>
        <v>9069383477</v>
      </c>
      <c r="B683" s="46" t="str">
        <f>IFERROR(__xludf.DUMMYFUNCTION("""COMPUTED_VALUE"""),"Deepa")</f>
        <v>Deepa</v>
      </c>
      <c r="C683" s="5" t="s">
        <v>2002</v>
      </c>
      <c r="D683" s="5"/>
      <c r="E683" s="5"/>
      <c r="F683" s="5"/>
      <c r="G683" s="5"/>
      <c r="H683" s="5"/>
      <c r="I683" s="5"/>
      <c r="J683" s="73"/>
      <c r="K683" s="75" t="str">
        <f>IFERROR(__xludf.DUMMYFUNCTION("""COMPUTED_VALUE"""),"")</f>
        <v/>
      </c>
      <c r="L683" s="75"/>
      <c r="M683" s="46" t="s">
        <v>2002</v>
      </c>
    </row>
    <row r="684">
      <c r="A684" s="70">
        <f>IFERROR(__xludf.DUMMYFUNCTION("""COMPUTED_VALUE"""),8.285771333E9)</f>
        <v>8285771333</v>
      </c>
      <c r="B684" s="46" t="str">
        <f>IFERROR(__xludf.DUMMYFUNCTION("""COMPUTED_VALUE"""),"Avdesh kumar")</f>
        <v>Avdesh kumar</v>
      </c>
      <c r="C684" s="5" t="s">
        <v>2002</v>
      </c>
      <c r="D684" s="5"/>
      <c r="E684" s="5"/>
      <c r="F684" s="5"/>
      <c r="G684" s="5"/>
      <c r="H684" s="5"/>
      <c r="I684" s="5"/>
      <c r="J684" s="73"/>
      <c r="K684" s="75" t="str">
        <f>IFERROR(__xludf.DUMMYFUNCTION("""COMPUTED_VALUE"""),"")</f>
        <v/>
      </c>
      <c r="L684" s="75"/>
      <c r="M684" s="46" t="s">
        <v>2002</v>
      </c>
    </row>
    <row r="685">
      <c r="A685" s="70">
        <f>IFERROR(__xludf.DUMMYFUNCTION("""COMPUTED_VALUE"""),9.369861936E9)</f>
        <v>9369861936</v>
      </c>
      <c r="B685" s="46" t="str">
        <f>IFERROR(__xludf.DUMMYFUNCTION("""COMPUTED_VALUE"""),"Arya Singh")</f>
        <v>Arya Singh</v>
      </c>
      <c r="C685" s="5" t="s">
        <v>2002</v>
      </c>
      <c r="D685" s="5"/>
      <c r="E685" s="5"/>
      <c r="F685" s="5"/>
      <c r="G685" s="5"/>
      <c r="H685" s="5"/>
      <c r="I685" s="5"/>
      <c r="J685" s="73"/>
      <c r="K685" s="75" t="str">
        <f>IFERROR(__xludf.DUMMYFUNCTION("""COMPUTED_VALUE"""),"")</f>
        <v/>
      </c>
      <c r="L685" s="75"/>
      <c r="M685" s="46" t="s">
        <v>2002</v>
      </c>
    </row>
    <row r="686">
      <c r="A686" s="70">
        <f>IFERROR(__xludf.DUMMYFUNCTION("""COMPUTED_VALUE"""),8.373990865E9)</f>
        <v>8373990865</v>
      </c>
      <c r="B686" s="46" t="str">
        <f>IFERROR(__xludf.DUMMYFUNCTION("""COMPUTED_VALUE"""),"Sonam")</f>
        <v>Sonam</v>
      </c>
      <c r="C686" s="5" t="s">
        <v>2002</v>
      </c>
      <c r="D686" s="5"/>
      <c r="E686" s="5"/>
      <c r="F686" s="5"/>
      <c r="G686" s="5"/>
      <c r="H686" s="5"/>
      <c r="I686" s="5"/>
      <c r="J686" s="73"/>
      <c r="K686" s="75" t="str">
        <f>IFERROR(__xludf.DUMMYFUNCTION("""COMPUTED_VALUE"""),"")</f>
        <v/>
      </c>
      <c r="L686" s="75"/>
      <c r="M686" s="46" t="s">
        <v>2002</v>
      </c>
    </row>
    <row r="687">
      <c r="A687" s="70">
        <f>IFERROR(__xludf.DUMMYFUNCTION("""COMPUTED_VALUE"""),9.81107104E9)</f>
        <v>9811071040</v>
      </c>
      <c r="B687" s="46" t="str">
        <f>IFERROR(__xludf.DUMMYFUNCTION("""COMPUTED_VALUE"""),"Ritu jain")</f>
        <v>Ritu jain</v>
      </c>
      <c r="C687" s="5" t="s">
        <v>2002</v>
      </c>
      <c r="D687" s="5"/>
      <c r="E687" s="5"/>
      <c r="F687" s="5"/>
      <c r="G687" s="5"/>
      <c r="H687" s="5"/>
      <c r="I687" s="5"/>
      <c r="J687" s="73"/>
      <c r="K687" s="75" t="str">
        <f>IFERROR(__xludf.DUMMYFUNCTION("""COMPUTED_VALUE"""),"")</f>
        <v/>
      </c>
      <c r="L687" s="75"/>
      <c r="M687" s="46" t="s">
        <v>2002</v>
      </c>
    </row>
    <row r="688">
      <c r="A688" s="70">
        <f>IFERROR(__xludf.DUMMYFUNCTION("""COMPUTED_VALUE"""),7.827420999E9)</f>
        <v>7827420999</v>
      </c>
      <c r="B688" s="46" t="str">
        <f>IFERROR(__xludf.DUMMYFUNCTION("""COMPUTED_VALUE"""),"Yasmin")</f>
        <v>Yasmin</v>
      </c>
      <c r="C688" s="5" t="s">
        <v>2002</v>
      </c>
      <c r="D688" s="5"/>
      <c r="E688" s="5"/>
      <c r="F688" s="5"/>
      <c r="G688" s="5"/>
      <c r="H688" s="5"/>
      <c r="I688" s="5"/>
      <c r="J688" s="73"/>
      <c r="K688" s="75" t="str">
        <f>IFERROR(__xludf.DUMMYFUNCTION("""COMPUTED_VALUE"""),"")</f>
        <v/>
      </c>
      <c r="L688" s="75"/>
      <c r="M688" s="46" t="s">
        <v>2002</v>
      </c>
    </row>
    <row r="689">
      <c r="A689" s="70">
        <f>IFERROR(__xludf.DUMMYFUNCTION("""COMPUTED_VALUE"""),8.178369552E9)</f>
        <v>8178369552</v>
      </c>
      <c r="B689" s="46" t="str">
        <f>IFERROR(__xludf.DUMMYFUNCTION("""COMPUTED_VALUE"""),"Kishan")</f>
        <v>Kishan</v>
      </c>
      <c r="C689" s="5" t="s">
        <v>2002</v>
      </c>
      <c r="D689" s="5"/>
      <c r="E689" s="5"/>
      <c r="F689" s="5"/>
      <c r="G689" s="5"/>
      <c r="H689" s="5"/>
      <c r="I689" s="5"/>
      <c r="J689" s="73"/>
      <c r="K689" s="75" t="str">
        <f>IFERROR(__xludf.DUMMYFUNCTION("""COMPUTED_VALUE"""),"")</f>
        <v/>
      </c>
      <c r="L689" s="75"/>
      <c r="M689" s="46" t="s">
        <v>2002</v>
      </c>
    </row>
    <row r="690">
      <c r="A690" s="70">
        <f>IFERROR(__xludf.DUMMYFUNCTION("""COMPUTED_VALUE"""),8.882673359E9)</f>
        <v>8882673359</v>
      </c>
      <c r="B690" s="46" t="str">
        <f>IFERROR(__xludf.DUMMYFUNCTION("""COMPUTED_VALUE"""),"Kanishka ")</f>
        <v>Kanishka </v>
      </c>
      <c r="C690" s="5" t="s">
        <v>2002</v>
      </c>
      <c r="D690" s="5"/>
      <c r="E690" s="5"/>
      <c r="F690" s="5"/>
      <c r="G690" s="5"/>
      <c r="H690" s="5"/>
      <c r="I690" s="5"/>
      <c r="J690" s="73"/>
      <c r="K690" s="75" t="str">
        <f>IFERROR(__xludf.DUMMYFUNCTION("""COMPUTED_VALUE"""),"")</f>
        <v/>
      </c>
      <c r="L690" s="75"/>
      <c r="M690" s="46" t="s">
        <v>2002</v>
      </c>
    </row>
    <row r="691">
      <c r="A691" s="70">
        <f>IFERROR(__xludf.DUMMYFUNCTION("""COMPUTED_VALUE"""),8.802259205E9)</f>
        <v>8802259205</v>
      </c>
      <c r="B691" s="46" t="str">
        <f>IFERROR(__xludf.DUMMYFUNCTION("""COMPUTED_VALUE"""),"Sangeeta")</f>
        <v>Sangeeta</v>
      </c>
      <c r="C691" s="5" t="s">
        <v>2002</v>
      </c>
      <c r="D691" s="5"/>
      <c r="E691" s="5"/>
      <c r="F691" s="5"/>
      <c r="G691" s="5"/>
      <c r="H691" s="5"/>
      <c r="I691" s="5"/>
      <c r="J691" s="73"/>
      <c r="K691" s="75" t="str">
        <f>IFERROR(__xludf.DUMMYFUNCTION("""COMPUTED_VALUE"""),"")</f>
        <v/>
      </c>
      <c r="L691" s="75"/>
      <c r="M691" s="46" t="s">
        <v>2002</v>
      </c>
    </row>
    <row r="692">
      <c r="A692" s="70">
        <f>IFERROR(__xludf.DUMMYFUNCTION("""COMPUTED_VALUE"""),9.416013958E9)</f>
        <v>9416013958</v>
      </c>
      <c r="B692" s="46" t="str">
        <f>IFERROR(__xludf.DUMMYFUNCTION("""COMPUTED_VALUE"""),"Vijay")</f>
        <v>Vijay</v>
      </c>
      <c r="C692" s="5" t="s">
        <v>2002</v>
      </c>
      <c r="D692" s="5"/>
      <c r="E692" s="5"/>
      <c r="F692" s="5"/>
      <c r="G692" s="5"/>
      <c r="H692" s="5"/>
      <c r="I692" s="5"/>
      <c r="J692" s="73"/>
      <c r="K692" s="75" t="str">
        <f>IFERROR(__xludf.DUMMYFUNCTION("""COMPUTED_VALUE"""),"")</f>
        <v/>
      </c>
      <c r="L692" s="75"/>
      <c r="M692" s="46" t="s">
        <v>2002</v>
      </c>
    </row>
    <row r="693">
      <c r="A693" s="70">
        <f>IFERROR(__xludf.DUMMYFUNCTION("""COMPUTED_VALUE"""),9.818122775E9)</f>
        <v>9818122775</v>
      </c>
      <c r="B693" s="46" t="str">
        <f>IFERROR(__xludf.DUMMYFUNCTION("""COMPUTED_VALUE"""),"Rajveer singh")</f>
        <v>Rajveer singh</v>
      </c>
      <c r="C693" s="5" t="s">
        <v>2002</v>
      </c>
      <c r="D693" s="5"/>
      <c r="E693" s="5"/>
      <c r="F693" s="5"/>
      <c r="G693" s="5"/>
      <c r="H693" s="5"/>
      <c r="I693" s="5"/>
      <c r="J693" s="73"/>
      <c r="K693" s="75" t="str">
        <f>IFERROR(__xludf.DUMMYFUNCTION("""COMPUTED_VALUE"""),"")</f>
        <v/>
      </c>
      <c r="L693" s="75"/>
      <c r="M693" s="46" t="s">
        <v>2002</v>
      </c>
    </row>
    <row r="694">
      <c r="A694" s="70">
        <f>IFERROR(__xludf.DUMMYFUNCTION("""COMPUTED_VALUE"""),9.910947361E9)</f>
        <v>9910947361</v>
      </c>
      <c r="B694" s="46" t="str">
        <f>IFERROR(__xludf.DUMMYFUNCTION("""COMPUTED_VALUE"""),"Sanjay ji")</f>
        <v>Sanjay ji</v>
      </c>
      <c r="C694" s="5" t="s">
        <v>2002</v>
      </c>
      <c r="D694" s="5"/>
      <c r="E694" s="5"/>
      <c r="F694" s="5"/>
      <c r="G694" s="5"/>
      <c r="H694" s="5"/>
      <c r="I694" s="5"/>
      <c r="J694" s="73"/>
      <c r="K694" s="75" t="str">
        <f>IFERROR(__xludf.DUMMYFUNCTION("""COMPUTED_VALUE"""),"")</f>
        <v/>
      </c>
      <c r="L694" s="75"/>
      <c r="M694" s="46" t="s">
        <v>2002</v>
      </c>
    </row>
    <row r="695">
      <c r="A695" s="70">
        <f>IFERROR(__xludf.DUMMYFUNCTION("""COMPUTED_VALUE"""),9.718419266E9)</f>
        <v>9718419266</v>
      </c>
      <c r="B695" s="46" t="str">
        <f>IFERROR(__xludf.DUMMYFUNCTION("""COMPUTED_VALUE"""),"Amit ")</f>
        <v>Amit </v>
      </c>
      <c r="C695" s="5" t="s">
        <v>2002</v>
      </c>
      <c r="D695" s="5"/>
      <c r="E695" s="5"/>
      <c r="F695" s="5"/>
      <c r="G695" s="5"/>
      <c r="H695" s="5"/>
      <c r="I695" s="5"/>
      <c r="J695" s="73"/>
      <c r="K695" s="75" t="str">
        <f>IFERROR(__xludf.DUMMYFUNCTION("""COMPUTED_VALUE"""),"")</f>
        <v/>
      </c>
      <c r="L695" s="75"/>
      <c r="M695" s="46" t="s">
        <v>2002</v>
      </c>
    </row>
    <row r="696">
      <c r="A696" s="70">
        <f>IFERROR(__xludf.DUMMYFUNCTION("""COMPUTED_VALUE"""),7.906432313E9)</f>
        <v>7906432313</v>
      </c>
      <c r="B696" s="46" t="str">
        <f>IFERROR(__xludf.DUMMYFUNCTION("""COMPUTED_VALUE"""),"Vishal goyal")</f>
        <v>Vishal goyal</v>
      </c>
      <c r="C696" s="5" t="s">
        <v>2002</v>
      </c>
      <c r="D696" s="5"/>
      <c r="E696" s="5"/>
      <c r="F696" s="5"/>
      <c r="G696" s="5"/>
      <c r="H696" s="5"/>
      <c r="I696" s="5"/>
      <c r="J696" s="73"/>
      <c r="K696" s="75" t="str">
        <f>IFERROR(__xludf.DUMMYFUNCTION("""COMPUTED_VALUE"""),"")</f>
        <v/>
      </c>
      <c r="L696" s="75"/>
      <c r="M696" s="46" t="s">
        <v>2002</v>
      </c>
    </row>
    <row r="697">
      <c r="A697" s="70">
        <f>IFERROR(__xludf.DUMMYFUNCTION("""COMPUTED_VALUE"""),9.65066964E9)</f>
        <v>9650669640</v>
      </c>
      <c r="B697" s="46" t="str">
        <f>IFERROR(__xludf.DUMMYFUNCTION("""COMPUTED_VALUE"""),"Yogesh arora")</f>
        <v>Yogesh arora</v>
      </c>
      <c r="C697" s="5" t="s">
        <v>2002</v>
      </c>
      <c r="D697" s="5"/>
      <c r="E697" s="5"/>
      <c r="F697" s="5"/>
      <c r="G697" s="5"/>
      <c r="H697" s="5"/>
      <c r="I697" s="5"/>
      <c r="J697" s="73"/>
      <c r="K697" s="75" t="str">
        <f>IFERROR(__xludf.DUMMYFUNCTION("""COMPUTED_VALUE"""),"")</f>
        <v/>
      </c>
      <c r="L697" s="75"/>
      <c r="M697" s="46" t="s">
        <v>2002</v>
      </c>
    </row>
    <row r="698">
      <c r="A698" s="70">
        <f>IFERROR(__xludf.DUMMYFUNCTION("""COMPUTED_VALUE"""),7.290997342E9)</f>
        <v>7290997342</v>
      </c>
      <c r="B698" s="46" t="str">
        <f>IFERROR(__xludf.DUMMYFUNCTION("""COMPUTED_VALUE"""),"Sadaf ")</f>
        <v>Sadaf </v>
      </c>
      <c r="C698" s="5" t="s">
        <v>2002</v>
      </c>
      <c r="D698" s="5"/>
      <c r="E698" s="5"/>
      <c r="F698" s="5"/>
      <c r="G698" s="5"/>
      <c r="H698" s="5"/>
      <c r="I698" s="5"/>
      <c r="J698" s="73"/>
      <c r="K698" s="75" t="str">
        <f>IFERROR(__xludf.DUMMYFUNCTION("""COMPUTED_VALUE"""),"")</f>
        <v/>
      </c>
      <c r="L698" s="75"/>
      <c r="M698" s="46" t="s">
        <v>2002</v>
      </c>
    </row>
    <row r="699">
      <c r="A699" s="70">
        <f>IFERROR(__xludf.DUMMYFUNCTION("""COMPUTED_VALUE"""),9.899200949E9)</f>
        <v>9899200949</v>
      </c>
      <c r="B699" s="46" t="str">
        <f>IFERROR(__xludf.DUMMYFUNCTION("""COMPUTED_VALUE"""),"Harneet kaur")</f>
        <v>Harneet kaur</v>
      </c>
      <c r="C699" s="5" t="s">
        <v>2002</v>
      </c>
      <c r="D699" s="5"/>
      <c r="E699" s="5"/>
      <c r="F699" s="5"/>
      <c r="G699" s="5"/>
      <c r="H699" s="5"/>
      <c r="I699" s="5"/>
      <c r="J699" s="73"/>
      <c r="K699" s="75" t="str">
        <f>IFERROR(__xludf.DUMMYFUNCTION("""COMPUTED_VALUE"""),"")</f>
        <v/>
      </c>
      <c r="L699" s="75"/>
      <c r="M699" s="46" t="s">
        <v>2002</v>
      </c>
    </row>
    <row r="700">
      <c r="A700" s="70">
        <f>IFERROR(__xludf.DUMMYFUNCTION("""COMPUTED_VALUE"""),9.891644849E9)</f>
        <v>9891644849</v>
      </c>
      <c r="B700" s="46" t="str">
        <f>IFERROR(__xludf.DUMMYFUNCTION("""COMPUTED_VALUE"""),"Pankaj")</f>
        <v>Pankaj</v>
      </c>
      <c r="C700" s="5" t="s">
        <v>2002</v>
      </c>
      <c r="D700" s="5"/>
      <c r="E700" s="5"/>
      <c r="F700" s="5"/>
      <c r="G700" s="5"/>
      <c r="H700" s="5"/>
      <c r="I700" s="5"/>
      <c r="J700" s="73"/>
      <c r="K700" s="75" t="str">
        <f>IFERROR(__xludf.DUMMYFUNCTION("""COMPUTED_VALUE"""),"")</f>
        <v/>
      </c>
      <c r="L700" s="75"/>
      <c r="M700" s="46" t="s">
        <v>2002</v>
      </c>
    </row>
    <row r="701">
      <c r="A701" s="70">
        <f>IFERROR(__xludf.DUMMYFUNCTION("""COMPUTED_VALUE"""),9.873683662E9)</f>
        <v>9873683662</v>
      </c>
      <c r="B701" s="46" t="str">
        <f>IFERROR(__xludf.DUMMYFUNCTION("""COMPUTED_VALUE"""),"Satinder kaur ")</f>
        <v>Satinder kaur </v>
      </c>
      <c r="C701" s="5" t="s">
        <v>2002</v>
      </c>
      <c r="D701" s="5"/>
      <c r="E701" s="5"/>
      <c r="F701" s="5"/>
      <c r="G701" s="5"/>
      <c r="H701" s="5"/>
      <c r="I701" s="5"/>
      <c r="J701" s="73"/>
      <c r="K701" s="75" t="str">
        <f>IFERROR(__xludf.DUMMYFUNCTION("""COMPUTED_VALUE"""),"")</f>
        <v/>
      </c>
      <c r="L701" s="75"/>
      <c r="M701" s="46" t="s">
        <v>2002</v>
      </c>
    </row>
    <row r="702">
      <c r="A702" s="70">
        <f>IFERROR(__xludf.DUMMYFUNCTION("""COMPUTED_VALUE"""),8.383057583E9)</f>
        <v>8383057583</v>
      </c>
      <c r="B702" s="46" t="str">
        <f>IFERROR(__xludf.DUMMYFUNCTION("""COMPUTED_VALUE"""),"Suraj Kumar ")</f>
        <v>Suraj Kumar </v>
      </c>
      <c r="C702" s="5" t="s">
        <v>2002</v>
      </c>
      <c r="D702" s="5"/>
      <c r="E702" s="5"/>
      <c r="F702" s="5"/>
      <c r="G702" s="5"/>
      <c r="H702" s="5"/>
      <c r="I702" s="5"/>
      <c r="J702" s="73"/>
      <c r="K702" s="75" t="str">
        <f>IFERROR(__xludf.DUMMYFUNCTION("""COMPUTED_VALUE"""),"")</f>
        <v/>
      </c>
      <c r="L702" s="75"/>
      <c r="M702" s="46" t="s">
        <v>2002</v>
      </c>
    </row>
    <row r="703">
      <c r="A703" s="70">
        <f>IFERROR(__xludf.DUMMYFUNCTION("""COMPUTED_VALUE"""),9.999036034E9)</f>
        <v>9999036034</v>
      </c>
      <c r="B703" s="46" t="str">
        <f>IFERROR(__xludf.DUMMYFUNCTION("""COMPUTED_VALUE"""),"Gurbani kaur")</f>
        <v>Gurbani kaur</v>
      </c>
      <c r="C703" s="5" t="s">
        <v>2002</v>
      </c>
      <c r="D703" s="5"/>
      <c r="E703" s="5"/>
      <c r="F703" s="5"/>
      <c r="G703" s="5"/>
      <c r="H703" s="5"/>
      <c r="I703" s="5"/>
      <c r="J703" s="73"/>
      <c r="K703" s="75" t="str">
        <f>IFERROR(__xludf.DUMMYFUNCTION("""COMPUTED_VALUE"""),"")</f>
        <v/>
      </c>
      <c r="L703" s="75"/>
      <c r="M703" s="46" t="s">
        <v>2002</v>
      </c>
    </row>
    <row r="704">
      <c r="A704" s="70">
        <f>IFERROR(__xludf.DUMMYFUNCTION("""COMPUTED_VALUE"""),9.873474943E9)</f>
        <v>9873474943</v>
      </c>
      <c r="B704" s="46" t="str">
        <f>IFERROR(__xludf.DUMMYFUNCTION("""COMPUTED_VALUE"""),"Disha ")</f>
        <v>Disha </v>
      </c>
      <c r="C704" s="5" t="s">
        <v>2002</v>
      </c>
      <c r="D704" s="5"/>
      <c r="E704" s="5"/>
      <c r="F704" s="5"/>
      <c r="G704" s="5"/>
      <c r="H704" s="5"/>
      <c r="I704" s="5"/>
      <c r="J704" s="73"/>
      <c r="K704" s="75" t="str">
        <f>IFERROR(__xludf.DUMMYFUNCTION("""COMPUTED_VALUE"""),"")</f>
        <v/>
      </c>
      <c r="L704" s="75"/>
      <c r="M704" s="46" t="s">
        <v>2002</v>
      </c>
    </row>
    <row r="705">
      <c r="A705" s="70">
        <f>IFERROR(__xludf.DUMMYFUNCTION("""COMPUTED_VALUE"""),7.04896335E9)</f>
        <v>7048963350</v>
      </c>
      <c r="B705" s="46" t="str">
        <f>IFERROR(__xludf.DUMMYFUNCTION("""COMPUTED_VALUE"""),"Gaurav")</f>
        <v>Gaurav</v>
      </c>
      <c r="C705" s="5" t="s">
        <v>2002</v>
      </c>
      <c r="D705" s="5"/>
      <c r="E705" s="5"/>
      <c r="F705" s="5"/>
      <c r="G705" s="5"/>
      <c r="H705" s="5"/>
      <c r="I705" s="5"/>
      <c r="J705" s="73"/>
      <c r="K705" s="75" t="str">
        <f>IFERROR(__xludf.DUMMYFUNCTION("""COMPUTED_VALUE"""),"")</f>
        <v/>
      </c>
      <c r="L705" s="75"/>
      <c r="M705" s="46" t="s">
        <v>2002</v>
      </c>
    </row>
    <row r="706">
      <c r="A706" s="70">
        <f>IFERROR(__xludf.DUMMYFUNCTION("""COMPUTED_VALUE"""),9.654402411E9)</f>
        <v>9654402411</v>
      </c>
      <c r="B706" s="46" t="str">
        <f>IFERROR(__xludf.DUMMYFUNCTION("""COMPUTED_VALUE"""),"Vijay gandhi")</f>
        <v>Vijay gandhi</v>
      </c>
      <c r="C706" s="5" t="s">
        <v>2002</v>
      </c>
      <c r="D706" s="5"/>
      <c r="E706" s="5"/>
      <c r="F706" s="5"/>
      <c r="G706" s="5"/>
      <c r="H706" s="5"/>
      <c r="I706" s="5"/>
      <c r="J706" s="73"/>
      <c r="K706" s="75" t="str">
        <f>IFERROR(__xludf.DUMMYFUNCTION("""COMPUTED_VALUE"""),"")</f>
        <v/>
      </c>
      <c r="L706" s="75"/>
      <c r="M706" s="46" t="s">
        <v>2002</v>
      </c>
    </row>
    <row r="707">
      <c r="A707" s="70">
        <f>IFERROR(__xludf.DUMMYFUNCTION("""COMPUTED_VALUE"""),9.899541532E9)</f>
        <v>9899541532</v>
      </c>
      <c r="B707" s="46" t="str">
        <f>IFERROR(__xludf.DUMMYFUNCTION("""COMPUTED_VALUE"""),"Jagmohan singh")</f>
        <v>Jagmohan singh</v>
      </c>
      <c r="C707" s="5" t="s">
        <v>2002</v>
      </c>
      <c r="D707" s="5"/>
      <c r="E707" s="5"/>
      <c r="F707" s="5"/>
      <c r="G707" s="5"/>
      <c r="H707" s="5"/>
      <c r="I707" s="5"/>
      <c r="J707" s="73"/>
      <c r="K707" s="75" t="str">
        <f>IFERROR(__xludf.DUMMYFUNCTION("""COMPUTED_VALUE"""),"")</f>
        <v/>
      </c>
      <c r="L707" s="75"/>
      <c r="M707" s="46" t="s">
        <v>2002</v>
      </c>
    </row>
    <row r="708">
      <c r="A708" s="70">
        <f>IFERROR(__xludf.DUMMYFUNCTION("""COMPUTED_VALUE"""),7.260976163E9)</f>
        <v>7260976163</v>
      </c>
      <c r="B708" s="46" t="str">
        <f>IFERROR(__xludf.DUMMYFUNCTION("""COMPUTED_VALUE"""),"Tabsaum")</f>
        <v>Tabsaum</v>
      </c>
      <c r="C708" s="5" t="s">
        <v>2002</v>
      </c>
      <c r="D708" s="5"/>
      <c r="E708" s="5"/>
      <c r="F708" s="5"/>
      <c r="G708" s="5"/>
      <c r="H708" s="5"/>
      <c r="I708" s="5"/>
      <c r="J708" s="73"/>
      <c r="K708" s="75" t="str">
        <f>IFERROR(__xludf.DUMMYFUNCTION("""COMPUTED_VALUE"""),"")</f>
        <v/>
      </c>
      <c r="L708" s="75"/>
      <c r="M708" s="46" t="s">
        <v>2002</v>
      </c>
    </row>
    <row r="709">
      <c r="A709" s="70">
        <f>IFERROR(__xludf.DUMMYFUNCTION("""COMPUTED_VALUE"""),9.21059666E9)</f>
        <v>9210596660</v>
      </c>
      <c r="B709" s="46" t="str">
        <f>IFERROR(__xludf.DUMMYFUNCTION("""COMPUTED_VALUE"""),"Tuba khan")</f>
        <v>Tuba khan</v>
      </c>
      <c r="C709" s="5" t="s">
        <v>2002</v>
      </c>
      <c r="D709" s="5"/>
      <c r="E709" s="5"/>
      <c r="F709" s="5"/>
      <c r="G709" s="5"/>
      <c r="H709" s="5"/>
      <c r="I709" s="5"/>
      <c r="J709" s="73"/>
      <c r="K709" s="75" t="str">
        <f>IFERROR(__xludf.DUMMYFUNCTION("""COMPUTED_VALUE"""),"")</f>
        <v/>
      </c>
      <c r="L709" s="75"/>
      <c r="M709" s="46" t="s">
        <v>2002</v>
      </c>
    </row>
    <row r="710">
      <c r="A710" s="70">
        <f>IFERROR(__xludf.DUMMYFUNCTION("""COMPUTED_VALUE"""),8.287261371E9)</f>
        <v>8287261371</v>
      </c>
      <c r="B710" s="46" t="str">
        <f>IFERROR(__xludf.DUMMYFUNCTION("""COMPUTED_VALUE"""),"Huma ")</f>
        <v>Huma </v>
      </c>
      <c r="C710" s="5" t="s">
        <v>2002</v>
      </c>
      <c r="D710" s="5"/>
      <c r="E710" s="5"/>
      <c r="F710" s="5"/>
      <c r="G710" s="5"/>
      <c r="H710" s="5"/>
      <c r="I710" s="5"/>
      <c r="J710" s="73"/>
      <c r="K710" s="75" t="str">
        <f>IFERROR(__xludf.DUMMYFUNCTION("""COMPUTED_VALUE"""),"")</f>
        <v/>
      </c>
      <c r="L710" s="75"/>
      <c r="M710" s="46" t="s">
        <v>2002</v>
      </c>
    </row>
    <row r="711">
      <c r="A711" s="70">
        <f>IFERROR(__xludf.DUMMYFUNCTION("""COMPUTED_VALUE"""),9.871470631E9)</f>
        <v>9871470631</v>
      </c>
      <c r="B711" s="46" t="str">
        <f>IFERROR(__xludf.DUMMYFUNCTION("""COMPUTED_VALUE"""),"Neelam")</f>
        <v>Neelam</v>
      </c>
      <c r="C711" s="5" t="s">
        <v>2002</v>
      </c>
      <c r="D711" s="5"/>
      <c r="E711" s="5"/>
      <c r="F711" s="5"/>
      <c r="G711" s="5"/>
      <c r="H711" s="5"/>
      <c r="I711" s="5"/>
      <c r="J711" s="73"/>
      <c r="K711" s="75" t="str">
        <f>IFERROR(__xludf.DUMMYFUNCTION("""COMPUTED_VALUE"""),"")</f>
        <v/>
      </c>
      <c r="L711" s="75"/>
      <c r="M711" s="46" t="s">
        <v>2002</v>
      </c>
    </row>
    <row r="712">
      <c r="A712" s="70">
        <f>IFERROR(__xludf.DUMMYFUNCTION("""COMPUTED_VALUE"""),9.953199193E9)</f>
        <v>9953199193</v>
      </c>
      <c r="B712" s="46" t="str">
        <f>IFERROR(__xludf.DUMMYFUNCTION("""COMPUTED_VALUE"""),"Shalu jain")</f>
        <v>Shalu jain</v>
      </c>
      <c r="C712" s="5" t="s">
        <v>2002</v>
      </c>
      <c r="D712" s="5"/>
      <c r="E712" s="5"/>
      <c r="F712" s="5"/>
      <c r="G712" s="5"/>
      <c r="H712" s="5"/>
      <c r="I712" s="5"/>
      <c r="J712" s="73"/>
      <c r="K712" s="75" t="str">
        <f>IFERROR(__xludf.DUMMYFUNCTION("""COMPUTED_VALUE"""),"")</f>
        <v/>
      </c>
      <c r="L712" s="75"/>
      <c r="M712" s="46" t="s">
        <v>2002</v>
      </c>
    </row>
    <row r="713">
      <c r="A713" s="70">
        <f>IFERROR(__xludf.DUMMYFUNCTION("""COMPUTED_VALUE"""),9.760899169E9)</f>
        <v>9760899169</v>
      </c>
      <c r="B713" s="46" t="str">
        <f>IFERROR(__xludf.DUMMYFUNCTION("""COMPUTED_VALUE"""),"Chirag Aggarwal ")</f>
        <v>Chirag Aggarwal </v>
      </c>
      <c r="C713" s="5" t="s">
        <v>2002</v>
      </c>
      <c r="D713" s="5"/>
      <c r="E713" s="5"/>
      <c r="F713" s="5"/>
      <c r="G713" s="5"/>
      <c r="H713" s="5"/>
      <c r="I713" s="5"/>
      <c r="J713" s="73"/>
      <c r="K713" s="75" t="str">
        <f>IFERROR(__xludf.DUMMYFUNCTION("""COMPUTED_VALUE"""),"")</f>
        <v/>
      </c>
      <c r="L713" s="75"/>
      <c r="M713" s="46" t="s">
        <v>2002</v>
      </c>
    </row>
    <row r="714">
      <c r="A714" s="70">
        <f>IFERROR(__xludf.DUMMYFUNCTION("""COMPUTED_VALUE"""),9.334491365E9)</f>
        <v>9334491365</v>
      </c>
      <c r="B714" s="46" t="str">
        <f>IFERROR(__xludf.DUMMYFUNCTION("""COMPUTED_VALUE"""),"Udayan priyaroop")</f>
        <v>Udayan priyaroop</v>
      </c>
      <c r="C714" s="5" t="s">
        <v>2002</v>
      </c>
      <c r="D714" s="5"/>
      <c r="E714" s="5"/>
      <c r="F714" s="5"/>
      <c r="G714" s="5"/>
      <c r="H714" s="5"/>
      <c r="I714" s="5"/>
      <c r="J714" s="73"/>
      <c r="K714" s="75" t="str">
        <f>IFERROR(__xludf.DUMMYFUNCTION("""COMPUTED_VALUE"""),"")</f>
        <v/>
      </c>
      <c r="L714" s="75"/>
      <c r="M714" s="46" t="s">
        <v>2002</v>
      </c>
    </row>
    <row r="715">
      <c r="A715" s="70">
        <f>IFERROR(__xludf.DUMMYFUNCTION("""COMPUTED_VALUE"""),9.812755443E9)</f>
        <v>9812755443</v>
      </c>
      <c r="B715" s="46" t="str">
        <f>IFERROR(__xludf.DUMMYFUNCTION("""COMPUTED_VALUE"""),"Kapil")</f>
        <v>Kapil</v>
      </c>
      <c r="C715" s="5" t="s">
        <v>2002</v>
      </c>
      <c r="D715" s="5"/>
      <c r="E715" s="5"/>
      <c r="F715" s="5"/>
      <c r="G715" s="5"/>
      <c r="H715" s="5"/>
      <c r="I715" s="5"/>
      <c r="J715" s="73"/>
      <c r="K715" s="75" t="str">
        <f>IFERROR(__xludf.DUMMYFUNCTION("""COMPUTED_VALUE"""),"")</f>
        <v/>
      </c>
      <c r="L715" s="75"/>
      <c r="M715" s="46" t="s">
        <v>2002</v>
      </c>
    </row>
    <row r="716">
      <c r="A716" s="70">
        <f>IFERROR(__xludf.DUMMYFUNCTION("""COMPUTED_VALUE"""),9.999788252E9)</f>
        <v>9999788252</v>
      </c>
      <c r="B716" s="46" t="str">
        <f>IFERROR(__xludf.DUMMYFUNCTION("""COMPUTED_VALUE"""),"Yuvika")</f>
        <v>Yuvika</v>
      </c>
      <c r="C716" s="5" t="s">
        <v>2002</v>
      </c>
      <c r="D716" s="5"/>
      <c r="E716" s="5"/>
      <c r="F716" s="5"/>
      <c r="G716" s="5"/>
      <c r="H716" s="5"/>
      <c r="I716" s="5"/>
      <c r="J716" s="73"/>
      <c r="K716" s="75" t="str">
        <f>IFERROR(__xludf.DUMMYFUNCTION("""COMPUTED_VALUE"""),"")</f>
        <v/>
      </c>
      <c r="L716" s="75"/>
      <c r="M716" s="46" t="s">
        <v>2002</v>
      </c>
    </row>
    <row r="717">
      <c r="A717" s="70">
        <f>IFERROR(__xludf.DUMMYFUNCTION("""COMPUTED_VALUE"""),9.873734443E9)</f>
        <v>9873734443</v>
      </c>
      <c r="B717" s="46" t="str">
        <f>IFERROR(__xludf.DUMMYFUNCTION("""COMPUTED_VALUE"""),"Manu ji old client ")</f>
        <v>Manu ji old client </v>
      </c>
      <c r="C717" s="5" t="s">
        <v>2002</v>
      </c>
      <c r="D717" s="5"/>
      <c r="E717" s="5"/>
      <c r="F717" s="5"/>
      <c r="G717" s="5"/>
      <c r="H717" s="5"/>
      <c r="I717" s="5"/>
      <c r="J717" s="73"/>
      <c r="K717" s="75" t="str">
        <f>IFERROR(__xludf.DUMMYFUNCTION("""COMPUTED_VALUE"""),"")</f>
        <v/>
      </c>
      <c r="L717" s="75"/>
      <c r="M717" s="46" t="s">
        <v>2002</v>
      </c>
    </row>
    <row r="718">
      <c r="A718" s="70">
        <f>IFERROR(__xludf.DUMMYFUNCTION("""COMPUTED_VALUE"""),9.876471095E9)</f>
        <v>9876471095</v>
      </c>
      <c r="B718" s="46" t="str">
        <f>IFERROR(__xludf.DUMMYFUNCTION("""COMPUTED_VALUE"""),"Simar ji old client ")</f>
        <v>Simar ji old client </v>
      </c>
      <c r="C718" s="5" t="s">
        <v>2002</v>
      </c>
      <c r="D718" s="5"/>
      <c r="E718" s="5"/>
      <c r="F718" s="5"/>
      <c r="G718" s="5"/>
      <c r="H718" s="5"/>
      <c r="I718" s="5"/>
      <c r="J718" s="73"/>
      <c r="K718" s="75" t="str">
        <f>IFERROR(__xludf.DUMMYFUNCTION("""COMPUTED_VALUE"""),"")</f>
        <v/>
      </c>
      <c r="L718" s="75"/>
      <c r="M718" s="46" t="s">
        <v>2002</v>
      </c>
    </row>
    <row r="719">
      <c r="A719" s="70">
        <f>IFERROR(__xludf.DUMMYFUNCTION("""COMPUTED_VALUE"""),9.871778443E9)</f>
        <v>9871778443</v>
      </c>
      <c r="B719" s="46" t="str">
        <f>IFERROR(__xludf.DUMMYFUNCTION("""COMPUTED_VALUE"""),"Sahiba")</f>
        <v>Sahiba</v>
      </c>
      <c r="C719" s="5" t="s">
        <v>2002</v>
      </c>
      <c r="D719" s="5"/>
      <c r="E719" s="5"/>
      <c r="F719" s="5"/>
      <c r="G719" s="5"/>
      <c r="H719" s="5"/>
      <c r="I719" s="5"/>
      <c r="J719" s="73"/>
      <c r="K719" s="75" t="str">
        <f>IFERROR(__xludf.DUMMYFUNCTION("""COMPUTED_VALUE"""),"")</f>
        <v/>
      </c>
      <c r="L719" s="75"/>
      <c r="M719" s="46" t="s">
        <v>2002</v>
      </c>
    </row>
    <row r="720">
      <c r="A720" s="70">
        <f>IFERROR(__xludf.DUMMYFUNCTION("""COMPUTED_VALUE"""),9.810100011E9)</f>
        <v>9810100011</v>
      </c>
      <c r="B720" s="46" t="str">
        <f>IFERROR(__xludf.DUMMYFUNCTION("""COMPUTED_VALUE"""),"Ranbir Kaur ")</f>
        <v>Ranbir Kaur </v>
      </c>
      <c r="C720" s="5" t="s">
        <v>2002</v>
      </c>
      <c r="D720" s="5"/>
      <c r="E720" s="5"/>
      <c r="F720" s="5"/>
      <c r="G720" s="5"/>
      <c r="H720" s="5"/>
      <c r="I720" s="5"/>
      <c r="J720" s="73"/>
      <c r="K720" s="75" t="str">
        <f>IFERROR(__xludf.DUMMYFUNCTION("""COMPUTED_VALUE"""),"")</f>
        <v/>
      </c>
      <c r="L720" s="75"/>
      <c r="M720" s="46" t="s">
        <v>2002</v>
      </c>
    </row>
    <row r="721">
      <c r="A721" s="70">
        <f>IFERROR(__xludf.DUMMYFUNCTION("""COMPUTED_VALUE"""),9.810100011E9)</f>
        <v>9810100011</v>
      </c>
      <c r="B721" s="46" t="str">
        <f>IFERROR(__xludf.DUMMYFUNCTION("""COMPUTED_VALUE"""),"Preeti")</f>
        <v>Preeti</v>
      </c>
      <c r="C721" s="5" t="s">
        <v>2002</v>
      </c>
      <c r="D721" s="5"/>
      <c r="E721" s="5"/>
      <c r="F721" s="5"/>
      <c r="G721" s="5"/>
      <c r="H721" s="5"/>
      <c r="I721" s="5"/>
      <c r="J721" s="73"/>
      <c r="K721" s="75" t="str">
        <f>IFERROR(__xludf.DUMMYFUNCTION("""COMPUTED_VALUE"""),"")</f>
        <v/>
      </c>
      <c r="L721" s="75"/>
      <c r="M721" s="46" t="s">
        <v>2002</v>
      </c>
    </row>
    <row r="722">
      <c r="A722" s="70">
        <f>IFERROR(__xludf.DUMMYFUNCTION("""COMPUTED_VALUE"""),9.899164197E9)</f>
        <v>9899164197</v>
      </c>
      <c r="B722" s="46" t="str">
        <f>IFERROR(__xludf.DUMMYFUNCTION("""COMPUTED_VALUE"""),"Anas Chaudhary ")</f>
        <v>Anas Chaudhary </v>
      </c>
      <c r="C722" s="5" t="s">
        <v>2002</v>
      </c>
      <c r="D722" s="5"/>
      <c r="E722" s="5"/>
      <c r="F722" s="5"/>
      <c r="G722" s="5"/>
      <c r="H722" s="5"/>
      <c r="I722" s="5"/>
      <c r="J722" s="73"/>
      <c r="K722" s="75" t="str">
        <f>IFERROR(__xludf.DUMMYFUNCTION("""COMPUTED_VALUE"""),"")</f>
        <v/>
      </c>
      <c r="L722" s="75"/>
      <c r="M722" s="46" t="s">
        <v>2002</v>
      </c>
    </row>
    <row r="723">
      <c r="A723" s="70">
        <f>IFERROR(__xludf.DUMMYFUNCTION("""COMPUTED_VALUE"""),9.870353772E9)</f>
        <v>9870353772</v>
      </c>
      <c r="B723" s="46" t="str">
        <f>IFERROR(__xludf.DUMMYFUNCTION("""COMPUTED_VALUE"""),"Md aslam")</f>
        <v>Md aslam</v>
      </c>
      <c r="C723" s="5" t="s">
        <v>2002</v>
      </c>
      <c r="D723" s="5"/>
      <c r="E723" s="5"/>
      <c r="F723" s="5"/>
      <c r="G723" s="5"/>
      <c r="H723" s="5"/>
      <c r="I723" s="5"/>
      <c r="J723" s="73"/>
      <c r="K723" s="75" t="str">
        <f>IFERROR(__xludf.DUMMYFUNCTION("""COMPUTED_VALUE"""),"")</f>
        <v/>
      </c>
      <c r="L723" s="75"/>
      <c r="M723" s="46" t="s">
        <v>2002</v>
      </c>
    </row>
    <row r="724">
      <c r="A724" s="70">
        <f>IFERROR(__xludf.DUMMYFUNCTION("""COMPUTED_VALUE"""),9.91065195E9)</f>
        <v>9910651950</v>
      </c>
      <c r="B724" s="46" t="str">
        <f>IFERROR(__xludf.DUMMYFUNCTION("""COMPUTED_VALUE"""),"Anshita")</f>
        <v>Anshita</v>
      </c>
      <c r="C724" s="5" t="s">
        <v>2002</v>
      </c>
      <c r="D724" s="5"/>
      <c r="E724" s="5"/>
      <c r="F724" s="5"/>
      <c r="G724" s="5"/>
      <c r="H724" s="5"/>
      <c r="I724" s="5"/>
      <c r="J724" s="73"/>
      <c r="K724" s="75" t="str">
        <f>IFERROR(__xludf.DUMMYFUNCTION("""COMPUTED_VALUE"""),"")</f>
        <v/>
      </c>
      <c r="L724" s="75"/>
      <c r="M724" s="46" t="s">
        <v>2002</v>
      </c>
    </row>
    <row r="725">
      <c r="A725" s="70">
        <f>IFERROR(__xludf.DUMMYFUNCTION("""COMPUTED_VALUE"""),9.953567385E9)</f>
        <v>9953567385</v>
      </c>
      <c r="B725" s="46" t="str">
        <f>IFERROR(__xludf.DUMMYFUNCTION("""COMPUTED_VALUE"""),"Yashika")</f>
        <v>Yashika</v>
      </c>
      <c r="C725" s="5" t="s">
        <v>2002</v>
      </c>
      <c r="D725" s="5"/>
      <c r="E725" s="5"/>
      <c r="F725" s="5"/>
      <c r="G725" s="5"/>
      <c r="H725" s="5"/>
      <c r="I725" s="5"/>
      <c r="J725" s="73"/>
      <c r="K725" s="75" t="str">
        <f>IFERROR(__xludf.DUMMYFUNCTION("""COMPUTED_VALUE"""),"")</f>
        <v/>
      </c>
      <c r="L725" s="75"/>
      <c r="M725" s="46" t="s">
        <v>2002</v>
      </c>
    </row>
    <row r="726">
      <c r="A726" s="70">
        <f>IFERROR(__xludf.DUMMYFUNCTION("""COMPUTED_VALUE"""),9.654845992E9)</f>
        <v>9654845992</v>
      </c>
      <c r="B726" s="46" t="str">
        <f>IFERROR(__xludf.DUMMYFUNCTION("""COMPUTED_VALUE"""),"Nelofer")</f>
        <v>Nelofer</v>
      </c>
      <c r="C726" s="5" t="s">
        <v>2002</v>
      </c>
      <c r="D726" s="5"/>
      <c r="E726" s="5"/>
      <c r="F726" s="5"/>
      <c r="G726" s="5"/>
      <c r="H726" s="5"/>
      <c r="I726" s="5"/>
      <c r="J726" s="73"/>
      <c r="K726" s="75" t="str">
        <f>IFERROR(__xludf.DUMMYFUNCTION("""COMPUTED_VALUE"""),"")</f>
        <v/>
      </c>
      <c r="L726" s="75"/>
      <c r="M726" s="46" t="s">
        <v>2002</v>
      </c>
    </row>
    <row r="727">
      <c r="A727" s="70">
        <f>IFERROR(__xludf.DUMMYFUNCTION("""COMPUTED_VALUE"""),7.011746025E9)</f>
        <v>7011746025</v>
      </c>
      <c r="B727" s="46" t="str">
        <f>IFERROR(__xludf.DUMMYFUNCTION("""COMPUTED_VALUE"""),"Deepak singh")</f>
        <v>Deepak singh</v>
      </c>
      <c r="C727" s="5" t="s">
        <v>2002</v>
      </c>
      <c r="D727" s="5"/>
      <c r="E727" s="5"/>
      <c r="F727" s="5"/>
      <c r="G727" s="5"/>
      <c r="H727" s="5"/>
      <c r="I727" s="5"/>
      <c r="J727" s="73"/>
      <c r="K727" s="75" t="str">
        <f>IFERROR(__xludf.DUMMYFUNCTION("""COMPUTED_VALUE"""),"")</f>
        <v/>
      </c>
      <c r="L727" s="75"/>
      <c r="M727" s="46" t="s">
        <v>2002</v>
      </c>
    </row>
    <row r="728">
      <c r="A728" s="70">
        <f>IFERROR(__xludf.DUMMYFUNCTION("""COMPUTED_VALUE"""),8.700529227E9)</f>
        <v>8700529227</v>
      </c>
      <c r="B728" s="46" t="str">
        <f>IFERROR(__xludf.DUMMYFUNCTION("""COMPUTED_VALUE"""),"Ravi arora")</f>
        <v>Ravi arora</v>
      </c>
      <c r="C728" s="5" t="s">
        <v>2002</v>
      </c>
      <c r="D728" s="5"/>
      <c r="E728" s="5"/>
      <c r="F728" s="5"/>
      <c r="G728" s="5"/>
      <c r="H728" s="5"/>
      <c r="I728" s="5"/>
      <c r="J728" s="73"/>
      <c r="K728" s="75" t="str">
        <f>IFERROR(__xludf.DUMMYFUNCTION("""COMPUTED_VALUE"""),"")</f>
        <v/>
      </c>
      <c r="L728" s="75"/>
      <c r="M728" s="46" t="s">
        <v>2002</v>
      </c>
    </row>
    <row r="729">
      <c r="A729" s="70">
        <f>IFERROR(__xludf.DUMMYFUNCTION("""COMPUTED_VALUE"""),9.711975062E9)</f>
        <v>9711975062</v>
      </c>
      <c r="B729" s="46" t="str">
        <f>IFERROR(__xludf.DUMMYFUNCTION("""COMPUTED_VALUE"""),"Gaurav")</f>
        <v>Gaurav</v>
      </c>
      <c r="C729" s="5" t="s">
        <v>2002</v>
      </c>
      <c r="D729" s="5"/>
      <c r="E729" s="5"/>
      <c r="F729" s="5"/>
      <c r="G729" s="5"/>
      <c r="H729" s="5"/>
      <c r="I729" s="5"/>
      <c r="J729" s="73"/>
      <c r="K729" s="75" t="str">
        <f>IFERROR(__xludf.DUMMYFUNCTION("""COMPUTED_VALUE"""),"")</f>
        <v/>
      </c>
      <c r="L729" s="75"/>
      <c r="M729" s="46" t="s">
        <v>2002</v>
      </c>
    </row>
    <row r="730">
      <c r="A730" s="70">
        <f>IFERROR(__xludf.DUMMYFUNCTION("""COMPUTED_VALUE"""),9.716767457E9)</f>
        <v>9716767457</v>
      </c>
      <c r="B730" s="46" t="str">
        <f>IFERROR(__xludf.DUMMYFUNCTION("""COMPUTED_VALUE"""),"Anshul kumar")</f>
        <v>Anshul kumar</v>
      </c>
      <c r="C730" s="5" t="s">
        <v>2002</v>
      </c>
      <c r="D730" s="5"/>
      <c r="E730" s="5"/>
      <c r="F730" s="5"/>
      <c r="G730" s="5"/>
      <c r="H730" s="5"/>
      <c r="I730" s="5"/>
      <c r="J730" s="73"/>
      <c r="K730" s="75" t="str">
        <f>IFERROR(__xludf.DUMMYFUNCTION("""COMPUTED_VALUE"""),"")</f>
        <v/>
      </c>
      <c r="L730" s="75"/>
      <c r="M730" s="46" t="s">
        <v>2002</v>
      </c>
    </row>
    <row r="731">
      <c r="A731" s="70">
        <f>IFERROR(__xludf.DUMMYFUNCTION("""COMPUTED_VALUE"""),9.671962626E9)</f>
        <v>9671962626</v>
      </c>
      <c r="B731" s="46" t="str">
        <f>IFERROR(__xludf.DUMMYFUNCTION("""COMPUTED_VALUE"""),"Naveen sharma")</f>
        <v>Naveen sharma</v>
      </c>
      <c r="C731" s="5" t="s">
        <v>2002</v>
      </c>
      <c r="D731" s="5"/>
      <c r="E731" s="5"/>
      <c r="F731" s="5"/>
      <c r="G731" s="5"/>
      <c r="H731" s="5"/>
      <c r="I731" s="5"/>
      <c r="J731" s="73"/>
      <c r="K731" s="75" t="str">
        <f>IFERROR(__xludf.DUMMYFUNCTION("""COMPUTED_VALUE"""),"")</f>
        <v/>
      </c>
      <c r="L731" s="75"/>
      <c r="M731" s="46" t="s">
        <v>2002</v>
      </c>
    </row>
    <row r="732">
      <c r="A732" s="70">
        <f>IFERROR(__xludf.DUMMYFUNCTION("""COMPUTED_VALUE"""),9.831677954E9)</f>
        <v>9831677954</v>
      </c>
      <c r="B732" s="46" t="str">
        <f>IFERROR(__xludf.DUMMYFUNCTION("""COMPUTED_VALUE"""),"Sachin")</f>
        <v>Sachin</v>
      </c>
      <c r="C732" s="5" t="s">
        <v>2002</v>
      </c>
      <c r="D732" s="5"/>
      <c r="E732" s="5"/>
      <c r="F732" s="5"/>
      <c r="G732" s="5"/>
      <c r="H732" s="5"/>
      <c r="I732" s="5"/>
      <c r="J732" s="73"/>
      <c r="K732" s="75" t="str">
        <f>IFERROR(__xludf.DUMMYFUNCTION("""COMPUTED_VALUE"""),"")</f>
        <v/>
      </c>
      <c r="L732" s="75"/>
      <c r="M732" s="46" t="s">
        <v>2002</v>
      </c>
    </row>
    <row r="733">
      <c r="A733" s="70">
        <f>IFERROR(__xludf.DUMMYFUNCTION("""COMPUTED_VALUE"""),9.91022025E9)</f>
        <v>9910220250</v>
      </c>
      <c r="B733" s="46" t="str">
        <f>IFERROR(__xludf.DUMMYFUNCTION("""COMPUTED_VALUE"""),"Anita")</f>
        <v>Anita</v>
      </c>
      <c r="C733" s="5" t="s">
        <v>2002</v>
      </c>
      <c r="D733" s="5"/>
      <c r="E733" s="5"/>
      <c r="F733" s="5"/>
      <c r="G733" s="5"/>
      <c r="H733" s="5"/>
      <c r="I733" s="5"/>
      <c r="J733" s="73"/>
      <c r="K733" s="75" t="str">
        <f>IFERROR(__xludf.DUMMYFUNCTION("""COMPUTED_VALUE"""),"")</f>
        <v/>
      </c>
      <c r="L733" s="75"/>
      <c r="M733" s="46" t="s">
        <v>2002</v>
      </c>
    </row>
    <row r="734">
      <c r="A734" s="70">
        <f>IFERROR(__xludf.DUMMYFUNCTION("""COMPUTED_VALUE"""),9.540010515E9)</f>
        <v>9540010515</v>
      </c>
      <c r="B734" s="46" t="str">
        <f>IFERROR(__xludf.DUMMYFUNCTION("""COMPUTED_VALUE"""),"Kamal dhawan")</f>
        <v>Kamal dhawan</v>
      </c>
      <c r="C734" s="5" t="s">
        <v>2002</v>
      </c>
      <c r="D734" s="5"/>
      <c r="E734" s="5"/>
      <c r="F734" s="5"/>
      <c r="G734" s="5"/>
      <c r="H734" s="5"/>
      <c r="I734" s="5"/>
      <c r="J734" s="73"/>
      <c r="K734" s="75" t="str">
        <f>IFERROR(__xludf.DUMMYFUNCTION("""COMPUTED_VALUE"""),"")</f>
        <v/>
      </c>
      <c r="L734" s="75"/>
      <c r="M734" s="46" t="s">
        <v>2002</v>
      </c>
    </row>
    <row r="735">
      <c r="A735" s="70">
        <f>IFERROR(__xludf.DUMMYFUNCTION("""COMPUTED_VALUE"""),9.811531764E9)</f>
        <v>9811531764</v>
      </c>
      <c r="B735" s="46" t="str">
        <f>IFERROR(__xludf.DUMMYFUNCTION("""COMPUTED_VALUE"""),"Sonu")</f>
        <v>Sonu</v>
      </c>
      <c r="C735" s="5" t="s">
        <v>2002</v>
      </c>
      <c r="D735" s="5"/>
      <c r="E735" s="5"/>
      <c r="F735" s="5"/>
      <c r="G735" s="5"/>
      <c r="H735" s="5"/>
      <c r="I735" s="5"/>
      <c r="J735" s="73"/>
      <c r="K735" s="75" t="str">
        <f>IFERROR(__xludf.DUMMYFUNCTION("""COMPUTED_VALUE"""),"")</f>
        <v/>
      </c>
      <c r="L735" s="75"/>
      <c r="M735" s="46" t="s">
        <v>2002</v>
      </c>
    </row>
    <row r="736">
      <c r="A736" s="70">
        <f>IFERROR(__xludf.DUMMYFUNCTION("""COMPUTED_VALUE"""),9.818434782E9)</f>
        <v>9818434782</v>
      </c>
      <c r="B736" s="46" t="str">
        <f>IFERROR(__xludf.DUMMYFUNCTION("""COMPUTED_VALUE"""),"Deepak ")</f>
        <v>Deepak </v>
      </c>
      <c r="C736" s="5" t="s">
        <v>2002</v>
      </c>
      <c r="D736" s="5"/>
      <c r="E736" s="5"/>
      <c r="F736" s="5"/>
      <c r="G736" s="5"/>
      <c r="H736" s="5"/>
      <c r="I736" s="5"/>
      <c r="J736" s="73"/>
      <c r="K736" s="75" t="str">
        <f>IFERROR(__xludf.DUMMYFUNCTION("""COMPUTED_VALUE"""),"")</f>
        <v/>
      </c>
      <c r="L736" s="75"/>
      <c r="M736" s="46" t="s">
        <v>2002</v>
      </c>
    </row>
    <row r="737">
      <c r="A737" s="70">
        <f>IFERROR(__xludf.DUMMYFUNCTION("""COMPUTED_VALUE"""),9.814477776E9)</f>
        <v>9814477776</v>
      </c>
      <c r="B737" s="46" t="str">
        <f>IFERROR(__xludf.DUMMYFUNCTION("""COMPUTED_VALUE"""),"Naeem Riaz")</f>
        <v>Naeem Riaz</v>
      </c>
      <c r="C737" s="5" t="s">
        <v>2002</v>
      </c>
      <c r="D737" s="5"/>
      <c r="E737" s="5"/>
      <c r="F737" s="5"/>
      <c r="G737" s="5"/>
      <c r="H737" s="5"/>
      <c r="I737" s="5"/>
      <c r="J737" s="73"/>
      <c r="K737" s="75" t="str">
        <f>IFERROR(__xludf.DUMMYFUNCTION("""COMPUTED_VALUE"""),"")</f>
        <v/>
      </c>
      <c r="L737" s="75"/>
      <c r="M737" s="46" t="s">
        <v>2002</v>
      </c>
    </row>
    <row r="738">
      <c r="A738" s="70">
        <f>IFERROR(__xludf.DUMMYFUNCTION("""COMPUTED_VALUE"""),9.350195244E9)</f>
        <v>9350195244</v>
      </c>
      <c r="B738" s="46" t="str">
        <f>IFERROR(__xludf.DUMMYFUNCTION("""COMPUTED_VALUE"""),"Sadhna Chawla")</f>
        <v>Sadhna Chawla</v>
      </c>
      <c r="C738" s="5" t="s">
        <v>2002</v>
      </c>
      <c r="D738" s="5"/>
      <c r="E738" s="5"/>
      <c r="F738" s="5"/>
      <c r="G738" s="5"/>
      <c r="H738" s="5"/>
      <c r="I738" s="5"/>
      <c r="J738" s="73"/>
      <c r="K738" s="75" t="str">
        <f>IFERROR(__xludf.DUMMYFUNCTION("""COMPUTED_VALUE"""),"")</f>
        <v/>
      </c>
      <c r="L738" s="75"/>
      <c r="M738" s="46" t="s">
        <v>2002</v>
      </c>
    </row>
    <row r="739">
      <c r="A739" s="70">
        <f>IFERROR(__xludf.DUMMYFUNCTION("""COMPUTED_VALUE"""),7.011177425E9)</f>
        <v>7011177425</v>
      </c>
      <c r="B739" s="46" t="str">
        <f>IFERROR(__xludf.DUMMYFUNCTION("""COMPUTED_VALUE"""),"Prabha")</f>
        <v>Prabha</v>
      </c>
      <c r="C739" s="5" t="s">
        <v>2002</v>
      </c>
      <c r="D739" s="5"/>
      <c r="E739" s="5"/>
      <c r="F739" s="5"/>
      <c r="G739" s="5"/>
      <c r="H739" s="5"/>
      <c r="I739" s="5"/>
      <c r="J739" s="73"/>
      <c r="K739" s="75" t="str">
        <f>IFERROR(__xludf.DUMMYFUNCTION("""COMPUTED_VALUE"""),"")</f>
        <v/>
      </c>
      <c r="L739" s="75"/>
      <c r="M739" s="46" t="s">
        <v>2002</v>
      </c>
    </row>
    <row r="740">
      <c r="A740" s="70">
        <f>IFERROR(__xludf.DUMMYFUNCTION("""COMPUTED_VALUE"""),9.810296558E9)</f>
        <v>9810296558</v>
      </c>
      <c r="B740" s="46" t="str">
        <f>IFERROR(__xludf.DUMMYFUNCTION("""COMPUTED_VALUE"""),"Narendra ")</f>
        <v>Narendra </v>
      </c>
      <c r="C740" s="5" t="s">
        <v>2002</v>
      </c>
      <c r="D740" s="5"/>
      <c r="E740" s="5"/>
      <c r="F740" s="5"/>
      <c r="G740" s="5"/>
      <c r="H740" s="5"/>
      <c r="I740" s="5"/>
      <c r="J740" s="73"/>
      <c r="K740" s="75" t="str">
        <f>IFERROR(__xludf.DUMMYFUNCTION("""COMPUTED_VALUE"""),"")</f>
        <v/>
      </c>
      <c r="L740" s="75"/>
      <c r="M740" s="46" t="s">
        <v>2002</v>
      </c>
    </row>
    <row r="741">
      <c r="A741" s="70">
        <f>IFERROR(__xludf.DUMMYFUNCTION("""COMPUTED_VALUE"""),8.851981625E9)</f>
        <v>8851981625</v>
      </c>
      <c r="B741" s="46" t="str">
        <f>IFERROR(__xludf.DUMMYFUNCTION("""COMPUTED_VALUE"""),"Prashant ")</f>
        <v>Prashant </v>
      </c>
      <c r="C741" s="5" t="s">
        <v>2002</v>
      </c>
      <c r="D741" s="5"/>
      <c r="E741" s="5"/>
      <c r="F741" s="5"/>
      <c r="G741" s="5"/>
      <c r="H741" s="5"/>
      <c r="I741" s="5"/>
      <c r="J741" s="73"/>
      <c r="K741" s="75" t="str">
        <f>IFERROR(__xludf.DUMMYFUNCTION("""COMPUTED_VALUE"""),"")</f>
        <v/>
      </c>
      <c r="L741" s="75"/>
      <c r="M741" s="46" t="s">
        <v>2002</v>
      </c>
    </row>
    <row r="742">
      <c r="A742" s="70">
        <f>IFERROR(__xludf.DUMMYFUNCTION("""COMPUTED_VALUE"""),8.700521475E9)</f>
        <v>8700521475</v>
      </c>
      <c r="B742" s="46" t="str">
        <f>IFERROR(__xludf.DUMMYFUNCTION("""COMPUTED_VALUE"""),"Shivam")</f>
        <v>Shivam</v>
      </c>
      <c r="C742" s="5" t="s">
        <v>2002</v>
      </c>
      <c r="D742" s="5"/>
      <c r="E742" s="5"/>
      <c r="F742" s="5"/>
      <c r="G742" s="5"/>
      <c r="H742" s="5"/>
      <c r="I742" s="5"/>
      <c r="J742" s="73"/>
      <c r="K742" s="75" t="str">
        <f>IFERROR(__xludf.DUMMYFUNCTION("""COMPUTED_VALUE"""),"")</f>
        <v/>
      </c>
      <c r="L742" s="75"/>
      <c r="M742" s="46" t="s">
        <v>2002</v>
      </c>
    </row>
    <row r="743">
      <c r="A743" s="70">
        <f>IFERROR(__xludf.DUMMYFUNCTION("""COMPUTED_VALUE"""),9.95830166E9)</f>
        <v>9958301660</v>
      </c>
      <c r="B743" s="46" t="str">
        <f>IFERROR(__xludf.DUMMYFUNCTION("""COMPUTED_VALUE"""),"Amogh ")</f>
        <v>Amogh </v>
      </c>
      <c r="C743" s="5" t="s">
        <v>2002</v>
      </c>
      <c r="D743" s="5"/>
      <c r="E743" s="5"/>
      <c r="F743" s="5"/>
      <c r="G743" s="5"/>
      <c r="H743" s="5"/>
      <c r="I743" s="5"/>
      <c r="J743" s="73"/>
      <c r="K743" s="75" t="str">
        <f>IFERROR(__xludf.DUMMYFUNCTION("""COMPUTED_VALUE"""),"")</f>
        <v/>
      </c>
      <c r="L743" s="75"/>
      <c r="M743" s="46" t="s">
        <v>2002</v>
      </c>
    </row>
    <row r="744">
      <c r="A744" s="70">
        <f>IFERROR(__xludf.DUMMYFUNCTION("""COMPUTED_VALUE"""),7.982438635E9)</f>
        <v>7982438635</v>
      </c>
      <c r="B744" s="46" t="str">
        <f>IFERROR(__xludf.DUMMYFUNCTION("""COMPUTED_VALUE"""),"Amandeep")</f>
        <v>Amandeep</v>
      </c>
      <c r="C744" s="5" t="s">
        <v>2002</v>
      </c>
      <c r="D744" s="5"/>
      <c r="E744" s="5"/>
      <c r="F744" s="5"/>
      <c r="G744" s="5"/>
      <c r="H744" s="5"/>
      <c r="I744" s="5"/>
      <c r="J744" s="73"/>
      <c r="K744" s="75" t="str">
        <f>IFERROR(__xludf.DUMMYFUNCTION("""COMPUTED_VALUE"""),"")</f>
        <v/>
      </c>
      <c r="L744" s="75"/>
      <c r="M744" s="46" t="s">
        <v>2002</v>
      </c>
    </row>
    <row r="745">
      <c r="A745" s="70">
        <f>IFERROR(__xludf.DUMMYFUNCTION("""COMPUTED_VALUE"""),8.286514444E9)</f>
        <v>8286514444</v>
      </c>
      <c r="B745" s="46" t="str">
        <f>IFERROR(__xludf.DUMMYFUNCTION("""COMPUTED_VALUE"""),"Anil kumar")</f>
        <v>Anil kumar</v>
      </c>
      <c r="C745" s="5" t="s">
        <v>2002</v>
      </c>
      <c r="D745" s="5"/>
      <c r="E745" s="5"/>
      <c r="F745" s="5"/>
      <c r="G745" s="5"/>
      <c r="H745" s="5"/>
      <c r="I745" s="5"/>
      <c r="J745" s="73"/>
      <c r="K745" s="75" t="str">
        <f>IFERROR(__xludf.DUMMYFUNCTION("""COMPUTED_VALUE"""),"")</f>
        <v/>
      </c>
      <c r="L745" s="75"/>
      <c r="M745" s="46" t="s">
        <v>2002</v>
      </c>
    </row>
    <row r="746">
      <c r="A746" s="70">
        <f>IFERROR(__xludf.DUMMYFUNCTION("""COMPUTED_VALUE"""),9.891071575E9)</f>
        <v>9891071575</v>
      </c>
      <c r="B746" s="46" t="str">
        <f>IFERROR(__xludf.DUMMYFUNCTION("""COMPUTED_VALUE"""),"Sangeeta ")</f>
        <v>Sangeeta </v>
      </c>
      <c r="C746" s="5" t="s">
        <v>2002</v>
      </c>
      <c r="D746" s="5"/>
      <c r="E746" s="5"/>
      <c r="F746" s="5"/>
      <c r="G746" s="5"/>
      <c r="H746" s="5"/>
      <c r="I746" s="5"/>
      <c r="J746" s="73"/>
      <c r="K746" s="75" t="str">
        <f>IFERROR(__xludf.DUMMYFUNCTION("""COMPUTED_VALUE"""),"")</f>
        <v/>
      </c>
      <c r="L746" s="75"/>
      <c r="M746" s="46" t="s">
        <v>2002</v>
      </c>
    </row>
    <row r="747">
      <c r="A747" s="70">
        <f>IFERROR(__xludf.DUMMYFUNCTION("""COMPUTED_VALUE"""),9.877256193E9)</f>
        <v>9877256193</v>
      </c>
      <c r="B747" s="46" t="str">
        <f>IFERROR(__xludf.DUMMYFUNCTION("""COMPUTED_VALUE"""),"Lovepreet")</f>
        <v>Lovepreet</v>
      </c>
      <c r="C747" s="5" t="s">
        <v>2002</v>
      </c>
      <c r="D747" s="5"/>
      <c r="E747" s="5"/>
      <c r="F747" s="5"/>
      <c r="G747" s="5"/>
      <c r="H747" s="5"/>
      <c r="I747" s="5"/>
      <c r="J747" s="73"/>
      <c r="K747" s="75" t="str">
        <f>IFERROR(__xludf.DUMMYFUNCTION("""COMPUTED_VALUE"""),"")</f>
        <v/>
      </c>
      <c r="L747" s="75"/>
      <c r="M747" s="46" t="s">
        <v>2002</v>
      </c>
    </row>
    <row r="748">
      <c r="A748" s="70">
        <f>IFERROR(__xludf.DUMMYFUNCTION("""COMPUTED_VALUE"""),7.986864579E9)</f>
        <v>7986864579</v>
      </c>
      <c r="B748" s="46" t="str">
        <f>IFERROR(__xludf.DUMMYFUNCTION("""COMPUTED_VALUE"""),"Sunny kumar")</f>
        <v>Sunny kumar</v>
      </c>
      <c r="C748" s="5" t="s">
        <v>2002</v>
      </c>
      <c r="D748" s="5"/>
      <c r="E748" s="5"/>
      <c r="F748" s="5"/>
      <c r="G748" s="5"/>
      <c r="H748" s="5"/>
      <c r="I748" s="5"/>
      <c r="J748" s="73"/>
      <c r="K748" s="75" t="str">
        <f>IFERROR(__xludf.DUMMYFUNCTION("""COMPUTED_VALUE"""),"")</f>
        <v/>
      </c>
      <c r="L748" s="75"/>
      <c r="M748" s="46" t="s">
        <v>2002</v>
      </c>
    </row>
    <row r="749">
      <c r="A749" s="70">
        <f>IFERROR(__xludf.DUMMYFUNCTION("""COMPUTED_VALUE"""),9.528893869E9)</f>
        <v>9528893869</v>
      </c>
      <c r="B749" s="46" t="str">
        <f>IFERROR(__xludf.DUMMYFUNCTION("""COMPUTED_VALUE"""),"Sulekha")</f>
        <v>Sulekha</v>
      </c>
      <c r="C749" s="5" t="s">
        <v>2002</v>
      </c>
      <c r="D749" s="5"/>
      <c r="E749" s="5"/>
      <c r="F749" s="5"/>
      <c r="G749" s="5"/>
      <c r="H749" s="5"/>
      <c r="I749" s="5"/>
      <c r="J749" s="73"/>
      <c r="K749" s="75" t="str">
        <f>IFERROR(__xludf.DUMMYFUNCTION("""COMPUTED_VALUE"""),"")</f>
        <v/>
      </c>
      <c r="L749" s="75"/>
      <c r="M749" s="46" t="s">
        <v>2002</v>
      </c>
    </row>
    <row r="750">
      <c r="A750" s="70">
        <f>IFERROR(__xludf.DUMMYFUNCTION("""COMPUTED_VALUE"""),8.439299415E9)</f>
        <v>8439299415</v>
      </c>
      <c r="B750" s="46" t="str">
        <f>IFERROR(__xludf.DUMMYFUNCTION("""COMPUTED_VALUE"""),"Khushi gupta")</f>
        <v>Khushi gupta</v>
      </c>
      <c r="C750" s="5" t="s">
        <v>2002</v>
      </c>
      <c r="D750" s="5"/>
      <c r="E750" s="5"/>
      <c r="F750" s="5"/>
      <c r="G750" s="5"/>
      <c r="H750" s="5"/>
      <c r="I750" s="5"/>
      <c r="J750" s="73"/>
      <c r="K750" s="75" t="str">
        <f>IFERROR(__xludf.DUMMYFUNCTION("""COMPUTED_VALUE"""),"")</f>
        <v/>
      </c>
      <c r="L750" s="75"/>
      <c r="M750" s="46" t="s">
        <v>2002</v>
      </c>
    </row>
    <row r="751">
      <c r="A751" s="70">
        <f>IFERROR(__xludf.DUMMYFUNCTION("""COMPUTED_VALUE"""),8.445131465E9)</f>
        <v>8445131465</v>
      </c>
      <c r="B751" s="46" t="str">
        <f>IFERROR(__xludf.DUMMYFUNCTION("""COMPUTED_VALUE"""),"Ayushi")</f>
        <v>Ayushi</v>
      </c>
      <c r="C751" s="5" t="s">
        <v>2002</v>
      </c>
      <c r="D751" s="5"/>
      <c r="E751" s="5"/>
      <c r="F751" s="5"/>
      <c r="G751" s="5"/>
      <c r="H751" s="5"/>
      <c r="I751" s="5"/>
      <c r="J751" s="73"/>
      <c r="K751" s="75" t="str">
        <f>IFERROR(__xludf.DUMMYFUNCTION("""COMPUTED_VALUE"""),"")</f>
        <v/>
      </c>
      <c r="L751" s="75"/>
      <c r="M751" s="46" t="s">
        <v>2002</v>
      </c>
    </row>
    <row r="752">
      <c r="A752" s="70">
        <f>IFERROR(__xludf.DUMMYFUNCTION("""COMPUTED_VALUE"""),7.078132156E9)</f>
        <v>7078132156</v>
      </c>
      <c r="B752" s="46" t="str">
        <f>IFERROR(__xludf.DUMMYFUNCTION("""COMPUTED_VALUE"""),"Sakshi maheshwari")</f>
        <v>Sakshi maheshwari</v>
      </c>
      <c r="C752" s="5" t="s">
        <v>2002</v>
      </c>
      <c r="D752" s="5"/>
      <c r="E752" s="5"/>
      <c r="F752" s="5"/>
      <c r="G752" s="5"/>
      <c r="H752" s="5"/>
      <c r="I752" s="5"/>
      <c r="J752" s="73"/>
      <c r="K752" s="75" t="str">
        <f>IFERROR(__xludf.DUMMYFUNCTION("""COMPUTED_VALUE"""),"")</f>
        <v/>
      </c>
      <c r="L752" s="75"/>
      <c r="M752" s="46" t="s">
        <v>2002</v>
      </c>
    </row>
    <row r="753">
      <c r="A753" s="70">
        <f>IFERROR(__xludf.DUMMYFUNCTION("""COMPUTED_VALUE"""),9.811513211E9)</f>
        <v>9811513211</v>
      </c>
      <c r="B753" s="46" t="str">
        <f>IFERROR(__xludf.DUMMYFUNCTION("""COMPUTED_VALUE"""),"Gaurav")</f>
        <v>Gaurav</v>
      </c>
      <c r="C753" s="5" t="s">
        <v>2002</v>
      </c>
      <c r="D753" s="5"/>
      <c r="E753" s="5"/>
      <c r="F753" s="5"/>
      <c r="G753" s="5"/>
      <c r="H753" s="5"/>
      <c r="I753" s="5"/>
      <c r="J753" s="73"/>
      <c r="K753" s="75" t="str">
        <f>IFERROR(__xludf.DUMMYFUNCTION("""COMPUTED_VALUE"""),"")</f>
        <v/>
      </c>
      <c r="L753" s="75"/>
      <c r="M753" s="46" t="s">
        <v>2002</v>
      </c>
    </row>
    <row r="754">
      <c r="A754" s="70">
        <f>IFERROR(__xludf.DUMMYFUNCTION("""COMPUTED_VALUE"""),9.620007757E9)</f>
        <v>9620007757</v>
      </c>
      <c r="B754" s="46" t="str">
        <f>IFERROR(__xludf.DUMMYFUNCTION("""COMPUTED_VALUE"""),"Deepak garg")</f>
        <v>Deepak garg</v>
      </c>
      <c r="C754" s="5" t="s">
        <v>2002</v>
      </c>
      <c r="D754" s="5"/>
      <c r="E754" s="5"/>
      <c r="F754" s="5"/>
      <c r="G754" s="5"/>
      <c r="H754" s="5"/>
      <c r="I754" s="5"/>
      <c r="J754" s="73"/>
      <c r="K754" s="75" t="str">
        <f>IFERROR(__xludf.DUMMYFUNCTION("""COMPUTED_VALUE"""),"")</f>
        <v/>
      </c>
      <c r="L754" s="75"/>
      <c r="M754" s="46" t="s">
        <v>2002</v>
      </c>
    </row>
    <row r="755">
      <c r="A755" s="70">
        <f>IFERROR(__xludf.DUMMYFUNCTION("""COMPUTED_VALUE"""),9.990652611E9)</f>
        <v>9990652611</v>
      </c>
      <c r="B755" s="46" t="str">
        <f>IFERROR(__xludf.DUMMYFUNCTION("""COMPUTED_VALUE"""),"Mohmad sahid ")</f>
        <v>Mohmad sahid </v>
      </c>
      <c r="C755" s="5" t="s">
        <v>2002</v>
      </c>
      <c r="D755" s="5"/>
      <c r="E755" s="5"/>
      <c r="F755" s="5"/>
      <c r="G755" s="5"/>
      <c r="H755" s="5"/>
      <c r="I755" s="5"/>
      <c r="J755" s="73"/>
      <c r="K755" s="75" t="str">
        <f>IFERROR(__xludf.DUMMYFUNCTION("""COMPUTED_VALUE"""),"")</f>
        <v/>
      </c>
      <c r="L755" s="75"/>
      <c r="M755" s="46" t="s">
        <v>2002</v>
      </c>
    </row>
    <row r="756">
      <c r="A756" s="70">
        <f>IFERROR(__xludf.DUMMYFUNCTION("""COMPUTED_VALUE"""),9.990563278E9)</f>
        <v>9990563278</v>
      </c>
      <c r="B756" s="46" t="str">
        <f>IFERROR(__xludf.DUMMYFUNCTION("""COMPUTED_VALUE"""),"Rakesh")</f>
        <v>Rakesh</v>
      </c>
      <c r="C756" s="5" t="s">
        <v>2002</v>
      </c>
      <c r="D756" s="5"/>
      <c r="E756" s="5"/>
      <c r="F756" s="5"/>
      <c r="G756" s="5"/>
      <c r="H756" s="5"/>
      <c r="I756" s="5"/>
      <c r="J756" s="73"/>
      <c r="K756" s="75" t="str">
        <f>IFERROR(__xludf.DUMMYFUNCTION("""COMPUTED_VALUE"""),"")</f>
        <v/>
      </c>
      <c r="L756" s="75"/>
      <c r="M756" s="46" t="s">
        <v>2002</v>
      </c>
    </row>
    <row r="757">
      <c r="A757" s="70">
        <f>IFERROR(__xludf.DUMMYFUNCTION("""COMPUTED_VALUE"""),9.818894957E9)</f>
        <v>9818894957</v>
      </c>
      <c r="B757" s="46" t="str">
        <f>IFERROR(__xludf.DUMMYFUNCTION("""COMPUTED_VALUE"""),"Sakshi guliani")</f>
        <v>Sakshi guliani</v>
      </c>
      <c r="C757" s="5" t="s">
        <v>2002</v>
      </c>
      <c r="D757" s="5"/>
      <c r="E757" s="5"/>
      <c r="F757" s="5"/>
      <c r="G757" s="5"/>
      <c r="H757" s="5"/>
      <c r="I757" s="5"/>
      <c r="J757" s="73"/>
      <c r="K757" s="75" t="str">
        <f>IFERROR(__xludf.DUMMYFUNCTION("""COMPUTED_VALUE"""),"")</f>
        <v/>
      </c>
      <c r="L757" s="75"/>
      <c r="M757" s="46" t="s">
        <v>2002</v>
      </c>
    </row>
    <row r="758">
      <c r="A758" s="70">
        <f>IFERROR(__xludf.DUMMYFUNCTION("""COMPUTED_VALUE"""),8.8025E9)</f>
        <v>8802500000</v>
      </c>
      <c r="B758" s="46" t="str">
        <f>IFERROR(__xludf.DUMMYFUNCTION("""COMPUTED_VALUE"""),"Deepak taneja")</f>
        <v>Deepak taneja</v>
      </c>
      <c r="C758" s="5" t="s">
        <v>2002</v>
      </c>
      <c r="D758" s="5"/>
      <c r="E758" s="5"/>
      <c r="F758" s="5"/>
      <c r="G758" s="5"/>
      <c r="H758" s="5"/>
      <c r="I758" s="5"/>
      <c r="J758" s="73"/>
      <c r="K758" s="75" t="str">
        <f>IFERROR(__xludf.DUMMYFUNCTION("""COMPUTED_VALUE"""),"")</f>
        <v/>
      </c>
      <c r="L758" s="75"/>
      <c r="M758" s="46" t="s">
        <v>2002</v>
      </c>
    </row>
    <row r="759">
      <c r="A759" s="70">
        <f>IFERROR(__xludf.DUMMYFUNCTION("""COMPUTED_VALUE"""),9.928914801E9)</f>
        <v>9928914801</v>
      </c>
      <c r="B759" s="46" t="str">
        <f>IFERROR(__xludf.DUMMYFUNCTION("""COMPUTED_VALUE"""),"Vinay")</f>
        <v>Vinay</v>
      </c>
      <c r="C759" s="5" t="s">
        <v>2002</v>
      </c>
      <c r="D759" s="5"/>
      <c r="E759" s="5"/>
      <c r="F759" s="5"/>
      <c r="G759" s="5"/>
      <c r="H759" s="5"/>
      <c r="I759" s="5"/>
      <c r="J759" s="73"/>
      <c r="K759" s="75" t="str">
        <f>IFERROR(__xludf.DUMMYFUNCTION("""COMPUTED_VALUE"""),"")</f>
        <v/>
      </c>
      <c r="L759" s="75"/>
      <c r="M759" s="46" t="s">
        <v>2002</v>
      </c>
    </row>
    <row r="760">
      <c r="A760" s="70">
        <f>IFERROR(__xludf.DUMMYFUNCTION("""COMPUTED_VALUE"""),7.078462239E9)</f>
        <v>7078462239</v>
      </c>
      <c r="B760" s="46" t="str">
        <f>IFERROR(__xludf.DUMMYFUNCTION("""COMPUTED_VALUE"""),"Asjed")</f>
        <v>Asjed</v>
      </c>
      <c r="C760" s="5" t="s">
        <v>2002</v>
      </c>
      <c r="D760" s="5"/>
      <c r="E760" s="5"/>
      <c r="F760" s="5"/>
      <c r="G760" s="5"/>
      <c r="H760" s="5"/>
      <c r="I760" s="5"/>
      <c r="J760" s="73"/>
      <c r="K760" s="75" t="str">
        <f>IFERROR(__xludf.DUMMYFUNCTION("""COMPUTED_VALUE"""),"")</f>
        <v/>
      </c>
      <c r="L760" s="75"/>
      <c r="M760" s="46" t="s">
        <v>2002</v>
      </c>
    </row>
    <row r="761">
      <c r="A761" s="70">
        <f>IFERROR(__xludf.DUMMYFUNCTION("""COMPUTED_VALUE"""),9.810216E9)</f>
        <v>9810216000</v>
      </c>
      <c r="B761" s="46" t="str">
        <f>IFERROR(__xludf.DUMMYFUNCTION("""COMPUTED_VALUE"""),"Suchi jain")</f>
        <v>Suchi jain</v>
      </c>
      <c r="C761" s="5" t="s">
        <v>2002</v>
      </c>
      <c r="D761" s="5"/>
      <c r="E761" s="5"/>
      <c r="F761" s="5"/>
      <c r="G761" s="5"/>
      <c r="H761" s="5"/>
      <c r="I761" s="5"/>
      <c r="J761" s="73"/>
      <c r="K761" s="75" t="str">
        <f>IFERROR(__xludf.DUMMYFUNCTION("""COMPUTED_VALUE"""),"")</f>
        <v/>
      </c>
      <c r="L761" s="75"/>
      <c r="M761" s="46" t="s">
        <v>2002</v>
      </c>
    </row>
    <row r="762">
      <c r="A762" s="70">
        <f>IFERROR(__xludf.DUMMYFUNCTION("""COMPUTED_VALUE"""),9.891109797E9)</f>
        <v>9891109797</v>
      </c>
      <c r="B762" s="46" t="str">
        <f>IFERROR(__xludf.DUMMYFUNCTION("""COMPUTED_VALUE"""),"Pooja")</f>
        <v>Pooja</v>
      </c>
      <c r="C762" s="5" t="s">
        <v>2002</v>
      </c>
      <c r="D762" s="5"/>
      <c r="E762" s="5"/>
      <c r="F762" s="5"/>
      <c r="G762" s="5"/>
      <c r="H762" s="5"/>
      <c r="I762" s="5"/>
      <c r="J762" s="73"/>
      <c r="K762" s="75" t="str">
        <f>IFERROR(__xludf.DUMMYFUNCTION("""COMPUTED_VALUE"""),"")</f>
        <v/>
      </c>
      <c r="L762" s="75"/>
      <c r="M762" s="46" t="s">
        <v>2002</v>
      </c>
    </row>
    <row r="763">
      <c r="A763" s="70">
        <f>IFERROR(__xludf.DUMMYFUNCTION("""COMPUTED_VALUE"""),9.971850039E9)</f>
        <v>9971850039</v>
      </c>
      <c r="B763" s="46" t="str">
        <f>IFERROR(__xludf.DUMMYFUNCTION("""COMPUTED_VALUE"""),"Preeti kapoor")</f>
        <v>Preeti kapoor</v>
      </c>
      <c r="C763" s="5" t="s">
        <v>2002</v>
      </c>
      <c r="D763" s="5"/>
      <c r="E763" s="5"/>
      <c r="F763" s="5"/>
      <c r="G763" s="5"/>
      <c r="H763" s="5"/>
      <c r="I763" s="5"/>
      <c r="J763" s="73"/>
      <c r="K763" s="75" t="str">
        <f>IFERROR(__xludf.DUMMYFUNCTION("""COMPUTED_VALUE"""),"")</f>
        <v/>
      </c>
      <c r="L763" s="75"/>
      <c r="M763" s="46" t="s">
        <v>2002</v>
      </c>
    </row>
    <row r="764">
      <c r="A764" s="70">
        <f>IFERROR(__xludf.DUMMYFUNCTION("""COMPUTED_VALUE"""),9.953093456E9)</f>
        <v>9953093456</v>
      </c>
      <c r="B764" s="46" t="str">
        <f>IFERROR(__xludf.DUMMYFUNCTION("""COMPUTED_VALUE"""),"Harinder")</f>
        <v>Harinder</v>
      </c>
      <c r="C764" s="5" t="s">
        <v>2002</v>
      </c>
      <c r="D764" s="5"/>
      <c r="E764" s="5"/>
      <c r="F764" s="5"/>
      <c r="G764" s="5"/>
      <c r="H764" s="5"/>
      <c r="I764" s="5"/>
      <c r="J764" s="73"/>
      <c r="K764" s="75" t="str">
        <f>IFERROR(__xludf.DUMMYFUNCTION("""COMPUTED_VALUE"""),"")</f>
        <v/>
      </c>
      <c r="L764" s="75"/>
      <c r="M764" s="46" t="s">
        <v>2002</v>
      </c>
    </row>
    <row r="765">
      <c r="A765" s="70">
        <f>IFERROR(__xludf.DUMMYFUNCTION("""COMPUTED_VALUE"""),9.990178259E9)</f>
        <v>9990178259</v>
      </c>
      <c r="B765" s="46" t="str">
        <f>IFERROR(__xludf.DUMMYFUNCTION("""COMPUTED_VALUE"""),"Harshdeep")</f>
        <v>Harshdeep</v>
      </c>
      <c r="C765" s="5" t="s">
        <v>2002</v>
      </c>
      <c r="D765" s="5"/>
      <c r="E765" s="5"/>
      <c r="F765" s="5"/>
      <c r="G765" s="5"/>
      <c r="H765" s="5"/>
      <c r="I765" s="5"/>
      <c r="J765" s="73"/>
      <c r="K765" s="75" t="str">
        <f>IFERROR(__xludf.DUMMYFUNCTION("""COMPUTED_VALUE"""),"")</f>
        <v/>
      </c>
      <c r="L765" s="75"/>
      <c r="M765" s="46" t="s">
        <v>2002</v>
      </c>
    </row>
    <row r="766">
      <c r="A766" s="70">
        <f>IFERROR(__xludf.DUMMYFUNCTION("""COMPUTED_VALUE"""),9.958568875E9)</f>
        <v>9958568875</v>
      </c>
      <c r="B766" s="46" t="str">
        <f>IFERROR(__xludf.DUMMYFUNCTION("""COMPUTED_VALUE"""),"Luna")</f>
        <v>Luna</v>
      </c>
      <c r="C766" s="5" t="s">
        <v>2002</v>
      </c>
      <c r="D766" s="5"/>
      <c r="E766" s="5"/>
      <c r="F766" s="5"/>
      <c r="G766" s="5"/>
      <c r="H766" s="5"/>
      <c r="I766" s="5"/>
      <c r="J766" s="73"/>
      <c r="K766" s="75" t="str">
        <f>IFERROR(__xludf.DUMMYFUNCTION("""COMPUTED_VALUE"""),"")</f>
        <v/>
      </c>
      <c r="L766" s="75"/>
      <c r="M766" s="46" t="s">
        <v>2002</v>
      </c>
    </row>
    <row r="767">
      <c r="A767" s="70">
        <f>IFERROR(__xludf.DUMMYFUNCTION("""COMPUTED_VALUE"""),9.99950897E9)</f>
        <v>9999508970</v>
      </c>
      <c r="B767" s="46" t="str">
        <f>IFERROR(__xludf.DUMMYFUNCTION("""COMPUTED_VALUE"""),"Bhupendra ")</f>
        <v>Bhupendra </v>
      </c>
      <c r="C767" s="5" t="s">
        <v>2002</v>
      </c>
      <c r="D767" s="5"/>
      <c r="E767" s="5"/>
      <c r="F767" s="5"/>
      <c r="G767" s="5"/>
      <c r="H767" s="5"/>
      <c r="I767" s="5"/>
      <c r="J767" s="73"/>
      <c r="K767" s="75" t="str">
        <f>IFERROR(__xludf.DUMMYFUNCTION("""COMPUTED_VALUE"""),"")</f>
        <v/>
      </c>
      <c r="L767" s="75"/>
      <c r="M767" s="46" t="s">
        <v>2002</v>
      </c>
    </row>
    <row r="768">
      <c r="A768" s="70">
        <f>IFERROR(__xludf.DUMMYFUNCTION("""COMPUTED_VALUE"""),9.910330327E9)</f>
        <v>9910330327</v>
      </c>
      <c r="B768" s="46" t="str">
        <f>IFERROR(__xludf.DUMMYFUNCTION("""COMPUTED_VALUE"""),"Geeta")</f>
        <v>Geeta</v>
      </c>
      <c r="C768" s="5" t="s">
        <v>2002</v>
      </c>
      <c r="D768" s="5"/>
      <c r="E768" s="5"/>
      <c r="F768" s="5"/>
      <c r="G768" s="5"/>
      <c r="H768" s="5"/>
      <c r="I768" s="5"/>
      <c r="J768" s="73"/>
      <c r="K768" s="75" t="str">
        <f>IFERROR(__xludf.DUMMYFUNCTION("""COMPUTED_VALUE"""),"")</f>
        <v/>
      </c>
      <c r="L768" s="75"/>
      <c r="M768" s="46" t="s">
        <v>2002</v>
      </c>
    </row>
    <row r="769">
      <c r="A769" s="70">
        <f>IFERROR(__xludf.DUMMYFUNCTION("""COMPUTED_VALUE"""),9.891377909E9)</f>
        <v>9891377909</v>
      </c>
      <c r="B769" s="46" t="str">
        <f>IFERROR(__xludf.DUMMYFUNCTION("""COMPUTED_VALUE"""),"Virendra kumar")</f>
        <v>Virendra kumar</v>
      </c>
      <c r="C769" s="5" t="s">
        <v>2002</v>
      </c>
      <c r="D769" s="5"/>
      <c r="E769" s="5"/>
      <c r="F769" s="5"/>
      <c r="G769" s="5"/>
      <c r="H769" s="5"/>
      <c r="I769" s="5"/>
      <c r="J769" s="73"/>
      <c r="K769" s="75" t="str">
        <f>IFERROR(__xludf.DUMMYFUNCTION("""COMPUTED_VALUE"""),"")</f>
        <v/>
      </c>
      <c r="L769" s="75"/>
      <c r="M769" s="46" t="s">
        <v>2002</v>
      </c>
    </row>
    <row r="770">
      <c r="A770" s="70">
        <f>IFERROR(__xludf.DUMMYFUNCTION("""COMPUTED_VALUE"""),9.717283223E9)</f>
        <v>9717283223</v>
      </c>
      <c r="B770" s="46" t="str">
        <f>IFERROR(__xludf.DUMMYFUNCTION("""COMPUTED_VALUE"""),"Ayesha")</f>
        <v>Ayesha</v>
      </c>
      <c r="C770" s="5" t="s">
        <v>2002</v>
      </c>
      <c r="D770" s="5"/>
      <c r="E770" s="5"/>
      <c r="F770" s="5"/>
      <c r="G770" s="5"/>
      <c r="H770" s="5"/>
      <c r="I770" s="5"/>
      <c r="J770" s="73"/>
      <c r="K770" s="75" t="str">
        <f>IFERROR(__xludf.DUMMYFUNCTION("""COMPUTED_VALUE"""),"")</f>
        <v/>
      </c>
      <c r="L770" s="75"/>
      <c r="M770" s="46" t="s">
        <v>2002</v>
      </c>
    </row>
    <row r="771">
      <c r="A771" s="70">
        <f>IFERROR(__xludf.DUMMYFUNCTION("""COMPUTED_VALUE"""),9.999607257E9)</f>
        <v>9999607257</v>
      </c>
      <c r="B771" s="46" t="str">
        <f>IFERROR(__xludf.DUMMYFUNCTION("""COMPUTED_VALUE"""),"Pooja aganpal ")</f>
        <v>Pooja aganpal </v>
      </c>
      <c r="C771" s="5" t="s">
        <v>2002</v>
      </c>
      <c r="D771" s="5"/>
      <c r="E771" s="5"/>
      <c r="F771" s="5"/>
      <c r="G771" s="5"/>
      <c r="H771" s="5"/>
      <c r="I771" s="5"/>
      <c r="J771" s="73"/>
      <c r="K771" s="75" t="str">
        <f>IFERROR(__xludf.DUMMYFUNCTION("""COMPUTED_VALUE"""),"")</f>
        <v/>
      </c>
      <c r="L771" s="75"/>
      <c r="M771" s="46" t="s">
        <v>2002</v>
      </c>
    </row>
    <row r="772">
      <c r="A772" s="70">
        <f>IFERROR(__xludf.DUMMYFUNCTION("""COMPUTED_VALUE"""),9.873606005E9)</f>
        <v>9873606005</v>
      </c>
      <c r="B772" s="46" t="str">
        <f>IFERROR(__xludf.DUMMYFUNCTION("""COMPUTED_VALUE"""),"Rahul anagpal")</f>
        <v>Rahul anagpal</v>
      </c>
      <c r="C772" s="5" t="s">
        <v>2002</v>
      </c>
      <c r="D772" s="5"/>
      <c r="E772" s="5"/>
      <c r="F772" s="5"/>
      <c r="G772" s="5"/>
      <c r="H772" s="5"/>
      <c r="I772" s="5"/>
      <c r="J772" s="73"/>
      <c r="K772" s="75" t="str">
        <f>IFERROR(__xludf.DUMMYFUNCTION("""COMPUTED_VALUE"""),"")</f>
        <v/>
      </c>
      <c r="L772" s="75"/>
      <c r="M772" s="46" t="s">
        <v>2002</v>
      </c>
    </row>
    <row r="773">
      <c r="A773" s="70">
        <f>IFERROR(__xludf.DUMMYFUNCTION("""COMPUTED_VALUE"""),9.971424028E9)</f>
        <v>9971424028</v>
      </c>
      <c r="B773" s="46" t="str">
        <f>IFERROR(__xludf.DUMMYFUNCTION("""COMPUTED_VALUE"""),"Nitin ")</f>
        <v>Nitin </v>
      </c>
      <c r="C773" s="5" t="s">
        <v>2002</v>
      </c>
      <c r="D773" s="5"/>
      <c r="E773" s="5"/>
      <c r="F773" s="5"/>
      <c r="G773" s="5"/>
      <c r="H773" s="5"/>
      <c r="I773" s="5"/>
      <c r="J773" s="73"/>
      <c r="K773" s="75" t="str">
        <f>IFERROR(__xludf.DUMMYFUNCTION("""COMPUTED_VALUE"""),"")</f>
        <v/>
      </c>
      <c r="L773" s="75"/>
      <c r="M773" s="46" t="s">
        <v>2002</v>
      </c>
    </row>
    <row r="774">
      <c r="A774" s="70">
        <f>IFERROR(__xludf.DUMMYFUNCTION("""COMPUTED_VALUE"""),9.643857045E9)</f>
        <v>9643857045</v>
      </c>
      <c r="B774" s="46" t="str">
        <f>IFERROR(__xludf.DUMMYFUNCTION("""COMPUTED_VALUE"""),"Kunal goel ")</f>
        <v>Kunal goel </v>
      </c>
      <c r="C774" s="5" t="s">
        <v>2002</v>
      </c>
      <c r="D774" s="5"/>
      <c r="E774" s="5"/>
      <c r="F774" s="5"/>
      <c r="G774" s="5"/>
      <c r="H774" s="5"/>
      <c r="I774" s="5"/>
      <c r="J774" s="73"/>
      <c r="K774" s="75" t="str">
        <f>IFERROR(__xludf.DUMMYFUNCTION("""COMPUTED_VALUE"""),"")</f>
        <v/>
      </c>
      <c r="L774" s="75"/>
      <c r="M774" s="46" t="s">
        <v>2002</v>
      </c>
    </row>
    <row r="775">
      <c r="A775" s="70">
        <f>IFERROR(__xludf.DUMMYFUNCTION("""COMPUTED_VALUE"""),8.006431791E9)</f>
        <v>8006431791</v>
      </c>
      <c r="B775" s="46" t="str">
        <f>IFERROR(__xludf.DUMMYFUNCTION("""COMPUTED_VALUE"""),"Ashish")</f>
        <v>Ashish</v>
      </c>
      <c r="C775" s="5" t="s">
        <v>2002</v>
      </c>
      <c r="D775" s="5"/>
      <c r="E775" s="5"/>
      <c r="F775" s="5"/>
      <c r="G775" s="5"/>
      <c r="H775" s="5"/>
      <c r="I775" s="5"/>
      <c r="J775" s="73"/>
      <c r="K775" s="75" t="str">
        <f>IFERROR(__xludf.DUMMYFUNCTION("""COMPUTED_VALUE"""),"")</f>
        <v/>
      </c>
      <c r="L775" s="75"/>
      <c r="M775" s="46" t="s">
        <v>2002</v>
      </c>
    </row>
    <row r="776">
      <c r="A776" s="70">
        <f>IFERROR(__xludf.DUMMYFUNCTION("""COMPUTED_VALUE"""),9.773579821E9)</f>
        <v>9773579821</v>
      </c>
      <c r="B776" s="46" t="str">
        <f>IFERROR(__xludf.DUMMYFUNCTION("""COMPUTED_VALUE"""),"harpreet Gupta")</f>
        <v>harpreet Gupta</v>
      </c>
      <c r="C776" s="5" t="s">
        <v>2002</v>
      </c>
      <c r="D776" s="5"/>
      <c r="E776" s="5"/>
      <c r="F776" s="5"/>
      <c r="G776" s="5"/>
      <c r="H776" s="5"/>
      <c r="I776" s="5"/>
      <c r="J776" s="73"/>
      <c r="K776" s="75" t="str">
        <f>IFERROR(__xludf.DUMMYFUNCTION("""COMPUTED_VALUE"""),"")</f>
        <v/>
      </c>
      <c r="L776" s="75"/>
      <c r="M776" s="46" t="s">
        <v>2002</v>
      </c>
    </row>
    <row r="777">
      <c r="A777" s="70">
        <f>IFERROR(__xludf.DUMMYFUNCTION("""COMPUTED_VALUE"""),8.826365121E9)</f>
        <v>8826365121</v>
      </c>
      <c r="B777" s="46" t="str">
        <f>IFERROR(__xludf.DUMMYFUNCTION("""COMPUTED_VALUE"""),"Manju gupta")</f>
        <v>Manju gupta</v>
      </c>
      <c r="C777" s="5" t="s">
        <v>2002</v>
      </c>
      <c r="D777" s="5"/>
      <c r="E777" s="5"/>
      <c r="F777" s="5"/>
      <c r="G777" s="5"/>
      <c r="H777" s="5"/>
      <c r="I777" s="5"/>
      <c r="J777" s="73"/>
      <c r="K777" s="75" t="str">
        <f>IFERROR(__xludf.DUMMYFUNCTION("""COMPUTED_VALUE"""),"")</f>
        <v/>
      </c>
      <c r="L777" s="75"/>
      <c r="M777" s="46" t="s">
        <v>2002</v>
      </c>
    </row>
    <row r="778">
      <c r="A778" s="70">
        <f>IFERROR(__xludf.DUMMYFUNCTION("""COMPUTED_VALUE"""),8.800118624E9)</f>
        <v>8800118624</v>
      </c>
      <c r="B778" s="46" t="str">
        <f>IFERROR(__xludf.DUMMYFUNCTION("""COMPUTED_VALUE"""),"Yashika")</f>
        <v>Yashika</v>
      </c>
      <c r="C778" s="5" t="s">
        <v>2002</v>
      </c>
      <c r="D778" s="5"/>
      <c r="E778" s="5"/>
      <c r="F778" s="5"/>
      <c r="G778" s="5"/>
      <c r="H778" s="5"/>
      <c r="I778" s="5"/>
      <c r="J778" s="73"/>
      <c r="K778" s="75" t="str">
        <f>IFERROR(__xludf.DUMMYFUNCTION("""COMPUTED_VALUE"""),"")</f>
        <v/>
      </c>
      <c r="L778" s="75"/>
      <c r="M778" s="46" t="s">
        <v>2002</v>
      </c>
    </row>
    <row r="779">
      <c r="A779" s="70">
        <f>IFERROR(__xludf.DUMMYFUNCTION("""COMPUTED_VALUE"""),9.6433123E9)</f>
        <v>9643312300</v>
      </c>
      <c r="B779" s="46" t="str">
        <f>IFERROR(__xludf.DUMMYFUNCTION("""COMPUTED_VALUE"""),"Harsh ")</f>
        <v>Harsh </v>
      </c>
      <c r="C779" s="5" t="s">
        <v>2002</v>
      </c>
      <c r="D779" s="5"/>
      <c r="E779" s="5"/>
      <c r="F779" s="5"/>
      <c r="G779" s="5"/>
      <c r="H779" s="5"/>
      <c r="I779" s="5"/>
      <c r="J779" s="73"/>
      <c r="K779" s="75" t="str">
        <f>IFERROR(__xludf.DUMMYFUNCTION("""COMPUTED_VALUE"""),"")</f>
        <v/>
      </c>
      <c r="L779" s="75"/>
      <c r="M779" s="46" t="s">
        <v>2002</v>
      </c>
    </row>
    <row r="780">
      <c r="A780" s="70">
        <f>IFERROR(__xludf.DUMMYFUNCTION("""COMPUTED_VALUE"""),9.643039713E9)</f>
        <v>9643039713</v>
      </c>
      <c r="B780" s="46" t="str">
        <f>IFERROR(__xludf.DUMMYFUNCTION("""COMPUTED_VALUE"""),"Anurag ")</f>
        <v>Anurag </v>
      </c>
      <c r="C780" s="5" t="s">
        <v>2002</v>
      </c>
      <c r="D780" s="5"/>
      <c r="E780" s="5"/>
      <c r="F780" s="5"/>
      <c r="G780" s="5"/>
      <c r="H780" s="5"/>
      <c r="I780" s="5"/>
      <c r="J780" s="73"/>
      <c r="K780" s="75" t="str">
        <f>IFERROR(__xludf.DUMMYFUNCTION("""COMPUTED_VALUE"""),"")</f>
        <v/>
      </c>
      <c r="L780" s="75"/>
      <c r="M780" s="46" t="s">
        <v>2002</v>
      </c>
    </row>
    <row r="781">
      <c r="A781" s="70">
        <f>IFERROR(__xludf.DUMMYFUNCTION("""COMPUTED_VALUE"""),8.700001755E9)</f>
        <v>8700001755</v>
      </c>
      <c r="B781" s="46" t="str">
        <f>IFERROR(__xludf.DUMMYFUNCTION("""COMPUTED_VALUE"""),"Imtiyaz khan")</f>
        <v>Imtiyaz khan</v>
      </c>
      <c r="C781" s="5" t="s">
        <v>2002</v>
      </c>
      <c r="D781" s="5"/>
      <c r="E781" s="5"/>
      <c r="F781" s="5"/>
      <c r="G781" s="5"/>
      <c r="H781" s="5"/>
      <c r="I781" s="5"/>
      <c r="J781" s="73"/>
      <c r="K781" s="75" t="str">
        <f>IFERROR(__xludf.DUMMYFUNCTION("""COMPUTED_VALUE"""),"")</f>
        <v/>
      </c>
      <c r="L781" s="75"/>
      <c r="M781" s="46" t="s">
        <v>2002</v>
      </c>
    </row>
    <row r="782">
      <c r="A782" s="70">
        <f>IFERROR(__xludf.DUMMYFUNCTION("""COMPUTED_VALUE"""),9.456074818E9)</f>
        <v>9456074818</v>
      </c>
      <c r="B782" s="46" t="str">
        <f>IFERROR(__xludf.DUMMYFUNCTION("""COMPUTED_VALUE"""),"Sunil")</f>
        <v>Sunil</v>
      </c>
      <c r="C782" s="5" t="s">
        <v>2002</v>
      </c>
      <c r="D782" s="5"/>
      <c r="E782" s="5"/>
      <c r="F782" s="5"/>
      <c r="G782" s="5"/>
      <c r="H782" s="5"/>
      <c r="I782" s="5"/>
      <c r="J782" s="73"/>
      <c r="K782" s="75" t="str">
        <f>IFERROR(__xludf.DUMMYFUNCTION("""COMPUTED_VALUE"""),"")</f>
        <v/>
      </c>
      <c r="L782" s="75"/>
      <c r="M782" s="46" t="s">
        <v>2002</v>
      </c>
    </row>
    <row r="783">
      <c r="A783" s="70">
        <f>IFERROR(__xludf.DUMMYFUNCTION("""COMPUTED_VALUE"""),9.409021428E9)</f>
        <v>9409021428</v>
      </c>
      <c r="B783" s="46" t="str">
        <f>IFERROR(__xludf.DUMMYFUNCTION("""COMPUTED_VALUE"""),"Bharat Kumar Patel")</f>
        <v>Bharat Kumar Patel</v>
      </c>
      <c r="C783" s="5" t="s">
        <v>2002</v>
      </c>
      <c r="D783" s="5"/>
      <c r="E783" s="5"/>
      <c r="F783" s="5"/>
      <c r="G783" s="5"/>
      <c r="H783" s="5"/>
      <c r="I783" s="5"/>
      <c r="J783" s="73"/>
      <c r="K783" s="75" t="str">
        <f>IFERROR(__xludf.DUMMYFUNCTION("""COMPUTED_VALUE"""),"")</f>
        <v/>
      </c>
      <c r="L783" s="75"/>
      <c r="M783" s="46" t="s">
        <v>2002</v>
      </c>
    </row>
    <row r="784">
      <c r="A784" s="70">
        <f>IFERROR(__xludf.DUMMYFUNCTION("""COMPUTED_VALUE"""),9.311556679E9)</f>
        <v>9311556679</v>
      </c>
      <c r="B784" s="46" t="str">
        <f>IFERROR(__xludf.DUMMYFUNCTION("""COMPUTED_VALUE"""),"Rashmi Kapoor")</f>
        <v>Rashmi Kapoor</v>
      </c>
      <c r="C784" s="5" t="s">
        <v>2002</v>
      </c>
      <c r="D784" s="5"/>
      <c r="E784" s="5"/>
      <c r="F784" s="5"/>
      <c r="G784" s="5"/>
      <c r="H784" s="5"/>
      <c r="I784" s="5"/>
      <c r="J784" s="73"/>
      <c r="K784" s="75" t="str">
        <f>IFERROR(__xludf.DUMMYFUNCTION("""COMPUTED_VALUE"""),"")</f>
        <v/>
      </c>
      <c r="L784" s="75"/>
      <c r="M784" s="46" t="s">
        <v>2002</v>
      </c>
    </row>
    <row r="785">
      <c r="A785" s="70">
        <f>IFERROR(__xludf.DUMMYFUNCTION("""COMPUTED_VALUE"""),9.711134431E9)</f>
        <v>9711134431</v>
      </c>
      <c r="B785" s="46" t="str">
        <f>IFERROR(__xludf.DUMMYFUNCTION("""COMPUTED_VALUE"""),"Antil")</f>
        <v>Antil</v>
      </c>
      <c r="C785" s="5" t="s">
        <v>2002</v>
      </c>
      <c r="D785" s="5"/>
      <c r="E785" s="5"/>
      <c r="F785" s="5"/>
      <c r="G785" s="5"/>
      <c r="H785" s="5"/>
      <c r="I785" s="5"/>
      <c r="J785" s="73"/>
      <c r="K785" s="75" t="str">
        <f>IFERROR(__xludf.DUMMYFUNCTION("""COMPUTED_VALUE"""),"")</f>
        <v/>
      </c>
      <c r="L785" s="75"/>
      <c r="M785" s="46" t="s">
        <v>2002</v>
      </c>
    </row>
    <row r="786">
      <c r="A786" s="70">
        <f>IFERROR(__xludf.DUMMYFUNCTION("""COMPUTED_VALUE"""),8.920518074E9)</f>
        <v>8920518074</v>
      </c>
      <c r="B786" s="46" t="str">
        <f>IFERROR(__xludf.DUMMYFUNCTION("""COMPUTED_VALUE"""),"Rajni Aggarwal ")</f>
        <v>Rajni Aggarwal </v>
      </c>
      <c r="C786" s="5" t="s">
        <v>2002</v>
      </c>
      <c r="D786" s="5"/>
      <c r="E786" s="5"/>
      <c r="F786" s="5"/>
      <c r="G786" s="5"/>
      <c r="H786" s="5"/>
      <c r="I786" s="5"/>
      <c r="J786" s="73"/>
      <c r="K786" s="75" t="str">
        <f>IFERROR(__xludf.DUMMYFUNCTION("""COMPUTED_VALUE"""),"")</f>
        <v/>
      </c>
      <c r="L786" s="75"/>
      <c r="M786" s="46" t="s">
        <v>2002</v>
      </c>
    </row>
    <row r="787">
      <c r="A787" s="70">
        <f>IFERROR(__xludf.DUMMYFUNCTION("""COMPUTED_VALUE"""),7.988502833E9)</f>
        <v>7988502833</v>
      </c>
      <c r="B787" s="46" t="str">
        <f>IFERROR(__xludf.DUMMYFUNCTION("""COMPUTED_VALUE"""),"Shivam")</f>
        <v>Shivam</v>
      </c>
      <c r="C787" s="5" t="s">
        <v>2002</v>
      </c>
      <c r="D787" s="5"/>
      <c r="E787" s="5"/>
      <c r="F787" s="5"/>
      <c r="G787" s="5"/>
      <c r="H787" s="5"/>
      <c r="I787" s="5"/>
      <c r="J787" s="73"/>
      <c r="K787" s="75" t="str">
        <f>IFERROR(__xludf.DUMMYFUNCTION("""COMPUTED_VALUE"""),"")</f>
        <v/>
      </c>
      <c r="L787" s="75"/>
      <c r="M787" s="46" t="s">
        <v>2002</v>
      </c>
    </row>
    <row r="788">
      <c r="A788" s="70">
        <f>IFERROR(__xludf.DUMMYFUNCTION("""COMPUTED_VALUE"""),9.67140055E9)</f>
        <v>9671400550</v>
      </c>
      <c r="B788" s="46" t="str">
        <f>IFERROR(__xludf.DUMMYFUNCTION("""COMPUTED_VALUE"""),"Sudhanshu")</f>
        <v>Sudhanshu</v>
      </c>
      <c r="C788" s="5" t="s">
        <v>2002</v>
      </c>
      <c r="D788" s="5"/>
      <c r="E788" s="5"/>
      <c r="F788" s="5"/>
      <c r="G788" s="5"/>
      <c r="H788" s="5"/>
      <c r="I788" s="5"/>
      <c r="J788" s="73"/>
      <c r="K788" s="75" t="str">
        <f>IFERROR(__xludf.DUMMYFUNCTION("""COMPUTED_VALUE"""),"")</f>
        <v/>
      </c>
      <c r="L788" s="75"/>
      <c r="M788" s="46" t="s">
        <v>2002</v>
      </c>
    </row>
    <row r="789">
      <c r="A789" s="70">
        <f>IFERROR(__xludf.DUMMYFUNCTION("""COMPUTED_VALUE"""),9.910544189E9)</f>
        <v>9910544189</v>
      </c>
      <c r="B789" s="46" t="str">
        <f>IFERROR(__xludf.DUMMYFUNCTION("""COMPUTED_VALUE"""),"Karishma ")</f>
        <v>Karishma </v>
      </c>
      <c r="C789" s="5" t="s">
        <v>2002</v>
      </c>
      <c r="D789" s="5"/>
      <c r="E789" s="5"/>
      <c r="F789" s="5"/>
      <c r="G789" s="5"/>
      <c r="H789" s="5"/>
      <c r="I789" s="5"/>
      <c r="J789" s="73"/>
      <c r="K789" s="75" t="str">
        <f>IFERROR(__xludf.DUMMYFUNCTION("""COMPUTED_VALUE"""),"")</f>
        <v/>
      </c>
      <c r="L789" s="75"/>
      <c r="M789" s="46" t="s">
        <v>2002</v>
      </c>
    </row>
    <row r="790">
      <c r="A790" s="70">
        <f>IFERROR(__xludf.DUMMYFUNCTION("""COMPUTED_VALUE"""),9.968240521E9)</f>
        <v>9968240521</v>
      </c>
      <c r="B790" s="46" t="str">
        <f>IFERROR(__xludf.DUMMYFUNCTION("""COMPUTED_VALUE"""),"Kalpana")</f>
        <v>Kalpana</v>
      </c>
      <c r="C790" s="5" t="s">
        <v>2002</v>
      </c>
      <c r="D790" s="5"/>
      <c r="E790" s="5"/>
      <c r="F790" s="5"/>
      <c r="G790" s="5"/>
      <c r="H790" s="5"/>
      <c r="I790" s="5"/>
      <c r="J790" s="73"/>
      <c r="K790" s="75" t="str">
        <f>IFERROR(__xludf.DUMMYFUNCTION("""COMPUTED_VALUE"""),"")</f>
        <v/>
      </c>
      <c r="L790" s="75"/>
      <c r="M790" s="46" t="s">
        <v>2002</v>
      </c>
    </row>
    <row r="791">
      <c r="A791" s="70">
        <f>IFERROR(__xludf.DUMMYFUNCTION("""COMPUTED_VALUE"""),9.811137281E9)</f>
        <v>9811137281</v>
      </c>
      <c r="B791" s="46" t="str">
        <f>IFERROR(__xludf.DUMMYFUNCTION("""COMPUTED_VALUE"""),"Narender")</f>
        <v>Narender</v>
      </c>
      <c r="C791" s="5" t="s">
        <v>2002</v>
      </c>
      <c r="D791" s="5"/>
      <c r="E791" s="5"/>
      <c r="F791" s="5"/>
      <c r="G791" s="5"/>
      <c r="H791" s="5"/>
      <c r="I791" s="5"/>
      <c r="J791" s="73"/>
      <c r="K791" s="75" t="str">
        <f>IFERROR(__xludf.DUMMYFUNCTION("""COMPUTED_VALUE"""),"")</f>
        <v/>
      </c>
      <c r="L791" s="75"/>
      <c r="M791" s="46" t="s">
        <v>2002</v>
      </c>
    </row>
    <row r="792">
      <c r="A792" s="70">
        <f>IFERROR(__xludf.DUMMYFUNCTION("""COMPUTED_VALUE"""),9.810712114E9)</f>
        <v>9810712114</v>
      </c>
      <c r="B792" s="46" t="str">
        <f>IFERROR(__xludf.DUMMYFUNCTION("""COMPUTED_VALUE"""),"Gaurav")</f>
        <v>Gaurav</v>
      </c>
      <c r="C792" s="5" t="s">
        <v>2002</v>
      </c>
      <c r="D792" s="5"/>
      <c r="E792" s="5"/>
      <c r="F792" s="5"/>
      <c r="G792" s="5"/>
      <c r="H792" s="5"/>
      <c r="I792" s="5"/>
      <c r="J792" s="73"/>
      <c r="K792" s="75" t="str">
        <f>IFERROR(__xludf.DUMMYFUNCTION("""COMPUTED_VALUE"""),"")</f>
        <v/>
      </c>
      <c r="L792" s="75"/>
      <c r="M792" s="46" t="s">
        <v>2002</v>
      </c>
    </row>
    <row r="793">
      <c r="A793" s="70">
        <f>IFERROR(__xludf.DUMMYFUNCTION("""COMPUTED_VALUE"""),9.87391383E9)</f>
        <v>9873913830</v>
      </c>
      <c r="B793" s="46" t="str">
        <f>IFERROR(__xludf.DUMMYFUNCTION("""COMPUTED_VALUE"""),"Amrit")</f>
        <v>Amrit</v>
      </c>
      <c r="C793" s="5" t="s">
        <v>2002</v>
      </c>
      <c r="D793" s="5"/>
      <c r="E793" s="5"/>
      <c r="F793" s="5"/>
      <c r="G793" s="5"/>
      <c r="H793" s="5"/>
      <c r="I793" s="5"/>
      <c r="J793" s="73"/>
      <c r="K793" s="75" t="str">
        <f>IFERROR(__xludf.DUMMYFUNCTION("""COMPUTED_VALUE"""),"")</f>
        <v/>
      </c>
      <c r="L793" s="75"/>
      <c r="M793" s="46" t="s">
        <v>2002</v>
      </c>
    </row>
    <row r="794">
      <c r="A794" s="70">
        <f>IFERROR(__xludf.DUMMYFUNCTION("""COMPUTED_VALUE"""),8.130107044E9)</f>
        <v>8130107044</v>
      </c>
      <c r="B794" s="46" t="str">
        <f>IFERROR(__xludf.DUMMYFUNCTION("""COMPUTED_VALUE"""),"Pawan kumar")</f>
        <v>Pawan kumar</v>
      </c>
      <c r="C794" s="5" t="s">
        <v>2002</v>
      </c>
      <c r="D794" s="5"/>
      <c r="E794" s="5"/>
      <c r="F794" s="5"/>
      <c r="G794" s="5"/>
      <c r="H794" s="5"/>
      <c r="I794" s="5"/>
      <c r="J794" s="73"/>
      <c r="K794" s="75" t="str">
        <f>IFERROR(__xludf.DUMMYFUNCTION("""COMPUTED_VALUE"""),"")</f>
        <v/>
      </c>
      <c r="L794" s="75"/>
      <c r="M794" s="46" t="s">
        <v>2002</v>
      </c>
    </row>
    <row r="795">
      <c r="A795" s="70">
        <f>IFERROR(__xludf.DUMMYFUNCTION("""COMPUTED_VALUE"""),9.166085159E9)</f>
        <v>9166085159</v>
      </c>
      <c r="B795" s="46" t="str">
        <f>IFERROR(__xludf.DUMMYFUNCTION("""COMPUTED_VALUE"""),"Mukesh ")</f>
        <v>Mukesh </v>
      </c>
      <c r="C795" s="5" t="s">
        <v>2002</v>
      </c>
      <c r="D795" s="5"/>
      <c r="E795" s="5"/>
      <c r="F795" s="5"/>
      <c r="G795" s="5"/>
      <c r="H795" s="5"/>
      <c r="I795" s="5"/>
      <c r="J795" s="73"/>
      <c r="K795" s="75" t="str">
        <f>IFERROR(__xludf.DUMMYFUNCTION("""COMPUTED_VALUE"""),"")</f>
        <v/>
      </c>
      <c r="L795" s="75"/>
      <c r="M795" s="46" t="s">
        <v>2002</v>
      </c>
    </row>
    <row r="796">
      <c r="A796" s="70">
        <f>IFERROR(__xludf.DUMMYFUNCTION("""COMPUTED_VALUE"""),7.011044741E9)</f>
        <v>7011044741</v>
      </c>
      <c r="B796" s="46" t="str">
        <f>IFERROR(__xludf.DUMMYFUNCTION("""COMPUTED_VALUE"""),"Sartaj Khan ")</f>
        <v>Sartaj Khan </v>
      </c>
      <c r="C796" s="5" t="s">
        <v>2002</v>
      </c>
      <c r="D796" s="5"/>
      <c r="E796" s="5"/>
      <c r="F796" s="5"/>
      <c r="G796" s="5"/>
      <c r="H796" s="5"/>
      <c r="I796" s="5"/>
      <c r="J796" s="73"/>
      <c r="K796" s="75" t="str">
        <f>IFERROR(__xludf.DUMMYFUNCTION("""COMPUTED_VALUE"""),"")</f>
        <v/>
      </c>
      <c r="L796" s="75"/>
      <c r="M796" s="46" t="s">
        <v>2002</v>
      </c>
    </row>
    <row r="797">
      <c r="A797" s="70">
        <f>IFERROR(__xludf.DUMMYFUNCTION("""COMPUTED_VALUE"""),9.87303439E9)</f>
        <v>9873034390</v>
      </c>
      <c r="B797" s="46" t="str">
        <f>IFERROR(__xludf.DUMMYFUNCTION("""COMPUTED_VALUE"""),"Miss varma ji ")</f>
        <v>Miss varma ji </v>
      </c>
      <c r="C797" s="5" t="s">
        <v>2002</v>
      </c>
      <c r="D797" s="5"/>
      <c r="E797" s="5"/>
      <c r="F797" s="5"/>
      <c r="G797" s="5"/>
      <c r="H797" s="5"/>
      <c r="I797" s="5"/>
      <c r="J797" s="73"/>
      <c r="K797" s="75" t="str">
        <f>IFERROR(__xludf.DUMMYFUNCTION("""COMPUTED_VALUE"""),"")</f>
        <v/>
      </c>
      <c r="L797" s="75"/>
      <c r="M797" s="46" t="s">
        <v>2002</v>
      </c>
    </row>
    <row r="798">
      <c r="A798" s="70">
        <f>IFERROR(__xludf.DUMMYFUNCTION("""COMPUTED_VALUE"""),9.458727872E9)</f>
        <v>9458727872</v>
      </c>
      <c r="B798" s="46" t="str">
        <f>IFERROR(__xludf.DUMMYFUNCTION("""COMPUTED_VALUE"""),"Sonali")</f>
        <v>Sonali</v>
      </c>
      <c r="C798" s="5" t="s">
        <v>2002</v>
      </c>
      <c r="D798" s="5"/>
      <c r="E798" s="5"/>
      <c r="F798" s="5"/>
      <c r="G798" s="5"/>
      <c r="H798" s="5"/>
      <c r="I798" s="5"/>
      <c r="J798" s="73"/>
      <c r="K798" s="75" t="str">
        <f>IFERROR(__xludf.DUMMYFUNCTION("""COMPUTED_VALUE"""),"")</f>
        <v/>
      </c>
      <c r="L798" s="75"/>
      <c r="M798" s="46" t="s">
        <v>2002</v>
      </c>
    </row>
    <row r="799">
      <c r="A799" s="70">
        <f>IFERROR(__xludf.DUMMYFUNCTION("""COMPUTED_VALUE"""),7.351541273E9)</f>
        <v>7351541273</v>
      </c>
      <c r="B799" s="46" t="str">
        <f>IFERROR(__xludf.DUMMYFUNCTION("""COMPUTED_VALUE"""),"Kajal")</f>
        <v>Kajal</v>
      </c>
      <c r="C799" s="5" t="s">
        <v>2002</v>
      </c>
      <c r="D799" s="5"/>
      <c r="E799" s="5"/>
      <c r="F799" s="5"/>
      <c r="G799" s="5"/>
      <c r="H799" s="5"/>
      <c r="I799" s="5"/>
      <c r="J799" s="73"/>
      <c r="K799" s="75" t="str">
        <f>IFERROR(__xludf.DUMMYFUNCTION("""COMPUTED_VALUE"""),"")</f>
        <v/>
      </c>
      <c r="L799" s="75"/>
      <c r="M799" s="46" t="s">
        <v>2002</v>
      </c>
    </row>
    <row r="800">
      <c r="A800" s="70">
        <f>IFERROR(__xludf.DUMMYFUNCTION("""COMPUTED_VALUE"""),9.568680868E9)</f>
        <v>9568680868</v>
      </c>
      <c r="B800" s="46" t="str">
        <f>IFERROR(__xludf.DUMMYFUNCTION("""COMPUTED_VALUE"""),"Vsshnavi")</f>
        <v>Vsshnavi</v>
      </c>
      <c r="C800" s="5" t="s">
        <v>2002</v>
      </c>
      <c r="D800" s="5"/>
      <c r="E800" s="5"/>
      <c r="F800" s="5"/>
      <c r="G800" s="5"/>
      <c r="H800" s="5"/>
      <c r="I800" s="5"/>
      <c r="J800" s="73"/>
      <c r="K800" s="75" t="str">
        <f>IFERROR(__xludf.DUMMYFUNCTION("""COMPUTED_VALUE"""),"")</f>
        <v/>
      </c>
      <c r="L800" s="75"/>
      <c r="M800" s="46" t="s">
        <v>2002</v>
      </c>
    </row>
    <row r="801">
      <c r="A801" s="70">
        <f>IFERROR(__xludf.DUMMYFUNCTION("""COMPUTED_VALUE"""),9.810935927E9)</f>
        <v>9810935927</v>
      </c>
      <c r="B801" s="46" t="str">
        <f>IFERROR(__xludf.DUMMYFUNCTION("""COMPUTED_VALUE"""),"Ashish laldas")</f>
        <v>Ashish laldas</v>
      </c>
      <c r="C801" s="5" t="s">
        <v>2002</v>
      </c>
      <c r="D801" s="5"/>
      <c r="E801" s="5"/>
      <c r="F801" s="5"/>
      <c r="G801" s="5"/>
      <c r="H801" s="5"/>
      <c r="I801" s="5"/>
      <c r="J801" s="73"/>
      <c r="K801" s="75" t="str">
        <f>IFERROR(__xludf.DUMMYFUNCTION("""COMPUTED_VALUE"""),"")</f>
        <v/>
      </c>
      <c r="L801" s="75"/>
      <c r="M801" s="46" t="s">
        <v>2002</v>
      </c>
    </row>
    <row r="802">
      <c r="A802" s="70">
        <f>IFERROR(__xludf.DUMMYFUNCTION("""COMPUTED_VALUE"""),9.911659963E9)</f>
        <v>9911659963</v>
      </c>
      <c r="B802" s="46" t="str">
        <f>IFERROR(__xludf.DUMMYFUNCTION("""COMPUTED_VALUE"""),"Ananya")</f>
        <v>Ananya</v>
      </c>
      <c r="C802" s="5" t="s">
        <v>2002</v>
      </c>
      <c r="D802" s="5"/>
      <c r="E802" s="5"/>
      <c r="F802" s="5"/>
      <c r="G802" s="5"/>
      <c r="H802" s="5"/>
      <c r="I802" s="5"/>
      <c r="J802" s="73"/>
      <c r="K802" s="75" t="str">
        <f>IFERROR(__xludf.DUMMYFUNCTION("""COMPUTED_VALUE"""),"")</f>
        <v/>
      </c>
      <c r="L802" s="75"/>
      <c r="M802" s="46" t="s">
        <v>2002</v>
      </c>
    </row>
    <row r="803">
      <c r="A803" s="70">
        <f>IFERROR(__xludf.DUMMYFUNCTION("""COMPUTED_VALUE"""),8.800875071E9)</f>
        <v>8800875071</v>
      </c>
      <c r="B803" s="46" t="str">
        <f>IFERROR(__xludf.DUMMYFUNCTION("""COMPUTED_VALUE"""),"Kajal")</f>
        <v>Kajal</v>
      </c>
      <c r="C803" s="5" t="s">
        <v>2002</v>
      </c>
      <c r="D803" s="5"/>
      <c r="E803" s="5"/>
      <c r="F803" s="5"/>
      <c r="G803" s="5"/>
      <c r="H803" s="5"/>
      <c r="I803" s="5"/>
      <c r="J803" s="73"/>
      <c r="K803" s="75" t="str">
        <f>IFERROR(__xludf.DUMMYFUNCTION("""COMPUTED_VALUE"""),"")</f>
        <v/>
      </c>
      <c r="L803" s="75"/>
      <c r="M803" s="46" t="s">
        <v>2002</v>
      </c>
    </row>
    <row r="804">
      <c r="A804" s="70">
        <f>IFERROR(__xludf.DUMMYFUNCTION("""COMPUTED_VALUE"""),9.310171263E9)</f>
        <v>9310171263</v>
      </c>
      <c r="B804" s="46" t="str">
        <f>IFERROR(__xludf.DUMMYFUNCTION("""COMPUTED_VALUE"""),"Neetu ritolia")</f>
        <v>Neetu ritolia</v>
      </c>
      <c r="C804" s="5" t="s">
        <v>2002</v>
      </c>
      <c r="D804" s="5"/>
      <c r="E804" s="5"/>
      <c r="F804" s="5"/>
      <c r="G804" s="5"/>
      <c r="H804" s="5"/>
      <c r="I804" s="5"/>
      <c r="J804" s="73"/>
      <c r="K804" s="75" t="str">
        <f>IFERROR(__xludf.DUMMYFUNCTION("""COMPUTED_VALUE"""),"")</f>
        <v/>
      </c>
      <c r="L804" s="75"/>
      <c r="M804" s="46" t="s">
        <v>2002</v>
      </c>
    </row>
    <row r="805">
      <c r="A805" s="70">
        <f>IFERROR(__xludf.DUMMYFUNCTION("""COMPUTED_VALUE"""),9.717679138E9)</f>
        <v>9717679138</v>
      </c>
      <c r="B805" s="46" t="str">
        <f>IFERROR(__xludf.DUMMYFUNCTION("""COMPUTED_VALUE"""),"Manisha bilasta")</f>
        <v>Manisha bilasta</v>
      </c>
      <c r="C805" s="5" t="s">
        <v>2002</v>
      </c>
      <c r="D805" s="5"/>
      <c r="E805" s="5"/>
      <c r="F805" s="5"/>
      <c r="G805" s="5"/>
      <c r="H805" s="5"/>
      <c r="I805" s="5"/>
      <c r="J805" s="73"/>
      <c r="K805" s="75" t="str">
        <f>IFERROR(__xludf.DUMMYFUNCTION("""COMPUTED_VALUE"""),"")</f>
        <v/>
      </c>
      <c r="L805" s="75"/>
      <c r="M805" s="46" t="s">
        <v>2002</v>
      </c>
    </row>
    <row r="806">
      <c r="A806" s="70">
        <f>IFERROR(__xludf.DUMMYFUNCTION("""COMPUTED_VALUE"""),9.8992725E9)</f>
        <v>9899272500</v>
      </c>
      <c r="B806" s="46" t="str">
        <f>IFERROR(__xludf.DUMMYFUNCTION("""COMPUTED_VALUE"""),"Deepika aggarwal ")</f>
        <v>Deepika aggarwal </v>
      </c>
      <c r="C806" s="5" t="s">
        <v>2002</v>
      </c>
      <c r="D806" s="5"/>
      <c r="E806" s="5"/>
      <c r="F806" s="5"/>
      <c r="G806" s="5"/>
      <c r="H806" s="5"/>
      <c r="I806" s="5"/>
      <c r="J806" s="73"/>
      <c r="K806" s="75" t="str">
        <f>IFERROR(__xludf.DUMMYFUNCTION("""COMPUTED_VALUE"""),"")</f>
        <v/>
      </c>
      <c r="L806" s="75"/>
      <c r="M806" s="46" t="s">
        <v>2002</v>
      </c>
    </row>
    <row r="807">
      <c r="A807" s="70">
        <f>IFERROR(__xludf.DUMMYFUNCTION("""COMPUTED_VALUE"""),8.88287004E9)</f>
        <v>8882870040</v>
      </c>
      <c r="B807" s="46" t="str">
        <f>IFERROR(__xludf.DUMMYFUNCTION("""COMPUTED_VALUE"""),"Sheetal")</f>
        <v>Sheetal</v>
      </c>
      <c r="C807" s="5" t="s">
        <v>2002</v>
      </c>
      <c r="D807" s="5"/>
      <c r="E807" s="5"/>
      <c r="F807" s="5"/>
      <c r="G807" s="5"/>
      <c r="H807" s="5"/>
      <c r="I807" s="5"/>
      <c r="J807" s="73"/>
      <c r="K807" s="75" t="str">
        <f>IFERROR(__xludf.DUMMYFUNCTION("""COMPUTED_VALUE"""),"")</f>
        <v/>
      </c>
      <c r="L807" s="75"/>
      <c r="M807" s="46" t="s">
        <v>2002</v>
      </c>
    </row>
    <row r="808">
      <c r="A808" s="70">
        <f>IFERROR(__xludf.DUMMYFUNCTION("""COMPUTED_VALUE"""),9.582336531E9)</f>
        <v>9582336531</v>
      </c>
      <c r="B808" s="46" t="str">
        <f>IFERROR(__xludf.DUMMYFUNCTION("""COMPUTED_VALUE"""),"Rajat singhal")</f>
        <v>Rajat singhal</v>
      </c>
      <c r="C808" s="5" t="s">
        <v>2002</v>
      </c>
      <c r="D808" s="5"/>
      <c r="E808" s="5"/>
      <c r="F808" s="5"/>
      <c r="G808" s="5"/>
      <c r="H808" s="5"/>
      <c r="I808" s="5"/>
      <c r="J808" s="73"/>
      <c r="K808" s="75" t="str">
        <f>IFERROR(__xludf.DUMMYFUNCTION("""COMPUTED_VALUE"""),"")</f>
        <v/>
      </c>
      <c r="L808" s="75"/>
      <c r="M808" s="46" t="s">
        <v>2002</v>
      </c>
    </row>
    <row r="809">
      <c r="A809" s="70">
        <f>IFERROR(__xludf.DUMMYFUNCTION("""COMPUTED_VALUE"""),8.587095043E9)</f>
        <v>8587095043</v>
      </c>
      <c r="B809" s="46" t="str">
        <f>IFERROR(__xludf.DUMMYFUNCTION("""COMPUTED_VALUE"""),"Harsha dogra ")</f>
        <v>Harsha dogra </v>
      </c>
      <c r="C809" s="5" t="s">
        <v>2002</v>
      </c>
      <c r="D809" s="5"/>
      <c r="E809" s="5"/>
      <c r="F809" s="5"/>
      <c r="G809" s="5"/>
      <c r="H809" s="5"/>
      <c r="I809" s="5"/>
      <c r="J809" s="73"/>
      <c r="K809" s="75" t="str">
        <f>IFERROR(__xludf.DUMMYFUNCTION("""COMPUTED_VALUE"""),"")</f>
        <v/>
      </c>
      <c r="L809" s="75"/>
      <c r="M809" s="46" t="s">
        <v>2002</v>
      </c>
    </row>
    <row r="810">
      <c r="A810" s="70">
        <f>IFERROR(__xludf.DUMMYFUNCTION("""COMPUTED_VALUE"""),9.416001087E9)</f>
        <v>9416001087</v>
      </c>
      <c r="B810" s="46" t="str">
        <f>IFERROR(__xludf.DUMMYFUNCTION("""COMPUTED_VALUE"""),"Vikash gulati")</f>
        <v>Vikash gulati</v>
      </c>
      <c r="C810" s="5" t="s">
        <v>2002</v>
      </c>
      <c r="D810" s="5"/>
      <c r="E810" s="5"/>
      <c r="F810" s="5"/>
      <c r="G810" s="5"/>
      <c r="H810" s="5"/>
      <c r="I810" s="5"/>
      <c r="J810" s="73"/>
      <c r="K810" s="75" t="str">
        <f>IFERROR(__xludf.DUMMYFUNCTION("""COMPUTED_VALUE"""),"")</f>
        <v/>
      </c>
      <c r="L810" s="75"/>
      <c r="M810" s="46" t="s">
        <v>2002</v>
      </c>
    </row>
    <row r="811">
      <c r="A811" s="70">
        <f>IFERROR(__xludf.DUMMYFUNCTION("""COMPUTED_VALUE"""),9.560627105E9)</f>
        <v>9560627105</v>
      </c>
      <c r="B811" s="46" t="str">
        <f>IFERROR(__xludf.DUMMYFUNCTION("""COMPUTED_VALUE"""),"Vinita")</f>
        <v>Vinita</v>
      </c>
      <c r="C811" s="5" t="s">
        <v>2002</v>
      </c>
      <c r="D811" s="5"/>
      <c r="E811" s="5"/>
      <c r="F811" s="5"/>
      <c r="G811" s="5"/>
      <c r="H811" s="5"/>
      <c r="I811" s="5"/>
      <c r="J811" s="73"/>
      <c r="K811" s="75" t="str">
        <f>IFERROR(__xludf.DUMMYFUNCTION("""COMPUTED_VALUE"""),"")</f>
        <v/>
      </c>
      <c r="L811" s="75"/>
      <c r="M811" s="46" t="s">
        <v>2002</v>
      </c>
    </row>
    <row r="812">
      <c r="A812" s="70">
        <f>IFERROR(__xludf.DUMMYFUNCTION("""COMPUTED_VALUE"""),9.896098378E9)</f>
        <v>9896098378</v>
      </c>
      <c r="B812" s="46" t="str">
        <f>IFERROR(__xludf.DUMMYFUNCTION("""COMPUTED_VALUE"""),"Sunil kumar")</f>
        <v>Sunil kumar</v>
      </c>
      <c r="C812" s="5" t="s">
        <v>2002</v>
      </c>
      <c r="D812" s="5"/>
      <c r="E812" s="5"/>
      <c r="F812" s="5"/>
      <c r="G812" s="5"/>
      <c r="H812" s="5"/>
      <c r="I812" s="5"/>
      <c r="J812" s="73"/>
      <c r="K812" s="75" t="str">
        <f>IFERROR(__xludf.DUMMYFUNCTION("""COMPUTED_VALUE"""),"")</f>
        <v/>
      </c>
      <c r="L812" s="75"/>
      <c r="M812" s="46" t="s">
        <v>2002</v>
      </c>
    </row>
    <row r="813">
      <c r="A813" s="70">
        <f>IFERROR(__xludf.DUMMYFUNCTION("""COMPUTED_VALUE"""),9.013296384E9)</f>
        <v>9013296384</v>
      </c>
      <c r="B813" s="46" t="str">
        <f>IFERROR(__xludf.DUMMYFUNCTION("""COMPUTED_VALUE"""),"Sangeeta")</f>
        <v>Sangeeta</v>
      </c>
      <c r="C813" s="5" t="s">
        <v>2002</v>
      </c>
      <c r="D813" s="5"/>
      <c r="E813" s="5"/>
      <c r="F813" s="5"/>
      <c r="G813" s="5"/>
      <c r="H813" s="5"/>
      <c r="I813" s="5"/>
      <c r="J813" s="73"/>
      <c r="K813" s="75" t="str">
        <f>IFERROR(__xludf.DUMMYFUNCTION("""COMPUTED_VALUE"""),"")</f>
        <v/>
      </c>
      <c r="L813" s="75"/>
      <c r="M813" s="46" t="s">
        <v>2002</v>
      </c>
    </row>
    <row r="814">
      <c r="A814" s="70">
        <f>IFERROR(__xludf.DUMMYFUNCTION("""COMPUTED_VALUE"""),8.447431386E9)</f>
        <v>8447431386</v>
      </c>
      <c r="B814" s="46" t="str">
        <f>IFERROR(__xludf.DUMMYFUNCTION("""COMPUTED_VALUE"""),"Pooja raghav")</f>
        <v>Pooja raghav</v>
      </c>
      <c r="C814" s="5" t="s">
        <v>2002</v>
      </c>
      <c r="D814" s="5"/>
      <c r="E814" s="5"/>
      <c r="F814" s="5"/>
      <c r="G814" s="5"/>
      <c r="H814" s="5"/>
      <c r="I814" s="5"/>
      <c r="J814" s="73"/>
      <c r="K814" s="75" t="str">
        <f>IFERROR(__xludf.DUMMYFUNCTION("""COMPUTED_VALUE"""),"")</f>
        <v/>
      </c>
      <c r="L814" s="75"/>
      <c r="M814" s="46" t="s">
        <v>2002</v>
      </c>
    </row>
    <row r="815">
      <c r="A815" s="70">
        <f>IFERROR(__xludf.DUMMYFUNCTION("""COMPUTED_VALUE"""),8.826566266E9)</f>
        <v>8826566266</v>
      </c>
      <c r="B815" s="46" t="str">
        <f>IFERROR(__xludf.DUMMYFUNCTION("""COMPUTED_VALUE"""),"Nidhi ")</f>
        <v>Nidhi </v>
      </c>
      <c r="C815" s="5" t="s">
        <v>2002</v>
      </c>
      <c r="D815" s="5"/>
      <c r="E815" s="5"/>
      <c r="F815" s="5"/>
      <c r="G815" s="5"/>
      <c r="H815" s="5"/>
      <c r="I815" s="5"/>
      <c r="J815" s="73"/>
      <c r="K815" s="75" t="str">
        <f>IFERROR(__xludf.DUMMYFUNCTION("""COMPUTED_VALUE"""),"")</f>
        <v/>
      </c>
      <c r="L815" s="75"/>
      <c r="M815" s="46" t="s">
        <v>2002</v>
      </c>
    </row>
    <row r="816">
      <c r="A816" s="70">
        <f>IFERROR(__xludf.DUMMYFUNCTION("""COMPUTED_VALUE"""),9.315157034E9)</f>
        <v>9315157034</v>
      </c>
      <c r="B816" s="46" t="str">
        <f>IFERROR(__xludf.DUMMYFUNCTION("""COMPUTED_VALUE"""),"Himanshi")</f>
        <v>Himanshi</v>
      </c>
      <c r="C816" s="5" t="s">
        <v>2002</v>
      </c>
      <c r="D816" s="5"/>
      <c r="E816" s="5"/>
      <c r="F816" s="5"/>
      <c r="G816" s="5"/>
      <c r="H816" s="5"/>
      <c r="I816" s="5"/>
      <c r="J816" s="73"/>
      <c r="K816" s="75" t="str">
        <f>IFERROR(__xludf.DUMMYFUNCTION("""COMPUTED_VALUE"""),"")</f>
        <v/>
      </c>
      <c r="L816" s="75"/>
      <c r="M816" s="46" t="s">
        <v>2002</v>
      </c>
    </row>
    <row r="817">
      <c r="A817" s="70">
        <f>IFERROR(__xludf.DUMMYFUNCTION("""COMPUTED_VALUE"""),9.650839779E9)</f>
        <v>9650839779</v>
      </c>
      <c r="B817" s="46" t="str">
        <f>IFERROR(__xludf.DUMMYFUNCTION("""COMPUTED_VALUE"""),"Megha ")</f>
        <v>Megha </v>
      </c>
      <c r="C817" s="5" t="s">
        <v>2002</v>
      </c>
      <c r="D817" s="5"/>
      <c r="E817" s="5"/>
      <c r="F817" s="5"/>
      <c r="G817" s="5"/>
      <c r="H817" s="5"/>
      <c r="I817" s="5"/>
      <c r="J817" s="73"/>
      <c r="K817" s="75" t="str">
        <f>IFERROR(__xludf.DUMMYFUNCTION("""COMPUTED_VALUE"""),"")</f>
        <v/>
      </c>
      <c r="L817" s="75"/>
      <c r="M817" s="46" t="s">
        <v>2002</v>
      </c>
    </row>
    <row r="818">
      <c r="A818" s="70">
        <f>IFERROR(__xludf.DUMMYFUNCTION("""COMPUTED_VALUE"""),9.999794698E9)</f>
        <v>9999794698</v>
      </c>
      <c r="B818" s="46" t="str">
        <f>IFERROR(__xludf.DUMMYFUNCTION("""COMPUTED_VALUE"""),"Mansha talwar")</f>
        <v>Mansha talwar</v>
      </c>
      <c r="C818" s="5" t="s">
        <v>2002</v>
      </c>
      <c r="D818" s="5"/>
      <c r="E818" s="5"/>
      <c r="F818" s="5"/>
      <c r="G818" s="5"/>
      <c r="H818" s="5"/>
      <c r="I818" s="5"/>
      <c r="J818" s="73"/>
      <c r="K818" s="75" t="str">
        <f>IFERROR(__xludf.DUMMYFUNCTION("""COMPUTED_VALUE"""),"")</f>
        <v/>
      </c>
      <c r="L818" s="75"/>
      <c r="M818" s="46" t="s">
        <v>2002</v>
      </c>
    </row>
    <row r="819">
      <c r="A819" s="70">
        <f>IFERROR(__xludf.DUMMYFUNCTION("""COMPUTED_VALUE"""),7.424890104E9)</f>
        <v>7424890104</v>
      </c>
      <c r="B819" s="46" t="str">
        <f>IFERROR(__xludf.DUMMYFUNCTION("""COMPUTED_VALUE"""),"Mausam Ali ")</f>
        <v>Mausam Ali </v>
      </c>
      <c r="C819" s="5" t="s">
        <v>2002</v>
      </c>
      <c r="D819" s="5"/>
      <c r="E819" s="5"/>
      <c r="F819" s="5"/>
      <c r="G819" s="5"/>
      <c r="H819" s="5"/>
      <c r="I819" s="5"/>
      <c r="J819" s="73"/>
      <c r="K819" s="75" t="str">
        <f>IFERROR(__xludf.DUMMYFUNCTION("""COMPUTED_VALUE"""),"")</f>
        <v/>
      </c>
      <c r="L819" s="75"/>
      <c r="M819" s="46" t="s">
        <v>2002</v>
      </c>
    </row>
    <row r="820">
      <c r="A820" s="70">
        <f>IFERROR(__xludf.DUMMYFUNCTION("""COMPUTED_VALUE"""),9.560195376E9)</f>
        <v>9560195376</v>
      </c>
      <c r="B820" s="46" t="str">
        <f>IFERROR(__xludf.DUMMYFUNCTION("""COMPUTED_VALUE"""),"Nitin")</f>
        <v>Nitin</v>
      </c>
      <c r="C820" s="5" t="s">
        <v>2002</v>
      </c>
      <c r="D820" s="5"/>
      <c r="E820" s="5"/>
      <c r="F820" s="5"/>
      <c r="G820" s="5"/>
      <c r="H820" s="5"/>
      <c r="I820" s="5"/>
      <c r="J820" s="73"/>
      <c r="K820" s="75" t="str">
        <f>IFERROR(__xludf.DUMMYFUNCTION("""COMPUTED_VALUE"""),"")</f>
        <v/>
      </c>
      <c r="L820" s="75"/>
      <c r="M820" s="46" t="s">
        <v>2002</v>
      </c>
    </row>
    <row r="821">
      <c r="A821" s="70">
        <f>IFERROR(__xludf.DUMMYFUNCTION("""COMPUTED_VALUE"""),9.079148378E9)</f>
        <v>9079148378</v>
      </c>
      <c r="B821" s="46" t="str">
        <f>IFERROR(__xludf.DUMMYFUNCTION("""COMPUTED_VALUE"""),"Badshah khan")</f>
        <v>Badshah khan</v>
      </c>
      <c r="C821" s="5" t="s">
        <v>2002</v>
      </c>
      <c r="D821" s="5"/>
      <c r="E821" s="5"/>
      <c r="F821" s="5"/>
      <c r="G821" s="5"/>
      <c r="H821" s="5"/>
      <c r="I821" s="5"/>
      <c r="J821" s="73"/>
      <c r="K821" s="75" t="str">
        <f>IFERROR(__xludf.DUMMYFUNCTION("""COMPUTED_VALUE"""),"")</f>
        <v/>
      </c>
      <c r="L821" s="75"/>
      <c r="M821" s="46" t="s">
        <v>2002</v>
      </c>
    </row>
    <row r="822">
      <c r="A822" s="70">
        <f>IFERROR(__xludf.DUMMYFUNCTION("""COMPUTED_VALUE"""),9.711343316E9)</f>
        <v>9711343316</v>
      </c>
      <c r="B822" s="46" t="str">
        <f>IFERROR(__xludf.DUMMYFUNCTION("""COMPUTED_VALUE"""),"Sahil ")</f>
        <v>Sahil </v>
      </c>
      <c r="C822" s="5" t="s">
        <v>2002</v>
      </c>
      <c r="D822" s="5"/>
      <c r="E822" s="5"/>
      <c r="F822" s="5"/>
      <c r="G822" s="5"/>
      <c r="H822" s="5"/>
      <c r="I822" s="5"/>
      <c r="J822" s="73"/>
      <c r="K822" s="75" t="str">
        <f>IFERROR(__xludf.DUMMYFUNCTION("""COMPUTED_VALUE"""),"")</f>
        <v/>
      </c>
      <c r="L822" s="75"/>
      <c r="M822" s="46" t="s">
        <v>2002</v>
      </c>
    </row>
    <row r="823">
      <c r="A823" s="70">
        <f>IFERROR(__xludf.DUMMYFUNCTION("""COMPUTED_VALUE"""),7.06585968E9)</f>
        <v>7065859680</v>
      </c>
      <c r="B823" s="46" t="str">
        <f>IFERROR(__xludf.DUMMYFUNCTION("""COMPUTED_VALUE"""),"Shilpa")</f>
        <v>Shilpa</v>
      </c>
      <c r="C823" s="5" t="s">
        <v>2002</v>
      </c>
      <c r="D823" s="5"/>
      <c r="E823" s="5"/>
      <c r="F823" s="5"/>
      <c r="G823" s="5"/>
      <c r="H823" s="5"/>
      <c r="I823" s="5"/>
      <c r="J823" s="73"/>
      <c r="K823" s="75" t="str">
        <f>IFERROR(__xludf.DUMMYFUNCTION("""COMPUTED_VALUE"""),"")</f>
        <v/>
      </c>
      <c r="L823" s="75"/>
      <c r="M823" s="46" t="s">
        <v>2002</v>
      </c>
    </row>
    <row r="824">
      <c r="A824" s="70">
        <f>IFERROR(__xludf.DUMMYFUNCTION("""COMPUTED_VALUE"""),9.654601971E9)</f>
        <v>9654601971</v>
      </c>
      <c r="B824" s="46" t="str">
        <f>IFERROR(__xludf.DUMMYFUNCTION("""COMPUTED_VALUE"""),"Tamanna ")</f>
        <v>Tamanna </v>
      </c>
      <c r="C824" s="5" t="s">
        <v>2002</v>
      </c>
      <c r="D824" s="5"/>
      <c r="E824" s="5"/>
      <c r="F824" s="5"/>
      <c r="G824" s="5"/>
      <c r="H824" s="5"/>
      <c r="I824" s="5"/>
      <c r="J824" s="73"/>
      <c r="K824" s="75" t="str">
        <f>IFERROR(__xludf.DUMMYFUNCTION("""COMPUTED_VALUE"""),"")</f>
        <v/>
      </c>
      <c r="L824" s="75"/>
      <c r="M824" s="46" t="s">
        <v>2002</v>
      </c>
    </row>
    <row r="825">
      <c r="A825" s="70">
        <f>IFERROR(__xludf.DUMMYFUNCTION("""COMPUTED_VALUE"""),9.353218769E9)</f>
        <v>9353218769</v>
      </c>
      <c r="B825" s="46" t="str">
        <f>IFERROR(__xludf.DUMMYFUNCTION("""COMPUTED_VALUE"""),"Kamal")</f>
        <v>Kamal</v>
      </c>
      <c r="C825" s="5" t="s">
        <v>2002</v>
      </c>
      <c r="D825" s="5"/>
      <c r="E825" s="5"/>
      <c r="F825" s="5"/>
      <c r="G825" s="5"/>
      <c r="H825" s="5"/>
      <c r="I825" s="5"/>
      <c r="J825" s="73"/>
      <c r="K825" s="75" t="str">
        <f>IFERROR(__xludf.DUMMYFUNCTION("""COMPUTED_VALUE"""),"")</f>
        <v/>
      </c>
      <c r="L825" s="75"/>
      <c r="M825" s="46" t="s">
        <v>2002</v>
      </c>
    </row>
    <row r="826">
      <c r="A826" s="70">
        <f>IFERROR(__xludf.DUMMYFUNCTION("""COMPUTED_VALUE"""),9.900829318E9)</f>
        <v>9900829318</v>
      </c>
      <c r="B826" s="46" t="str">
        <f>IFERROR(__xludf.DUMMYFUNCTION("""COMPUTED_VALUE"""),"Sushil raisidam")</f>
        <v>Sushil raisidam</v>
      </c>
      <c r="C826" s="5" t="s">
        <v>2002</v>
      </c>
      <c r="D826" s="5"/>
      <c r="E826" s="5"/>
      <c r="F826" s="5"/>
      <c r="G826" s="5"/>
      <c r="H826" s="5"/>
      <c r="I826" s="5"/>
      <c r="J826" s="73"/>
      <c r="K826" s="75" t="str">
        <f>IFERROR(__xludf.DUMMYFUNCTION("""COMPUTED_VALUE"""),"")</f>
        <v/>
      </c>
      <c r="L826" s="75"/>
      <c r="M826" s="46" t="s">
        <v>2002</v>
      </c>
    </row>
    <row r="827">
      <c r="A827" s="70">
        <f>IFERROR(__xludf.DUMMYFUNCTION("""COMPUTED_VALUE"""),8.237433062E9)</f>
        <v>8237433062</v>
      </c>
      <c r="B827" s="46" t="str">
        <f>IFERROR(__xludf.DUMMYFUNCTION("""COMPUTED_VALUE"""),"Kuljeet")</f>
        <v>Kuljeet</v>
      </c>
      <c r="C827" s="5" t="s">
        <v>2002</v>
      </c>
      <c r="D827" s="5"/>
      <c r="E827" s="5"/>
      <c r="F827" s="5"/>
      <c r="G827" s="5"/>
      <c r="H827" s="5"/>
      <c r="I827" s="5"/>
      <c r="J827" s="73"/>
      <c r="K827" s="75" t="str">
        <f>IFERROR(__xludf.DUMMYFUNCTION("""COMPUTED_VALUE"""),"")</f>
        <v/>
      </c>
      <c r="L827" s="75"/>
      <c r="M827" s="46" t="s">
        <v>2002</v>
      </c>
    </row>
    <row r="828">
      <c r="A828" s="70">
        <f>IFERROR(__xludf.DUMMYFUNCTION("""COMPUTED_VALUE"""),9.717243668E9)</f>
        <v>9717243668</v>
      </c>
      <c r="B828" s="46" t="str">
        <f>IFERROR(__xludf.DUMMYFUNCTION("""COMPUTED_VALUE"""),"Vabhav garg")</f>
        <v>Vabhav garg</v>
      </c>
      <c r="C828" s="5" t="s">
        <v>2002</v>
      </c>
      <c r="D828" s="5"/>
      <c r="E828" s="5"/>
      <c r="F828" s="5"/>
      <c r="G828" s="5"/>
      <c r="H828" s="5"/>
      <c r="I828" s="5"/>
      <c r="J828" s="73"/>
      <c r="K828" s="75" t="str">
        <f>IFERROR(__xludf.DUMMYFUNCTION("""COMPUTED_VALUE"""),"")</f>
        <v/>
      </c>
      <c r="L828" s="75"/>
      <c r="M828" s="46" t="s">
        <v>2002</v>
      </c>
    </row>
    <row r="829">
      <c r="A829" s="70">
        <f>IFERROR(__xludf.DUMMYFUNCTION("""COMPUTED_VALUE"""),9.311017876E9)</f>
        <v>9311017876</v>
      </c>
      <c r="B829" s="46" t="str">
        <f>IFERROR(__xludf.DUMMYFUNCTION("""COMPUTED_VALUE"""),"Harshit ")</f>
        <v>Harshit </v>
      </c>
      <c r="C829" s="5" t="s">
        <v>2002</v>
      </c>
      <c r="D829" s="5"/>
      <c r="E829" s="5"/>
      <c r="F829" s="5"/>
      <c r="G829" s="5"/>
      <c r="H829" s="5"/>
      <c r="I829" s="5"/>
      <c r="J829" s="73"/>
      <c r="K829" s="75" t="str">
        <f>IFERROR(__xludf.DUMMYFUNCTION("""COMPUTED_VALUE"""),"")</f>
        <v/>
      </c>
      <c r="L829" s="75"/>
      <c r="M829" s="46" t="s">
        <v>2002</v>
      </c>
    </row>
    <row r="830">
      <c r="A830" s="70">
        <f>IFERROR(__xludf.DUMMYFUNCTION("""COMPUTED_VALUE"""),9.760100216E9)</f>
        <v>9760100216</v>
      </c>
      <c r="B830" s="46" t="str">
        <f>IFERROR(__xludf.DUMMYFUNCTION("""COMPUTED_VALUE"""),"Manish Goyal")</f>
        <v>Manish Goyal</v>
      </c>
      <c r="C830" s="5" t="s">
        <v>2002</v>
      </c>
      <c r="D830" s="5"/>
      <c r="E830" s="5"/>
      <c r="F830" s="5"/>
      <c r="G830" s="5"/>
      <c r="H830" s="5"/>
      <c r="I830" s="5"/>
      <c r="J830" s="73"/>
      <c r="K830" s="75" t="str">
        <f>IFERROR(__xludf.DUMMYFUNCTION("""COMPUTED_VALUE"""),"")</f>
        <v/>
      </c>
      <c r="L830" s="75"/>
      <c r="M830" s="46" t="s">
        <v>2002</v>
      </c>
    </row>
    <row r="831">
      <c r="A831" s="70">
        <f>IFERROR(__xludf.DUMMYFUNCTION("""COMPUTED_VALUE"""),7.892952788E9)</f>
        <v>7892952788</v>
      </c>
      <c r="B831" s="46" t="str">
        <f>IFERROR(__xludf.DUMMYFUNCTION("""COMPUTED_VALUE"""),"Mustaq")</f>
        <v>Mustaq</v>
      </c>
      <c r="C831" s="5" t="s">
        <v>2002</v>
      </c>
      <c r="D831" s="5"/>
      <c r="E831" s="5"/>
      <c r="F831" s="5"/>
      <c r="G831" s="5"/>
      <c r="H831" s="5"/>
      <c r="I831" s="5"/>
      <c r="J831" s="73"/>
      <c r="K831" s="75" t="str">
        <f>IFERROR(__xludf.DUMMYFUNCTION("""COMPUTED_VALUE"""),"")</f>
        <v/>
      </c>
      <c r="L831" s="75"/>
      <c r="M831" s="46" t="s">
        <v>2002</v>
      </c>
    </row>
    <row r="832">
      <c r="A832" s="70">
        <f>IFERROR(__xludf.DUMMYFUNCTION("""COMPUTED_VALUE"""),9.818412116E9)</f>
        <v>9818412116</v>
      </c>
      <c r="B832" s="46" t="str">
        <f>IFERROR(__xludf.DUMMYFUNCTION("""COMPUTED_VALUE"""),"Jimmi")</f>
        <v>Jimmi</v>
      </c>
      <c r="C832" s="5" t="s">
        <v>2002</v>
      </c>
      <c r="D832" s="5"/>
      <c r="E832" s="5"/>
      <c r="F832" s="5"/>
      <c r="G832" s="5"/>
      <c r="H832" s="5"/>
      <c r="I832" s="5"/>
      <c r="J832" s="73"/>
      <c r="K832" s="75" t="str">
        <f>IFERROR(__xludf.DUMMYFUNCTION("""COMPUTED_VALUE"""),"")</f>
        <v/>
      </c>
      <c r="L832" s="75"/>
      <c r="M832" s="46" t="s">
        <v>2002</v>
      </c>
    </row>
    <row r="833">
      <c r="A833" s="70">
        <f>IFERROR(__xludf.DUMMYFUNCTION("""COMPUTED_VALUE"""),7.678522847E9)</f>
        <v>7678522847</v>
      </c>
      <c r="B833" s="46" t="str">
        <f>IFERROR(__xludf.DUMMYFUNCTION("""COMPUTED_VALUE"""),"Jasmeet Singh ")</f>
        <v>Jasmeet Singh </v>
      </c>
      <c r="C833" s="5" t="s">
        <v>2002</v>
      </c>
      <c r="D833" s="5"/>
      <c r="E833" s="5"/>
      <c r="F833" s="5"/>
      <c r="G833" s="5"/>
      <c r="H833" s="5"/>
      <c r="I833" s="5"/>
      <c r="J833" s="73"/>
      <c r="K833" s="75" t="str">
        <f>IFERROR(__xludf.DUMMYFUNCTION("""COMPUTED_VALUE"""),"")</f>
        <v/>
      </c>
      <c r="L833" s="75"/>
      <c r="M833" s="46" t="s">
        <v>2002</v>
      </c>
    </row>
    <row r="834">
      <c r="A834" s="70">
        <f>IFERROR(__xludf.DUMMYFUNCTION("""COMPUTED_VALUE"""),9.211528861E9)</f>
        <v>9211528861</v>
      </c>
      <c r="B834" s="46" t="str">
        <f>IFERROR(__xludf.DUMMYFUNCTION("""COMPUTED_VALUE"""),"Vikram")</f>
        <v>Vikram</v>
      </c>
      <c r="C834" s="5" t="s">
        <v>2002</v>
      </c>
      <c r="D834" s="5"/>
      <c r="E834" s="5"/>
      <c r="F834" s="5"/>
      <c r="G834" s="5"/>
      <c r="H834" s="5"/>
      <c r="I834" s="5"/>
      <c r="J834" s="73"/>
      <c r="K834" s="75" t="str">
        <f>IFERROR(__xludf.DUMMYFUNCTION("""COMPUTED_VALUE"""),"")</f>
        <v/>
      </c>
      <c r="L834" s="75"/>
      <c r="M834" s="46" t="s">
        <v>2002</v>
      </c>
    </row>
    <row r="835">
      <c r="A835" s="70">
        <f>IFERROR(__xludf.DUMMYFUNCTION("""COMPUTED_VALUE"""),9.871185853E9)</f>
        <v>9871185853</v>
      </c>
      <c r="B835" s="46" t="str">
        <f>IFERROR(__xludf.DUMMYFUNCTION("""COMPUTED_VALUE"""),"Rinki gupta")</f>
        <v>Rinki gupta</v>
      </c>
      <c r="C835" s="5" t="s">
        <v>2002</v>
      </c>
      <c r="D835" s="5"/>
      <c r="E835" s="5"/>
      <c r="F835" s="5"/>
      <c r="G835" s="5"/>
      <c r="H835" s="5"/>
      <c r="I835" s="5"/>
      <c r="J835" s="73"/>
      <c r="K835" s="75" t="str">
        <f>IFERROR(__xludf.DUMMYFUNCTION("""COMPUTED_VALUE"""),"")</f>
        <v/>
      </c>
      <c r="L835" s="75"/>
      <c r="M835" s="46" t="s">
        <v>2002</v>
      </c>
    </row>
    <row r="836">
      <c r="A836" s="70">
        <f>IFERROR(__xludf.DUMMYFUNCTION("""COMPUTED_VALUE"""),9.971765E9)</f>
        <v>9971765000</v>
      </c>
      <c r="B836" s="46" t="str">
        <f>IFERROR(__xludf.DUMMYFUNCTION("""COMPUTED_VALUE"""),"Kajal")</f>
        <v>Kajal</v>
      </c>
      <c r="C836" s="5" t="s">
        <v>2002</v>
      </c>
      <c r="D836" s="5"/>
      <c r="E836" s="5"/>
      <c r="F836" s="5"/>
      <c r="G836" s="5"/>
      <c r="H836" s="5"/>
      <c r="I836" s="5"/>
      <c r="J836" s="73"/>
      <c r="K836" s="75" t="str">
        <f>IFERROR(__xludf.DUMMYFUNCTION("""COMPUTED_VALUE"""),"")</f>
        <v/>
      </c>
      <c r="L836" s="75"/>
      <c r="M836" s="46" t="s">
        <v>2002</v>
      </c>
    </row>
    <row r="837">
      <c r="A837" s="70">
        <f>IFERROR(__xludf.DUMMYFUNCTION("""COMPUTED_VALUE"""),9.711473428E9)</f>
        <v>9711473428</v>
      </c>
      <c r="B837" s="46" t="str">
        <f>IFERROR(__xludf.DUMMYFUNCTION("""COMPUTED_VALUE"""),"Sumitra devi")</f>
        <v>Sumitra devi</v>
      </c>
      <c r="C837" s="5" t="s">
        <v>2002</v>
      </c>
      <c r="D837" s="5"/>
      <c r="E837" s="5"/>
      <c r="F837" s="5"/>
      <c r="G837" s="5"/>
      <c r="H837" s="5"/>
      <c r="I837" s="5"/>
      <c r="J837" s="73"/>
      <c r="K837" s="75" t="str">
        <f>IFERROR(__xludf.DUMMYFUNCTION("""COMPUTED_VALUE"""),"")</f>
        <v/>
      </c>
      <c r="L837" s="75"/>
      <c r="M837" s="46" t="s">
        <v>2002</v>
      </c>
    </row>
    <row r="838">
      <c r="A838" s="70">
        <f>IFERROR(__xludf.DUMMYFUNCTION("""COMPUTED_VALUE"""),9.21226268E9)</f>
        <v>9212262680</v>
      </c>
      <c r="B838" s="46" t="str">
        <f>IFERROR(__xludf.DUMMYFUNCTION("""COMPUTED_VALUE"""),"Neeraj jajn")</f>
        <v>Neeraj jajn</v>
      </c>
      <c r="C838" s="5" t="s">
        <v>2002</v>
      </c>
      <c r="D838" s="5"/>
      <c r="E838" s="5"/>
      <c r="F838" s="5"/>
      <c r="G838" s="5"/>
      <c r="H838" s="5"/>
      <c r="I838" s="5"/>
      <c r="J838" s="73"/>
      <c r="K838" s="75" t="str">
        <f>IFERROR(__xludf.DUMMYFUNCTION("""COMPUTED_VALUE"""),"")</f>
        <v/>
      </c>
      <c r="L838" s="75"/>
      <c r="M838" s="46" t="s">
        <v>2002</v>
      </c>
    </row>
    <row r="839">
      <c r="A839" s="70">
        <f>IFERROR(__xludf.DUMMYFUNCTION("""COMPUTED_VALUE"""),9.268881696E9)</f>
        <v>9268881696</v>
      </c>
      <c r="B839" s="46" t="str">
        <f>IFERROR(__xludf.DUMMYFUNCTION("""COMPUTED_VALUE"""),"Meenakshi ")</f>
        <v>Meenakshi </v>
      </c>
      <c r="C839" s="5" t="s">
        <v>2002</v>
      </c>
      <c r="D839" s="5"/>
      <c r="E839" s="5"/>
      <c r="F839" s="5"/>
      <c r="G839" s="5"/>
      <c r="H839" s="5"/>
      <c r="I839" s="5"/>
      <c r="J839" s="73"/>
      <c r="K839" s="75" t="str">
        <f>IFERROR(__xludf.DUMMYFUNCTION("""COMPUTED_VALUE"""),"")</f>
        <v/>
      </c>
      <c r="L839" s="75"/>
      <c r="M839" s="46" t="s">
        <v>2002</v>
      </c>
    </row>
    <row r="840">
      <c r="A840" s="70">
        <f>IFERROR(__xludf.DUMMYFUNCTION("""COMPUTED_VALUE"""),9.21169973E9)</f>
        <v>9211699730</v>
      </c>
      <c r="B840" s="46" t="str">
        <f>IFERROR(__xludf.DUMMYFUNCTION("""COMPUTED_VALUE"""),"Rahul prajapati")</f>
        <v>Rahul prajapati</v>
      </c>
      <c r="C840" s="5" t="s">
        <v>2002</v>
      </c>
      <c r="D840" s="5"/>
      <c r="E840" s="5"/>
      <c r="F840" s="5"/>
      <c r="G840" s="5"/>
      <c r="H840" s="5"/>
      <c r="I840" s="5"/>
      <c r="J840" s="73"/>
      <c r="K840" s="75" t="str">
        <f>IFERROR(__xludf.DUMMYFUNCTION("""COMPUTED_VALUE"""),"")</f>
        <v/>
      </c>
      <c r="L840" s="75"/>
      <c r="M840" s="46" t="s">
        <v>2002</v>
      </c>
    </row>
    <row r="841">
      <c r="A841" s="70">
        <f>IFERROR(__xludf.DUMMYFUNCTION("""COMPUTED_VALUE"""),6.39553042E9)</f>
        <v>6395530420</v>
      </c>
      <c r="B841" s="46" t="str">
        <f>IFERROR(__xludf.DUMMYFUNCTION("""COMPUTED_VALUE"""),"Aarjav")</f>
        <v>Aarjav</v>
      </c>
      <c r="C841" s="5" t="s">
        <v>2002</v>
      </c>
      <c r="D841" s="5"/>
      <c r="E841" s="5"/>
      <c r="F841" s="5"/>
      <c r="G841" s="5"/>
      <c r="H841" s="5"/>
      <c r="I841" s="5"/>
      <c r="J841" s="73"/>
      <c r="K841" s="75" t="str">
        <f>IFERROR(__xludf.DUMMYFUNCTION("""COMPUTED_VALUE"""),"")</f>
        <v/>
      </c>
      <c r="L841" s="75"/>
      <c r="M841" s="46" t="s">
        <v>2002</v>
      </c>
    </row>
    <row r="842">
      <c r="A842" s="70">
        <f>IFERROR(__xludf.DUMMYFUNCTION("""COMPUTED_VALUE"""),7.906727502E9)</f>
        <v>7906727502</v>
      </c>
      <c r="B842" s="46" t="str">
        <f>IFERROR(__xludf.DUMMYFUNCTION("""COMPUTED_VALUE"""),"Shivani tyagi")</f>
        <v>Shivani tyagi</v>
      </c>
      <c r="C842" s="5" t="s">
        <v>2002</v>
      </c>
      <c r="D842" s="5"/>
      <c r="E842" s="5"/>
      <c r="F842" s="5"/>
      <c r="G842" s="5"/>
      <c r="H842" s="5"/>
      <c r="I842" s="5"/>
      <c r="J842" s="73"/>
      <c r="K842" s="75" t="str">
        <f>IFERROR(__xludf.DUMMYFUNCTION("""COMPUTED_VALUE"""),"")</f>
        <v/>
      </c>
      <c r="L842" s="75"/>
      <c r="M842" s="46" t="s">
        <v>2002</v>
      </c>
    </row>
    <row r="843">
      <c r="A843" s="70">
        <f>IFERROR(__xludf.DUMMYFUNCTION("""COMPUTED_VALUE"""),9.7118017E9)</f>
        <v>9711801700</v>
      </c>
      <c r="B843" s="46" t="str">
        <f>IFERROR(__xludf.DUMMYFUNCTION("""COMPUTED_VALUE"""),"Tanish sharma. ")</f>
        <v>Tanish sharma. </v>
      </c>
      <c r="C843" s="5" t="s">
        <v>2002</v>
      </c>
      <c r="D843" s="5"/>
      <c r="E843" s="5"/>
      <c r="F843" s="5"/>
      <c r="G843" s="5"/>
      <c r="H843" s="5"/>
      <c r="I843" s="5"/>
      <c r="J843" s="73"/>
      <c r="K843" s="75" t="str">
        <f>IFERROR(__xludf.DUMMYFUNCTION("""COMPUTED_VALUE"""),"")</f>
        <v/>
      </c>
      <c r="L843" s="75"/>
      <c r="M843" s="46" t="s">
        <v>2002</v>
      </c>
    </row>
    <row r="844">
      <c r="A844" s="70">
        <f>IFERROR(__xludf.DUMMYFUNCTION("""COMPUTED_VALUE"""),9.315177088E9)</f>
        <v>9315177088</v>
      </c>
      <c r="B844" s="46" t="str">
        <f>IFERROR(__xludf.DUMMYFUNCTION("""COMPUTED_VALUE"""),"Mr pranjal")</f>
        <v>Mr pranjal</v>
      </c>
      <c r="C844" s="5" t="s">
        <v>2002</v>
      </c>
      <c r="D844" s="5"/>
      <c r="E844" s="5"/>
      <c r="F844" s="5"/>
      <c r="G844" s="5"/>
      <c r="H844" s="5"/>
      <c r="I844" s="5"/>
      <c r="J844" s="73"/>
      <c r="K844" s="75" t="str">
        <f>IFERROR(__xludf.DUMMYFUNCTION("""COMPUTED_VALUE"""),"")</f>
        <v/>
      </c>
      <c r="L844" s="75"/>
      <c r="M844" s="46" t="s">
        <v>2002</v>
      </c>
    </row>
    <row r="845">
      <c r="A845" s="70">
        <f>IFERROR(__xludf.DUMMYFUNCTION("""COMPUTED_VALUE"""),9.971439003E9)</f>
        <v>9971439003</v>
      </c>
      <c r="B845" s="46" t="str">
        <f>IFERROR(__xludf.DUMMYFUNCTION("""COMPUTED_VALUE"""),"Jyoti malik ")</f>
        <v>Jyoti malik </v>
      </c>
      <c r="C845" s="5" t="s">
        <v>2002</v>
      </c>
      <c r="D845" s="5"/>
      <c r="E845" s="5"/>
      <c r="F845" s="5"/>
      <c r="G845" s="5"/>
      <c r="H845" s="5"/>
      <c r="I845" s="5"/>
      <c r="J845" s="73"/>
      <c r="K845" s="75" t="str">
        <f>IFERROR(__xludf.DUMMYFUNCTION("""COMPUTED_VALUE"""),"")</f>
        <v/>
      </c>
      <c r="L845" s="75"/>
      <c r="M845" s="46" t="s">
        <v>2002</v>
      </c>
    </row>
    <row r="846">
      <c r="A846" s="70">
        <f>IFERROR(__xludf.DUMMYFUNCTION("""COMPUTED_VALUE"""),8.383050576E9)</f>
        <v>8383050576</v>
      </c>
      <c r="B846" s="46" t="str">
        <f>IFERROR(__xludf.DUMMYFUNCTION("""COMPUTED_VALUE"""),"Mona devinder kumar ")</f>
        <v>Mona devinder kumar </v>
      </c>
      <c r="C846" s="5" t="s">
        <v>2002</v>
      </c>
      <c r="D846" s="5"/>
      <c r="E846" s="5"/>
      <c r="F846" s="5"/>
      <c r="G846" s="5"/>
      <c r="H846" s="5"/>
      <c r="I846" s="5"/>
      <c r="J846" s="73"/>
      <c r="K846" s="75" t="str">
        <f>IFERROR(__xludf.DUMMYFUNCTION("""COMPUTED_VALUE"""),"")</f>
        <v/>
      </c>
      <c r="L846" s="75"/>
      <c r="M846" s="46" t="s">
        <v>2002</v>
      </c>
    </row>
    <row r="847">
      <c r="A847" s="70">
        <f>IFERROR(__xludf.DUMMYFUNCTION("""COMPUTED_VALUE"""),9.03492461E9)</f>
        <v>9034924610</v>
      </c>
      <c r="B847" s="46" t="str">
        <f>IFERROR(__xludf.DUMMYFUNCTION("""COMPUTED_VALUE"""),"Sakshi garg")</f>
        <v>Sakshi garg</v>
      </c>
      <c r="C847" s="5" t="s">
        <v>2002</v>
      </c>
      <c r="D847" s="5"/>
      <c r="E847" s="5"/>
      <c r="F847" s="5"/>
      <c r="G847" s="5"/>
      <c r="H847" s="5"/>
      <c r="I847" s="5"/>
      <c r="J847" s="73"/>
      <c r="K847" s="75" t="str">
        <f>IFERROR(__xludf.DUMMYFUNCTION("""COMPUTED_VALUE"""),"")</f>
        <v/>
      </c>
      <c r="L847" s="75"/>
      <c r="M847" s="46" t="s">
        <v>2002</v>
      </c>
    </row>
    <row r="848">
      <c r="A848" s="70">
        <f>IFERROR(__xludf.DUMMYFUNCTION("""COMPUTED_VALUE"""),9.999630318E9)</f>
        <v>9999630318</v>
      </c>
      <c r="B848" s="46" t="str">
        <f>IFERROR(__xludf.DUMMYFUNCTION("""COMPUTED_VALUE"""),"Shrey ")</f>
        <v>Shrey </v>
      </c>
      <c r="C848" s="5" t="s">
        <v>2002</v>
      </c>
      <c r="D848" s="5"/>
      <c r="E848" s="5"/>
      <c r="F848" s="5"/>
      <c r="G848" s="5"/>
      <c r="H848" s="5"/>
      <c r="I848" s="5"/>
      <c r="J848" s="73"/>
      <c r="K848" s="75" t="str">
        <f>IFERROR(__xludf.DUMMYFUNCTION("""COMPUTED_VALUE"""),"")</f>
        <v/>
      </c>
      <c r="L848" s="75"/>
      <c r="M848" s="46" t="s">
        <v>2002</v>
      </c>
    </row>
    <row r="849">
      <c r="A849" s="70">
        <f>IFERROR(__xludf.DUMMYFUNCTION("""COMPUTED_VALUE"""),9.899965739E9)</f>
        <v>9899965739</v>
      </c>
      <c r="B849" s="46" t="str">
        <f>IFERROR(__xludf.DUMMYFUNCTION("""COMPUTED_VALUE"""),"Ridhi garg")</f>
        <v>Ridhi garg</v>
      </c>
      <c r="C849" s="5" t="s">
        <v>2002</v>
      </c>
      <c r="D849" s="5"/>
      <c r="E849" s="5"/>
      <c r="F849" s="5"/>
      <c r="G849" s="5"/>
      <c r="H849" s="5"/>
      <c r="I849" s="5"/>
      <c r="J849" s="73"/>
      <c r="K849" s="75" t="str">
        <f>IFERROR(__xludf.DUMMYFUNCTION("""COMPUTED_VALUE"""),"")</f>
        <v/>
      </c>
      <c r="L849" s="75"/>
      <c r="M849" s="46" t="s">
        <v>2002</v>
      </c>
    </row>
    <row r="850">
      <c r="A850" s="70">
        <f>IFERROR(__xludf.DUMMYFUNCTION("""COMPUTED_VALUE"""),8.287053601E9)</f>
        <v>8287053601</v>
      </c>
      <c r="B850" s="46" t="str">
        <f>IFERROR(__xludf.DUMMYFUNCTION("""COMPUTED_VALUE"""),"Vandana")</f>
        <v>Vandana</v>
      </c>
      <c r="C850" s="5" t="s">
        <v>2002</v>
      </c>
      <c r="D850" s="5"/>
      <c r="E850" s="5"/>
      <c r="F850" s="5"/>
      <c r="G850" s="5"/>
      <c r="H850" s="5"/>
      <c r="I850" s="5"/>
      <c r="J850" s="73"/>
      <c r="K850" s="75" t="str">
        <f>IFERROR(__xludf.DUMMYFUNCTION("""COMPUTED_VALUE"""),"")</f>
        <v/>
      </c>
      <c r="L850" s="75"/>
      <c r="M850" s="46" t="s">
        <v>2002</v>
      </c>
    </row>
    <row r="851">
      <c r="A851" s="70">
        <f>IFERROR(__xludf.DUMMYFUNCTION("""COMPUTED_VALUE"""),9.250429426E9)</f>
        <v>9250429426</v>
      </c>
      <c r="B851" s="46" t="str">
        <f>IFERROR(__xludf.DUMMYFUNCTION("""COMPUTED_VALUE"""),"Harshita ")</f>
        <v>Harshita </v>
      </c>
      <c r="C851" s="5" t="s">
        <v>2002</v>
      </c>
      <c r="D851" s="5"/>
      <c r="E851" s="5"/>
      <c r="F851" s="5"/>
      <c r="G851" s="5"/>
      <c r="H851" s="5"/>
      <c r="I851" s="5"/>
      <c r="J851" s="73"/>
      <c r="K851" s="75" t="str">
        <f>IFERROR(__xludf.DUMMYFUNCTION("""COMPUTED_VALUE"""),"")</f>
        <v/>
      </c>
      <c r="L851" s="75"/>
      <c r="M851" s="46" t="s">
        <v>2002</v>
      </c>
    </row>
    <row r="852">
      <c r="A852" s="70">
        <f>IFERROR(__xludf.DUMMYFUNCTION("""COMPUTED_VALUE"""),9.818270113E9)</f>
        <v>9818270113</v>
      </c>
      <c r="B852" s="46" t="str">
        <f>IFERROR(__xludf.DUMMYFUNCTION("""COMPUTED_VALUE"""),"Sonu garg")</f>
        <v>Sonu garg</v>
      </c>
      <c r="C852" s="5" t="s">
        <v>2002</v>
      </c>
      <c r="D852" s="5"/>
      <c r="E852" s="5"/>
      <c r="F852" s="5"/>
      <c r="G852" s="5"/>
      <c r="H852" s="5"/>
      <c r="I852" s="5"/>
      <c r="J852" s="73"/>
      <c r="K852" s="75" t="str">
        <f>IFERROR(__xludf.DUMMYFUNCTION("""COMPUTED_VALUE"""),"")</f>
        <v/>
      </c>
      <c r="L852" s="75"/>
      <c r="M852" s="46" t="s">
        <v>2002</v>
      </c>
    </row>
    <row r="853">
      <c r="A853" s="70">
        <f>IFERROR(__xludf.DUMMYFUNCTION("""COMPUTED_VALUE"""),7.906432313E9)</f>
        <v>7906432313</v>
      </c>
      <c r="B853" s="46" t="str">
        <f>IFERROR(__xludf.DUMMYFUNCTION("""COMPUTED_VALUE"""),"Vishal gupta")</f>
        <v>Vishal gupta</v>
      </c>
      <c r="C853" s="5" t="s">
        <v>2002</v>
      </c>
      <c r="D853" s="5"/>
      <c r="E853" s="5"/>
      <c r="F853" s="5"/>
      <c r="G853" s="5"/>
      <c r="H853" s="5"/>
      <c r="I853" s="5"/>
      <c r="J853" s="73"/>
      <c r="K853" s="75" t="str">
        <f>IFERROR(__xludf.DUMMYFUNCTION("""COMPUTED_VALUE"""),"")</f>
        <v/>
      </c>
      <c r="L853" s="75"/>
      <c r="M853" s="46" t="s">
        <v>2002</v>
      </c>
    </row>
    <row r="854">
      <c r="A854" s="70">
        <f>IFERROR(__xludf.DUMMYFUNCTION("""COMPUTED_VALUE"""),7.042568045E9)</f>
        <v>7042568045</v>
      </c>
      <c r="B854" s="46" t="str">
        <f>IFERROR(__xludf.DUMMYFUNCTION("""COMPUTED_VALUE"""),"Mohommad irfan")</f>
        <v>Mohommad irfan</v>
      </c>
      <c r="C854" s="5" t="s">
        <v>2002</v>
      </c>
      <c r="D854" s="5"/>
      <c r="E854" s="5"/>
      <c r="F854" s="5"/>
      <c r="G854" s="5"/>
      <c r="H854" s="5"/>
      <c r="I854" s="5"/>
      <c r="J854" s="73"/>
      <c r="K854" s="75" t="str">
        <f>IFERROR(__xludf.DUMMYFUNCTION("""COMPUTED_VALUE"""),"")</f>
        <v/>
      </c>
      <c r="L854" s="75"/>
      <c r="M854" s="46" t="s">
        <v>2002</v>
      </c>
    </row>
    <row r="855">
      <c r="A855" s="70">
        <f>IFERROR(__xludf.DUMMYFUNCTION("""COMPUTED_VALUE"""),8.459817166E9)</f>
        <v>8459817166</v>
      </c>
      <c r="B855" s="46" t="str">
        <f>IFERROR(__xludf.DUMMYFUNCTION("""COMPUTED_VALUE"""),"Gaurav garg")</f>
        <v>Gaurav garg</v>
      </c>
      <c r="C855" s="5" t="s">
        <v>2002</v>
      </c>
      <c r="D855" s="5"/>
      <c r="E855" s="5"/>
      <c r="F855" s="5"/>
      <c r="G855" s="5"/>
      <c r="H855" s="5"/>
      <c r="I855" s="5"/>
      <c r="J855" s="73"/>
      <c r="K855" s="75" t="str">
        <f>IFERROR(__xludf.DUMMYFUNCTION("""COMPUTED_VALUE"""),"")</f>
        <v/>
      </c>
      <c r="L855" s="75"/>
      <c r="M855" s="46" t="s">
        <v>2002</v>
      </c>
    </row>
    <row r="856">
      <c r="A856" s="70">
        <f>IFERROR(__xludf.DUMMYFUNCTION("""COMPUTED_VALUE"""),8.59560009E9)</f>
        <v>8595600090</v>
      </c>
      <c r="B856" s="46" t="str">
        <f>IFERROR(__xludf.DUMMYFUNCTION("""COMPUTED_VALUE"""),"Ashi garg")</f>
        <v>Ashi garg</v>
      </c>
      <c r="C856" s="5" t="s">
        <v>2002</v>
      </c>
      <c r="D856" s="5"/>
      <c r="E856" s="5"/>
      <c r="F856" s="5"/>
      <c r="G856" s="5"/>
      <c r="H856" s="5"/>
      <c r="I856" s="5"/>
      <c r="J856" s="73"/>
      <c r="K856" s="75" t="str">
        <f>IFERROR(__xludf.DUMMYFUNCTION("""COMPUTED_VALUE"""),"")</f>
        <v/>
      </c>
      <c r="L856" s="75"/>
      <c r="M856" s="46" t="s">
        <v>2002</v>
      </c>
    </row>
    <row r="857">
      <c r="A857" s="70">
        <f>IFERROR(__xludf.DUMMYFUNCTION("""COMPUTED_VALUE"""),7.838559457E9)</f>
        <v>7838559457</v>
      </c>
      <c r="B857" s="46" t="str">
        <f>IFERROR(__xludf.DUMMYFUNCTION("""COMPUTED_VALUE"""),"Letha")</f>
        <v>Letha</v>
      </c>
      <c r="C857" s="5" t="s">
        <v>2002</v>
      </c>
      <c r="D857" s="5"/>
      <c r="E857" s="5"/>
      <c r="F857" s="5"/>
      <c r="G857" s="5"/>
      <c r="H857" s="5"/>
      <c r="I857" s="5"/>
      <c r="J857" s="73"/>
      <c r="K857" s="75" t="str">
        <f>IFERROR(__xludf.DUMMYFUNCTION("""COMPUTED_VALUE"""),"")</f>
        <v/>
      </c>
      <c r="L857" s="75"/>
      <c r="M857" s="46" t="s">
        <v>2002</v>
      </c>
    </row>
    <row r="858">
      <c r="A858" s="70">
        <f>IFERROR(__xludf.DUMMYFUNCTION("""COMPUTED_VALUE"""),8.287289592E9)</f>
        <v>8287289592</v>
      </c>
      <c r="B858" s="46" t="str">
        <f>IFERROR(__xludf.DUMMYFUNCTION("""COMPUTED_VALUE"""),"Tanisha")</f>
        <v>Tanisha</v>
      </c>
      <c r="C858" s="5" t="s">
        <v>2002</v>
      </c>
      <c r="D858" s="5"/>
      <c r="E858" s="5"/>
      <c r="F858" s="5"/>
      <c r="G858" s="5"/>
      <c r="H858" s="5"/>
      <c r="I858" s="5"/>
      <c r="J858" s="73"/>
      <c r="K858" s="75" t="str">
        <f>IFERROR(__xludf.DUMMYFUNCTION("""COMPUTED_VALUE"""),"")</f>
        <v/>
      </c>
      <c r="L858" s="75"/>
      <c r="M858" s="46" t="s">
        <v>2002</v>
      </c>
    </row>
    <row r="859">
      <c r="A859" s="70">
        <f>IFERROR(__xludf.DUMMYFUNCTION("""COMPUTED_VALUE"""),9.81141771E9)</f>
        <v>9811417710</v>
      </c>
      <c r="B859" s="46" t="str">
        <f>IFERROR(__xludf.DUMMYFUNCTION("""COMPUTED_VALUE"""),"Sushil Sharma ")</f>
        <v>Sushil Sharma </v>
      </c>
      <c r="C859" s="5" t="s">
        <v>2002</v>
      </c>
      <c r="D859" s="5"/>
      <c r="E859" s="5"/>
      <c r="F859" s="5"/>
      <c r="G859" s="5"/>
      <c r="H859" s="5"/>
      <c r="I859" s="5"/>
      <c r="J859" s="73"/>
      <c r="K859" s="75" t="str">
        <f>IFERROR(__xludf.DUMMYFUNCTION("""COMPUTED_VALUE"""),"")</f>
        <v/>
      </c>
      <c r="L859" s="75"/>
      <c r="M859" s="46" t="s">
        <v>2002</v>
      </c>
    </row>
    <row r="860">
      <c r="A860" s="70">
        <f>IFERROR(__xludf.DUMMYFUNCTION("""COMPUTED_VALUE"""),8.178305139E9)</f>
        <v>8178305139</v>
      </c>
      <c r="B860" s="46" t="str">
        <f>IFERROR(__xludf.DUMMYFUNCTION("""COMPUTED_VALUE"""),"Ravinder pandit")</f>
        <v>Ravinder pandit</v>
      </c>
      <c r="C860" s="5" t="s">
        <v>2002</v>
      </c>
      <c r="D860" s="5"/>
      <c r="E860" s="5"/>
      <c r="F860" s="5"/>
      <c r="G860" s="5"/>
      <c r="H860" s="5"/>
      <c r="I860" s="5"/>
      <c r="J860" s="73"/>
      <c r="K860" s="75" t="str">
        <f>IFERROR(__xludf.DUMMYFUNCTION("""COMPUTED_VALUE"""),"")</f>
        <v/>
      </c>
      <c r="L860" s="75"/>
      <c r="M860" s="46" t="s">
        <v>2002</v>
      </c>
    </row>
    <row r="861">
      <c r="A861" s="70">
        <f>IFERROR(__xludf.DUMMYFUNCTION("""COMPUTED_VALUE"""),9.868466581E9)</f>
        <v>9868466581</v>
      </c>
      <c r="B861" s="46" t="str">
        <f>IFERROR(__xludf.DUMMYFUNCTION("""COMPUTED_VALUE"""),"Ashvini kumar")</f>
        <v>Ashvini kumar</v>
      </c>
      <c r="C861" s="5" t="s">
        <v>2002</v>
      </c>
      <c r="D861" s="5"/>
      <c r="E861" s="5"/>
      <c r="F861" s="5"/>
      <c r="G861" s="5"/>
      <c r="H861" s="5"/>
      <c r="I861" s="5"/>
      <c r="J861" s="73"/>
      <c r="K861" s="75" t="str">
        <f>IFERROR(__xludf.DUMMYFUNCTION("""COMPUTED_VALUE"""),"")</f>
        <v/>
      </c>
      <c r="L861" s="75"/>
      <c r="M861" s="46" t="s">
        <v>2002</v>
      </c>
    </row>
    <row r="862">
      <c r="A862" s="70">
        <f>IFERROR(__xludf.DUMMYFUNCTION("""COMPUTED_VALUE"""),9.899399973E9)</f>
        <v>9899399973</v>
      </c>
      <c r="B862" s="46" t="str">
        <f>IFERROR(__xludf.DUMMYFUNCTION("""COMPUTED_VALUE"""),"Renu Gupta")</f>
        <v>Renu Gupta</v>
      </c>
      <c r="C862" s="5" t="s">
        <v>2002</v>
      </c>
      <c r="D862" s="5"/>
      <c r="E862" s="5"/>
      <c r="F862" s="5"/>
      <c r="G862" s="5"/>
      <c r="H862" s="5"/>
      <c r="I862" s="5"/>
      <c r="J862" s="73"/>
      <c r="K862" s="75" t="str">
        <f>IFERROR(__xludf.DUMMYFUNCTION("""COMPUTED_VALUE"""),"")</f>
        <v/>
      </c>
      <c r="L862" s="75"/>
      <c r="M862" s="46" t="s">
        <v>2002</v>
      </c>
    </row>
    <row r="863">
      <c r="A863" s="70">
        <f>IFERROR(__xludf.DUMMYFUNCTION("""COMPUTED_VALUE"""),9.810762681E9)</f>
        <v>9810762681</v>
      </c>
      <c r="B863" s="46" t="str">
        <f>IFERROR(__xludf.DUMMYFUNCTION("""COMPUTED_VALUE"""),"Jagjit sing")</f>
        <v>Jagjit sing</v>
      </c>
      <c r="C863" s="5" t="s">
        <v>2002</v>
      </c>
      <c r="D863" s="5"/>
      <c r="E863" s="5"/>
      <c r="F863" s="5"/>
      <c r="G863" s="5"/>
      <c r="H863" s="5"/>
      <c r="I863" s="5"/>
      <c r="J863" s="73"/>
      <c r="K863" s="75" t="str">
        <f>IFERROR(__xludf.DUMMYFUNCTION("""COMPUTED_VALUE"""),"")</f>
        <v/>
      </c>
      <c r="L863" s="75"/>
      <c r="M863" s="46" t="s">
        <v>2002</v>
      </c>
    </row>
    <row r="864">
      <c r="A864" s="70">
        <f>IFERROR(__xludf.DUMMYFUNCTION("""COMPUTED_VALUE"""),8.586067717E9)</f>
        <v>8586067717</v>
      </c>
      <c r="B864" s="46" t="str">
        <f>IFERROR(__xludf.DUMMYFUNCTION("""COMPUTED_VALUE"""),"Trishna")</f>
        <v>Trishna</v>
      </c>
      <c r="C864" s="5" t="s">
        <v>2002</v>
      </c>
      <c r="D864" s="5"/>
      <c r="E864" s="5"/>
      <c r="F864" s="5"/>
      <c r="G864" s="5"/>
      <c r="H864" s="5"/>
      <c r="I864" s="5"/>
      <c r="J864" s="73"/>
      <c r="K864" s="75" t="str">
        <f>IFERROR(__xludf.DUMMYFUNCTION("""COMPUTED_VALUE"""),"")</f>
        <v/>
      </c>
      <c r="L864" s="75"/>
      <c r="M864" s="46" t="s">
        <v>2002</v>
      </c>
    </row>
    <row r="865">
      <c r="A865" s="70">
        <f>IFERROR(__xludf.DUMMYFUNCTION("""COMPUTED_VALUE"""),8.586067717E9)</f>
        <v>8586067717</v>
      </c>
      <c r="B865" s="46" t="str">
        <f>IFERROR(__xludf.DUMMYFUNCTION("""COMPUTED_VALUE"""),"Veena")</f>
        <v>Veena</v>
      </c>
      <c r="C865" s="5" t="s">
        <v>2002</v>
      </c>
      <c r="D865" s="5"/>
      <c r="E865" s="5"/>
      <c r="F865" s="5"/>
      <c r="G865" s="5"/>
      <c r="H865" s="5"/>
      <c r="I865" s="5"/>
      <c r="J865" s="73"/>
      <c r="K865" s="75" t="str">
        <f>IFERROR(__xludf.DUMMYFUNCTION("""COMPUTED_VALUE"""),"")</f>
        <v/>
      </c>
      <c r="L865" s="75"/>
      <c r="M865" s="46" t="s">
        <v>2002</v>
      </c>
    </row>
    <row r="866">
      <c r="A866" s="70">
        <f>IFERROR(__xludf.DUMMYFUNCTION("""COMPUTED_VALUE"""),9.443373062E9)</f>
        <v>9443373062</v>
      </c>
      <c r="B866" s="46" t="str">
        <f>IFERROR(__xludf.DUMMYFUNCTION("""COMPUTED_VALUE"""),"siva. Gunadurai")</f>
        <v>siva. Gunadurai</v>
      </c>
      <c r="C866" s="5" t="s">
        <v>2002</v>
      </c>
      <c r="D866" s="5"/>
      <c r="E866" s="5"/>
      <c r="F866" s="5"/>
      <c r="G866" s="5"/>
      <c r="H866" s="5"/>
      <c r="I866" s="5"/>
      <c r="J866" s="73"/>
      <c r="K866" s="75" t="str">
        <f>IFERROR(__xludf.DUMMYFUNCTION("""COMPUTED_VALUE"""),"")</f>
        <v/>
      </c>
      <c r="L866" s="75"/>
      <c r="M866" s="46" t="s">
        <v>2002</v>
      </c>
    </row>
    <row r="867">
      <c r="A867" s="70">
        <f>IFERROR(__xludf.DUMMYFUNCTION("""COMPUTED_VALUE"""),9.654503055E9)</f>
        <v>9654503055</v>
      </c>
      <c r="B867" s="46" t="str">
        <f>IFERROR(__xludf.DUMMYFUNCTION("""COMPUTED_VALUE"""),"Bharti Wajwa")</f>
        <v>Bharti Wajwa</v>
      </c>
      <c r="C867" s="5" t="s">
        <v>2002</v>
      </c>
      <c r="D867" s="5"/>
      <c r="E867" s="5"/>
      <c r="F867" s="5"/>
      <c r="G867" s="5"/>
      <c r="H867" s="5"/>
      <c r="I867" s="5"/>
      <c r="J867" s="73"/>
      <c r="K867" s="75" t="str">
        <f>IFERROR(__xludf.DUMMYFUNCTION("""COMPUTED_VALUE"""),"")</f>
        <v/>
      </c>
      <c r="L867" s="75"/>
      <c r="M867" s="46" t="s">
        <v>2002</v>
      </c>
    </row>
    <row r="868">
      <c r="A868" s="70">
        <f>IFERROR(__xludf.DUMMYFUNCTION("""COMPUTED_VALUE"""),9.810925155E9)</f>
        <v>9810925155</v>
      </c>
      <c r="B868" s="46" t="str">
        <f>IFERROR(__xludf.DUMMYFUNCTION("""COMPUTED_VALUE"""),"Rajender ")</f>
        <v>Rajender </v>
      </c>
      <c r="C868" s="5" t="s">
        <v>2002</v>
      </c>
      <c r="D868" s="5"/>
      <c r="E868" s="5"/>
      <c r="F868" s="5"/>
      <c r="G868" s="5"/>
      <c r="H868" s="5"/>
      <c r="I868" s="5"/>
      <c r="J868" s="73"/>
      <c r="K868" s="75" t="str">
        <f>IFERROR(__xludf.DUMMYFUNCTION("""COMPUTED_VALUE"""),"")</f>
        <v/>
      </c>
      <c r="L868" s="75"/>
      <c r="M868" s="46" t="s">
        <v>2002</v>
      </c>
    </row>
    <row r="869">
      <c r="A869" s="70">
        <f>IFERROR(__xludf.DUMMYFUNCTION("""COMPUTED_VALUE"""),9.135909492E9)</f>
        <v>9135909492</v>
      </c>
      <c r="B869" s="46" t="str">
        <f>IFERROR(__xludf.DUMMYFUNCTION("""COMPUTED_VALUE"""),"Khushboo ")</f>
        <v>Khushboo </v>
      </c>
      <c r="C869" s="5" t="s">
        <v>2002</v>
      </c>
      <c r="D869" s="5"/>
      <c r="E869" s="5"/>
      <c r="F869" s="5"/>
      <c r="G869" s="5"/>
      <c r="H869" s="5"/>
      <c r="I869" s="5"/>
      <c r="J869" s="73"/>
      <c r="K869" s="75" t="str">
        <f>IFERROR(__xludf.DUMMYFUNCTION("""COMPUTED_VALUE"""),"")</f>
        <v/>
      </c>
      <c r="L869" s="75"/>
      <c r="M869" s="46" t="s">
        <v>2002</v>
      </c>
    </row>
    <row r="870">
      <c r="A870" s="70">
        <f>IFERROR(__xludf.DUMMYFUNCTION("""COMPUTED_VALUE"""),7.838576942E9)</f>
        <v>7838576942</v>
      </c>
      <c r="B870" s="46" t="str">
        <f>IFERROR(__xludf.DUMMYFUNCTION("""COMPUTED_VALUE"""),"Vivek Khanna")</f>
        <v>Vivek Khanna</v>
      </c>
      <c r="C870" s="5" t="s">
        <v>2002</v>
      </c>
      <c r="D870" s="5"/>
      <c r="E870" s="5"/>
      <c r="F870" s="5"/>
      <c r="G870" s="5"/>
      <c r="H870" s="5"/>
      <c r="I870" s="5"/>
      <c r="J870" s="73"/>
      <c r="K870" s="75" t="str">
        <f>IFERROR(__xludf.DUMMYFUNCTION("""COMPUTED_VALUE"""),"")</f>
        <v/>
      </c>
      <c r="L870" s="75"/>
      <c r="M870" s="46" t="s">
        <v>2002</v>
      </c>
    </row>
    <row r="871">
      <c r="A871" s="70">
        <f>IFERROR(__xludf.DUMMYFUNCTION("""COMPUTED_VALUE"""),7.985649814E9)</f>
        <v>7985649814</v>
      </c>
      <c r="B871" s="46" t="str">
        <f>IFERROR(__xludf.DUMMYFUNCTION("""COMPUTED_VALUE"""),"Vikas Shukla")</f>
        <v>Vikas Shukla</v>
      </c>
      <c r="C871" s="5" t="s">
        <v>2002</v>
      </c>
      <c r="D871" s="5"/>
      <c r="E871" s="5"/>
      <c r="F871" s="5"/>
      <c r="G871" s="5"/>
      <c r="H871" s="5"/>
      <c r="I871" s="5"/>
      <c r="J871" s="73"/>
      <c r="K871" s="75" t="str">
        <f>IFERROR(__xludf.DUMMYFUNCTION("""COMPUTED_VALUE"""),"")</f>
        <v/>
      </c>
      <c r="L871" s="75"/>
      <c r="M871" s="46" t="s">
        <v>2002</v>
      </c>
    </row>
    <row r="872">
      <c r="A872" s="70">
        <f>IFERROR(__xludf.DUMMYFUNCTION("""COMPUTED_VALUE"""),7.451069948E9)</f>
        <v>7451069948</v>
      </c>
      <c r="B872" s="46" t="str">
        <f>IFERROR(__xludf.DUMMYFUNCTION("""COMPUTED_VALUE"""),"Dhruv")</f>
        <v>Dhruv</v>
      </c>
      <c r="C872" s="5" t="s">
        <v>2002</v>
      </c>
      <c r="D872" s="5"/>
      <c r="E872" s="5"/>
      <c r="F872" s="5"/>
      <c r="G872" s="5"/>
      <c r="H872" s="5"/>
      <c r="I872" s="5"/>
      <c r="J872" s="73"/>
      <c r="K872" s="75" t="str">
        <f>IFERROR(__xludf.DUMMYFUNCTION("""COMPUTED_VALUE"""),"")</f>
        <v/>
      </c>
      <c r="L872" s="75"/>
      <c r="M872" s="46" t="s">
        <v>2002</v>
      </c>
    </row>
    <row r="873">
      <c r="A873" s="70">
        <f>IFERROR(__xludf.DUMMYFUNCTION("""COMPUTED_VALUE"""),9.871349567E9)</f>
        <v>9871349567</v>
      </c>
      <c r="B873" s="46" t="str">
        <f>IFERROR(__xludf.DUMMYFUNCTION("""COMPUTED_VALUE"""),"Anjana")</f>
        <v>Anjana</v>
      </c>
      <c r="C873" s="5" t="s">
        <v>2002</v>
      </c>
      <c r="D873" s="5"/>
      <c r="E873" s="5"/>
      <c r="F873" s="5"/>
      <c r="G873" s="5"/>
      <c r="H873" s="5"/>
      <c r="I873" s="5"/>
      <c r="J873" s="73"/>
      <c r="K873" s="75" t="str">
        <f>IFERROR(__xludf.DUMMYFUNCTION("""COMPUTED_VALUE"""),"")</f>
        <v/>
      </c>
      <c r="L873" s="75"/>
      <c r="M873" s="46" t="s">
        <v>2002</v>
      </c>
    </row>
    <row r="874">
      <c r="A874" s="70">
        <f>IFERROR(__xludf.DUMMYFUNCTION("""COMPUTED_VALUE"""),9.958289037E9)</f>
        <v>9958289037</v>
      </c>
      <c r="B874" s="46" t="str">
        <f>IFERROR(__xludf.DUMMYFUNCTION("""COMPUTED_VALUE"""),"Ishan")</f>
        <v>Ishan</v>
      </c>
      <c r="C874" s="5" t="s">
        <v>2002</v>
      </c>
      <c r="D874" s="5"/>
      <c r="E874" s="5"/>
      <c r="F874" s="5"/>
      <c r="G874" s="5"/>
      <c r="H874" s="5"/>
      <c r="I874" s="5"/>
      <c r="J874" s="73"/>
      <c r="K874" s="75" t="str">
        <f>IFERROR(__xludf.DUMMYFUNCTION("""COMPUTED_VALUE"""),"")</f>
        <v/>
      </c>
      <c r="L874" s="75"/>
      <c r="M874" s="46" t="s">
        <v>2002</v>
      </c>
    </row>
    <row r="875">
      <c r="A875" s="70">
        <f>IFERROR(__xludf.DUMMYFUNCTION("""COMPUTED_VALUE"""),9.646133786E9)</f>
        <v>9646133786</v>
      </c>
      <c r="B875" s="46" t="str">
        <f>IFERROR(__xludf.DUMMYFUNCTION("""COMPUTED_VALUE"""),"Vinod kumar")</f>
        <v>Vinod kumar</v>
      </c>
      <c r="C875" s="5" t="s">
        <v>2002</v>
      </c>
      <c r="D875" s="5"/>
      <c r="E875" s="5"/>
      <c r="F875" s="5"/>
      <c r="G875" s="5"/>
      <c r="H875" s="5"/>
      <c r="I875" s="5"/>
      <c r="J875" s="73"/>
      <c r="K875" s="75" t="str">
        <f>IFERROR(__xludf.DUMMYFUNCTION("""COMPUTED_VALUE"""),"")</f>
        <v/>
      </c>
      <c r="L875" s="75"/>
      <c r="M875" s="46" t="s">
        <v>2002</v>
      </c>
    </row>
    <row r="876">
      <c r="A876" s="70">
        <f>IFERROR(__xludf.DUMMYFUNCTION("""COMPUTED_VALUE"""),9.968251805E9)</f>
        <v>9968251805</v>
      </c>
      <c r="B876" s="46" t="str">
        <f>IFERROR(__xludf.DUMMYFUNCTION("""COMPUTED_VALUE"""),"Kamlesh")</f>
        <v>Kamlesh</v>
      </c>
      <c r="C876" s="5" t="s">
        <v>2002</v>
      </c>
      <c r="D876" s="5"/>
      <c r="E876" s="5"/>
      <c r="F876" s="5"/>
      <c r="G876" s="5"/>
      <c r="H876" s="5"/>
      <c r="I876" s="5"/>
      <c r="J876" s="73"/>
      <c r="K876" s="75" t="str">
        <f>IFERROR(__xludf.DUMMYFUNCTION("""COMPUTED_VALUE"""),"")</f>
        <v/>
      </c>
      <c r="L876" s="75"/>
      <c r="M876" s="46" t="s">
        <v>2002</v>
      </c>
    </row>
    <row r="877">
      <c r="A877" s="70">
        <f>IFERROR(__xludf.DUMMYFUNCTION("""COMPUTED_VALUE"""),9.466875167E9)</f>
        <v>9466875167</v>
      </c>
      <c r="B877" s="46" t="str">
        <f>IFERROR(__xludf.DUMMYFUNCTION("""COMPUTED_VALUE"""),"Ashok")</f>
        <v>Ashok</v>
      </c>
      <c r="C877" s="5" t="s">
        <v>2002</v>
      </c>
      <c r="D877" s="5"/>
      <c r="E877" s="5"/>
      <c r="F877" s="5"/>
      <c r="G877" s="5"/>
      <c r="H877" s="5"/>
      <c r="I877" s="5"/>
      <c r="J877" s="73"/>
      <c r="K877" s="75" t="str">
        <f>IFERROR(__xludf.DUMMYFUNCTION("""COMPUTED_VALUE"""),"")</f>
        <v/>
      </c>
      <c r="L877" s="75"/>
      <c r="M877" s="46" t="s">
        <v>2002</v>
      </c>
    </row>
    <row r="878">
      <c r="A878" s="70">
        <f>IFERROR(__xludf.DUMMYFUNCTION("""COMPUTED_VALUE"""),9.899664866E9)</f>
        <v>9899664866</v>
      </c>
      <c r="B878" s="46" t="str">
        <f>IFERROR(__xludf.DUMMYFUNCTION("""COMPUTED_VALUE"""),"Rashi")</f>
        <v>Rashi</v>
      </c>
      <c r="C878" s="5" t="s">
        <v>2002</v>
      </c>
      <c r="D878" s="5"/>
      <c r="E878" s="5"/>
      <c r="F878" s="5"/>
      <c r="G878" s="5"/>
      <c r="H878" s="5"/>
      <c r="I878" s="5"/>
      <c r="J878" s="73"/>
      <c r="K878" s="75" t="str">
        <f>IFERROR(__xludf.DUMMYFUNCTION("""COMPUTED_VALUE"""),"")</f>
        <v/>
      </c>
      <c r="L878" s="75"/>
      <c r="M878" s="46" t="s">
        <v>2002</v>
      </c>
    </row>
    <row r="879">
      <c r="A879" s="70">
        <f>IFERROR(__xludf.DUMMYFUNCTION("""COMPUTED_VALUE"""),9.971417987E9)</f>
        <v>9971417987</v>
      </c>
      <c r="B879" s="46" t="str">
        <f>IFERROR(__xludf.DUMMYFUNCTION("""COMPUTED_VALUE"""),"Kashish ")</f>
        <v>Kashish </v>
      </c>
      <c r="C879" s="5" t="s">
        <v>2002</v>
      </c>
      <c r="D879" s="5"/>
      <c r="E879" s="5"/>
      <c r="F879" s="5"/>
      <c r="G879" s="5"/>
      <c r="H879" s="5"/>
      <c r="I879" s="5"/>
      <c r="J879" s="73"/>
      <c r="K879" s="75" t="str">
        <f>IFERROR(__xludf.DUMMYFUNCTION("""COMPUTED_VALUE"""),"")</f>
        <v/>
      </c>
      <c r="L879" s="75"/>
      <c r="M879" s="46" t="s">
        <v>2002</v>
      </c>
    </row>
    <row r="880">
      <c r="A880" s="70">
        <f>IFERROR(__xludf.DUMMYFUNCTION("""COMPUTED_VALUE"""),9.811164181E9)</f>
        <v>9811164181</v>
      </c>
      <c r="B880" s="46" t="str">
        <f>IFERROR(__xludf.DUMMYFUNCTION("""COMPUTED_VALUE"""),"Neeraj Kumar")</f>
        <v>Neeraj Kumar</v>
      </c>
      <c r="C880" s="5" t="s">
        <v>2002</v>
      </c>
      <c r="D880" s="5"/>
      <c r="E880" s="5"/>
      <c r="F880" s="5"/>
      <c r="G880" s="5"/>
      <c r="H880" s="5"/>
      <c r="I880" s="5"/>
      <c r="J880" s="73"/>
      <c r="K880" s="75" t="str">
        <f>IFERROR(__xludf.DUMMYFUNCTION("""COMPUTED_VALUE"""),"")</f>
        <v/>
      </c>
      <c r="L880" s="75"/>
      <c r="M880" s="46" t="s">
        <v>2002</v>
      </c>
    </row>
    <row r="881">
      <c r="A881" s="70">
        <f>IFERROR(__xludf.DUMMYFUNCTION("""COMPUTED_VALUE"""),9.511102211E9)</f>
        <v>9511102211</v>
      </c>
      <c r="B881" s="46" t="str">
        <f>IFERROR(__xludf.DUMMYFUNCTION("""COMPUTED_VALUE"""),"Anuj")</f>
        <v>Anuj</v>
      </c>
      <c r="C881" s="5" t="s">
        <v>2002</v>
      </c>
      <c r="D881" s="5"/>
      <c r="E881" s="5"/>
      <c r="F881" s="5"/>
      <c r="G881" s="5"/>
      <c r="H881" s="5"/>
      <c r="I881" s="5"/>
      <c r="J881" s="73"/>
      <c r="K881" s="75" t="str">
        <f>IFERROR(__xludf.DUMMYFUNCTION("""COMPUTED_VALUE"""),"")</f>
        <v/>
      </c>
      <c r="L881" s="75"/>
      <c r="M881" s="46" t="s">
        <v>2002</v>
      </c>
    </row>
    <row r="882">
      <c r="A882" s="70">
        <f>IFERROR(__xludf.DUMMYFUNCTION("""COMPUTED_VALUE"""),8.383033578E9)</f>
        <v>8383033578</v>
      </c>
      <c r="B882" s="46" t="str">
        <f>IFERROR(__xludf.DUMMYFUNCTION("""COMPUTED_VALUE"""),"Parachana")</f>
        <v>Parachana</v>
      </c>
      <c r="C882" s="5" t="s">
        <v>2002</v>
      </c>
      <c r="D882" s="5"/>
      <c r="E882" s="5"/>
      <c r="F882" s="5"/>
      <c r="G882" s="5"/>
      <c r="H882" s="5"/>
      <c r="I882" s="5"/>
      <c r="J882" s="73"/>
      <c r="K882" s="75" t="str">
        <f>IFERROR(__xludf.DUMMYFUNCTION("""COMPUTED_VALUE"""),"")</f>
        <v/>
      </c>
      <c r="L882" s="75"/>
      <c r="M882" s="46" t="s">
        <v>2002</v>
      </c>
    </row>
    <row r="883">
      <c r="A883" s="70">
        <f>IFERROR(__xludf.DUMMYFUNCTION("""COMPUTED_VALUE"""),9.9714142E9)</f>
        <v>9971414200</v>
      </c>
      <c r="B883" s="46" t="str">
        <f>IFERROR(__xludf.DUMMYFUNCTION("""COMPUTED_VALUE"""),"Seema Goyal")</f>
        <v>Seema Goyal</v>
      </c>
      <c r="C883" s="5" t="s">
        <v>2002</v>
      </c>
      <c r="D883" s="5"/>
      <c r="E883" s="5"/>
      <c r="F883" s="5"/>
      <c r="G883" s="5"/>
      <c r="H883" s="5"/>
      <c r="I883" s="5"/>
      <c r="J883" s="73"/>
      <c r="K883" s="75" t="str">
        <f>IFERROR(__xludf.DUMMYFUNCTION("""COMPUTED_VALUE"""),"")</f>
        <v/>
      </c>
      <c r="L883" s="75"/>
      <c r="M883" s="46" t="s">
        <v>2002</v>
      </c>
    </row>
    <row r="884">
      <c r="A884" s="70">
        <f>IFERROR(__xludf.DUMMYFUNCTION("""COMPUTED_VALUE"""),9.210304168E9)</f>
        <v>9210304168</v>
      </c>
      <c r="B884" s="46" t="str">
        <f>IFERROR(__xludf.DUMMYFUNCTION("""COMPUTED_VALUE"""),"Rakesh")</f>
        <v>Rakesh</v>
      </c>
      <c r="C884" s="5" t="s">
        <v>2002</v>
      </c>
      <c r="D884" s="5"/>
      <c r="E884" s="5"/>
      <c r="F884" s="5"/>
      <c r="G884" s="5"/>
      <c r="H884" s="5"/>
      <c r="I884" s="5"/>
      <c r="J884" s="73"/>
      <c r="K884" s="75" t="str">
        <f>IFERROR(__xludf.DUMMYFUNCTION("""COMPUTED_VALUE"""),"")</f>
        <v/>
      </c>
      <c r="L884" s="75"/>
      <c r="M884" s="46" t="s">
        <v>2002</v>
      </c>
    </row>
    <row r="885">
      <c r="A885" s="70">
        <f>IFERROR(__xludf.DUMMYFUNCTION("""COMPUTED_VALUE"""),9.818027072E9)</f>
        <v>9818027072</v>
      </c>
      <c r="B885" s="46" t="str">
        <f>IFERROR(__xludf.DUMMYFUNCTION("""COMPUTED_VALUE"""),"Asha mittal")</f>
        <v>Asha mittal</v>
      </c>
      <c r="C885" s="5" t="s">
        <v>2002</v>
      </c>
      <c r="D885" s="5"/>
      <c r="E885" s="5"/>
      <c r="F885" s="5"/>
      <c r="G885" s="5"/>
      <c r="H885" s="5"/>
      <c r="I885" s="5"/>
      <c r="J885" s="73"/>
      <c r="K885" s="75" t="str">
        <f>IFERROR(__xludf.DUMMYFUNCTION("""COMPUTED_VALUE"""),"")</f>
        <v/>
      </c>
      <c r="L885" s="75"/>
      <c r="M885" s="46" t="s">
        <v>2002</v>
      </c>
    </row>
    <row r="886">
      <c r="A886" s="70">
        <f>IFERROR(__xludf.DUMMYFUNCTION("""COMPUTED_VALUE"""),9.7182099E9)</f>
        <v>9718209900</v>
      </c>
      <c r="B886" s="46" t="str">
        <f>IFERROR(__xludf.DUMMYFUNCTION("""COMPUTED_VALUE"""),"Babita")</f>
        <v>Babita</v>
      </c>
      <c r="C886" s="5" t="s">
        <v>2002</v>
      </c>
      <c r="D886" s="5"/>
      <c r="E886" s="5"/>
      <c r="F886" s="5"/>
      <c r="G886" s="5"/>
      <c r="H886" s="5"/>
      <c r="I886" s="5"/>
      <c r="J886" s="73"/>
      <c r="K886" s="75" t="str">
        <f>IFERROR(__xludf.DUMMYFUNCTION("""COMPUTED_VALUE"""),"")</f>
        <v/>
      </c>
      <c r="L886" s="75"/>
      <c r="M886" s="46" t="s">
        <v>2002</v>
      </c>
    </row>
    <row r="887">
      <c r="A887" s="70">
        <f>IFERROR(__xludf.DUMMYFUNCTION("""COMPUTED_VALUE"""),9.560733032E9)</f>
        <v>9560733032</v>
      </c>
      <c r="B887" s="46" t="str">
        <f>IFERROR(__xludf.DUMMYFUNCTION("""COMPUTED_VALUE"""),"Suchita yadav")</f>
        <v>Suchita yadav</v>
      </c>
      <c r="C887" s="5" t="s">
        <v>2002</v>
      </c>
      <c r="D887" s="5"/>
      <c r="E887" s="5"/>
      <c r="F887" s="5"/>
      <c r="G887" s="5"/>
      <c r="H887" s="5"/>
      <c r="I887" s="5"/>
      <c r="J887" s="73"/>
      <c r="K887" s="75" t="str">
        <f>IFERROR(__xludf.DUMMYFUNCTION("""COMPUTED_VALUE"""),"")</f>
        <v/>
      </c>
      <c r="L887" s="75"/>
      <c r="M887" s="46" t="s">
        <v>2002</v>
      </c>
    </row>
    <row r="888">
      <c r="A888" s="70">
        <f>IFERROR(__xludf.DUMMYFUNCTION("""COMPUTED_VALUE"""),9.878041237E9)</f>
        <v>9878041237</v>
      </c>
      <c r="B888" s="46" t="str">
        <f>IFERROR(__xludf.DUMMYFUNCTION("""COMPUTED_VALUE"""),"Bharat kansal")</f>
        <v>Bharat kansal</v>
      </c>
      <c r="C888" s="5" t="s">
        <v>2002</v>
      </c>
      <c r="D888" s="5"/>
      <c r="E888" s="5"/>
      <c r="F888" s="5"/>
      <c r="G888" s="5"/>
      <c r="H888" s="5"/>
      <c r="I888" s="5"/>
      <c r="J888" s="73"/>
      <c r="K888" s="75" t="str">
        <f>IFERROR(__xludf.DUMMYFUNCTION("""COMPUTED_VALUE"""),"")</f>
        <v/>
      </c>
      <c r="L888" s="75"/>
      <c r="M888" s="46" t="s">
        <v>2002</v>
      </c>
    </row>
    <row r="889">
      <c r="A889" s="70">
        <f>IFERROR(__xludf.DUMMYFUNCTION("""COMPUTED_VALUE"""),8.130696282E9)</f>
        <v>8130696282</v>
      </c>
      <c r="B889" s="46" t="str">
        <f>IFERROR(__xludf.DUMMYFUNCTION("""COMPUTED_VALUE"""),"SeemA")</f>
        <v>SeemA</v>
      </c>
      <c r="C889" s="5" t="s">
        <v>2002</v>
      </c>
      <c r="D889" s="5"/>
      <c r="E889" s="5"/>
      <c r="F889" s="5"/>
      <c r="G889" s="5"/>
      <c r="H889" s="5"/>
      <c r="I889" s="5"/>
      <c r="J889" s="73"/>
      <c r="K889" s="75" t="str">
        <f>IFERROR(__xludf.DUMMYFUNCTION("""COMPUTED_VALUE"""),"")</f>
        <v/>
      </c>
      <c r="L889" s="75"/>
      <c r="M889" s="46" t="s">
        <v>2002</v>
      </c>
    </row>
    <row r="890">
      <c r="A890" s="70">
        <f>IFERROR(__xludf.DUMMYFUNCTION("""COMPUTED_VALUE"""),9.910885513E9)</f>
        <v>9910885513</v>
      </c>
      <c r="B890" s="46" t="str">
        <f>IFERROR(__xludf.DUMMYFUNCTION("""COMPUTED_VALUE"""),"Anjali")</f>
        <v>Anjali</v>
      </c>
      <c r="C890" s="5" t="s">
        <v>2002</v>
      </c>
      <c r="D890" s="5"/>
      <c r="E890" s="5"/>
      <c r="F890" s="5"/>
      <c r="G890" s="5"/>
      <c r="H890" s="5"/>
      <c r="I890" s="5"/>
      <c r="J890" s="73"/>
      <c r="K890" s="75" t="str">
        <f>IFERROR(__xludf.DUMMYFUNCTION("""COMPUTED_VALUE"""),"")</f>
        <v/>
      </c>
      <c r="L890" s="75"/>
      <c r="M890" s="46" t="s">
        <v>2002</v>
      </c>
    </row>
    <row r="891">
      <c r="A891" s="70">
        <f>IFERROR(__xludf.DUMMYFUNCTION("""COMPUTED_VALUE"""),9.717686233E9)</f>
        <v>9717686233</v>
      </c>
      <c r="B891" s="46" t="str">
        <f>IFERROR(__xludf.DUMMYFUNCTION("""COMPUTED_VALUE"""),"Anita banarji ")</f>
        <v>Anita banarji </v>
      </c>
      <c r="C891" s="5" t="s">
        <v>2002</v>
      </c>
      <c r="D891" s="5"/>
      <c r="E891" s="5"/>
      <c r="F891" s="5"/>
      <c r="G891" s="5"/>
      <c r="H891" s="5"/>
      <c r="I891" s="5"/>
      <c r="J891" s="73"/>
      <c r="K891" s="75" t="str">
        <f>IFERROR(__xludf.DUMMYFUNCTION("""COMPUTED_VALUE"""),"")</f>
        <v/>
      </c>
      <c r="L891" s="75"/>
      <c r="M891" s="46" t="s">
        <v>2002</v>
      </c>
    </row>
    <row r="892">
      <c r="A892" s="70">
        <f>IFERROR(__xludf.DUMMYFUNCTION("""COMPUTED_VALUE"""),8.9308831E9)</f>
        <v>8930883100</v>
      </c>
      <c r="B892" s="46" t="str">
        <f>IFERROR(__xludf.DUMMYFUNCTION("""COMPUTED_VALUE"""),"Arti")</f>
        <v>Arti</v>
      </c>
      <c r="C892" s="5" t="s">
        <v>2002</v>
      </c>
      <c r="D892" s="5"/>
      <c r="E892" s="5"/>
      <c r="F892" s="5"/>
      <c r="G892" s="5"/>
      <c r="H892" s="5"/>
      <c r="I892" s="5"/>
      <c r="J892" s="73"/>
      <c r="K892" s="75" t="str">
        <f>IFERROR(__xludf.DUMMYFUNCTION("""COMPUTED_VALUE"""),"")</f>
        <v/>
      </c>
      <c r="L892" s="75"/>
      <c r="M892" s="46" t="s">
        <v>2002</v>
      </c>
    </row>
    <row r="893">
      <c r="A893" s="70">
        <f>IFERROR(__xludf.DUMMYFUNCTION("""COMPUTED_VALUE"""),8.708544782E9)</f>
        <v>8708544782</v>
      </c>
      <c r="B893" s="46" t="str">
        <f>IFERROR(__xludf.DUMMYFUNCTION("""COMPUTED_VALUE"""),"Rahul")</f>
        <v>Rahul</v>
      </c>
      <c r="C893" s="5" t="s">
        <v>2002</v>
      </c>
      <c r="D893" s="5"/>
      <c r="E893" s="5"/>
      <c r="F893" s="5"/>
      <c r="G893" s="5"/>
      <c r="H893" s="5"/>
      <c r="I893" s="5"/>
      <c r="J893" s="73"/>
      <c r="K893" s="75" t="str">
        <f>IFERROR(__xludf.DUMMYFUNCTION("""COMPUTED_VALUE"""),"")</f>
        <v/>
      </c>
      <c r="L893" s="75"/>
      <c r="M893" s="46" t="s">
        <v>2002</v>
      </c>
    </row>
    <row r="894">
      <c r="A894" s="70">
        <f>IFERROR(__xludf.DUMMYFUNCTION("""COMPUTED_VALUE"""),8.800486305E9)</f>
        <v>8800486305</v>
      </c>
      <c r="B894" s="46" t="str">
        <f>IFERROR(__xludf.DUMMYFUNCTION("""COMPUTED_VALUE"""),"Anita ji ")</f>
        <v>Anita ji </v>
      </c>
      <c r="C894" s="5" t="s">
        <v>2002</v>
      </c>
      <c r="D894" s="5"/>
      <c r="E894" s="5"/>
      <c r="F894" s="5"/>
      <c r="G894" s="5"/>
      <c r="H894" s="5"/>
      <c r="I894" s="5"/>
      <c r="J894" s="73"/>
      <c r="K894" s="75" t="str">
        <f>IFERROR(__xludf.DUMMYFUNCTION("""COMPUTED_VALUE"""),"")</f>
        <v/>
      </c>
      <c r="L894" s="75"/>
      <c r="M894" s="46" t="s">
        <v>2002</v>
      </c>
    </row>
    <row r="895">
      <c r="A895" s="70">
        <f>IFERROR(__xludf.DUMMYFUNCTION("""COMPUTED_VALUE"""),7.827228389E9)</f>
        <v>7827228389</v>
      </c>
      <c r="B895" s="46" t="str">
        <f>IFERROR(__xludf.DUMMYFUNCTION("""COMPUTED_VALUE"""),"Anshuman")</f>
        <v>Anshuman</v>
      </c>
      <c r="C895" s="5" t="s">
        <v>2002</v>
      </c>
      <c r="D895" s="5"/>
      <c r="E895" s="5"/>
      <c r="F895" s="5"/>
      <c r="G895" s="5"/>
      <c r="H895" s="5"/>
      <c r="I895" s="5"/>
      <c r="J895" s="73"/>
      <c r="K895" s="75" t="str">
        <f>IFERROR(__xludf.DUMMYFUNCTION("""COMPUTED_VALUE"""),"")</f>
        <v/>
      </c>
      <c r="L895" s="75"/>
      <c r="M895" s="46" t="s">
        <v>2002</v>
      </c>
    </row>
    <row r="896">
      <c r="A896" s="70">
        <f>IFERROR(__xludf.DUMMYFUNCTION("""COMPUTED_VALUE"""),9.990268709E9)</f>
        <v>9990268709</v>
      </c>
      <c r="B896" s="46" t="str">
        <f>IFERROR(__xludf.DUMMYFUNCTION("""COMPUTED_VALUE"""),"Abhay kumar")</f>
        <v>Abhay kumar</v>
      </c>
      <c r="C896" s="5" t="s">
        <v>2002</v>
      </c>
      <c r="D896" s="5"/>
      <c r="E896" s="5"/>
      <c r="F896" s="5"/>
      <c r="G896" s="5"/>
      <c r="H896" s="5"/>
      <c r="I896" s="5"/>
      <c r="J896" s="73"/>
      <c r="K896" s="75" t="str">
        <f>IFERROR(__xludf.DUMMYFUNCTION("""COMPUTED_VALUE"""),"")</f>
        <v/>
      </c>
      <c r="L896" s="75"/>
      <c r="M896" s="46" t="s">
        <v>2002</v>
      </c>
    </row>
    <row r="897">
      <c r="A897" s="70">
        <f>IFERROR(__xludf.DUMMYFUNCTION("""COMPUTED_VALUE"""),9.518173629E9)</f>
        <v>9518173629</v>
      </c>
      <c r="B897" s="46" t="str">
        <f>IFERROR(__xludf.DUMMYFUNCTION("""COMPUTED_VALUE"""),"Mayank ji ")</f>
        <v>Mayank ji </v>
      </c>
      <c r="C897" s="5" t="s">
        <v>2002</v>
      </c>
      <c r="D897" s="5"/>
      <c r="E897" s="5"/>
      <c r="F897" s="5"/>
      <c r="G897" s="5"/>
      <c r="H897" s="5"/>
      <c r="I897" s="5"/>
      <c r="J897" s="73"/>
      <c r="K897" s="75" t="str">
        <f>IFERROR(__xludf.DUMMYFUNCTION("""COMPUTED_VALUE"""),"")</f>
        <v/>
      </c>
      <c r="L897" s="75"/>
      <c r="M897" s="46" t="s">
        <v>2002</v>
      </c>
    </row>
    <row r="898">
      <c r="A898" s="70">
        <f>IFERROR(__xludf.DUMMYFUNCTION("""COMPUTED_VALUE"""),9.404446059E9)</f>
        <v>9404446059</v>
      </c>
      <c r="B898" s="46" t="str">
        <f>IFERROR(__xludf.DUMMYFUNCTION("""COMPUTED_VALUE"""),"Santosh tiwar")</f>
        <v>Santosh tiwar</v>
      </c>
      <c r="C898" s="5" t="s">
        <v>2002</v>
      </c>
      <c r="D898" s="5"/>
      <c r="E898" s="5"/>
      <c r="F898" s="5"/>
      <c r="G898" s="5"/>
      <c r="H898" s="5"/>
      <c r="I898" s="5"/>
      <c r="J898" s="73"/>
      <c r="K898" s="75" t="str">
        <f>IFERROR(__xludf.DUMMYFUNCTION("""COMPUTED_VALUE"""),"")</f>
        <v/>
      </c>
      <c r="L898" s="75"/>
      <c r="M898" s="46" t="s">
        <v>2002</v>
      </c>
    </row>
    <row r="899">
      <c r="A899" s="70">
        <f>IFERROR(__xludf.DUMMYFUNCTION("""COMPUTED_VALUE"""),9.65480599E9)</f>
        <v>9654805990</v>
      </c>
      <c r="B899" s="46" t="str">
        <f>IFERROR(__xludf.DUMMYFUNCTION("""COMPUTED_VALUE"""),"Chetan")</f>
        <v>Chetan</v>
      </c>
      <c r="C899" s="5" t="s">
        <v>2002</v>
      </c>
      <c r="D899" s="5"/>
      <c r="E899" s="5"/>
      <c r="F899" s="5"/>
      <c r="G899" s="5"/>
      <c r="H899" s="5"/>
      <c r="I899" s="5"/>
      <c r="J899" s="73"/>
      <c r="K899" s="75" t="str">
        <f>IFERROR(__xludf.DUMMYFUNCTION("""COMPUTED_VALUE"""),"")</f>
        <v/>
      </c>
      <c r="L899" s="75"/>
      <c r="M899" s="46" t="s">
        <v>2002</v>
      </c>
    </row>
    <row r="900">
      <c r="A900" s="70">
        <f>IFERROR(__xludf.DUMMYFUNCTION("""COMPUTED_VALUE"""),8.005173299E9)</f>
        <v>8005173299</v>
      </c>
      <c r="B900" s="46" t="str">
        <f>IFERROR(__xludf.DUMMYFUNCTION("""COMPUTED_VALUE"""),"Sarita")</f>
        <v>Sarita</v>
      </c>
      <c r="C900" s="5" t="s">
        <v>2002</v>
      </c>
      <c r="D900" s="5"/>
      <c r="E900" s="5"/>
      <c r="F900" s="5"/>
      <c r="G900" s="5"/>
      <c r="H900" s="5"/>
      <c r="I900" s="5"/>
      <c r="J900" s="73"/>
      <c r="K900" s="75" t="str">
        <f>IFERROR(__xludf.DUMMYFUNCTION("""COMPUTED_VALUE"""),"")</f>
        <v/>
      </c>
      <c r="L900" s="75"/>
      <c r="M900" s="46" t="s">
        <v>2002</v>
      </c>
    </row>
    <row r="901">
      <c r="A901" s="70">
        <f>IFERROR(__xludf.DUMMYFUNCTION("""COMPUTED_VALUE"""),9.990977525E9)</f>
        <v>9990977525</v>
      </c>
      <c r="B901" s="46" t="str">
        <f>IFERROR(__xludf.DUMMYFUNCTION("""COMPUTED_VALUE"""),"Asif hashmi")</f>
        <v>Asif hashmi</v>
      </c>
      <c r="C901" s="5" t="s">
        <v>2002</v>
      </c>
      <c r="D901" s="5"/>
      <c r="E901" s="5"/>
      <c r="F901" s="5"/>
      <c r="G901" s="5"/>
      <c r="H901" s="5"/>
      <c r="I901" s="5"/>
      <c r="J901" s="73"/>
      <c r="K901" s="75" t="str">
        <f>IFERROR(__xludf.DUMMYFUNCTION("""COMPUTED_VALUE"""),"")</f>
        <v/>
      </c>
      <c r="L901" s="75"/>
      <c r="M901" s="46" t="s">
        <v>2002</v>
      </c>
    </row>
    <row r="902">
      <c r="A902" s="70">
        <f>IFERROR(__xludf.DUMMYFUNCTION("""COMPUTED_VALUE"""),9.999150255E9)</f>
        <v>9999150255</v>
      </c>
      <c r="B902" s="46" t="str">
        <f>IFERROR(__xludf.DUMMYFUNCTION("""COMPUTED_VALUE"""),"Ranjana ji ")</f>
        <v>Ranjana ji </v>
      </c>
      <c r="C902" s="5" t="s">
        <v>2002</v>
      </c>
      <c r="D902" s="5"/>
      <c r="E902" s="5"/>
      <c r="F902" s="5"/>
      <c r="G902" s="5"/>
      <c r="H902" s="5"/>
      <c r="I902" s="5"/>
      <c r="J902" s="73"/>
      <c r="K902" s="75" t="str">
        <f>IFERROR(__xludf.DUMMYFUNCTION("""COMPUTED_VALUE"""),"")</f>
        <v/>
      </c>
      <c r="L902" s="75"/>
      <c r="M902" s="46" t="s">
        <v>2002</v>
      </c>
    </row>
    <row r="903">
      <c r="A903" s="70">
        <f>IFERROR(__xludf.DUMMYFUNCTION("""COMPUTED_VALUE"""),7.053537747E9)</f>
        <v>7053537747</v>
      </c>
      <c r="B903" s="46" t="str">
        <f>IFERROR(__xludf.DUMMYFUNCTION("""COMPUTED_VALUE"""),"Abhishek garg")</f>
        <v>Abhishek garg</v>
      </c>
      <c r="C903" s="5" t="s">
        <v>2002</v>
      </c>
      <c r="D903" s="5"/>
      <c r="E903" s="5"/>
      <c r="F903" s="5"/>
      <c r="G903" s="5"/>
      <c r="H903" s="5"/>
      <c r="I903" s="5"/>
      <c r="J903" s="73"/>
      <c r="K903" s="75" t="str">
        <f>IFERROR(__xludf.DUMMYFUNCTION("""COMPUTED_VALUE"""),"")</f>
        <v/>
      </c>
      <c r="L903" s="75"/>
      <c r="M903" s="46" t="s">
        <v>2002</v>
      </c>
    </row>
    <row r="904">
      <c r="A904" s="70">
        <f>IFERROR(__xludf.DUMMYFUNCTION("""COMPUTED_VALUE"""),9.818184141E9)</f>
        <v>9818184141</v>
      </c>
      <c r="B904" s="46" t="str">
        <f>IFERROR(__xludf.DUMMYFUNCTION("""COMPUTED_VALUE"""),"Sanjeev")</f>
        <v>Sanjeev</v>
      </c>
      <c r="C904" s="5" t="s">
        <v>2002</v>
      </c>
      <c r="D904" s="5"/>
      <c r="E904" s="5"/>
      <c r="F904" s="5"/>
      <c r="G904" s="5"/>
      <c r="H904" s="5"/>
      <c r="I904" s="5"/>
      <c r="J904" s="73"/>
      <c r="K904" s="75" t="str">
        <f>IFERROR(__xludf.DUMMYFUNCTION("""COMPUTED_VALUE"""),"")</f>
        <v/>
      </c>
      <c r="L904" s="75"/>
      <c r="M904" s="46" t="s">
        <v>2002</v>
      </c>
    </row>
    <row r="905">
      <c r="A905" s="70">
        <f>IFERROR(__xludf.DUMMYFUNCTION("""COMPUTED_VALUE"""),9.421532413E9)</f>
        <v>9421532413</v>
      </c>
      <c r="B905" s="46" t="str">
        <f>IFERROR(__xludf.DUMMYFUNCTION("""COMPUTED_VALUE"""),"Arunav Mishra")</f>
        <v>Arunav Mishra</v>
      </c>
      <c r="C905" s="5" t="s">
        <v>2002</v>
      </c>
      <c r="D905" s="5"/>
      <c r="E905" s="5"/>
      <c r="F905" s="5"/>
      <c r="G905" s="5"/>
      <c r="H905" s="5"/>
      <c r="I905" s="5"/>
      <c r="J905" s="73"/>
      <c r="K905" s="75" t="str">
        <f>IFERROR(__xludf.DUMMYFUNCTION("""COMPUTED_VALUE"""),"")</f>
        <v/>
      </c>
      <c r="L905" s="75"/>
      <c r="M905" s="46" t="s">
        <v>2002</v>
      </c>
    </row>
    <row r="906">
      <c r="A906" s="70">
        <f>IFERROR(__xludf.DUMMYFUNCTION("""COMPUTED_VALUE"""),9.990252777E9)</f>
        <v>9990252777</v>
      </c>
      <c r="B906" s="46" t="str">
        <f>IFERROR(__xludf.DUMMYFUNCTION("""COMPUTED_VALUE"""),"Nisha")</f>
        <v>Nisha</v>
      </c>
      <c r="C906" s="5" t="s">
        <v>2002</v>
      </c>
      <c r="D906" s="5"/>
      <c r="E906" s="5"/>
      <c r="F906" s="5"/>
      <c r="G906" s="5"/>
      <c r="H906" s="5"/>
      <c r="I906" s="5"/>
      <c r="J906" s="73"/>
      <c r="K906" s="75" t="str">
        <f>IFERROR(__xludf.DUMMYFUNCTION("""COMPUTED_VALUE"""),"")</f>
        <v/>
      </c>
      <c r="L906" s="75"/>
      <c r="M906" s="46" t="s">
        <v>2002</v>
      </c>
    </row>
    <row r="907">
      <c r="A907" s="70">
        <f>IFERROR(__xludf.DUMMYFUNCTION("""COMPUTED_VALUE"""),7.982848105E9)</f>
        <v>7982848105</v>
      </c>
      <c r="B907" s="46" t="str">
        <f>IFERROR(__xludf.DUMMYFUNCTION("""COMPUTED_VALUE"""),"Aniket ji ")</f>
        <v>Aniket ji </v>
      </c>
      <c r="C907" s="5" t="s">
        <v>2002</v>
      </c>
      <c r="D907" s="5"/>
      <c r="E907" s="5"/>
      <c r="F907" s="5"/>
      <c r="G907" s="5"/>
      <c r="H907" s="5"/>
      <c r="I907" s="5"/>
      <c r="J907" s="73"/>
      <c r="K907" s="75" t="str">
        <f>IFERROR(__xludf.DUMMYFUNCTION("""COMPUTED_VALUE"""),"")</f>
        <v/>
      </c>
      <c r="L907" s="75"/>
      <c r="M907" s="46" t="s">
        <v>2002</v>
      </c>
    </row>
    <row r="908">
      <c r="A908" s="70">
        <f>IFERROR(__xludf.DUMMYFUNCTION("""COMPUTED_VALUE"""),7.042895508E9)</f>
        <v>7042895508</v>
      </c>
      <c r="B908" s="46" t="str">
        <f>IFERROR(__xludf.DUMMYFUNCTION("""COMPUTED_VALUE"""),"Jaya")</f>
        <v>Jaya</v>
      </c>
      <c r="C908" s="5" t="s">
        <v>2002</v>
      </c>
      <c r="D908" s="5"/>
      <c r="E908" s="5"/>
      <c r="F908" s="5"/>
      <c r="G908" s="5"/>
      <c r="H908" s="5"/>
      <c r="I908" s="5"/>
      <c r="J908" s="73"/>
      <c r="K908" s="75" t="str">
        <f>IFERROR(__xludf.DUMMYFUNCTION("""COMPUTED_VALUE"""),"")</f>
        <v/>
      </c>
      <c r="L908" s="75"/>
      <c r="M908" s="46" t="s">
        <v>2002</v>
      </c>
    </row>
    <row r="909">
      <c r="A909" s="70">
        <f>IFERROR(__xludf.DUMMYFUNCTION("""COMPUTED_VALUE"""),7.065443678E9)</f>
        <v>7065443678</v>
      </c>
      <c r="B909" s="46" t="str">
        <f>IFERROR(__xludf.DUMMYFUNCTION("""COMPUTED_VALUE"""),"Preeti")</f>
        <v>Preeti</v>
      </c>
      <c r="C909" s="5" t="s">
        <v>2002</v>
      </c>
      <c r="D909" s="5"/>
      <c r="E909" s="5"/>
      <c r="F909" s="5"/>
      <c r="G909" s="5"/>
      <c r="H909" s="5"/>
      <c r="I909" s="5"/>
      <c r="J909" s="73"/>
      <c r="K909" s="75" t="str">
        <f>IFERROR(__xludf.DUMMYFUNCTION("""COMPUTED_VALUE"""),"")</f>
        <v/>
      </c>
      <c r="L909" s="75"/>
      <c r="M909" s="46" t="s">
        <v>2002</v>
      </c>
    </row>
    <row r="910">
      <c r="A910" s="70">
        <f>IFERROR(__xludf.DUMMYFUNCTION("""COMPUTED_VALUE"""),9.643267196E9)</f>
        <v>9643267196</v>
      </c>
      <c r="B910" s="46" t="str">
        <f>IFERROR(__xludf.DUMMYFUNCTION("""COMPUTED_VALUE"""),"Muskaan")</f>
        <v>Muskaan</v>
      </c>
      <c r="C910" s="5" t="s">
        <v>2002</v>
      </c>
      <c r="D910" s="5"/>
      <c r="E910" s="5"/>
      <c r="F910" s="5"/>
      <c r="G910" s="5"/>
      <c r="H910" s="5"/>
      <c r="I910" s="5"/>
      <c r="J910" s="73"/>
      <c r="K910" s="75" t="str">
        <f>IFERROR(__xludf.DUMMYFUNCTION("""COMPUTED_VALUE"""),"")</f>
        <v/>
      </c>
      <c r="L910" s="75"/>
      <c r="M910" s="46" t="s">
        <v>2002</v>
      </c>
    </row>
    <row r="911">
      <c r="A911" s="70">
        <f>IFERROR(__xludf.DUMMYFUNCTION("""COMPUTED_VALUE"""),8.467064777E9)</f>
        <v>8467064777</v>
      </c>
      <c r="B911" s="46" t="str">
        <f>IFERROR(__xludf.DUMMYFUNCTION("""COMPUTED_VALUE"""),"Mukesh kaushal")</f>
        <v>Mukesh kaushal</v>
      </c>
      <c r="C911" s="5" t="s">
        <v>2002</v>
      </c>
      <c r="D911" s="5"/>
      <c r="E911" s="5"/>
      <c r="F911" s="5"/>
      <c r="G911" s="5"/>
      <c r="H911" s="5"/>
      <c r="I911" s="5"/>
      <c r="J911" s="73"/>
      <c r="K911" s="75" t="str">
        <f>IFERROR(__xludf.DUMMYFUNCTION("""COMPUTED_VALUE"""),"")</f>
        <v/>
      </c>
      <c r="L911" s="75"/>
      <c r="M911" s="46" t="s">
        <v>2002</v>
      </c>
    </row>
    <row r="912">
      <c r="A912" s="70">
        <f>IFERROR(__xludf.DUMMYFUNCTION("""COMPUTED_VALUE"""),8.38408337E9)</f>
        <v>8384083370</v>
      </c>
      <c r="B912" s="46" t="str">
        <f>IFERROR(__xludf.DUMMYFUNCTION("""COMPUTED_VALUE"""),"Sangeeta ")</f>
        <v>Sangeeta </v>
      </c>
      <c r="C912" s="5" t="s">
        <v>2002</v>
      </c>
      <c r="D912" s="5"/>
      <c r="E912" s="5"/>
      <c r="F912" s="5"/>
      <c r="G912" s="5"/>
      <c r="H912" s="5"/>
      <c r="I912" s="5"/>
      <c r="J912" s="73"/>
      <c r="K912" s="75" t="str">
        <f>IFERROR(__xludf.DUMMYFUNCTION("""COMPUTED_VALUE"""),"")</f>
        <v/>
      </c>
      <c r="L912" s="75"/>
      <c r="M912" s="46" t="s">
        <v>2002</v>
      </c>
    </row>
    <row r="913">
      <c r="A913" s="70">
        <f>IFERROR(__xludf.DUMMYFUNCTION("""COMPUTED_VALUE"""),8.860445556E9)</f>
        <v>8860445556</v>
      </c>
      <c r="B913" s="46" t="str">
        <f>IFERROR(__xludf.DUMMYFUNCTION("""COMPUTED_VALUE"""),"Shalu Aggarwal ")</f>
        <v>Shalu Aggarwal </v>
      </c>
      <c r="C913" s="5" t="s">
        <v>2002</v>
      </c>
      <c r="D913" s="5"/>
      <c r="E913" s="5"/>
      <c r="F913" s="5"/>
      <c r="G913" s="5"/>
      <c r="H913" s="5"/>
      <c r="I913" s="5"/>
      <c r="J913" s="73"/>
      <c r="K913" s="75" t="str">
        <f>IFERROR(__xludf.DUMMYFUNCTION("""COMPUTED_VALUE"""),"")</f>
        <v/>
      </c>
      <c r="L913" s="75"/>
      <c r="M913" s="46" t="s">
        <v>2002</v>
      </c>
    </row>
    <row r="914">
      <c r="A914" s="70">
        <f>IFERROR(__xludf.DUMMYFUNCTION("""COMPUTED_VALUE"""),9.868171454E9)</f>
        <v>9868171454</v>
      </c>
      <c r="B914" s="46" t="str">
        <f>IFERROR(__xludf.DUMMYFUNCTION("""COMPUTED_VALUE"""),"Anju mangla")</f>
        <v>Anju mangla</v>
      </c>
      <c r="C914" s="5" t="s">
        <v>2002</v>
      </c>
      <c r="D914" s="5"/>
      <c r="E914" s="5"/>
      <c r="F914" s="5"/>
      <c r="G914" s="5"/>
      <c r="H914" s="5"/>
      <c r="I914" s="5"/>
      <c r="J914" s="73"/>
      <c r="K914" s="75" t="str">
        <f>IFERROR(__xludf.DUMMYFUNCTION("""COMPUTED_VALUE"""),"")</f>
        <v/>
      </c>
      <c r="L914" s="75"/>
      <c r="M914" s="46" t="s">
        <v>2002</v>
      </c>
    </row>
    <row r="915">
      <c r="A915" s="70">
        <f>IFERROR(__xludf.DUMMYFUNCTION("""COMPUTED_VALUE"""),9.953643453E9)</f>
        <v>9953643453</v>
      </c>
      <c r="B915" s="46" t="str">
        <f>IFERROR(__xludf.DUMMYFUNCTION("""COMPUTED_VALUE"""),"Nishu jain")</f>
        <v>Nishu jain</v>
      </c>
      <c r="C915" s="5" t="s">
        <v>2002</v>
      </c>
      <c r="D915" s="5"/>
      <c r="E915" s="5"/>
      <c r="F915" s="5"/>
      <c r="G915" s="5"/>
      <c r="H915" s="5"/>
      <c r="I915" s="5"/>
      <c r="J915" s="73"/>
      <c r="K915" s="75" t="str">
        <f>IFERROR(__xludf.DUMMYFUNCTION("""COMPUTED_VALUE"""),"")</f>
        <v/>
      </c>
      <c r="L915" s="75"/>
      <c r="M915" s="46" t="s">
        <v>2002</v>
      </c>
    </row>
    <row r="916">
      <c r="A916" s="70">
        <f>IFERROR(__xludf.DUMMYFUNCTION("""COMPUTED_VALUE"""),9.891528054E9)</f>
        <v>9891528054</v>
      </c>
      <c r="B916" s="46" t="str">
        <f>IFERROR(__xludf.DUMMYFUNCTION("""COMPUTED_VALUE"""),"Aishwarya goyal")</f>
        <v>Aishwarya goyal</v>
      </c>
      <c r="C916" s="5" t="s">
        <v>2002</v>
      </c>
      <c r="D916" s="5"/>
      <c r="E916" s="5"/>
      <c r="F916" s="5"/>
      <c r="G916" s="5"/>
      <c r="H916" s="5"/>
      <c r="I916" s="5"/>
      <c r="J916" s="73"/>
      <c r="K916" s="75" t="str">
        <f>IFERROR(__xludf.DUMMYFUNCTION("""COMPUTED_VALUE"""),"")</f>
        <v/>
      </c>
      <c r="L916" s="75"/>
      <c r="M916" s="46" t="s">
        <v>2002</v>
      </c>
    </row>
    <row r="917">
      <c r="A917" s="70">
        <f>IFERROR(__xludf.DUMMYFUNCTION("""COMPUTED_VALUE"""),8.920719095E9)</f>
        <v>8920719095</v>
      </c>
      <c r="B917" s="46" t="str">
        <f>IFERROR(__xludf.DUMMYFUNCTION("""COMPUTED_VALUE"""),"Shweta")</f>
        <v>Shweta</v>
      </c>
      <c r="C917" s="5" t="s">
        <v>2002</v>
      </c>
      <c r="D917" s="5"/>
      <c r="E917" s="5"/>
      <c r="F917" s="5"/>
      <c r="G917" s="5"/>
      <c r="H917" s="5"/>
      <c r="I917" s="5"/>
      <c r="J917" s="73"/>
      <c r="K917" s="75" t="str">
        <f>IFERROR(__xludf.DUMMYFUNCTION("""COMPUTED_VALUE"""),"")</f>
        <v/>
      </c>
      <c r="L917" s="75"/>
      <c r="M917" s="46" t="s">
        <v>2002</v>
      </c>
    </row>
    <row r="918">
      <c r="A918" s="70">
        <f>IFERROR(__xludf.DUMMYFUNCTION("""COMPUTED_VALUE"""),8.235380448E9)</f>
        <v>8235380448</v>
      </c>
      <c r="B918" s="46" t="str">
        <f>IFERROR(__xludf.DUMMYFUNCTION("""COMPUTED_VALUE"""),"Prashant ")</f>
        <v>Prashant </v>
      </c>
      <c r="C918" s="5" t="s">
        <v>2002</v>
      </c>
      <c r="D918" s="5"/>
      <c r="E918" s="5"/>
      <c r="F918" s="5"/>
      <c r="G918" s="5"/>
      <c r="H918" s="5"/>
      <c r="I918" s="5"/>
      <c r="J918" s="73"/>
      <c r="K918" s="75" t="str">
        <f>IFERROR(__xludf.DUMMYFUNCTION("""COMPUTED_VALUE"""),"")</f>
        <v/>
      </c>
      <c r="L918" s="75"/>
      <c r="M918" s="46" t="s">
        <v>2002</v>
      </c>
    </row>
    <row r="919">
      <c r="A919" s="70">
        <f>IFERROR(__xludf.DUMMYFUNCTION("""COMPUTED_VALUE"""),9.899778405E9)</f>
        <v>9899778405</v>
      </c>
      <c r="B919" s="46" t="str">
        <f>IFERROR(__xludf.DUMMYFUNCTION("""COMPUTED_VALUE"""),"Ajay shastri")</f>
        <v>Ajay shastri</v>
      </c>
      <c r="C919" s="5" t="s">
        <v>2002</v>
      </c>
      <c r="D919" s="5"/>
      <c r="E919" s="5"/>
      <c r="F919" s="5"/>
      <c r="G919" s="5"/>
      <c r="H919" s="5"/>
      <c r="I919" s="5"/>
      <c r="J919" s="73"/>
      <c r="K919" s="75" t="str">
        <f>IFERROR(__xludf.DUMMYFUNCTION("""COMPUTED_VALUE"""),"")</f>
        <v/>
      </c>
      <c r="L919" s="75"/>
      <c r="M919" s="46" t="s">
        <v>2002</v>
      </c>
    </row>
    <row r="920">
      <c r="A920" s="70">
        <f>IFERROR(__xludf.DUMMYFUNCTION("""COMPUTED_VALUE"""),9.045015642E9)</f>
        <v>9045015642</v>
      </c>
      <c r="B920" s="46" t="str">
        <f>IFERROR(__xludf.DUMMYFUNCTION("""COMPUTED_VALUE"""),"Deelmeet")</f>
        <v>Deelmeet</v>
      </c>
      <c r="C920" s="5" t="s">
        <v>2002</v>
      </c>
      <c r="D920" s="5"/>
      <c r="E920" s="5"/>
      <c r="F920" s="5"/>
      <c r="G920" s="5"/>
      <c r="H920" s="5"/>
      <c r="I920" s="5"/>
      <c r="J920" s="73"/>
      <c r="K920" s="75" t="str">
        <f>IFERROR(__xludf.DUMMYFUNCTION("""COMPUTED_VALUE"""),"")</f>
        <v/>
      </c>
      <c r="L920" s="75"/>
      <c r="M920" s="46" t="s">
        <v>2002</v>
      </c>
    </row>
    <row r="921">
      <c r="A921" s="70">
        <f>IFERROR(__xludf.DUMMYFUNCTION("""COMPUTED_VALUE"""),9.711790616E9)</f>
        <v>9711790616</v>
      </c>
      <c r="B921" s="46" t="str">
        <f>IFERROR(__xludf.DUMMYFUNCTION("""COMPUTED_VALUE"""),"Tushar")</f>
        <v>Tushar</v>
      </c>
      <c r="C921" s="5" t="s">
        <v>2002</v>
      </c>
      <c r="D921" s="5"/>
      <c r="E921" s="5"/>
      <c r="F921" s="5"/>
      <c r="G921" s="5"/>
      <c r="H921" s="5"/>
      <c r="I921" s="5"/>
      <c r="J921" s="73"/>
      <c r="K921" s="75" t="str">
        <f>IFERROR(__xludf.DUMMYFUNCTION("""COMPUTED_VALUE"""),"")</f>
        <v/>
      </c>
      <c r="L921" s="75"/>
      <c r="M921" s="46" t="s">
        <v>2002</v>
      </c>
    </row>
    <row r="922">
      <c r="A922" s="70">
        <f>IFERROR(__xludf.DUMMYFUNCTION("""COMPUTED_VALUE"""),9.99998042E9)</f>
        <v>9999980420</v>
      </c>
      <c r="B922" s="46" t="str">
        <f>IFERROR(__xludf.DUMMYFUNCTION("""COMPUTED_VALUE"""),"Tarun")</f>
        <v>Tarun</v>
      </c>
      <c r="C922" s="5" t="s">
        <v>2002</v>
      </c>
      <c r="D922" s="5"/>
      <c r="E922" s="5"/>
      <c r="F922" s="5"/>
      <c r="G922" s="5"/>
      <c r="H922" s="5"/>
      <c r="I922" s="5"/>
      <c r="J922" s="73"/>
      <c r="K922" s="75" t="str">
        <f>IFERROR(__xludf.DUMMYFUNCTION("""COMPUTED_VALUE"""),"")</f>
        <v/>
      </c>
      <c r="L922" s="75"/>
      <c r="M922" s="46" t="s">
        <v>2002</v>
      </c>
    </row>
    <row r="923">
      <c r="A923" s="70">
        <f>IFERROR(__xludf.DUMMYFUNCTION("""COMPUTED_VALUE"""),8.287603303E9)</f>
        <v>8287603303</v>
      </c>
      <c r="B923" s="46" t="str">
        <f>IFERROR(__xludf.DUMMYFUNCTION("""COMPUTED_VALUE"""),"Aman")</f>
        <v>Aman</v>
      </c>
      <c r="C923" s="5" t="s">
        <v>2002</v>
      </c>
      <c r="D923" s="5"/>
      <c r="E923" s="5"/>
      <c r="F923" s="5"/>
      <c r="G923" s="5"/>
      <c r="H923" s="5"/>
      <c r="I923" s="5"/>
      <c r="J923" s="73"/>
      <c r="K923" s="75" t="str">
        <f>IFERROR(__xludf.DUMMYFUNCTION("""COMPUTED_VALUE"""),"")</f>
        <v/>
      </c>
      <c r="L923" s="75"/>
      <c r="M923" s="46" t="s">
        <v>2002</v>
      </c>
    </row>
    <row r="924">
      <c r="A924" s="70">
        <f>IFERROR(__xludf.DUMMYFUNCTION("""COMPUTED_VALUE"""),9.163489639E9)</f>
        <v>9163489639</v>
      </c>
      <c r="B924" s="46" t="str">
        <f>IFERROR(__xludf.DUMMYFUNCTION("""COMPUTED_VALUE"""),"Priya")</f>
        <v>Priya</v>
      </c>
      <c r="C924" s="5" t="s">
        <v>2002</v>
      </c>
      <c r="D924" s="5"/>
      <c r="E924" s="5"/>
      <c r="F924" s="5"/>
      <c r="G924" s="5"/>
      <c r="H924" s="5"/>
      <c r="I924" s="5"/>
      <c r="J924" s="73"/>
      <c r="K924" s="75" t="str">
        <f>IFERROR(__xludf.DUMMYFUNCTION("""COMPUTED_VALUE"""),"")</f>
        <v/>
      </c>
      <c r="L924" s="75"/>
      <c r="M924" s="46" t="s">
        <v>2002</v>
      </c>
    </row>
    <row r="925">
      <c r="A925" s="70">
        <f>IFERROR(__xludf.DUMMYFUNCTION("""COMPUTED_VALUE"""),9.990055287E9)</f>
        <v>9990055287</v>
      </c>
      <c r="B925" s="46" t="str">
        <f>IFERROR(__xludf.DUMMYFUNCTION("""COMPUTED_VALUE"""),"Satender pal")</f>
        <v>Satender pal</v>
      </c>
      <c r="C925" s="5" t="s">
        <v>2002</v>
      </c>
      <c r="D925" s="5"/>
      <c r="E925" s="5"/>
      <c r="F925" s="5"/>
      <c r="G925" s="5"/>
      <c r="H925" s="5"/>
      <c r="I925" s="5"/>
      <c r="J925" s="73"/>
      <c r="K925" s="75" t="str">
        <f>IFERROR(__xludf.DUMMYFUNCTION("""COMPUTED_VALUE"""),"")</f>
        <v/>
      </c>
      <c r="L925" s="75"/>
      <c r="M925" s="46" t="s">
        <v>2002</v>
      </c>
    </row>
    <row r="926">
      <c r="A926" s="70">
        <f>IFERROR(__xludf.DUMMYFUNCTION("""COMPUTED_VALUE"""),9.871553478E9)</f>
        <v>9871553478</v>
      </c>
      <c r="B926" s="46" t="str">
        <f>IFERROR(__xludf.DUMMYFUNCTION("""COMPUTED_VALUE"""),"Rani Sharma ")</f>
        <v>Rani Sharma </v>
      </c>
      <c r="C926" s="5" t="s">
        <v>2002</v>
      </c>
      <c r="D926" s="5"/>
      <c r="E926" s="5"/>
      <c r="F926" s="5"/>
      <c r="G926" s="5"/>
      <c r="H926" s="5"/>
      <c r="I926" s="5"/>
      <c r="J926" s="73"/>
      <c r="K926" s="75" t="str">
        <f>IFERROR(__xludf.DUMMYFUNCTION("""COMPUTED_VALUE"""),"")</f>
        <v/>
      </c>
      <c r="L926" s="75"/>
      <c r="M926" s="46" t="s">
        <v>2002</v>
      </c>
    </row>
    <row r="927">
      <c r="A927" s="70">
        <f>IFERROR(__xludf.DUMMYFUNCTION("""COMPUTED_VALUE"""),9.999666857E9)</f>
        <v>9999666857</v>
      </c>
      <c r="B927" s="46" t="str">
        <f>IFERROR(__xludf.DUMMYFUNCTION("""COMPUTED_VALUE"""),"Pooja")</f>
        <v>Pooja</v>
      </c>
      <c r="C927" s="5" t="s">
        <v>2002</v>
      </c>
      <c r="D927" s="5"/>
      <c r="E927" s="5"/>
      <c r="F927" s="5"/>
      <c r="G927" s="5"/>
      <c r="H927" s="5"/>
      <c r="I927" s="5"/>
      <c r="J927" s="73"/>
      <c r="K927" s="75" t="str">
        <f>IFERROR(__xludf.DUMMYFUNCTION("""COMPUTED_VALUE"""),"")</f>
        <v/>
      </c>
      <c r="L927" s="75"/>
      <c r="M927" s="46" t="s">
        <v>2002</v>
      </c>
    </row>
    <row r="928">
      <c r="A928" s="70">
        <f>IFERROR(__xludf.DUMMYFUNCTION("""COMPUTED_VALUE"""),7.011913257E9)</f>
        <v>7011913257</v>
      </c>
      <c r="B928" s="46" t="str">
        <f>IFERROR(__xludf.DUMMYFUNCTION("""COMPUTED_VALUE"""),"Dhananjay gupta")</f>
        <v>Dhananjay gupta</v>
      </c>
      <c r="C928" s="5" t="s">
        <v>2002</v>
      </c>
      <c r="D928" s="5"/>
      <c r="E928" s="5"/>
      <c r="F928" s="5"/>
      <c r="G928" s="5"/>
      <c r="H928" s="5"/>
      <c r="I928" s="5"/>
      <c r="J928" s="73"/>
      <c r="K928" s="75" t="str">
        <f>IFERROR(__xludf.DUMMYFUNCTION("""COMPUTED_VALUE"""),"")</f>
        <v/>
      </c>
      <c r="L928" s="75"/>
      <c r="M928" s="46" t="s">
        <v>2002</v>
      </c>
    </row>
    <row r="929">
      <c r="A929" s="70">
        <f>IFERROR(__xludf.DUMMYFUNCTION("""COMPUTED_VALUE"""),9.871308734E9)</f>
        <v>9871308734</v>
      </c>
      <c r="B929" s="46" t="str">
        <f>IFERROR(__xludf.DUMMYFUNCTION("""COMPUTED_VALUE"""),"Bahadur Singh ")</f>
        <v>Bahadur Singh </v>
      </c>
      <c r="C929" s="5" t="s">
        <v>2002</v>
      </c>
      <c r="D929" s="5"/>
      <c r="E929" s="5"/>
      <c r="F929" s="5"/>
      <c r="G929" s="5"/>
      <c r="H929" s="5"/>
      <c r="I929" s="5"/>
      <c r="J929" s="73"/>
      <c r="K929" s="75" t="str">
        <f>IFERROR(__xludf.DUMMYFUNCTION("""COMPUTED_VALUE"""),"")</f>
        <v/>
      </c>
      <c r="L929" s="75"/>
      <c r="M929" s="46" t="s">
        <v>2002</v>
      </c>
    </row>
    <row r="930">
      <c r="A930" s="70">
        <f>IFERROR(__xludf.DUMMYFUNCTION("""COMPUTED_VALUE"""),9.211162027E9)</f>
        <v>9211162027</v>
      </c>
      <c r="B930" s="46" t="str">
        <f>IFERROR(__xludf.DUMMYFUNCTION("""COMPUTED_VALUE"""),"Sonu")</f>
        <v>Sonu</v>
      </c>
      <c r="C930" s="5" t="s">
        <v>2002</v>
      </c>
      <c r="D930" s="5"/>
      <c r="E930" s="5"/>
      <c r="F930" s="5"/>
      <c r="G930" s="5"/>
      <c r="H930" s="5"/>
      <c r="I930" s="5"/>
      <c r="J930" s="73"/>
      <c r="K930" s="75" t="str">
        <f>IFERROR(__xludf.DUMMYFUNCTION("""COMPUTED_VALUE"""),"")</f>
        <v/>
      </c>
      <c r="L930" s="75"/>
      <c r="M930" s="46" t="s">
        <v>2002</v>
      </c>
    </row>
    <row r="931">
      <c r="A931" s="70">
        <f>IFERROR(__xludf.DUMMYFUNCTION("""COMPUTED_VALUE"""),9.717263163E9)</f>
        <v>9717263163</v>
      </c>
      <c r="B931" s="46" t="str">
        <f>IFERROR(__xludf.DUMMYFUNCTION("""COMPUTED_VALUE"""),"Akansha")</f>
        <v>Akansha</v>
      </c>
      <c r="C931" s="5" t="s">
        <v>2002</v>
      </c>
      <c r="D931" s="5"/>
      <c r="E931" s="5"/>
      <c r="F931" s="5"/>
      <c r="G931" s="5"/>
      <c r="H931" s="5"/>
      <c r="I931" s="5"/>
      <c r="J931" s="73"/>
      <c r="K931" s="75" t="str">
        <f>IFERROR(__xludf.DUMMYFUNCTION("""COMPUTED_VALUE"""),"")</f>
        <v/>
      </c>
      <c r="L931" s="75"/>
      <c r="M931" s="46" t="s">
        <v>2002</v>
      </c>
    </row>
    <row r="932">
      <c r="A932" s="70">
        <f>IFERROR(__xludf.DUMMYFUNCTION("""COMPUTED_VALUE"""),9.818518397E9)</f>
        <v>9818518397</v>
      </c>
      <c r="B932" s="46" t="str">
        <f>IFERROR(__xludf.DUMMYFUNCTION("""COMPUTED_VALUE"""),"Rajesh")</f>
        <v>Rajesh</v>
      </c>
      <c r="C932" s="5" t="s">
        <v>2002</v>
      </c>
      <c r="D932" s="5"/>
      <c r="E932" s="5"/>
      <c r="F932" s="5"/>
      <c r="G932" s="5"/>
      <c r="H932" s="5"/>
      <c r="I932" s="5"/>
      <c r="J932" s="73"/>
      <c r="K932" s="75" t="str">
        <f>IFERROR(__xludf.DUMMYFUNCTION("""COMPUTED_VALUE"""),"")</f>
        <v/>
      </c>
      <c r="L932" s="75"/>
      <c r="M932" s="46" t="s">
        <v>2002</v>
      </c>
    </row>
    <row r="933">
      <c r="A933" s="70">
        <f>IFERROR(__xludf.DUMMYFUNCTION("""COMPUTED_VALUE"""),9.315533294E9)</f>
        <v>9315533294</v>
      </c>
      <c r="B933" s="46" t="str">
        <f>IFERROR(__xludf.DUMMYFUNCTION("""COMPUTED_VALUE"""),"Surbhi")</f>
        <v>Surbhi</v>
      </c>
      <c r="C933" s="5" t="s">
        <v>2002</v>
      </c>
      <c r="D933" s="5"/>
      <c r="E933" s="5"/>
      <c r="F933" s="5"/>
      <c r="G933" s="5"/>
      <c r="H933" s="5"/>
      <c r="I933" s="5"/>
      <c r="J933" s="73"/>
      <c r="K933" s="75" t="str">
        <f>IFERROR(__xludf.DUMMYFUNCTION("""COMPUTED_VALUE"""),"")</f>
        <v/>
      </c>
      <c r="L933" s="75"/>
      <c r="M933" s="46" t="s">
        <v>2002</v>
      </c>
    </row>
    <row r="934">
      <c r="A934" s="70">
        <f>IFERROR(__xludf.DUMMYFUNCTION("""COMPUTED_VALUE"""),9.212027966E9)</f>
        <v>9212027966</v>
      </c>
      <c r="B934" s="46" t="str">
        <f>IFERROR(__xludf.DUMMYFUNCTION("""COMPUTED_VALUE"""),"Bhavya")</f>
        <v>Bhavya</v>
      </c>
      <c r="C934" s="5" t="s">
        <v>2002</v>
      </c>
      <c r="D934" s="5"/>
      <c r="E934" s="5"/>
      <c r="F934" s="5"/>
      <c r="G934" s="5"/>
      <c r="H934" s="5"/>
      <c r="I934" s="5"/>
      <c r="J934" s="73"/>
      <c r="K934" s="75" t="str">
        <f>IFERROR(__xludf.DUMMYFUNCTION("""COMPUTED_VALUE"""),"")</f>
        <v/>
      </c>
      <c r="L934" s="75"/>
      <c r="M934" s="46" t="s">
        <v>2002</v>
      </c>
    </row>
    <row r="935">
      <c r="A935" s="70">
        <f>IFERROR(__xludf.DUMMYFUNCTION("""COMPUTED_VALUE"""),9.811026601E9)</f>
        <v>9811026601</v>
      </c>
      <c r="B935" s="46" t="str">
        <f>IFERROR(__xludf.DUMMYFUNCTION("""COMPUTED_VALUE"""),"Renu")</f>
        <v>Renu</v>
      </c>
      <c r="C935" s="5" t="s">
        <v>2002</v>
      </c>
      <c r="D935" s="5"/>
      <c r="E935" s="5"/>
      <c r="F935" s="5"/>
      <c r="G935" s="5"/>
      <c r="H935" s="5"/>
      <c r="I935" s="5"/>
      <c r="J935" s="73"/>
      <c r="K935" s="75" t="str">
        <f>IFERROR(__xludf.DUMMYFUNCTION("""COMPUTED_VALUE"""),"")</f>
        <v/>
      </c>
      <c r="L935" s="75"/>
      <c r="M935" s="46" t="s">
        <v>2002</v>
      </c>
    </row>
    <row r="936">
      <c r="A936" s="70">
        <f>IFERROR(__xludf.DUMMYFUNCTION("""COMPUTED_VALUE"""),9.910397145E9)</f>
        <v>9910397145</v>
      </c>
      <c r="B936" s="46" t="str">
        <f>IFERROR(__xludf.DUMMYFUNCTION("""COMPUTED_VALUE"""),"Jigyashu")</f>
        <v>Jigyashu</v>
      </c>
      <c r="C936" s="5" t="s">
        <v>2002</v>
      </c>
      <c r="D936" s="5"/>
      <c r="E936" s="5"/>
      <c r="F936" s="5"/>
      <c r="G936" s="5"/>
      <c r="H936" s="5"/>
      <c r="I936" s="5"/>
      <c r="J936" s="73"/>
      <c r="K936" s="75" t="str">
        <f>IFERROR(__xludf.DUMMYFUNCTION("""COMPUTED_VALUE"""),"")</f>
        <v/>
      </c>
      <c r="L936" s="75"/>
      <c r="M936" s="46" t="s">
        <v>2002</v>
      </c>
    </row>
    <row r="937">
      <c r="A937" s="70">
        <f>IFERROR(__xludf.DUMMYFUNCTION("""COMPUTED_VALUE"""),9.868209835E9)</f>
        <v>9868209835</v>
      </c>
      <c r="B937" s="46" t="str">
        <f>IFERROR(__xludf.DUMMYFUNCTION("""COMPUTED_VALUE"""),"Sunil kumar vasna ji ")</f>
        <v>Sunil kumar vasna ji </v>
      </c>
      <c r="C937" s="5" t="s">
        <v>2002</v>
      </c>
      <c r="D937" s="5"/>
      <c r="E937" s="5"/>
      <c r="F937" s="5"/>
      <c r="G937" s="5"/>
      <c r="H937" s="5"/>
      <c r="I937" s="5"/>
      <c r="J937" s="73"/>
      <c r="K937" s="75" t="str">
        <f>IFERROR(__xludf.DUMMYFUNCTION("""COMPUTED_VALUE"""),"")</f>
        <v/>
      </c>
      <c r="L937" s="75"/>
      <c r="M937" s="46" t="s">
        <v>2002</v>
      </c>
    </row>
    <row r="938">
      <c r="A938" s="70">
        <f>IFERROR(__xludf.DUMMYFUNCTION("""COMPUTED_VALUE"""),9.716909344E9)</f>
        <v>9716909344</v>
      </c>
      <c r="B938" s="46" t="str">
        <f>IFERROR(__xludf.DUMMYFUNCTION("""COMPUTED_VALUE"""),"Dolly")</f>
        <v>Dolly</v>
      </c>
      <c r="C938" s="5" t="s">
        <v>2002</v>
      </c>
      <c r="D938" s="5"/>
      <c r="E938" s="5"/>
      <c r="F938" s="5"/>
      <c r="G938" s="5"/>
      <c r="H938" s="5"/>
      <c r="I938" s="5"/>
      <c r="J938" s="73"/>
      <c r="K938" s="75" t="str">
        <f>IFERROR(__xludf.DUMMYFUNCTION("""COMPUTED_VALUE"""),"")</f>
        <v/>
      </c>
      <c r="L938" s="75"/>
      <c r="M938" s="46" t="s">
        <v>2002</v>
      </c>
    </row>
    <row r="939">
      <c r="A939" s="70">
        <f>IFERROR(__xludf.DUMMYFUNCTION("""COMPUTED_VALUE"""),8.86006E9)</f>
        <v>8860060000</v>
      </c>
      <c r="B939" s="46" t="str">
        <f>IFERROR(__xludf.DUMMYFUNCTION("""COMPUTED_VALUE"""),"Manish")</f>
        <v>Manish</v>
      </c>
      <c r="C939" s="5" t="s">
        <v>2002</v>
      </c>
      <c r="D939" s="5"/>
      <c r="E939" s="5"/>
      <c r="F939" s="5"/>
      <c r="G939" s="5"/>
      <c r="H939" s="5"/>
      <c r="I939" s="5"/>
      <c r="J939" s="73"/>
      <c r="K939" s="75" t="str">
        <f>IFERROR(__xludf.DUMMYFUNCTION("""COMPUTED_VALUE"""),"")</f>
        <v/>
      </c>
      <c r="L939" s="75"/>
      <c r="M939" s="46" t="s">
        <v>2002</v>
      </c>
    </row>
    <row r="940">
      <c r="A940" s="70">
        <f>IFERROR(__xludf.DUMMYFUNCTION("""COMPUTED_VALUE"""),9.55528888E9)</f>
        <v>9555288880</v>
      </c>
      <c r="B940" s="46" t="str">
        <f>IFERROR(__xludf.DUMMYFUNCTION("""COMPUTED_VALUE"""),"Shweta sharma")</f>
        <v>Shweta sharma</v>
      </c>
      <c r="C940" s="5" t="s">
        <v>2002</v>
      </c>
      <c r="D940" s="5"/>
      <c r="E940" s="5"/>
      <c r="F940" s="5"/>
      <c r="G940" s="5"/>
      <c r="H940" s="5"/>
      <c r="I940" s="5"/>
      <c r="J940" s="73"/>
      <c r="K940" s="75" t="str">
        <f>IFERROR(__xludf.DUMMYFUNCTION("""COMPUTED_VALUE"""),"")</f>
        <v/>
      </c>
      <c r="L940" s="75"/>
      <c r="M940" s="46" t="s">
        <v>2002</v>
      </c>
    </row>
    <row r="941">
      <c r="A941" s="70">
        <f>IFERROR(__xludf.DUMMYFUNCTION("""COMPUTED_VALUE"""),9.873495572E9)</f>
        <v>9873495572</v>
      </c>
      <c r="B941" s="46" t="str">
        <f>IFERROR(__xludf.DUMMYFUNCTION("""COMPUTED_VALUE"""),"Sheetal gulati")</f>
        <v>Sheetal gulati</v>
      </c>
      <c r="C941" s="5" t="s">
        <v>2002</v>
      </c>
      <c r="D941" s="5"/>
      <c r="E941" s="5"/>
      <c r="F941" s="5"/>
      <c r="G941" s="5"/>
      <c r="H941" s="5"/>
      <c r="I941" s="5"/>
      <c r="J941" s="73"/>
      <c r="K941" s="75" t="str">
        <f>IFERROR(__xludf.DUMMYFUNCTION("""COMPUTED_VALUE"""),"")</f>
        <v/>
      </c>
      <c r="L941" s="75"/>
      <c r="M941" s="46" t="s">
        <v>2002</v>
      </c>
    </row>
    <row r="942">
      <c r="A942" s="70">
        <f>IFERROR(__xludf.DUMMYFUNCTION("""COMPUTED_VALUE"""),8.010020026E9)</f>
        <v>8010020026</v>
      </c>
      <c r="B942" s="46" t="str">
        <f>IFERROR(__xludf.DUMMYFUNCTION("""COMPUTED_VALUE"""),"Shalini")</f>
        <v>Shalini</v>
      </c>
      <c r="C942" s="5" t="s">
        <v>2002</v>
      </c>
      <c r="D942" s="5"/>
      <c r="E942" s="5"/>
      <c r="F942" s="5"/>
      <c r="G942" s="5"/>
      <c r="H942" s="5"/>
      <c r="I942" s="5"/>
      <c r="J942" s="73"/>
      <c r="K942" s="75" t="str">
        <f>IFERROR(__xludf.DUMMYFUNCTION("""COMPUTED_VALUE"""),"")</f>
        <v/>
      </c>
      <c r="L942" s="75"/>
      <c r="M942" s="46" t="s">
        <v>2002</v>
      </c>
    </row>
    <row r="943">
      <c r="A943" s="70">
        <f>IFERROR(__xludf.DUMMYFUNCTION("""COMPUTED_VALUE"""),8.882755234E9)</f>
        <v>8882755234</v>
      </c>
      <c r="B943" s="46" t="str">
        <f>IFERROR(__xludf.DUMMYFUNCTION("""COMPUTED_VALUE"""),"Navneet kaur")</f>
        <v>Navneet kaur</v>
      </c>
      <c r="C943" s="5" t="s">
        <v>2002</v>
      </c>
      <c r="D943" s="5"/>
      <c r="E943" s="5"/>
      <c r="F943" s="5"/>
      <c r="G943" s="5"/>
      <c r="H943" s="5"/>
      <c r="I943" s="5"/>
      <c r="J943" s="73"/>
      <c r="K943" s="75" t="str">
        <f>IFERROR(__xludf.DUMMYFUNCTION("""COMPUTED_VALUE"""),"")</f>
        <v/>
      </c>
      <c r="L943" s="75"/>
      <c r="M943" s="46" t="s">
        <v>2002</v>
      </c>
    </row>
    <row r="944">
      <c r="A944" s="70">
        <f>IFERROR(__xludf.DUMMYFUNCTION("""COMPUTED_VALUE"""),8.368099274E9)</f>
        <v>8368099274</v>
      </c>
      <c r="B944" s="46" t="str">
        <f>IFERROR(__xludf.DUMMYFUNCTION("""COMPUTED_VALUE"""),"Ram gopal")</f>
        <v>Ram gopal</v>
      </c>
      <c r="C944" s="5" t="s">
        <v>2002</v>
      </c>
      <c r="D944" s="5"/>
      <c r="E944" s="5"/>
      <c r="F944" s="5"/>
      <c r="G944" s="5"/>
      <c r="H944" s="5"/>
      <c r="I944" s="5"/>
      <c r="J944" s="73"/>
      <c r="K944" s="75" t="str">
        <f>IFERROR(__xludf.DUMMYFUNCTION("""COMPUTED_VALUE"""),"")</f>
        <v/>
      </c>
      <c r="L944" s="75"/>
      <c r="M944" s="46" t="s">
        <v>2002</v>
      </c>
    </row>
    <row r="945">
      <c r="A945" s="70">
        <f>IFERROR(__xludf.DUMMYFUNCTION("""COMPUTED_VALUE"""),8.8008189E9)</f>
        <v>8800818900</v>
      </c>
      <c r="B945" s="46" t="str">
        <f>IFERROR(__xludf.DUMMYFUNCTION("""COMPUTED_VALUE"""),"Hitesh")</f>
        <v>Hitesh</v>
      </c>
      <c r="C945" s="5" t="s">
        <v>2002</v>
      </c>
      <c r="D945" s="5"/>
      <c r="E945" s="5"/>
      <c r="F945" s="5"/>
      <c r="G945" s="5"/>
      <c r="H945" s="5"/>
      <c r="I945" s="5"/>
      <c r="J945" s="73"/>
      <c r="K945" s="75" t="str">
        <f>IFERROR(__xludf.DUMMYFUNCTION("""COMPUTED_VALUE"""),"")</f>
        <v/>
      </c>
      <c r="L945" s="75"/>
      <c r="M945" s="46" t="s">
        <v>2002</v>
      </c>
    </row>
    <row r="946">
      <c r="A946" s="70">
        <f>IFERROR(__xludf.DUMMYFUNCTION("""COMPUTED_VALUE"""),8.527143705E9)</f>
        <v>8527143705</v>
      </c>
      <c r="B946" s="46" t="str">
        <f>IFERROR(__xludf.DUMMYFUNCTION("""COMPUTED_VALUE"""),"Sakshi")</f>
        <v>Sakshi</v>
      </c>
      <c r="C946" s="5" t="s">
        <v>2002</v>
      </c>
      <c r="D946" s="5"/>
      <c r="E946" s="5"/>
      <c r="F946" s="5"/>
      <c r="G946" s="5"/>
      <c r="H946" s="5"/>
      <c r="I946" s="5"/>
      <c r="J946" s="73"/>
      <c r="K946" s="75" t="str">
        <f>IFERROR(__xludf.DUMMYFUNCTION("""COMPUTED_VALUE"""),"")</f>
        <v/>
      </c>
      <c r="L946" s="75"/>
      <c r="M946" s="46" t="s">
        <v>2002</v>
      </c>
    </row>
    <row r="947">
      <c r="A947" s="70">
        <f>IFERROR(__xludf.DUMMYFUNCTION("""COMPUTED_VALUE"""),8.076208273E9)</f>
        <v>8076208273</v>
      </c>
      <c r="B947" s="46" t="str">
        <f>IFERROR(__xludf.DUMMYFUNCTION("""COMPUTED_VALUE"""),"Meenakshi Jain ")</f>
        <v>Meenakshi Jain </v>
      </c>
      <c r="C947" s="5" t="s">
        <v>2002</v>
      </c>
      <c r="D947" s="5"/>
      <c r="E947" s="5"/>
      <c r="F947" s="5"/>
      <c r="G947" s="5"/>
      <c r="H947" s="5"/>
      <c r="I947" s="5"/>
      <c r="J947" s="73"/>
      <c r="K947" s="75" t="str">
        <f>IFERROR(__xludf.DUMMYFUNCTION("""COMPUTED_VALUE"""),"")</f>
        <v/>
      </c>
      <c r="L947" s="75"/>
      <c r="M947" s="46" t="s">
        <v>2002</v>
      </c>
    </row>
    <row r="948">
      <c r="A948" s="70">
        <f>IFERROR(__xludf.DUMMYFUNCTION("""COMPUTED_VALUE"""),9.910940756E9)</f>
        <v>9910940756</v>
      </c>
      <c r="B948" s="46" t="str">
        <f>IFERROR(__xludf.DUMMYFUNCTION("""COMPUTED_VALUE"""),"Lalita")</f>
        <v>Lalita</v>
      </c>
      <c r="C948" s="5" t="s">
        <v>2002</v>
      </c>
      <c r="D948" s="5"/>
      <c r="E948" s="5"/>
      <c r="F948" s="5"/>
      <c r="G948" s="5"/>
      <c r="H948" s="5"/>
      <c r="I948" s="5"/>
      <c r="J948" s="73"/>
      <c r="K948" s="75" t="str">
        <f>IFERROR(__xludf.DUMMYFUNCTION("""COMPUTED_VALUE"""),"")</f>
        <v/>
      </c>
      <c r="L948" s="75"/>
      <c r="M948" s="46" t="s">
        <v>2002</v>
      </c>
    </row>
    <row r="949">
      <c r="A949" s="70">
        <f>IFERROR(__xludf.DUMMYFUNCTION("""COMPUTED_VALUE"""),9.999210796E9)</f>
        <v>9999210796</v>
      </c>
      <c r="B949" s="46" t="str">
        <f>IFERROR(__xludf.DUMMYFUNCTION("""COMPUTED_VALUE"""),"Anu ")</f>
        <v>Anu </v>
      </c>
      <c r="C949" s="5" t="s">
        <v>2002</v>
      </c>
      <c r="D949" s="5"/>
      <c r="E949" s="5"/>
      <c r="F949" s="5"/>
      <c r="G949" s="5"/>
      <c r="H949" s="5"/>
      <c r="I949" s="5"/>
      <c r="J949" s="73"/>
      <c r="K949" s="75" t="str">
        <f>IFERROR(__xludf.DUMMYFUNCTION("""COMPUTED_VALUE"""),"")</f>
        <v/>
      </c>
      <c r="L949" s="75"/>
      <c r="M949" s="46" t="s">
        <v>2002</v>
      </c>
    </row>
    <row r="950">
      <c r="A950" s="70">
        <f>IFERROR(__xludf.DUMMYFUNCTION("""COMPUTED_VALUE"""),8.899812772E9)</f>
        <v>8899812772</v>
      </c>
      <c r="B950" s="46" t="str">
        <f>IFERROR(__xludf.DUMMYFUNCTION("""COMPUTED_VALUE"""),"Meenakshi ")</f>
        <v>Meenakshi </v>
      </c>
      <c r="C950" s="5" t="s">
        <v>2002</v>
      </c>
      <c r="D950" s="5"/>
      <c r="E950" s="5"/>
      <c r="F950" s="5"/>
      <c r="G950" s="5"/>
      <c r="H950" s="5"/>
      <c r="I950" s="5"/>
      <c r="J950" s="73"/>
      <c r="K950" s="75" t="str">
        <f>IFERROR(__xludf.DUMMYFUNCTION("""COMPUTED_VALUE"""),"")</f>
        <v/>
      </c>
      <c r="L950" s="75"/>
      <c r="M950" s="46" t="s">
        <v>2002</v>
      </c>
    </row>
    <row r="951">
      <c r="A951" s="70">
        <f>IFERROR(__xludf.DUMMYFUNCTION("""COMPUTED_VALUE"""),9.891895787E9)</f>
        <v>9891895787</v>
      </c>
      <c r="B951" s="46" t="str">
        <f>IFERROR(__xludf.DUMMYFUNCTION("""COMPUTED_VALUE"""),"Aftab ahmad")</f>
        <v>Aftab ahmad</v>
      </c>
      <c r="C951" s="5" t="s">
        <v>2002</v>
      </c>
      <c r="D951" s="5"/>
      <c r="E951" s="5"/>
      <c r="F951" s="5"/>
      <c r="G951" s="5"/>
      <c r="H951" s="5"/>
      <c r="I951" s="5"/>
      <c r="J951" s="73"/>
      <c r="K951" s="75" t="str">
        <f>IFERROR(__xludf.DUMMYFUNCTION("""COMPUTED_VALUE"""),"")</f>
        <v/>
      </c>
      <c r="L951" s="75"/>
      <c r="M951" s="46" t="s">
        <v>2002</v>
      </c>
    </row>
    <row r="952">
      <c r="A952" s="70">
        <f>IFERROR(__xludf.DUMMYFUNCTION("""COMPUTED_VALUE"""),9.71622356E9)</f>
        <v>9716223560</v>
      </c>
      <c r="B952" s="46" t="str">
        <f>IFERROR(__xludf.DUMMYFUNCTION("""COMPUTED_VALUE"""),"Mohd aizaz")</f>
        <v>Mohd aizaz</v>
      </c>
      <c r="C952" s="5" t="s">
        <v>2002</v>
      </c>
      <c r="D952" s="5"/>
      <c r="E952" s="5"/>
      <c r="F952" s="5"/>
      <c r="G952" s="5"/>
      <c r="H952" s="5"/>
      <c r="I952" s="5"/>
      <c r="J952" s="73"/>
      <c r="K952" s="75" t="str">
        <f>IFERROR(__xludf.DUMMYFUNCTION("""COMPUTED_VALUE"""),"")</f>
        <v/>
      </c>
      <c r="L952" s="75"/>
      <c r="M952" s="46" t="s">
        <v>2002</v>
      </c>
    </row>
    <row r="953">
      <c r="A953" s="70">
        <f>IFERROR(__xludf.DUMMYFUNCTION("""COMPUTED_VALUE"""),9.312939315E9)</f>
        <v>9312939315</v>
      </c>
      <c r="B953" s="46" t="str">
        <f>IFERROR(__xludf.DUMMYFUNCTION("""COMPUTED_VALUE"""),"Umar")</f>
        <v>Umar</v>
      </c>
      <c r="C953" s="5" t="s">
        <v>2002</v>
      </c>
      <c r="D953" s="5"/>
      <c r="E953" s="5"/>
      <c r="F953" s="5"/>
      <c r="G953" s="5"/>
      <c r="H953" s="5"/>
      <c r="I953" s="5"/>
      <c r="J953" s="73"/>
      <c r="K953" s="75" t="str">
        <f>IFERROR(__xludf.DUMMYFUNCTION("""COMPUTED_VALUE"""),"")</f>
        <v/>
      </c>
      <c r="L953" s="75"/>
      <c r="M953" s="46" t="s">
        <v>2002</v>
      </c>
    </row>
    <row r="954">
      <c r="A954" s="70">
        <f>IFERROR(__xludf.DUMMYFUNCTION("""COMPUTED_VALUE"""),6.268776844E9)</f>
        <v>6268776844</v>
      </c>
      <c r="B954" s="46" t="str">
        <f>IFERROR(__xludf.DUMMYFUNCTION("""COMPUTED_VALUE"""),"Kapil Jain")</f>
        <v>Kapil Jain</v>
      </c>
      <c r="C954" s="5" t="s">
        <v>2002</v>
      </c>
      <c r="D954" s="5"/>
      <c r="E954" s="5"/>
      <c r="F954" s="5"/>
      <c r="G954" s="5"/>
      <c r="H954" s="5"/>
      <c r="I954" s="5"/>
      <c r="J954" s="73"/>
      <c r="K954" s="75" t="str">
        <f>IFERROR(__xludf.DUMMYFUNCTION("""COMPUTED_VALUE"""),"")</f>
        <v/>
      </c>
      <c r="L954" s="75"/>
      <c r="M954" s="46" t="s">
        <v>2002</v>
      </c>
    </row>
    <row r="955">
      <c r="A955" s="70">
        <f>IFERROR(__xludf.DUMMYFUNCTION("""COMPUTED_VALUE"""),9.71697718E9)</f>
        <v>9716977180</v>
      </c>
      <c r="B955" s="46" t="str">
        <f>IFERROR(__xludf.DUMMYFUNCTION("""COMPUTED_VALUE"""),"Piyush")</f>
        <v>Piyush</v>
      </c>
      <c r="C955" s="5" t="s">
        <v>2002</v>
      </c>
      <c r="D955" s="5"/>
      <c r="E955" s="5"/>
      <c r="F955" s="5"/>
      <c r="G955" s="5"/>
      <c r="H955" s="5"/>
      <c r="I955" s="5"/>
      <c r="J955" s="73"/>
      <c r="K955" s="75" t="str">
        <f>IFERROR(__xludf.DUMMYFUNCTION("""COMPUTED_VALUE"""),"")</f>
        <v/>
      </c>
      <c r="L955" s="75"/>
      <c r="M955" s="46" t="s">
        <v>2002</v>
      </c>
    </row>
    <row r="956">
      <c r="A956" s="70">
        <f>IFERROR(__xludf.DUMMYFUNCTION("""COMPUTED_VALUE"""),9.899148028E9)</f>
        <v>9899148028</v>
      </c>
      <c r="B956" s="46" t="str">
        <f>IFERROR(__xludf.DUMMYFUNCTION("""COMPUTED_VALUE"""),"Nidesh Kumari")</f>
        <v>Nidesh Kumari</v>
      </c>
      <c r="C956" s="5" t="s">
        <v>2002</v>
      </c>
      <c r="D956" s="5"/>
      <c r="E956" s="5"/>
      <c r="F956" s="5"/>
      <c r="G956" s="5"/>
      <c r="H956" s="5"/>
      <c r="I956" s="5"/>
      <c r="J956" s="73"/>
      <c r="K956" s="75" t="str">
        <f>IFERROR(__xludf.DUMMYFUNCTION("""COMPUTED_VALUE"""),"")</f>
        <v/>
      </c>
      <c r="L956" s="75"/>
      <c r="M956" s="46" t="s">
        <v>2002</v>
      </c>
    </row>
    <row r="957">
      <c r="A957" s="70">
        <f>IFERROR(__xludf.DUMMYFUNCTION("""COMPUTED_VALUE"""),8.802701137E9)</f>
        <v>8802701137</v>
      </c>
      <c r="B957" s="46" t="str">
        <f>IFERROR(__xludf.DUMMYFUNCTION("""COMPUTED_VALUE"""),"Rahul")</f>
        <v>Rahul</v>
      </c>
      <c r="C957" s="5" t="s">
        <v>2002</v>
      </c>
      <c r="D957" s="5"/>
      <c r="E957" s="5"/>
      <c r="F957" s="5"/>
      <c r="G957" s="5"/>
      <c r="H957" s="5"/>
      <c r="I957" s="5"/>
      <c r="J957" s="73"/>
      <c r="K957" s="75" t="str">
        <f>IFERROR(__xludf.DUMMYFUNCTION("""COMPUTED_VALUE"""),"")</f>
        <v/>
      </c>
      <c r="L957" s="75"/>
      <c r="M957" s="46" t="s">
        <v>2002</v>
      </c>
    </row>
    <row r="958">
      <c r="A958" s="70">
        <f>IFERROR(__xludf.DUMMYFUNCTION("""COMPUTED_VALUE"""),9.968276693E9)</f>
        <v>9968276693</v>
      </c>
      <c r="B958" s="46" t="str">
        <f>IFERROR(__xludf.DUMMYFUNCTION("""COMPUTED_VALUE"""),"Mohan chand")</f>
        <v>Mohan chand</v>
      </c>
      <c r="C958" s="5" t="s">
        <v>2002</v>
      </c>
      <c r="D958" s="5"/>
      <c r="E958" s="5"/>
      <c r="F958" s="5"/>
      <c r="G958" s="5"/>
      <c r="H958" s="5"/>
      <c r="I958" s="5"/>
      <c r="J958" s="73"/>
      <c r="K958" s="75" t="str">
        <f>IFERROR(__xludf.DUMMYFUNCTION("""COMPUTED_VALUE"""),"")</f>
        <v/>
      </c>
      <c r="L958" s="75"/>
      <c r="M958" s="46" t="s">
        <v>2002</v>
      </c>
    </row>
    <row r="959">
      <c r="A959" s="70">
        <f>IFERROR(__xludf.DUMMYFUNCTION("""COMPUTED_VALUE"""),8.287873362E9)</f>
        <v>8287873362</v>
      </c>
      <c r="B959" s="46" t="str">
        <f>IFERROR(__xludf.DUMMYFUNCTION("""COMPUTED_VALUE"""),"Sonu")</f>
        <v>Sonu</v>
      </c>
      <c r="C959" s="5" t="s">
        <v>2002</v>
      </c>
      <c r="D959" s="5"/>
      <c r="E959" s="5"/>
      <c r="F959" s="5"/>
      <c r="G959" s="5"/>
      <c r="H959" s="5"/>
      <c r="I959" s="5"/>
      <c r="J959" s="73"/>
      <c r="K959" s="75" t="str">
        <f>IFERROR(__xludf.DUMMYFUNCTION("""COMPUTED_VALUE"""),"")</f>
        <v/>
      </c>
      <c r="L959" s="75"/>
      <c r="M959" s="46" t="s">
        <v>2002</v>
      </c>
    </row>
    <row r="960">
      <c r="A960" s="70">
        <f>IFERROR(__xludf.DUMMYFUNCTION("""COMPUTED_VALUE"""),8.368885439E9)</f>
        <v>8368885439</v>
      </c>
      <c r="B960" s="46" t="str">
        <f>IFERROR(__xludf.DUMMYFUNCTION("""COMPUTED_VALUE"""),"Reena")</f>
        <v>Reena</v>
      </c>
      <c r="C960" s="5" t="s">
        <v>2002</v>
      </c>
      <c r="D960" s="5"/>
      <c r="E960" s="5"/>
      <c r="F960" s="5"/>
      <c r="G960" s="5"/>
      <c r="H960" s="5"/>
      <c r="I960" s="5"/>
      <c r="J960" s="73"/>
      <c r="K960" s="75" t="str">
        <f>IFERROR(__xludf.DUMMYFUNCTION("""COMPUTED_VALUE"""),"")</f>
        <v/>
      </c>
      <c r="L960" s="75"/>
      <c r="M960" s="46" t="s">
        <v>2002</v>
      </c>
    </row>
    <row r="961">
      <c r="A961" s="70">
        <f>IFERROR(__xludf.DUMMYFUNCTION("""COMPUTED_VALUE"""),7.865438945E9)</f>
        <v>7865438945</v>
      </c>
      <c r="B961" s="46" t="str">
        <f>IFERROR(__xludf.DUMMYFUNCTION("""COMPUTED_VALUE"""),"sidhi")</f>
        <v>sidhi</v>
      </c>
      <c r="C961" s="5" t="s">
        <v>2002</v>
      </c>
      <c r="D961" s="5"/>
      <c r="E961" s="5"/>
      <c r="F961" s="5"/>
      <c r="G961" s="5"/>
      <c r="H961" s="5"/>
      <c r="I961" s="5"/>
      <c r="J961" s="73"/>
      <c r="K961" s="75" t="str">
        <f>IFERROR(__xludf.DUMMYFUNCTION("""COMPUTED_VALUE"""),"")</f>
        <v/>
      </c>
      <c r="L961" s="75"/>
      <c r="M961" s="46" t="s">
        <v>2002</v>
      </c>
    </row>
    <row r="962">
      <c r="A962" s="70">
        <f>IFERROR(__xludf.DUMMYFUNCTION("""COMPUTED_VALUE"""),8.86090329E9)</f>
        <v>8860903290</v>
      </c>
      <c r="B962" s="46" t="str">
        <f>IFERROR(__xludf.DUMMYFUNCTION("""COMPUTED_VALUE"""),"Dhenuka")</f>
        <v>Dhenuka</v>
      </c>
      <c r="C962" s="5" t="s">
        <v>2002</v>
      </c>
      <c r="D962" s="5"/>
      <c r="E962" s="5"/>
      <c r="F962" s="5"/>
      <c r="G962" s="5"/>
      <c r="H962" s="5"/>
      <c r="I962" s="5"/>
      <c r="J962" s="73"/>
      <c r="K962" s="75" t="str">
        <f>IFERROR(__xludf.DUMMYFUNCTION("""COMPUTED_VALUE"""),"")</f>
        <v/>
      </c>
      <c r="L962" s="75"/>
      <c r="M962" s="46" t="s">
        <v>2002</v>
      </c>
    </row>
    <row r="963">
      <c r="A963" s="70">
        <f>IFERROR(__xludf.DUMMYFUNCTION("""COMPUTED_VALUE"""),8.766230092E9)</f>
        <v>8766230092</v>
      </c>
      <c r="B963" s="46" t="str">
        <f>IFERROR(__xludf.DUMMYFUNCTION("""COMPUTED_VALUE"""),"Swati Tiwari ")</f>
        <v>Swati Tiwari </v>
      </c>
      <c r="C963" s="5" t="s">
        <v>2002</v>
      </c>
      <c r="D963" s="5"/>
      <c r="E963" s="5"/>
      <c r="F963" s="5"/>
      <c r="G963" s="5"/>
      <c r="H963" s="5"/>
      <c r="I963" s="5"/>
      <c r="J963" s="73"/>
      <c r="K963" s="75" t="str">
        <f>IFERROR(__xludf.DUMMYFUNCTION("""COMPUTED_VALUE"""),"")</f>
        <v/>
      </c>
      <c r="L963" s="75"/>
      <c r="M963" s="46" t="s">
        <v>2002</v>
      </c>
    </row>
    <row r="964">
      <c r="A964" s="70">
        <f>IFERROR(__xludf.DUMMYFUNCTION("""COMPUTED_VALUE"""),8.81049345E9)</f>
        <v>8810493450</v>
      </c>
      <c r="B964" s="46" t="str">
        <f>IFERROR(__xludf.DUMMYFUNCTION("""COMPUTED_VALUE"""),"Jagdish ")</f>
        <v>Jagdish </v>
      </c>
      <c r="C964" s="5" t="s">
        <v>2002</v>
      </c>
      <c r="D964" s="5"/>
      <c r="E964" s="5"/>
      <c r="F964" s="5"/>
      <c r="G964" s="5"/>
      <c r="H964" s="5"/>
      <c r="I964" s="5"/>
      <c r="J964" s="73"/>
      <c r="K964" s="75" t="str">
        <f>IFERROR(__xludf.DUMMYFUNCTION("""COMPUTED_VALUE"""),"")</f>
        <v/>
      </c>
      <c r="L964" s="75"/>
      <c r="M964" s="46" t="s">
        <v>2002</v>
      </c>
    </row>
    <row r="965">
      <c r="A965" s="70">
        <f>IFERROR(__xludf.DUMMYFUNCTION("""COMPUTED_VALUE"""),7.303909823E9)</f>
        <v>7303909823</v>
      </c>
      <c r="B965" s="46" t="str">
        <f>IFERROR(__xludf.DUMMYFUNCTION("""COMPUTED_VALUE"""),"Tarun Kumar")</f>
        <v>Tarun Kumar</v>
      </c>
      <c r="C965" s="5" t="s">
        <v>2002</v>
      </c>
      <c r="D965" s="5"/>
      <c r="E965" s="5"/>
      <c r="F965" s="5"/>
      <c r="G965" s="5"/>
      <c r="H965" s="5"/>
      <c r="I965" s="5"/>
      <c r="J965" s="73"/>
      <c r="K965" s="75" t="str">
        <f>IFERROR(__xludf.DUMMYFUNCTION("""COMPUTED_VALUE"""),"")</f>
        <v/>
      </c>
      <c r="L965" s="75"/>
      <c r="M965" s="46" t="s">
        <v>2002</v>
      </c>
    </row>
    <row r="966">
      <c r="A966" s="70">
        <f>IFERROR(__xludf.DUMMYFUNCTION("""COMPUTED_VALUE"""),9.910279845E9)</f>
        <v>9910279845</v>
      </c>
      <c r="B966" s="46" t="str">
        <f>IFERROR(__xludf.DUMMYFUNCTION("""COMPUTED_VALUE"""),"Sunny")</f>
        <v>Sunny</v>
      </c>
      <c r="C966" s="5" t="s">
        <v>2002</v>
      </c>
      <c r="D966" s="5"/>
      <c r="E966" s="5"/>
      <c r="F966" s="5"/>
      <c r="G966" s="5"/>
      <c r="H966" s="5"/>
      <c r="I966" s="5"/>
      <c r="J966" s="73"/>
      <c r="K966" s="75" t="str">
        <f>IFERROR(__xludf.DUMMYFUNCTION("""COMPUTED_VALUE"""),"")</f>
        <v/>
      </c>
      <c r="L966" s="75"/>
      <c r="M966" s="46" t="s">
        <v>2002</v>
      </c>
    </row>
    <row r="967">
      <c r="A967" s="70">
        <f>IFERROR(__xludf.DUMMYFUNCTION("""COMPUTED_VALUE"""),9.999705679E9)</f>
        <v>9999705679</v>
      </c>
      <c r="B967" s="46" t="str">
        <f>IFERROR(__xludf.DUMMYFUNCTION("""COMPUTED_VALUE"""),"Dr Manish")</f>
        <v>Dr Manish</v>
      </c>
      <c r="C967" s="5" t="s">
        <v>2002</v>
      </c>
      <c r="D967" s="5"/>
      <c r="E967" s="5"/>
      <c r="F967" s="5"/>
      <c r="G967" s="5"/>
      <c r="H967" s="5"/>
      <c r="I967" s="5"/>
      <c r="J967" s="73"/>
      <c r="K967" s="75" t="str">
        <f>IFERROR(__xludf.DUMMYFUNCTION("""COMPUTED_VALUE"""),"")</f>
        <v/>
      </c>
      <c r="L967" s="75"/>
      <c r="M967" s="46" t="s">
        <v>2002</v>
      </c>
    </row>
    <row r="968">
      <c r="A968" s="70">
        <f>IFERROR(__xludf.DUMMYFUNCTION("""COMPUTED_VALUE"""),9.953439074E9)</f>
        <v>9953439074</v>
      </c>
      <c r="B968" s="46" t="str">
        <f>IFERROR(__xludf.DUMMYFUNCTION("""COMPUTED_VALUE"""),"Nazreen")</f>
        <v>Nazreen</v>
      </c>
      <c r="C968" s="5" t="s">
        <v>2002</v>
      </c>
      <c r="D968" s="5"/>
      <c r="E968" s="5"/>
      <c r="F968" s="5"/>
      <c r="G968" s="5"/>
      <c r="H968" s="5"/>
      <c r="I968" s="5"/>
      <c r="J968" s="73"/>
      <c r="K968" s="75" t="str">
        <f>IFERROR(__xludf.DUMMYFUNCTION("""COMPUTED_VALUE"""),"")</f>
        <v/>
      </c>
      <c r="L968" s="75"/>
      <c r="M968" s="46" t="s">
        <v>2002</v>
      </c>
    </row>
    <row r="969">
      <c r="A969" s="70">
        <f>IFERROR(__xludf.DUMMYFUNCTION("""COMPUTED_VALUE"""),9.654263111E9)</f>
        <v>9654263111</v>
      </c>
      <c r="B969" s="46" t="str">
        <f>IFERROR(__xludf.DUMMYFUNCTION("""COMPUTED_VALUE"""),"Ridham ")</f>
        <v>Ridham </v>
      </c>
      <c r="C969" s="5" t="s">
        <v>2002</v>
      </c>
      <c r="D969" s="5"/>
      <c r="E969" s="5"/>
      <c r="F969" s="5"/>
      <c r="G969" s="5"/>
      <c r="H969" s="5"/>
      <c r="I969" s="5"/>
      <c r="J969" s="73"/>
      <c r="K969" s="75" t="str">
        <f>IFERROR(__xludf.DUMMYFUNCTION("""COMPUTED_VALUE"""),"")</f>
        <v/>
      </c>
      <c r="L969" s="75"/>
      <c r="M969" s="46" t="s">
        <v>2002</v>
      </c>
    </row>
    <row r="970">
      <c r="A970" s="70">
        <f>IFERROR(__xludf.DUMMYFUNCTION("""COMPUTED_VALUE"""),9.810060342E9)</f>
        <v>9810060342</v>
      </c>
      <c r="B970" s="46" t="str">
        <f>IFERROR(__xludf.DUMMYFUNCTION("""COMPUTED_VALUE"""),"Mukesh Kumar ji")</f>
        <v>Mukesh Kumar ji</v>
      </c>
      <c r="C970" s="5" t="s">
        <v>2002</v>
      </c>
      <c r="D970" s="5"/>
      <c r="E970" s="5"/>
      <c r="F970" s="5"/>
      <c r="G970" s="5"/>
      <c r="H970" s="5"/>
      <c r="I970" s="5"/>
      <c r="J970" s="73"/>
      <c r="K970" s="75" t="str">
        <f>IFERROR(__xludf.DUMMYFUNCTION("""COMPUTED_VALUE"""),"")</f>
        <v/>
      </c>
      <c r="L970" s="75"/>
      <c r="M970" s="46" t="s">
        <v>2002</v>
      </c>
    </row>
    <row r="971">
      <c r="A971" s="70">
        <f>IFERROR(__xludf.DUMMYFUNCTION("""COMPUTED_VALUE"""),9.711915674E9)</f>
        <v>9711915674</v>
      </c>
      <c r="B971" s="46" t="str">
        <f>IFERROR(__xludf.DUMMYFUNCTION("""COMPUTED_VALUE"""),"Geeta rajora")</f>
        <v>Geeta rajora</v>
      </c>
      <c r="C971" s="5" t="s">
        <v>2002</v>
      </c>
      <c r="D971" s="5"/>
      <c r="E971" s="5"/>
      <c r="F971" s="5"/>
      <c r="G971" s="5"/>
      <c r="H971" s="5"/>
      <c r="I971" s="5"/>
      <c r="J971" s="73"/>
      <c r="K971" s="75" t="str">
        <f>IFERROR(__xludf.DUMMYFUNCTION("""COMPUTED_VALUE"""),"")</f>
        <v/>
      </c>
      <c r="L971" s="75"/>
      <c r="M971" s="46" t="s">
        <v>2002</v>
      </c>
    </row>
    <row r="972">
      <c r="A972" s="70">
        <f>IFERROR(__xludf.DUMMYFUNCTION("""COMPUTED_VALUE"""),9.911283363E9)</f>
        <v>9911283363</v>
      </c>
      <c r="B972" s="46" t="str">
        <f>IFERROR(__xludf.DUMMYFUNCTION("""COMPUTED_VALUE"""),"Neha Malhotra")</f>
        <v>Neha Malhotra</v>
      </c>
      <c r="C972" s="5" t="s">
        <v>2002</v>
      </c>
      <c r="D972" s="5"/>
      <c r="E972" s="5"/>
      <c r="F972" s="5"/>
      <c r="G972" s="5"/>
      <c r="H972" s="5"/>
      <c r="I972" s="5"/>
      <c r="J972" s="73"/>
      <c r="K972" s="75" t="str">
        <f>IFERROR(__xludf.DUMMYFUNCTION("""COMPUTED_VALUE"""),"")</f>
        <v/>
      </c>
      <c r="L972" s="75"/>
      <c r="M972" s="46" t="s">
        <v>2002</v>
      </c>
    </row>
    <row r="973">
      <c r="A973" s="70">
        <f>IFERROR(__xludf.DUMMYFUNCTION("""COMPUTED_VALUE"""),9.330474187E9)</f>
        <v>9330474187</v>
      </c>
      <c r="B973" s="46" t="str">
        <f>IFERROR(__xludf.DUMMYFUNCTION("""COMPUTED_VALUE"""),"Madhu mugda")</f>
        <v>Madhu mugda</v>
      </c>
      <c r="C973" s="5" t="s">
        <v>2002</v>
      </c>
      <c r="D973" s="5"/>
      <c r="E973" s="5"/>
      <c r="F973" s="5"/>
      <c r="G973" s="5"/>
      <c r="H973" s="5"/>
      <c r="I973" s="5"/>
      <c r="J973" s="73"/>
      <c r="K973" s="75" t="str">
        <f>IFERROR(__xludf.DUMMYFUNCTION("""COMPUTED_VALUE"""),"")</f>
        <v/>
      </c>
      <c r="L973" s="75"/>
      <c r="M973" s="46" t="s">
        <v>2002</v>
      </c>
    </row>
    <row r="974">
      <c r="A974" s="70">
        <f>IFERROR(__xludf.DUMMYFUNCTION("""COMPUTED_VALUE"""),9.250514939E9)</f>
        <v>9250514939</v>
      </c>
      <c r="B974" s="46" t="str">
        <f>IFERROR(__xludf.DUMMYFUNCTION("""COMPUTED_VALUE"""),"pushpa")</f>
        <v>pushpa</v>
      </c>
      <c r="C974" s="5" t="s">
        <v>2002</v>
      </c>
      <c r="D974" s="5"/>
      <c r="E974" s="5"/>
      <c r="F974" s="5"/>
      <c r="G974" s="5"/>
      <c r="H974" s="5"/>
      <c r="I974" s="5"/>
      <c r="J974" s="73"/>
      <c r="K974" s="75" t="str">
        <f>IFERROR(__xludf.DUMMYFUNCTION("""COMPUTED_VALUE"""),"")</f>
        <v/>
      </c>
      <c r="L974" s="75"/>
      <c r="M974" s="46" t="s">
        <v>2002</v>
      </c>
    </row>
    <row r="975">
      <c r="A975" s="70">
        <f>IFERROR(__xludf.DUMMYFUNCTION("""COMPUTED_VALUE"""),8.447181518E9)</f>
        <v>8447181518</v>
      </c>
      <c r="B975" s="46" t="str">
        <f>IFERROR(__xludf.DUMMYFUNCTION("""COMPUTED_VALUE"""),"Shalendra Joshi")</f>
        <v>Shalendra Joshi</v>
      </c>
      <c r="C975" s="5" t="s">
        <v>2002</v>
      </c>
      <c r="D975" s="5"/>
      <c r="E975" s="5"/>
      <c r="F975" s="5"/>
      <c r="G975" s="5"/>
      <c r="H975" s="5"/>
      <c r="I975" s="5"/>
      <c r="J975" s="73"/>
      <c r="K975" s="75" t="str">
        <f>IFERROR(__xludf.DUMMYFUNCTION("""COMPUTED_VALUE"""),"")</f>
        <v/>
      </c>
      <c r="L975" s="75"/>
      <c r="M975" s="46" t="s">
        <v>2002</v>
      </c>
    </row>
    <row r="976">
      <c r="A976" s="70">
        <f>IFERROR(__xludf.DUMMYFUNCTION("""COMPUTED_VALUE"""),9.953333888E9)</f>
        <v>9953333888</v>
      </c>
      <c r="B976" s="46" t="str">
        <f>IFERROR(__xludf.DUMMYFUNCTION("""COMPUTED_VALUE"""),"Shadab")</f>
        <v>Shadab</v>
      </c>
      <c r="C976" s="5" t="s">
        <v>2002</v>
      </c>
      <c r="D976" s="5"/>
      <c r="E976" s="5"/>
      <c r="F976" s="5"/>
      <c r="G976" s="5"/>
      <c r="H976" s="5"/>
      <c r="I976" s="5"/>
      <c r="J976" s="73"/>
      <c r="K976" s="75" t="str">
        <f>IFERROR(__xludf.DUMMYFUNCTION("""COMPUTED_VALUE"""),"")</f>
        <v/>
      </c>
      <c r="L976" s="75"/>
      <c r="M976" s="46" t="s">
        <v>2002</v>
      </c>
    </row>
    <row r="977">
      <c r="A977" s="70">
        <f>IFERROR(__xludf.DUMMYFUNCTION("""COMPUTED_VALUE"""),9.891213715E9)</f>
        <v>9891213715</v>
      </c>
      <c r="B977" s="46" t="str">
        <f>IFERROR(__xludf.DUMMYFUNCTION("""COMPUTED_VALUE"""),"Gulvinder Singh")</f>
        <v>Gulvinder Singh</v>
      </c>
      <c r="C977" s="5" t="s">
        <v>2002</v>
      </c>
      <c r="D977" s="5"/>
      <c r="E977" s="5"/>
      <c r="F977" s="5"/>
      <c r="G977" s="5"/>
      <c r="H977" s="5"/>
      <c r="I977" s="5"/>
      <c r="J977" s="73"/>
      <c r="K977" s="75" t="str">
        <f>IFERROR(__xludf.DUMMYFUNCTION("""COMPUTED_VALUE"""),"")</f>
        <v/>
      </c>
      <c r="L977" s="75"/>
      <c r="M977" s="46" t="s">
        <v>2002</v>
      </c>
    </row>
    <row r="978">
      <c r="A978" s="70">
        <f>IFERROR(__xludf.DUMMYFUNCTION("""COMPUTED_VALUE"""),9.990461394E9)</f>
        <v>9990461394</v>
      </c>
      <c r="B978" s="46" t="str">
        <f>IFERROR(__xludf.DUMMYFUNCTION("""COMPUTED_VALUE"""),"Rajeev")</f>
        <v>Rajeev</v>
      </c>
      <c r="C978" s="5" t="s">
        <v>2002</v>
      </c>
      <c r="D978" s="5"/>
      <c r="E978" s="5"/>
      <c r="F978" s="5"/>
      <c r="G978" s="5"/>
      <c r="H978" s="5"/>
      <c r="I978" s="5"/>
      <c r="J978" s="73"/>
      <c r="K978" s="75" t="str">
        <f>IFERROR(__xludf.DUMMYFUNCTION("""COMPUTED_VALUE"""),"")</f>
        <v/>
      </c>
      <c r="L978" s="75"/>
      <c r="M978" s="46" t="s">
        <v>2002</v>
      </c>
    </row>
    <row r="979">
      <c r="A979" s="70">
        <f>IFERROR(__xludf.DUMMYFUNCTION("""COMPUTED_VALUE"""),8.700163219E9)</f>
        <v>8700163219</v>
      </c>
      <c r="B979" s="46" t="str">
        <f>IFERROR(__xludf.DUMMYFUNCTION("""COMPUTED_VALUE"""),"Himanshu")</f>
        <v>Himanshu</v>
      </c>
      <c r="C979" s="5" t="s">
        <v>2002</v>
      </c>
      <c r="D979" s="5"/>
      <c r="E979" s="5"/>
      <c r="F979" s="5"/>
      <c r="G979" s="5"/>
      <c r="H979" s="5"/>
      <c r="I979" s="5"/>
      <c r="J979" s="73"/>
      <c r="K979" s="75" t="str">
        <f>IFERROR(__xludf.DUMMYFUNCTION("""COMPUTED_VALUE"""),"")</f>
        <v/>
      </c>
      <c r="L979" s="75"/>
      <c r="M979" s="46" t="s">
        <v>2002</v>
      </c>
    </row>
    <row r="980">
      <c r="A980" s="70">
        <f>IFERROR(__xludf.DUMMYFUNCTION("""COMPUTED_VALUE"""),9.729700362E9)</f>
        <v>9729700362</v>
      </c>
      <c r="B980" s="46" t="str">
        <f>IFERROR(__xludf.DUMMYFUNCTION("""COMPUTED_VALUE"""),"purva Mittal")</f>
        <v>purva Mittal</v>
      </c>
      <c r="C980" s="5" t="s">
        <v>2002</v>
      </c>
      <c r="D980" s="5"/>
      <c r="E980" s="5"/>
      <c r="F980" s="5"/>
      <c r="G980" s="5"/>
      <c r="H980" s="5"/>
      <c r="I980" s="5"/>
      <c r="J980" s="73"/>
      <c r="K980" s="75" t="str">
        <f>IFERROR(__xludf.DUMMYFUNCTION("""COMPUTED_VALUE"""),"")</f>
        <v/>
      </c>
      <c r="L980" s="75"/>
      <c r="M980" s="46" t="s">
        <v>2002</v>
      </c>
    </row>
    <row r="981">
      <c r="A981" s="70">
        <f>IFERROR(__xludf.DUMMYFUNCTION("""COMPUTED_VALUE"""),9.990624396E9)</f>
        <v>9990624396</v>
      </c>
      <c r="B981" s="46" t="str">
        <f>IFERROR(__xludf.DUMMYFUNCTION("""COMPUTED_VALUE"""),"Aarti ")</f>
        <v>Aarti </v>
      </c>
      <c r="C981" s="5" t="s">
        <v>2002</v>
      </c>
      <c r="D981" s="5"/>
      <c r="E981" s="5"/>
      <c r="F981" s="5"/>
      <c r="G981" s="5"/>
      <c r="H981" s="5"/>
      <c r="I981" s="5"/>
      <c r="J981" s="73"/>
      <c r="K981" s="75" t="str">
        <f>IFERROR(__xludf.DUMMYFUNCTION("""COMPUTED_VALUE"""),"")</f>
        <v/>
      </c>
      <c r="L981" s="75"/>
      <c r="M981" s="46" t="s">
        <v>2002</v>
      </c>
    </row>
    <row r="982">
      <c r="A982" s="70">
        <f>IFERROR(__xludf.DUMMYFUNCTION("""COMPUTED_VALUE"""),9.718664805E9)</f>
        <v>9718664805</v>
      </c>
      <c r="B982" s="46" t="str">
        <f>IFERROR(__xludf.DUMMYFUNCTION("""COMPUTED_VALUE"""),"Manoj ")</f>
        <v>Manoj </v>
      </c>
      <c r="C982" s="5" t="s">
        <v>2002</v>
      </c>
      <c r="D982" s="5"/>
      <c r="E982" s="5"/>
      <c r="F982" s="5"/>
      <c r="G982" s="5"/>
      <c r="H982" s="5"/>
      <c r="I982" s="5"/>
      <c r="J982" s="73"/>
      <c r="K982" s="75" t="str">
        <f>IFERROR(__xludf.DUMMYFUNCTION("""COMPUTED_VALUE"""),"")</f>
        <v/>
      </c>
      <c r="L982" s="75"/>
      <c r="M982" s="46" t="s">
        <v>2002</v>
      </c>
    </row>
    <row r="983">
      <c r="A983" s="70">
        <f>IFERROR(__xludf.DUMMYFUNCTION("""COMPUTED_VALUE"""),6.392239885E9)</f>
        <v>6392239885</v>
      </c>
      <c r="B983" s="46" t="str">
        <f>IFERROR(__xludf.DUMMYFUNCTION("""COMPUTED_VALUE"""),"Neeraj singh")</f>
        <v>Neeraj singh</v>
      </c>
      <c r="C983" s="5" t="s">
        <v>2002</v>
      </c>
      <c r="D983" s="5"/>
      <c r="E983" s="5"/>
      <c r="F983" s="5"/>
      <c r="G983" s="5"/>
      <c r="H983" s="5"/>
      <c r="I983" s="5"/>
      <c r="J983" s="73"/>
      <c r="K983" s="75" t="str">
        <f>IFERROR(__xludf.DUMMYFUNCTION("""COMPUTED_VALUE"""),"")</f>
        <v/>
      </c>
      <c r="L983" s="75"/>
      <c r="M983" s="46" t="s">
        <v>2002</v>
      </c>
    </row>
    <row r="984">
      <c r="A984" s="70">
        <f>IFERROR(__xludf.DUMMYFUNCTION("""COMPUTED_VALUE"""),9.891798934E9)</f>
        <v>9891798934</v>
      </c>
      <c r="B984" s="46" t="str">
        <f>IFERROR(__xludf.DUMMYFUNCTION("""COMPUTED_VALUE"""),"Sandeep Sharma")</f>
        <v>Sandeep Sharma</v>
      </c>
      <c r="C984" s="5" t="s">
        <v>2002</v>
      </c>
      <c r="D984" s="5"/>
      <c r="E984" s="5"/>
      <c r="F984" s="5"/>
      <c r="G984" s="5"/>
      <c r="H984" s="5"/>
      <c r="I984" s="5"/>
      <c r="J984" s="73"/>
      <c r="K984" s="75" t="str">
        <f>IFERROR(__xludf.DUMMYFUNCTION("""COMPUTED_VALUE"""),"")</f>
        <v/>
      </c>
      <c r="L984" s="75"/>
      <c r="M984" s="46" t="s">
        <v>2002</v>
      </c>
    </row>
    <row r="985">
      <c r="A985" s="70">
        <f>IFERROR(__xludf.DUMMYFUNCTION("""COMPUTED_VALUE"""),9.971752785E9)</f>
        <v>9971752785</v>
      </c>
      <c r="B985" s="46" t="str">
        <f>IFERROR(__xludf.DUMMYFUNCTION("""COMPUTED_VALUE"""),"Sangeeta ")</f>
        <v>Sangeeta </v>
      </c>
      <c r="C985" s="5" t="s">
        <v>2002</v>
      </c>
      <c r="D985" s="5"/>
      <c r="E985" s="5"/>
      <c r="F985" s="5"/>
      <c r="G985" s="5"/>
      <c r="H985" s="5"/>
      <c r="I985" s="5"/>
      <c r="J985" s="73"/>
      <c r="K985" s="75" t="str">
        <f>IFERROR(__xludf.DUMMYFUNCTION("""COMPUTED_VALUE"""),"")</f>
        <v/>
      </c>
      <c r="L985" s="75"/>
      <c r="M985" s="46" t="s">
        <v>2002</v>
      </c>
    </row>
    <row r="986">
      <c r="A986" s="70">
        <f>IFERROR(__xludf.DUMMYFUNCTION("""COMPUTED_VALUE"""),9.82141704E9)</f>
        <v>9821417040</v>
      </c>
      <c r="B986" s="46" t="str">
        <f>IFERROR(__xludf.DUMMYFUNCTION("""COMPUTED_VALUE"""),"Ridhi")</f>
        <v>Ridhi</v>
      </c>
      <c r="C986" s="5" t="s">
        <v>2002</v>
      </c>
      <c r="D986" s="5"/>
      <c r="E986" s="5"/>
      <c r="F986" s="5"/>
      <c r="G986" s="5"/>
      <c r="H986" s="5"/>
      <c r="I986" s="5"/>
      <c r="J986" s="73"/>
      <c r="K986" s="75" t="str">
        <f>IFERROR(__xludf.DUMMYFUNCTION("""COMPUTED_VALUE"""),"")</f>
        <v/>
      </c>
      <c r="L986" s="75"/>
      <c r="M986" s="46" t="s">
        <v>2002</v>
      </c>
    </row>
    <row r="987">
      <c r="A987" s="70">
        <f>IFERROR(__xludf.DUMMYFUNCTION("""COMPUTED_VALUE"""),7.309869999E9)</f>
        <v>7309869999</v>
      </c>
      <c r="B987" s="46" t="str">
        <f>IFERROR(__xludf.DUMMYFUNCTION("""COMPUTED_VALUE"""),"Rudra Shukla")</f>
        <v>Rudra Shukla</v>
      </c>
      <c r="C987" s="5" t="s">
        <v>2002</v>
      </c>
      <c r="D987" s="5"/>
      <c r="E987" s="5"/>
      <c r="F987" s="5"/>
      <c r="G987" s="5"/>
      <c r="H987" s="5"/>
      <c r="I987" s="5"/>
      <c r="J987" s="73"/>
      <c r="K987" s="75" t="str">
        <f>IFERROR(__xludf.DUMMYFUNCTION("""COMPUTED_VALUE"""),"")</f>
        <v/>
      </c>
      <c r="L987" s="75"/>
      <c r="M987" s="46" t="s">
        <v>2002</v>
      </c>
    </row>
    <row r="988">
      <c r="A988" s="70">
        <f>IFERROR(__xludf.DUMMYFUNCTION("""COMPUTED_VALUE"""),8.802267064E9)</f>
        <v>8802267064</v>
      </c>
      <c r="B988" s="46" t="str">
        <f>IFERROR(__xludf.DUMMYFUNCTION("""COMPUTED_VALUE"""),"Chandra prakash")</f>
        <v>Chandra prakash</v>
      </c>
      <c r="C988" s="5" t="s">
        <v>2002</v>
      </c>
      <c r="D988" s="5"/>
      <c r="E988" s="5"/>
      <c r="F988" s="5"/>
      <c r="G988" s="5"/>
      <c r="H988" s="5"/>
      <c r="I988" s="5"/>
      <c r="J988" s="73"/>
      <c r="K988" s="75" t="str">
        <f>IFERROR(__xludf.DUMMYFUNCTION("""COMPUTED_VALUE"""),"")</f>
        <v/>
      </c>
      <c r="L988" s="75"/>
      <c r="M988" s="46" t="s">
        <v>2002</v>
      </c>
    </row>
    <row r="989">
      <c r="A989" s="70">
        <f>IFERROR(__xludf.DUMMYFUNCTION("""COMPUTED_VALUE"""),9.91183818E9)</f>
        <v>9911838180</v>
      </c>
      <c r="B989" s="46" t="str">
        <f>IFERROR(__xludf.DUMMYFUNCTION("""COMPUTED_VALUE"""),"Shiv prakash")</f>
        <v>Shiv prakash</v>
      </c>
      <c r="C989" s="5" t="s">
        <v>2002</v>
      </c>
      <c r="D989" s="5"/>
      <c r="E989" s="5"/>
      <c r="F989" s="5"/>
      <c r="G989" s="5"/>
      <c r="H989" s="5"/>
      <c r="I989" s="5"/>
      <c r="J989" s="73"/>
      <c r="K989" s="75" t="str">
        <f>IFERROR(__xludf.DUMMYFUNCTION("""COMPUTED_VALUE"""),"")</f>
        <v/>
      </c>
      <c r="L989" s="75"/>
      <c r="M989" s="46" t="s">
        <v>2002</v>
      </c>
    </row>
    <row r="990">
      <c r="A990" s="70">
        <f>IFERROR(__xludf.DUMMYFUNCTION("""COMPUTED_VALUE"""),9.289289534E9)</f>
        <v>9289289534</v>
      </c>
      <c r="B990" s="46" t="str">
        <f>IFERROR(__xludf.DUMMYFUNCTION("""COMPUTED_VALUE"""),"Utsav")</f>
        <v>Utsav</v>
      </c>
      <c r="C990" s="5" t="s">
        <v>2002</v>
      </c>
      <c r="D990" s="5"/>
      <c r="E990" s="5"/>
      <c r="F990" s="5"/>
      <c r="G990" s="5"/>
      <c r="H990" s="5"/>
      <c r="I990" s="5"/>
      <c r="J990" s="73"/>
      <c r="K990" s="75" t="str">
        <f>IFERROR(__xludf.DUMMYFUNCTION("""COMPUTED_VALUE"""),"")</f>
        <v/>
      </c>
      <c r="L990" s="75"/>
      <c r="M990" s="46" t="s">
        <v>2002</v>
      </c>
    </row>
    <row r="991">
      <c r="A991" s="70">
        <f>IFERROR(__xludf.DUMMYFUNCTION("""COMPUTED_VALUE"""),6.307415417E9)</f>
        <v>6307415417</v>
      </c>
      <c r="B991" s="46" t="str">
        <f>IFERROR(__xludf.DUMMYFUNCTION("""COMPUTED_VALUE"""),"Rohit pandey")</f>
        <v>Rohit pandey</v>
      </c>
      <c r="C991" s="5" t="s">
        <v>2002</v>
      </c>
      <c r="D991" s="5"/>
      <c r="E991" s="5"/>
      <c r="F991" s="5"/>
      <c r="G991" s="5"/>
      <c r="H991" s="5"/>
      <c r="I991" s="5"/>
      <c r="J991" s="73"/>
      <c r="K991" s="75" t="str">
        <f>IFERROR(__xludf.DUMMYFUNCTION("""COMPUTED_VALUE"""),"")</f>
        <v/>
      </c>
      <c r="L991" s="75"/>
      <c r="M991" s="46" t="s">
        <v>2002</v>
      </c>
    </row>
    <row r="992">
      <c r="A992" s="70">
        <f>IFERROR(__xludf.DUMMYFUNCTION("""COMPUTED_VALUE"""),9.319783433E9)</f>
        <v>9319783433</v>
      </c>
      <c r="B992" s="46" t="str">
        <f>IFERROR(__xludf.DUMMYFUNCTION("""COMPUTED_VALUE"""),"Yamini")</f>
        <v>Yamini</v>
      </c>
      <c r="C992" s="5" t="s">
        <v>2002</v>
      </c>
      <c r="D992" s="5"/>
      <c r="E992" s="5"/>
      <c r="F992" s="5"/>
      <c r="G992" s="5"/>
      <c r="H992" s="5"/>
      <c r="I992" s="5"/>
      <c r="J992" s="73"/>
      <c r="K992" s="75" t="str">
        <f>IFERROR(__xludf.DUMMYFUNCTION("""COMPUTED_VALUE"""),"")</f>
        <v/>
      </c>
      <c r="L992" s="75"/>
      <c r="M992" s="46" t="s">
        <v>2002</v>
      </c>
    </row>
    <row r="993">
      <c r="A993" s="70">
        <f>IFERROR(__xludf.DUMMYFUNCTION("""COMPUTED_VALUE"""),8.59566401E9)</f>
        <v>8595664010</v>
      </c>
      <c r="B993" s="46" t="str">
        <f>IFERROR(__xludf.DUMMYFUNCTION("""COMPUTED_VALUE"""),"Archana")</f>
        <v>Archana</v>
      </c>
      <c r="C993" s="5" t="s">
        <v>2002</v>
      </c>
      <c r="D993" s="5"/>
      <c r="E993" s="5"/>
      <c r="F993" s="5"/>
      <c r="G993" s="5"/>
      <c r="H993" s="5"/>
      <c r="I993" s="5"/>
      <c r="J993" s="73"/>
      <c r="K993" s="75" t="str">
        <f>IFERROR(__xludf.DUMMYFUNCTION("""COMPUTED_VALUE"""),"")</f>
        <v/>
      </c>
      <c r="L993" s="75"/>
      <c r="M993" s="46" t="s">
        <v>2002</v>
      </c>
    </row>
    <row r="994">
      <c r="A994" s="70">
        <f>IFERROR(__xludf.DUMMYFUNCTION("""COMPUTED_VALUE"""),9.871918755E9)</f>
        <v>9871918755</v>
      </c>
      <c r="B994" s="46" t="str">
        <f>IFERROR(__xludf.DUMMYFUNCTION("""COMPUTED_VALUE"""),"Dhanjay")</f>
        <v>Dhanjay</v>
      </c>
      <c r="C994" s="5" t="s">
        <v>2002</v>
      </c>
      <c r="D994" s="5"/>
      <c r="E994" s="5"/>
      <c r="F994" s="5"/>
      <c r="G994" s="5"/>
      <c r="H994" s="5"/>
      <c r="I994" s="5"/>
      <c r="J994" s="73"/>
      <c r="K994" s="75" t="str">
        <f>IFERROR(__xludf.DUMMYFUNCTION("""COMPUTED_VALUE"""),"")</f>
        <v/>
      </c>
      <c r="L994" s="75"/>
      <c r="M994" s="46" t="s">
        <v>2002</v>
      </c>
    </row>
    <row r="995">
      <c r="A995" s="70">
        <f>IFERROR(__xludf.DUMMYFUNCTION("""COMPUTED_VALUE"""),7.21780303E9)</f>
        <v>7217803030</v>
      </c>
      <c r="B995" s="46" t="str">
        <f>IFERROR(__xludf.DUMMYFUNCTION("""COMPUTED_VALUE"""),"Pradeep kumaar")</f>
        <v>Pradeep kumaar</v>
      </c>
      <c r="C995" s="5" t="s">
        <v>2002</v>
      </c>
      <c r="D995" s="5"/>
      <c r="E995" s="5"/>
      <c r="F995" s="5"/>
      <c r="G995" s="5"/>
      <c r="H995" s="5"/>
      <c r="I995" s="5"/>
      <c r="J995" s="73"/>
      <c r="K995" s="75" t="str">
        <f>IFERROR(__xludf.DUMMYFUNCTION("""COMPUTED_VALUE"""),"")</f>
        <v/>
      </c>
      <c r="L995" s="75"/>
      <c r="M995" s="46" t="s">
        <v>2002</v>
      </c>
    </row>
    <row r="996">
      <c r="A996" s="70">
        <f>IFERROR(__xludf.DUMMYFUNCTION("""COMPUTED_VALUE"""),9.415420095E9)</f>
        <v>9415420095</v>
      </c>
      <c r="B996" s="46" t="str">
        <f>IFERROR(__xludf.DUMMYFUNCTION("""COMPUTED_VALUE"""),"Amit Sharma ")</f>
        <v>Amit Sharma </v>
      </c>
      <c r="C996" s="5" t="s">
        <v>2002</v>
      </c>
      <c r="D996" s="5"/>
      <c r="E996" s="5"/>
      <c r="F996" s="5"/>
      <c r="G996" s="5"/>
      <c r="H996" s="5"/>
      <c r="I996" s="5"/>
      <c r="J996" s="73"/>
      <c r="K996" s="75" t="str">
        <f>IFERROR(__xludf.DUMMYFUNCTION("""COMPUTED_VALUE"""),"")</f>
        <v/>
      </c>
      <c r="L996" s="75"/>
      <c r="M996" s="46" t="s">
        <v>2002</v>
      </c>
    </row>
    <row r="997">
      <c r="A997" s="70">
        <f>IFERROR(__xludf.DUMMYFUNCTION("""COMPUTED_VALUE"""),8.800823533E9)</f>
        <v>8800823533</v>
      </c>
      <c r="B997" s="46" t="str">
        <f>IFERROR(__xludf.DUMMYFUNCTION("""COMPUTED_VALUE"""),"Renu")</f>
        <v>Renu</v>
      </c>
      <c r="C997" s="5" t="s">
        <v>2002</v>
      </c>
      <c r="D997" s="5"/>
      <c r="E997" s="5"/>
      <c r="F997" s="5"/>
      <c r="G997" s="5"/>
      <c r="H997" s="5"/>
      <c r="I997" s="5"/>
      <c r="J997" s="73"/>
      <c r="K997" s="75" t="str">
        <f>IFERROR(__xludf.DUMMYFUNCTION("""COMPUTED_VALUE"""),"")</f>
        <v/>
      </c>
      <c r="L997" s="75"/>
      <c r="M997" s="46" t="s">
        <v>2002</v>
      </c>
    </row>
    <row r="998">
      <c r="A998" s="70">
        <f>IFERROR(__xludf.DUMMYFUNCTION("""COMPUTED_VALUE"""),9.999243234E9)</f>
        <v>9999243234</v>
      </c>
      <c r="B998" s="46" t="str">
        <f>IFERROR(__xludf.DUMMYFUNCTION("""COMPUTED_VALUE"""),"Rakhi goyal")</f>
        <v>Rakhi goyal</v>
      </c>
      <c r="C998" s="5" t="s">
        <v>2002</v>
      </c>
      <c r="D998" s="5"/>
      <c r="E998" s="5"/>
      <c r="F998" s="5"/>
      <c r="G998" s="5"/>
      <c r="H998" s="5"/>
      <c r="I998" s="5"/>
      <c r="J998" s="73"/>
      <c r="K998" s="75" t="str">
        <f>IFERROR(__xludf.DUMMYFUNCTION("""COMPUTED_VALUE"""),"")</f>
        <v/>
      </c>
      <c r="L998" s="75"/>
      <c r="M998" s="46" t="s">
        <v>2002</v>
      </c>
    </row>
    <row r="999">
      <c r="A999" s="70">
        <f>IFERROR(__xludf.DUMMYFUNCTION("""COMPUTED_VALUE"""),9.999497806E9)</f>
        <v>9999497806</v>
      </c>
      <c r="B999" s="46" t="str">
        <f>IFERROR(__xludf.DUMMYFUNCTION("""COMPUTED_VALUE"""),"Mahesh yogi")</f>
        <v>Mahesh yogi</v>
      </c>
      <c r="C999" s="5" t="s">
        <v>2002</v>
      </c>
      <c r="D999" s="5"/>
      <c r="E999" s="5"/>
      <c r="F999" s="5"/>
      <c r="G999" s="5"/>
      <c r="H999" s="5"/>
      <c r="I999" s="5"/>
      <c r="J999" s="73"/>
      <c r="K999" s="75" t="str">
        <f>IFERROR(__xludf.DUMMYFUNCTION("""COMPUTED_VALUE"""),"")</f>
        <v/>
      </c>
      <c r="L999" s="75"/>
      <c r="M999" s="46" t="s">
        <v>2002</v>
      </c>
    </row>
    <row r="1000">
      <c r="A1000" s="70">
        <f>IFERROR(__xludf.DUMMYFUNCTION("""COMPUTED_VALUE"""),7.053705E9)</f>
        <v>7053705000</v>
      </c>
      <c r="B1000" s="46" t="str">
        <f>IFERROR(__xludf.DUMMYFUNCTION("""COMPUTED_VALUE"""),"Ayushi goyal ")</f>
        <v>Ayushi goyal </v>
      </c>
      <c r="C1000" s="5" t="s">
        <v>2002</v>
      </c>
      <c r="D1000" s="5"/>
      <c r="E1000" s="5"/>
      <c r="F1000" s="5"/>
      <c r="G1000" s="5"/>
      <c r="H1000" s="5"/>
      <c r="I1000" s="5"/>
      <c r="J1000" s="73"/>
      <c r="K1000" s="75" t="str">
        <f>IFERROR(__xludf.DUMMYFUNCTION("""COMPUTED_VALUE"""),"")</f>
        <v/>
      </c>
      <c r="L1000" s="75"/>
      <c r="M1000" s="46" t="s">
        <v>2002</v>
      </c>
    </row>
    <row r="1001">
      <c r="A1001" s="70">
        <f>IFERROR(__xludf.DUMMYFUNCTION("""COMPUTED_VALUE"""),8.750561049E9)</f>
        <v>8750561049</v>
      </c>
      <c r="B1001" s="46" t="str">
        <f>IFERROR(__xludf.DUMMYFUNCTION("""COMPUTED_VALUE"""),"Sumit gupta ")</f>
        <v>Sumit gupta </v>
      </c>
      <c r="C1001" s="5" t="s">
        <v>2002</v>
      </c>
      <c r="D1001" s="5"/>
      <c r="E1001" s="5"/>
      <c r="F1001" s="5"/>
      <c r="G1001" s="5"/>
      <c r="H1001" s="5"/>
      <c r="I1001" s="5"/>
      <c r="J1001" s="73"/>
      <c r="K1001" s="75" t="str">
        <f>IFERROR(__xludf.DUMMYFUNCTION("""COMPUTED_VALUE"""),"")</f>
        <v/>
      </c>
      <c r="L1001" s="75"/>
      <c r="M1001" s="46" t="s">
        <v>2002</v>
      </c>
    </row>
    <row r="1002">
      <c r="A1002" s="70">
        <f>IFERROR(__xludf.DUMMYFUNCTION("""COMPUTED_VALUE"""),9.873803496E9)</f>
        <v>9873803496</v>
      </c>
      <c r="B1002" s="46" t="str">
        <f>IFERROR(__xludf.DUMMYFUNCTION("""COMPUTED_VALUE"""),"Anju Gupta")</f>
        <v>Anju Gupta</v>
      </c>
      <c r="C1002" s="5" t="s">
        <v>2002</v>
      </c>
      <c r="D1002" s="5"/>
      <c r="E1002" s="5"/>
      <c r="F1002" s="5"/>
      <c r="G1002" s="5"/>
      <c r="H1002" s="5"/>
      <c r="I1002" s="5"/>
      <c r="J1002" s="73"/>
      <c r="K1002" s="75" t="str">
        <f>IFERROR(__xludf.DUMMYFUNCTION("""COMPUTED_VALUE"""),"")</f>
        <v/>
      </c>
      <c r="L1002" s="75"/>
      <c r="M1002" s="46" t="s">
        <v>2002</v>
      </c>
    </row>
    <row r="1003">
      <c r="A1003" s="70">
        <f>IFERROR(__xludf.DUMMYFUNCTION("""COMPUTED_VALUE"""),9.927077337E9)</f>
        <v>9927077337</v>
      </c>
      <c r="B1003" s="46" t="str">
        <f>IFERROR(__xludf.DUMMYFUNCTION("""COMPUTED_VALUE"""),"Atul Varma ")</f>
        <v>Atul Varma </v>
      </c>
      <c r="C1003" s="5" t="s">
        <v>2002</v>
      </c>
      <c r="D1003" s="5"/>
      <c r="E1003" s="5"/>
      <c r="F1003" s="5"/>
      <c r="G1003" s="5"/>
      <c r="H1003" s="5"/>
      <c r="I1003" s="5"/>
      <c r="J1003" s="73"/>
      <c r="K1003" s="75" t="str">
        <f>IFERROR(__xludf.DUMMYFUNCTION("""COMPUTED_VALUE"""),"")</f>
        <v/>
      </c>
      <c r="L1003" s="75"/>
      <c r="M1003" s="46" t="s">
        <v>2002</v>
      </c>
    </row>
    <row r="1004">
      <c r="A1004" s="70">
        <f>IFERROR(__xludf.DUMMYFUNCTION("""COMPUTED_VALUE"""),9.643729767E9)</f>
        <v>9643729767</v>
      </c>
      <c r="B1004" s="46" t="str">
        <f>IFERROR(__xludf.DUMMYFUNCTION("""COMPUTED_VALUE"""),"Piyush")</f>
        <v>Piyush</v>
      </c>
      <c r="C1004" s="5" t="s">
        <v>2002</v>
      </c>
      <c r="D1004" s="5"/>
      <c r="E1004" s="5"/>
      <c r="F1004" s="5"/>
      <c r="G1004" s="5"/>
      <c r="H1004" s="5"/>
      <c r="I1004" s="5"/>
      <c r="J1004" s="73"/>
      <c r="K1004" s="75" t="str">
        <f>IFERROR(__xludf.DUMMYFUNCTION("""COMPUTED_VALUE"""),"")</f>
        <v/>
      </c>
      <c r="L1004" s="75"/>
      <c r="M1004" s="46" t="s">
        <v>2002</v>
      </c>
    </row>
    <row r="1005">
      <c r="A1005" s="70">
        <f>IFERROR(__xludf.DUMMYFUNCTION("""COMPUTED_VALUE"""),9.853461225E9)</f>
        <v>9853461225</v>
      </c>
      <c r="B1005" s="46" t="str">
        <f>IFERROR(__xludf.DUMMYFUNCTION("""COMPUTED_VALUE"""),"Gautam garg ")</f>
        <v>Gautam garg </v>
      </c>
      <c r="C1005" s="5" t="s">
        <v>2002</v>
      </c>
      <c r="D1005" s="5"/>
      <c r="E1005" s="5"/>
      <c r="F1005" s="5"/>
      <c r="G1005" s="5"/>
      <c r="H1005" s="5"/>
      <c r="I1005" s="5"/>
      <c r="J1005" s="73"/>
      <c r="K1005" s="75" t="str">
        <f>IFERROR(__xludf.DUMMYFUNCTION("""COMPUTED_VALUE"""),"")</f>
        <v/>
      </c>
      <c r="L1005" s="75"/>
      <c r="M1005" s="46" t="s">
        <v>2002</v>
      </c>
    </row>
    <row r="1006">
      <c r="A1006" s="70">
        <f>IFERROR(__xludf.DUMMYFUNCTION("""COMPUTED_VALUE"""),9.268628111E9)</f>
        <v>9268628111</v>
      </c>
      <c r="B1006" s="46" t="str">
        <f>IFERROR(__xludf.DUMMYFUNCTION("""COMPUTED_VALUE"""),"Sunita")</f>
        <v>Sunita</v>
      </c>
      <c r="C1006" s="5" t="s">
        <v>2002</v>
      </c>
      <c r="D1006" s="5"/>
      <c r="E1006" s="5"/>
      <c r="F1006" s="5"/>
      <c r="G1006" s="5"/>
      <c r="H1006" s="5"/>
      <c r="I1006" s="5"/>
      <c r="J1006" s="73"/>
      <c r="K1006" s="75" t="str">
        <f>IFERROR(__xludf.DUMMYFUNCTION("""COMPUTED_VALUE"""),"")</f>
        <v/>
      </c>
      <c r="L1006" s="75"/>
      <c r="M1006" s="46" t="s">
        <v>2002</v>
      </c>
    </row>
    <row r="1007">
      <c r="A1007" s="70">
        <f>IFERROR(__xludf.DUMMYFUNCTION("""COMPUTED_VALUE"""),7.291041711E9)</f>
        <v>7291041711</v>
      </c>
      <c r="B1007" s="46" t="str">
        <f>IFERROR(__xludf.DUMMYFUNCTION("""COMPUTED_VALUE"""),"Arjun")</f>
        <v>Arjun</v>
      </c>
      <c r="C1007" s="5" t="s">
        <v>2002</v>
      </c>
      <c r="D1007" s="5"/>
      <c r="E1007" s="5"/>
      <c r="F1007" s="5"/>
      <c r="G1007" s="5"/>
      <c r="H1007" s="5"/>
      <c r="I1007" s="5"/>
      <c r="J1007" s="73"/>
      <c r="K1007" s="75" t="str">
        <f>IFERROR(__xludf.DUMMYFUNCTION("""COMPUTED_VALUE"""),"")</f>
        <v/>
      </c>
      <c r="L1007" s="75"/>
      <c r="M1007" s="46" t="s">
        <v>2002</v>
      </c>
    </row>
    <row r="1008">
      <c r="A1008" s="70">
        <f>IFERROR(__xludf.DUMMYFUNCTION("""COMPUTED_VALUE"""),9.023590232E9)</f>
        <v>9023590232</v>
      </c>
      <c r="B1008" s="46" t="str">
        <f>IFERROR(__xludf.DUMMYFUNCTION("""COMPUTED_VALUE"""),"Charan Jeet ")</f>
        <v>Charan Jeet </v>
      </c>
      <c r="C1008" s="5" t="s">
        <v>2002</v>
      </c>
      <c r="D1008" s="5"/>
      <c r="E1008" s="5"/>
      <c r="F1008" s="5"/>
      <c r="G1008" s="5"/>
      <c r="H1008" s="5"/>
      <c r="I1008" s="5"/>
      <c r="J1008" s="73"/>
      <c r="K1008" s="75" t="str">
        <f>IFERROR(__xludf.DUMMYFUNCTION("""COMPUTED_VALUE"""),"")</f>
        <v/>
      </c>
      <c r="L1008" s="75"/>
      <c r="M1008" s="46" t="s">
        <v>2002</v>
      </c>
    </row>
    <row r="1009">
      <c r="A1009" s="70">
        <f>IFERROR(__xludf.DUMMYFUNCTION("""COMPUTED_VALUE"""),8.872600132E9)</f>
        <v>8872600132</v>
      </c>
      <c r="B1009" s="46" t="str">
        <f>IFERROR(__xludf.DUMMYFUNCTION("""COMPUTED_VALUE"""),"Mangal Singh ")</f>
        <v>Mangal Singh </v>
      </c>
      <c r="C1009" s="5" t="s">
        <v>2002</v>
      </c>
      <c r="D1009" s="5"/>
      <c r="E1009" s="5"/>
      <c r="F1009" s="5"/>
      <c r="G1009" s="5"/>
      <c r="H1009" s="5"/>
      <c r="I1009" s="5"/>
      <c r="J1009" s="73"/>
      <c r="K1009" s="75" t="str">
        <f>IFERROR(__xludf.DUMMYFUNCTION("""COMPUTED_VALUE"""),"")</f>
        <v/>
      </c>
      <c r="L1009" s="75"/>
      <c r="M1009" s="46" t="s">
        <v>2002</v>
      </c>
    </row>
    <row r="1010">
      <c r="A1010" s="70">
        <f>IFERROR(__xludf.DUMMYFUNCTION("""COMPUTED_VALUE"""),9.315846772E9)</f>
        <v>9315846772</v>
      </c>
      <c r="B1010" s="46" t="str">
        <f>IFERROR(__xludf.DUMMYFUNCTION("""COMPUTED_VALUE"""),"Jatin")</f>
        <v>Jatin</v>
      </c>
      <c r="C1010" s="5" t="s">
        <v>2002</v>
      </c>
      <c r="D1010" s="5"/>
      <c r="E1010" s="5"/>
      <c r="F1010" s="5"/>
      <c r="G1010" s="5"/>
      <c r="H1010" s="5"/>
      <c r="I1010" s="5"/>
      <c r="J1010" s="73"/>
      <c r="K1010" s="75" t="str">
        <f>IFERROR(__xludf.DUMMYFUNCTION("""COMPUTED_VALUE"""),"")</f>
        <v/>
      </c>
      <c r="L1010" s="75"/>
      <c r="M1010" s="46" t="s">
        <v>2002</v>
      </c>
    </row>
    <row r="1011">
      <c r="A1011" s="70">
        <f>IFERROR(__xludf.DUMMYFUNCTION("""COMPUTED_VALUE"""),8.586832051E9)</f>
        <v>8586832051</v>
      </c>
      <c r="B1011" s="46" t="str">
        <f>IFERROR(__xludf.DUMMYFUNCTION("""COMPUTED_VALUE"""),"Neeraj")</f>
        <v>Neeraj</v>
      </c>
      <c r="C1011" s="5" t="s">
        <v>2002</v>
      </c>
      <c r="D1011" s="5"/>
      <c r="E1011" s="5"/>
      <c r="F1011" s="5"/>
      <c r="G1011" s="5"/>
      <c r="H1011" s="5"/>
      <c r="I1011" s="5"/>
      <c r="J1011" s="73"/>
      <c r="K1011" s="75" t="str">
        <f>IFERROR(__xludf.DUMMYFUNCTION("""COMPUTED_VALUE"""),"")</f>
        <v/>
      </c>
      <c r="L1011" s="75"/>
      <c r="M1011" s="46" t="s">
        <v>2002</v>
      </c>
    </row>
    <row r="1012">
      <c r="A1012" s="70">
        <f>IFERROR(__xludf.DUMMYFUNCTION("""COMPUTED_VALUE"""),9.71722661E9)</f>
        <v>9717226610</v>
      </c>
      <c r="B1012" s="46" t="str">
        <f>IFERROR(__xludf.DUMMYFUNCTION("""COMPUTED_VALUE"""),"Chandan")</f>
        <v>Chandan</v>
      </c>
      <c r="C1012" s="5" t="s">
        <v>2002</v>
      </c>
      <c r="D1012" s="5"/>
      <c r="E1012" s="5"/>
      <c r="F1012" s="5"/>
      <c r="G1012" s="5"/>
      <c r="H1012" s="5"/>
      <c r="I1012" s="5"/>
      <c r="J1012" s="73"/>
      <c r="K1012" s="75" t="str">
        <f>IFERROR(__xludf.DUMMYFUNCTION("""COMPUTED_VALUE"""),"")</f>
        <v/>
      </c>
      <c r="L1012" s="75"/>
      <c r="M1012" s="46" t="s">
        <v>2002</v>
      </c>
    </row>
    <row r="1013">
      <c r="A1013" s="70">
        <f>IFERROR(__xludf.DUMMYFUNCTION("""COMPUTED_VALUE"""),9.868615196E9)</f>
        <v>9868615196</v>
      </c>
      <c r="B1013" s="46" t="str">
        <f>IFERROR(__xludf.DUMMYFUNCTION("""COMPUTED_VALUE"""),"Ruhi")</f>
        <v>Ruhi</v>
      </c>
      <c r="C1013" s="5" t="s">
        <v>2002</v>
      </c>
      <c r="D1013" s="5"/>
      <c r="E1013" s="5"/>
      <c r="F1013" s="5"/>
      <c r="G1013" s="5"/>
      <c r="H1013" s="5"/>
      <c r="I1013" s="5"/>
      <c r="J1013" s="73"/>
      <c r="K1013" s="75" t="str">
        <f>IFERROR(__xludf.DUMMYFUNCTION("""COMPUTED_VALUE"""),"")</f>
        <v/>
      </c>
      <c r="L1013" s="75"/>
      <c r="M1013" s="46" t="s">
        <v>2002</v>
      </c>
    </row>
    <row r="1014">
      <c r="A1014" s="70">
        <f>IFERROR(__xludf.DUMMYFUNCTION("""COMPUTED_VALUE"""),7.497045524E9)</f>
        <v>7497045524</v>
      </c>
      <c r="B1014" s="46" t="str">
        <f>IFERROR(__xludf.DUMMYFUNCTION("""COMPUTED_VALUE"""),"Palak")</f>
        <v>Palak</v>
      </c>
      <c r="C1014" s="5" t="s">
        <v>2002</v>
      </c>
      <c r="D1014" s="5"/>
      <c r="E1014" s="5"/>
      <c r="F1014" s="5"/>
      <c r="G1014" s="5"/>
      <c r="H1014" s="5"/>
      <c r="I1014" s="5"/>
      <c r="J1014" s="73"/>
      <c r="K1014" s="75" t="str">
        <f>IFERROR(__xludf.DUMMYFUNCTION("""COMPUTED_VALUE"""),"")</f>
        <v/>
      </c>
      <c r="L1014" s="75"/>
      <c r="M1014" s="46" t="s">
        <v>2002</v>
      </c>
    </row>
    <row r="1015">
      <c r="A1015" s="70">
        <f>IFERROR(__xludf.DUMMYFUNCTION("""COMPUTED_VALUE"""),9.899776667E9)</f>
        <v>9899776667</v>
      </c>
      <c r="B1015" s="46" t="str">
        <f>IFERROR(__xludf.DUMMYFUNCTION("""COMPUTED_VALUE"""),"Jassy")</f>
        <v>Jassy</v>
      </c>
      <c r="C1015" s="5" t="s">
        <v>2002</v>
      </c>
      <c r="D1015" s="5"/>
      <c r="E1015" s="5"/>
      <c r="F1015" s="5"/>
      <c r="G1015" s="5"/>
      <c r="H1015" s="5"/>
      <c r="I1015" s="5"/>
      <c r="J1015" s="73"/>
      <c r="K1015" s="75" t="str">
        <f>IFERROR(__xludf.DUMMYFUNCTION("""COMPUTED_VALUE"""),"")</f>
        <v/>
      </c>
      <c r="L1015" s="75"/>
      <c r="M1015" s="46" t="s">
        <v>2002</v>
      </c>
    </row>
    <row r="1016">
      <c r="A1016" s="70">
        <f>IFERROR(__xludf.DUMMYFUNCTION("""COMPUTED_VALUE"""),9.711131847E9)</f>
        <v>9711131847</v>
      </c>
      <c r="B1016" s="46" t="str">
        <f>IFERROR(__xludf.DUMMYFUNCTION("""COMPUTED_VALUE"""),"Deepak")</f>
        <v>Deepak</v>
      </c>
      <c r="C1016" s="5" t="s">
        <v>2002</v>
      </c>
      <c r="D1016" s="5"/>
      <c r="E1016" s="5"/>
      <c r="F1016" s="5"/>
      <c r="G1016" s="5"/>
      <c r="H1016" s="5"/>
      <c r="I1016" s="5"/>
      <c r="J1016" s="73"/>
      <c r="K1016" s="75" t="str">
        <f>IFERROR(__xludf.DUMMYFUNCTION("""COMPUTED_VALUE"""),"")</f>
        <v/>
      </c>
      <c r="L1016" s="75"/>
      <c r="M1016" s="46" t="s">
        <v>2002</v>
      </c>
    </row>
    <row r="1017">
      <c r="A1017" s="70">
        <f>IFERROR(__xludf.DUMMYFUNCTION("""COMPUTED_VALUE"""),7.404502502E9)</f>
        <v>7404502502</v>
      </c>
      <c r="B1017" s="46" t="str">
        <f>IFERROR(__xludf.DUMMYFUNCTION("""COMPUTED_VALUE"""),"Radhika Garg")</f>
        <v>Radhika Garg</v>
      </c>
      <c r="C1017" s="5" t="s">
        <v>2002</v>
      </c>
      <c r="D1017" s="5"/>
      <c r="E1017" s="5"/>
      <c r="F1017" s="5"/>
      <c r="G1017" s="5"/>
      <c r="H1017" s="5"/>
      <c r="I1017" s="5"/>
      <c r="J1017" s="73"/>
      <c r="K1017" s="75" t="str">
        <f>IFERROR(__xludf.DUMMYFUNCTION("""COMPUTED_VALUE"""),"")</f>
        <v/>
      </c>
      <c r="L1017" s="75"/>
      <c r="M1017" s="46" t="s">
        <v>2002</v>
      </c>
    </row>
    <row r="1018">
      <c r="A1018" s="70">
        <f>IFERROR(__xludf.DUMMYFUNCTION("""COMPUTED_VALUE"""),7.503402724E9)</f>
        <v>7503402724</v>
      </c>
      <c r="B1018" s="46" t="str">
        <f>IFERROR(__xludf.DUMMYFUNCTION("""COMPUTED_VALUE"""),"Om parkash")</f>
        <v>Om parkash</v>
      </c>
      <c r="C1018" s="5" t="s">
        <v>2002</v>
      </c>
      <c r="D1018" s="5"/>
      <c r="E1018" s="5"/>
      <c r="F1018" s="5"/>
      <c r="G1018" s="5"/>
      <c r="H1018" s="5"/>
      <c r="I1018" s="5"/>
      <c r="J1018" s="73"/>
      <c r="K1018" s="75" t="str">
        <f>IFERROR(__xludf.DUMMYFUNCTION("""COMPUTED_VALUE"""),"")</f>
        <v/>
      </c>
      <c r="L1018" s="75"/>
      <c r="M1018" s="46" t="s">
        <v>2002</v>
      </c>
    </row>
    <row r="1019">
      <c r="A1019" s="70">
        <f>IFERROR(__xludf.DUMMYFUNCTION("""COMPUTED_VALUE"""),8.447102059E9)</f>
        <v>8447102059</v>
      </c>
      <c r="B1019" s="46" t="str">
        <f>IFERROR(__xludf.DUMMYFUNCTION("""COMPUTED_VALUE"""),"Lal Chand ji ")</f>
        <v>Lal Chand ji </v>
      </c>
      <c r="C1019" s="5" t="s">
        <v>2002</v>
      </c>
      <c r="D1019" s="5"/>
      <c r="E1019" s="5"/>
      <c r="F1019" s="5"/>
      <c r="G1019" s="5"/>
      <c r="H1019" s="5"/>
      <c r="I1019" s="5"/>
      <c r="J1019" s="73"/>
      <c r="K1019" s="75" t="str">
        <f>IFERROR(__xludf.DUMMYFUNCTION("""COMPUTED_VALUE"""),"")</f>
        <v/>
      </c>
      <c r="L1019" s="75"/>
      <c r="M1019" s="46" t="s">
        <v>2002</v>
      </c>
    </row>
    <row r="1020">
      <c r="A1020" s="70">
        <f>IFERROR(__xludf.DUMMYFUNCTION("""COMPUTED_VALUE"""),9.871833443E9)</f>
        <v>9871833443</v>
      </c>
      <c r="B1020" s="46" t="str">
        <f>IFERROR(__xludf.DUMMYFUNCTION("""COMPUTED_VALUE"""),"Namrita")</f>
        <v>Namrita</v>
      </c>
      <c r="C1020" s="5" t="s">
        <v>2002</v>
      </c>
      <c r="D1020" s="5"/>
      <c r="E1020" s="5"/>
      <c r="F1020" s="5"/>
      <c r="G1020" s="5"/>
      <c r="H1020" s="5"/>
      <c r="I1020" s="5"/>
      <c r="J1020" s="73"/>
      <c r="K1020" s="75" t="str">
        <f>IFERROR(__xludf.DUMMYFUNCTION("""COMPUTED_VALUE"""),"")</f>
        <v/>
      </c>
      <c r="L1020" s="75"/>
      <c r="M1020" s="46" t="s">
        <v>2002</v>
      </c>
    </row>
    <row r="1021">
      <c r="A1021" s="70">
        <f>IFERROR(__xludf.DUMMYFUNCTION("""COMPUTED_VALUE"""),9.999271988E9)</f>
        <v>9999271988</v>
      </c>
      <c r="B1021" s="46" t="str">
        <f>IFERROR(__xludf.DUMMYFUNCTION("""COMPUTED_VALUE"""),"Lalita Jain ")</f>
        <v>Lalita Jain </v>
      </c>
      <c r="C1021" s="5" t="s">
        <v>2002</v>
      </c>
      <c r="D1021" s="5"/>
      <c r="E1021" s="5"/>
      <c r="F1021" s="5"/>
      <c r="G1021" s="5"/>
      <c r="H1021" s="5"/>
      <c r="I1021" s="5"/>
      <c r="J1021" s="73"/>
      <c r="K1021" s="75" t="str">
        <f>IFERROR(__xludf.DUMMYFUNCTION("""COMPUTED_VALUE"""),"")</f>
        <v/>
      </c>
      <c r="L1021" s="75"/>
      <c r="M1021" s="46" t="s">
        <v>2002</v>
      </c>
    </row>
    <row r="1022">
      <c r="A1022" s="70">
        <f>IFERROR(__xludf.DUMMYFUNCTION("""COMPUTED_VALUE"""),9.818201165E9)</f>
        <v>9818201165</v>
      </c>
      <c r="B1022" s="46" t="str">
        <f>IFERROR(__xludf.DUMMYFUNCTION("""COMPUTED_VALUE"""),"Sunita")</f>
        <v>Sunita</v>
      </c>
      <c r="C1022" s="5" t="s">
        <v>2002</v>
      </c>
      <c r="D1022" s="5"/>
      <c r="E1022" s="5"/>
      <c r="F1022" s="5"/>
      <c r="G1022" s="5"/>
      <c r="H1022" s="5"/>
      <c r="I1022" s="5"/>
      <c r="J1022" s="73"/>
      <c r="K1022" s="75" t="str">
        <f>IFERROR(__xludf.DUMMYFUNCTION("""COMPUTED_VALUE"""),"")</f>
        <v/>
      </c>
      <c r="L1022" s="75"/>
      <c r="M1022" s="46" t="s">
        <v>2002</v>
      </c>
    </row>
    <row r="1023">
      <c r="A1023" s="70">
        <f>IFERROR(__xludf.DUMMYFUNCTION("""COMPUTED_VALUE"""),9.045316587E9)</f>
        <v>9045316587</v>
      </c>
      <c r="B1023" s="46" t="str">
        <f>IFERROR(__xludf.DUMMYFUNCTION("""COMPUTED_VALUE"""),"Vishal Singh Chauhan ")</f>
        <v>Vishal Singh Chauhan </v>
      </c>
      <c r="C1023" s="5" t="s">
        <v>2002</v>
      </c>
      <c r="D1023" s="5"/>
      <c r="E1023" s="5"/>
      <c r="F1023" s="5"/>
      <c r="G1023" s="5"/>
      <c r="H1023" s="5"/>
      <c r="I1023" s="5"/>
      <c r="J1023" s="73"/>
      <c r="K1023" s="75" t="str">
        <f>IFERROR(__xludf.DUMMYFUNCTION("""COMPUTED_VALUE"""),"")</f>
        <v/>
      </c>
      <c r="L1023" s="75"/>
      <c r="M1023" s="46" t="s">
        <v>2002</v>
      </c>
    </row>
    <row r="1024">
      <c r="A1024" s="70">
        <f>IFERROR(__xludf.DUMMYFUNCTION("""COMPUTED_VALUE"""),9.818832206E9)</f>
        <v>9818832206</v>
      </c>
      <c r="B1024" s="46" t="str">
        <f>IFERROR(__xludf.DUMMYFUNCTION("""COMPUTED_VALUE"""),"Seema")</f>
        <v>Seema</v>
      </c>
      <c r="C1024" s="5" t="s">
        <v>2002</v>
      </c>
      <c r="D1024" s="5"/>
      <c r="E1024" s="5"/>
      <c r="F1024" s="5"/>
      <c r="G1024" s="5"/>
      <c r="H1024" s="5"/>
      <c r="I1024" s="5"/>
      <c r="J1024" s="73"/>
      <c r="K1024" s="75" t="str">
        <f>IFERROR(__xludf.DUMMYFUNCTION("""COMPUTED_VALUE"""),"")</f>
        <v/>
      </c>
      <c r="L1024" s="75"/>
      <c r="M1024" s="46" t="s">
        <v>2002</v>
      </c>
    </row>
    <row r="1025">
      <c r="A1025" s="70">
        <f>IFERROR(__xludf.DUMMYFUNCTION("""COMPUTED_VALUE"""),8.527092447E9)</f>
        <v>8527092447</v>
      </c>
      <c r="B1025" s="46" t="str">
        <f>IFERROR(__xludf.DUMMYFUNCTION("""COMPUTED_VALUE"""),"Anjali Gupta")</f>
        <v>Anjali Gupta</v>
      </c>
      <c r="C1025" s="5" t="s">
        <v>2002</v>
      </c>
      <c r="D1025" s="5"/>
      <c r="E1025" s="5"/>
      <c r="F1025" s="5"/>
      <c r="G1025" s="5"/>
      <c r="H1025" s="5"/>
      <c r="I1025" s="5"/>
      <c r="J1025" s="73"/>
      <c r="K1025" s="75" t="str">
        <f>IFERROR(__xludf.DUMMYFUNCTION("""COMPUTED_VALUE"""),"")</f>
        <v/>
      </c>
      <c r="L1025" s="75"/>
      <c r="M1025" s="46" t="s">
        <v>2002</v>
      </c>
    </row>
    <row r="1026">
      <c r="A1026" s="70">
        <f>IFERROR(__xludf.DUMMYFUNCTION("""COMPUTED_VALUE"""),9.56085265E9)</f>
        <v>9560852650</v>
      </c>
      <c r="B1026" s="46" t="str">
        <f>IFERROR(__xludf.DUMMYFUNCTION("""COMPUTED_VALUE"""),"pratisha ")</f>
        <v>pratisha </v>
      </c>
      <c r="C1026" s="5" t="s">
        <v>2002</v>
      </c>
      <c r="D1026" s="5"/>
      <c r="E1026" s="5"/>
      <c r="F1026" s="5"/>
      <c r="G1026" s="5"/>
      <c r="H1026" s="5"/>
      <c r="I1026" s="5"/>
      <c r="J1026" s="73"/>
      <c r="K1026" s="75" t="str">
        <f>IFERROR(__xludf.DUMMYFUNCTION("""COMPUTED_VALUE"""),"")</f>
        <v/>
      </c>
      <c r="L1026" s="75"/>
      <c r="M1026" s="46" t="s">
        <v>2002</v>
      </c>
    </row>
    <row r="1027">
      <c r="A1027" s="70">
        <f>IFERROR(__xludf.DUMMYFUNCTION("""COMPUTED_VALUE"""),7.500839839E9)</f>
        <v>7500839839</v>
      </c>
      <c r="B1027" s="46" t="str">
        <f>IFERROR(__xludf.DUMMYFUNCTION("""COMPUTED_VALUE"""),"Minti Bhatia ")</f>
        <v>Minti Bhatia </v>
      </c>
      <c r="C1027" s="5" t="s">
        <v>2002</v>
      </c>
      <c r="D1027" s="5"/>
      <c r="E1027" s="5"/>
      <c r="F1027" s="5"/>
      <c r="G1027" s="5"/>
      <c r="H1027" s="5"/>
      <c r="I1027" s="5"/>
      <c r="J1027" s="73"/>
      <c r="K1027" s="75" t="str">
        <f>IFERROR(__xludf.DUMMYFUNCTION("""COMPUTED_VALUE"""),"")</f>
        <v/>
      </c>
      <c r="L1027" s="75"/>
      <c r="M1027" s="46" t="s">
        <v>2002</v>
      </c>
    </row>
    <row r="1028">
      <c r="A1028" s="70">
        <f>IFERROR(__xludf.DUMMYFUNCTION("""COMPUTED_VALUE"""),9.211406027E9)</f>
        <v>9211406027</v>
      </c>
      <c r="B1028" s="46" t="str">
        <f>IFERROR(__xludf.DUMMYFUNCTION("""COMPUTED_VALUE"""),"sapna Tokas")</f>
        <v>sapna Tokas</v>
      </c>
      <c r="C1028" s="5" t="s">
        <v>2002</v>
      </c>
      <c r="D1028" s="5"/>
      <c r="E1028" s="5"/>
      <c r="F1028" s="5"/>
      <c r="G1028" s="5"/>
      <c r="H1028" s="5"/>
      <c r="I1028" s="5"/>
      <c r="J1028" s="73"/>
      <c r="K1028" s="75" t="str">
        <f>IFERROR(__xludf.DUMMYFUNCTION("""COMPUTED_VALUE"""),"")</f>
        <v/>
      </c>
      <c r="L1028" s="75"/>
      <c r="M1028" s="46" t="s">
        <v>2002</v>
      </c>
    </row>
    <row r="1029">
      <c r="A1029" s="70">
        <f>IFERROR(__xludf.DUMMYFUNCTION("""COMPUTED_VALUE"""),9.358401555E9)</f>
        <v>9358401555</v>
      </c>
      <c r="B1029" s="46" t="str">
        <f>IFERROR(__xludf.DUMMYFUNCTION("""COMPUTED_VALUE"""),"Vinod bansal")</f>
        <v>Vinod bansal</v>
      </c>
      <c r="C1029" s="5" t="s">
        <v>2002</v>
      </c>
      <c r="D1029" s="5"/>
      <c r="E1029" s="5"/>
      <c r="F1029" s="5"/>
      <c r="G1029" s="5"/>
      <c r="H1029" s="5"/>
      <c r="I1029" s="5"/>
      <c r="J1029" s="73"/>
      <c r="K1029" s="75" t="str">
        <f>IFERROR(__xludf.DUMMYFUNCTION("""COMPUTED_VALUE"""),"")</f>
        <v/>
      </c>
      <c r="L1029" s="75"/>
      <c r="M1029" s="46" t="s">
        <v>2002</v>
      </c>
    </row>
    <row r="1030">
      <c r="A1030" s="70">
        <f>IFERROR(__xludf.DUMMYFUNCTION("""COMPUTED_VALUE"""),9.810856174E9)</f>
        <v>9810856174</v>
      </c>
      <c r="B1030" s="46" t="str">
        <f>IFERROR(__xludf.DUMMYFUNCTION("""COMPUTED_VALUE"""),"Karishma")</f>
        <v>Karishma</v>
      </c>
      <c r="C1030" s="5" t="s">
        <v>2002</v>
      </c>
      <c r="D1030" s="5"/>
      <c r="E1030" s="5"/>
      <c r="F1030" s="5"/>
      <c r="G1030" s="5"/>
      <c r="H1030" s="5"/>
      <c r="I1030" s="5"/>
      <c r="J1030" s="73"/>
      <c r="K1030" s="75" t="str">
        <f>IFERROR(__xludf.DUMMYFUNCTION("""COMPUTED_VALUE"""),"")</f>
        <v/>
      </c>
      <c r="L1030" s="75"/>
      <c r="M1030" s="46" t="s">
        <v>2002</v>
      </c>
    </row>
    <row r="1031">
      <c r="A1031" s="70">
        <f>IFERROR(__xludf.DUMMYFUNCTION("""COMPUTED_VALUE"""),9.31099948E9)</f>
        <v>9310999480</v>
      </c>
      <c r="B1031" s="46" t="str">
        <f>IFERROR(__xludf.DUMMYFUNCTION("""COMPUTED_VALUE"""),"Umash gupta")</f>
        <v>Umash gupta</v>
      </c>
      <c r="C1031" s="5" t="s">
        <v>2002</v>
      </c>
      <c r="D1031" s="5"/>
      <c r="E1031" s="5"/>
      <c r="F1031" s="5"/>
      <c r="G1031" s="5"/>
      <c r="H1031" s="5"/>
      <c r="I1031" s="5"/>
      <c r="J1031" s="73"/>
      <c r="K1031" s="75" t="str">
        <f>IFERROR(__xludf.DUMMYFUNCTION("""COMPUTED_VALUE"""),"")</f>
        <v/>
      </c>
      <c r="L1031" s="75"/>
      <c r="M1031" s="46" t="s">
        <v>2002</v>
      </c>
    </row>
    <row r="1032">
      <c r="A1032" s="70">
        <f>IFERROR(__xludf.DUMMYFUNCTION("""COMPUTED_VALUE"""),9.958512091E9)</f>
        <v>9958512091</v>
      </c>
      <c r="B1032" s="46" t="str">
        <f>IFERROR(__xludf.DUMMYFUNCTION("""COMPUTED_VALUE"""),"Rimjhim")</f>
        <v>Rimjhim</v>
      </c>
      <c r="C1032" s="5" t="s">
        <v>2002</v>
      </c>
      <c r="D1032" s="5"/>
      <c r="E1032" s="5"/>
      <c r="F1032" s="5"/>
      <c r="G1032" s="5"/>
      <c r="H1032" s="5"/>
      <c r="I1032" s="5"/>
      <c r="J1032" s="73"/>
      <c r="K1032" s="75" t="str">
        <f>IFERROR(__xludf.DUMMYFUNCTION("""COMPUTED_VALUE"""),"")</f>
        <v/>
      </c>
      <c r="L1032" s="75"/>
      <c r="M1032" s="46" t="s">
        <v>2002</v>
      </c>
    </row>
    <row r="1033">
      <c r="A1033" s="70">
        <f>IFERROR(__xludf.DUMMYFUNCTION("""COMPUTED_VALUE"""),9.990210504E9)</f>
        <v>9990210504</v>
      </c>
      <c r="B1033" s="46" t="str">
        <f>IFERROR(__xludf.DUMMYFUNCTION("""COMPUTED_VALUE"""),"Dr.Sanjay Kumar Singh ")</f>
        <v>Dr.Sanjay Kumar Singh </v>
      </c>
      <c r="C1033" s="5" t="s">
        <v>2002</v>
      </c>
      <c r="D1033" s="5"/>
      <c r="E1033" s="5"/>
      <c r="F1033" s="5"/>
      <c r="G1033" s="5"/>
      <c r="H1033" s="5"/>
      <c r="I1033" s="5"/>
      <c r="J1033" s="73"/>
      <c r="K1033" s="75" t="str">
        <f>IFERROR(__xludf.DUMMYFUNCTION("""COMPUTED_VALUE"""),"")</f>
        <v/>
      </c>
      <c r="L1033" s="75"/>
      <c r="M1033" s="46" t="s">
        <v>2002</v>
      </c>
    </row>
    <row r="1034">
      <c r="A1034" s="70">
        <f>IFERROR(__xludf.DUMMYFUNCTION("""COMPUTED_VALUE"""),9.810034312E9)</f>
        <v>9810034312</v>
      </c>
      <c r="B1034" s="46" t="str">
        <f>IFERROR(__xludf.DUMMYFUNCTION("""COMPUTED_VALUE"""),"Raj Kumar ")</f>
        <v>Raj Kumar </v>
      </c>
      <c r="C1034" s="5" t="s">
        <v>2002</v>
      </c>
      <c r="D1034" s="5"/>
      <c r="E1034" s="5"/>
      <c r="F1034" s="5"/>
      <c r="G1034" s="5"/>
      <c r="H1034" s="5"/>
      <c r="I1034" s="5"/>
      <c r="J1034" s="73"/>
      <c r="K1034" s="75" t="str">
        <f>IFERROR(__xludf.DUMMYFUNCTION("""COMPUTED_VALUE"""),"")</f>
        <v/>
      </c>
      <c r="L1034" s="75"/>
      <c r="M1034" s="46" t="s">
        <v>2002</v>
      </c>
    </row>
    <row r="1035">
      <c r="A1035" s="70">
        <f>IFERROR(__xludf.DUMMYFUNCTION("""COMPUTED_VALUE"""),9.818075039E9)</f>
        <v>9818075039</v>
      </c>
      <c r="B1035" s="46" t="str">
        <f>IFERROR(__xludf.DUMMYFUNCTION("""COMPUTED_VALUE"""),"Anshika ")</f>
        <v>Anshika </v>
      </c>
      <c r="C1035" s="5" t="s">
        <v>2002</v>
      </c>
      <c r="D1035" s="5"/>
      <c r="E1035" s="5"/>
      <c r="F1035" s="5"/>
      <c r="G1035" s="5"/>
      <c r="H1035" s="5"/>
      <c r="I1035" s="5"/>
      <c r="J1035" s="73"/>
      <c r="K1035" s="75" t="str">
        <f>IFERROR(__xludf.DUMMYFUNCTION("""COMPUTED_VALUE"""),"")</f>
        <v/>
      </c>
      <c r="L1035" s="75"/>
      <c r="M1035" s="46" t="s">
        <v>2002</v>
      </c>
    </row>
    <row r="1036">
      <c r="A1036" s="70">
        <f>IFERROR(__xludf.DUMMYFUNCTION("""COMPUTED_VALUE"""),9.354552376E9)</f>
        <v>9354552376</v>
      </c>
      <c r="B1036" s="46" t="str">
        <f>IFERROR(__xludf.DUMMYFUNCTION("""COMPUTED_VALUE"""),"chhavi ")</f>
        <v>chhavi </v>
      </c>
      <c r="C1036" s="5" t="s">
        <v>2002</v>
      </c>
      <c r="D1036" s="5"/>
      <c r="E1036" s="5"/>
      <c r="F1036" s="5"/>
      <c r="G1036" s="5"/>
      <c r="H1036" s="5"/>
      <c r="I1036" s="5"/>
      <c r="J1036" s="73"/>
      <c r="K1036" s="75" t="str">
        <f>IFERROR(__xludf.DUMMYFUNCTION("""COMPUTED_VALUE"""),"")</f>
        <v/>
      </c>
      <c r="L1036" s="75"/>
      <c r="M1036" s="46" t="s">
        <v>2002</v>
      </c>
    </row>
    <row r="1037">
      <c r="A1037" s="70">
        <f>IFERROR(__xludf.DUMMYFUNCTION("""COMPUTED_VALUE"""),7.303936452E9)</f>
        <v>7303936452</v>
      </c>
      <c r="B1037" s="46" t="str">
        <f>IFERROR(__xludf.DUMMYFUNCTION("""COMPUTED_VALUE"""),"Reema ")</f>
        <v>Reema </v>
      </c>
      <c r="C1037" s="5" t="s">
        <v>2002</v>
      </c>
      <c r="D1037" s="5"/>
      <c r="E1037" s="5"/>
      <c r="F1037" s="5"/>
      <c r="G1037" s="5"/>
      <c r="H1037" s="5"/>
      <c r="I1037" s="5"/>
      <c r="J1037" s="73"/>
      <c r="K1037" s="75" t="str">
        <f>IFERROR(__xludf.DUMMYFUNCTION("""COMPUTED_VALUE"""),"")</f>
        <v/>
      </c>
      <c r="L1037" s="75"/>
      <c r="M1037" s="46" t="s">
        <v>2002</v>
      </c>
    </row>
    <row r="1038">
      <c r="A1038" s="70">
        <f>IFERROR(__xludf.DUMMYFUNCTION("""COMPUTED_VALUE"""),7.838719293E9)</f>
        <v>7838719293</v>
      </c>
      <c r="B1038" s="46" t="str">
        <f>IFERROR(__xludf.DUMMYFUNCTION("""COMPUTED_VALUE"""),"Tripti")</f>
        <v>Tripti</v>
      </c>
      <c r="C1038" s="5" t="s">
        <v>2002</v>
      </c>
      <c r="D1038" s="5"/>
      <c r="E1038" s="5"/>
      <c r="F1038" s="5"/>
      <c r="G1038" s="5"/>
      <c r="H1038" s="5"/>
      <c r="I1038" s="5"/>
      <c r="J1038" s="73"/>
      <c r="K1038" s="75" t="str">
        <f>IFERROR(__xludf.DUMMYFUNCTION("""COMPUTED_VALUE"""),"")</f>
        <v/>
      </c>
      <c r="L1038" s="75"/>
      <c r="M1038" s="46" t="s">
        <v>2002</v>
      </c>
    </row>
    <row r="1039">
      <c r="A1039" s="70">
        <f>IFERROR(__xludf.DUMMYFUNCTION("""COMPUTED_VALUE"""),8.076445529E9)</f>
        <v>8076445529</v>
      </c>
      <c r="B1039" s="46" t="str">
        <f>IFERROR(__xludf.DUMMYFUNCTION("""COMPUTED_VALUE"""),"Parshant agarwal")</f>
        <v>Parshant agarwal</v>
      </c>
      <c r="C1039" s="5" t="s">
        <v>2002</v>
      </c>
      <c r="D1039" s="5"/>
      <c r="E1039" s="5"/>
      <c r="F1039" s="5"/>
      <c r="G1039" s="5"/>
      <c r="H1039" s="5"/>
      <c r="I1039" s="5"/>
      <c r="J1039" s="73"/>
      <c r="K1039" s="75" t="str">
        <f>IFERROR(__xludf.DUMMYFUNCTION("""COMPUTED_VALUE"""),"")</f>
        <v/>
      </c>
      <c r="L1039" s="75"/>
      <c r="M1039" s="46" t="s">
        <v>2002</v>
      </c>
    </row>
    <row r="1040">
      <c r="A1040" s="70">
        <f>IFERROR(__xludf.DUMMYFUNCTION("""COMPUTED_VALUE"""),8.860317597E9)</f>
        <v>8860317597</v>
      </c>
      <c r="B1040" s="46" t="str">
        <f>IFERROR(__xludf.DUMMYFUNCTION("""COMPUTED_VALUE"""),"Priya")</f>
        <v>Priya</v>
      </c>
      <c r="C1040" s="5" t="s">
        <v>2002</v>
      </c>
      <c r="D1040" s="5"/>
      <c r="E1040" s="5"/>
      <c r="F1040" s="5"/>
      <c r="G1040" s="5"/>
      <c r="H1040" s="5"/>
      <c r="I1040" s="5"/>
      <c r="J1040" s="73"/>
      <c r="K1040" s="75" t="str">
        <f>IFERROR(__xludf.DUMMYFUNCTION("""COMPUTED_VALUE"""),"")</f>
        <v/>
      </c>
      <c r="L1040" s="75"/>
      <c r="M1040" s="46" t="s">
        <v>2002</v>
      </c>
    </row>
    <row r="1041">
      <c r="A1041" s="70">
        <f>IFERROR(__xludf.DUMMYFUNCTION("""COMPUTED_VALUE"""),9.810319529E9)</f>
        <v>9810319529</v>
      </c>
      <c r="B1041" s="46" t="str">
        <f>IFERROR(__xludf.DUMMYFUNCTION("""COMPUTED_VALUE"""),"Sarita")</f>
        <v>Sarita</v>
      </c>
      <c r="C1041" s="5" t="s">
        <v>2002</v>
      </c>
      <c r="D1041" s="5"/>
      <c r="E1041" s="5"/>
      <c r="F1041" s="5"/>
      <c r="G1041" s="5"/>
      <c r="H1041" s="5"/>
      <c r="I1041" s="5"/>
      <c r="J1041" s="73"/>
      <c r="K1041" s="75" t="str">
        <f>IFERROR(__xludf.DUMMYFUNCTION("""COMPUTED_VALUE"""),"")</f>
        <v/>
      </c>
      <c r="L1041" s="75"/>
      <c r="M1041" s="46" t="s">
        <v>2002</v>
      </c>
    </row>
    <row r="1042">
      <c r="A1042" s="70">
        <f>IFERROR(__xludf.DUMMYFUNCTION("""COMPUTED_VALUE"""),9.871428293E9)</f>
        <v>9871428293</v>
      </c>
      <c r="B1042" s="46" t="str">
        <f>IFERROR(__xludf.DUMMYFUNCTION("""COMPUTED_VALUE"""),"Rajinder ")</f>
        <v>Rajinder </v>
      </c>
      <c r="C1042" s="5" t="s">
        <v>2002</v>
      </c>
      <c r="D1042" s="5"/>
      <c r="E1042" s="5"/>
      <c r="F1042" s="5"/>
      <c r="G1042" s="5"/>
      <c r="H1042" s="5"/>
      <c r="I1042" s="5"/>
      <c r="J1042" s="73"/>
      <c r="K1042" s="75" t="str">
        <f>IFERROR(__xludf.DUMMYFUNCTION("""COMPUTED_VALUE"""),"")</f>
        <v/>
      </c>
      <c r="L1042" s="75"/>
      <c r="M1042" s="46" t="s">
        <v>2002</v>
      </c>
    </row>
    <row r="1043">
      <c r="A1043" s="70">
        <f>IFERROR(__xludf.DUMMYFUNCTION("""COMPUTED_VALUE"""),9.96882413E9)</f>
        <v>9968824130</v>
      </c>
      <c r="B1043" s="46" t="str">
        <f>IFERROR(__xludf.DUMMYFUNCTION("""COMPUTED_VALUE"""),"Manju ")</f>
        <v>Manju </v>
      </c>
      <c r="C1043" s="5" t="s">
        <v>2002</v>
      </c>
      <c r="D1043" s="5"/>
      <c r="E1043" s="5"/>
      <c r="F1043" s="5"/>
      <c r="G1043" s="5"/>
      <c r="H1043" s="5"/>
      <c r="I1043" s="5"/>
      <c r="J1043" s="73"/>
      <c r="K1043" s="75" t="str">
        <f>IFERROR(__xludf.DUMMYFUNCTION("""COMPUTED_VALUE"""),"")</f>
        <v/>
      </c>
      <c r="L1043" s="75"/>
      <c r="M1043" s="46" t="s">
        <v>2002</v>
      </c>
    </row>
    <row r="1044">
      <c r="A1044" s="70">
        <f>IFERROR(__xludf.DUMMYFUNCTION("""COMPUTED_VALUE"""),8.743901516E9)</f>
        <v>8743901516</v>
      </c>
      <c r="B1044" s="46" t="str">
        <f>IFERROR(__xludf.DUMMYFUNCTION("""COMPUTED_VALUE"""),"Shiv vachan")</f>
        <v>Shiv vachan</v>
      </c>
      <c r="C1044" s="5" t="s">
        <v>2002</v>
      </c>
      <c r="D1044" s="5"/>
      <c r="E1044" s="5"/>
      <c r="F1044" s="5"/>
      <c r="G1044" s="5"/>
      <c r="H1044" s="5"/>
      <c r="I1044" s="5"/>
      <c r="J1044" s="73"/>
      <c r="K1044" s="75" t="str">
        <f>IFERROR(__xludf.DUMMYFUNCTION("""COMPUTED_VALUE"""),"")</f>
        <v/>
      </c>
      <c r="L1044" s="75"/>
      <c r="M1044" s="46" t="s">
        <v>2002</v>
      </c>
    </row>
    <row r="1045">
      <c r="A1045" s="70">
        <f>IFERROR(__xludf.DUMMYFUNCTION("""COMPUTED_VALUE"""),9.990628368E9)</f>
        <v>9990628368</v>
      </c>
      <c r="B1045" s="46" t="str">
        <f>IFERROR(__xludf.DUMMYFUNCTION("""COMPUTED_VALUE"""),"Anya")</f>
        <v>Anya</v>
      </c>
      <c r="C1045" s="5" t="s">
        <v>2002</v>
      </c>
      <c r="D1045" s="5"/>
      <c r="E1045" s="5"/>
      <c r="F1045" s="5"/>
      <c r="G1045" s="5"/>
      <c r="H1045" s="5"/>
      <c r="I1045" s="5"/>
      <c r="J1045" s="73"/>
      <c r="K1045" s="75" t="str">
        <f>IFERROR(__xludf.DUMMYFUNCTION("""COMPUTED_VALUE"""),"")</f>
        <v/>
      </c>
      <c r="L1045" s="75"/>
      <c r="M1045" s="46" t="s">
        <v>2002</v>
      </c>
    </row>
    <row r="1046">
      <c r="A1046" s="70">
        <f>IFERROR(__xludf.DUMMYFUNCTION("""COMPUTED_VALUE"""),9.212725194E9)</f>
        <v>9212725194</v>
      </c>
      <c r="B1046" s="46" t="str">
        <f>IFERROR(__xludf.DUMMYFUNCTION("""COMPUTED_VALUE"""),"Seema")</f>
        <v>Seema</v>
      </c>
      <c r="C1046" s="5" t="s">
        <v>2002</v>
      </c>
      <c r="D1046" s="5"/>
      <c r="E1046" s="5"/>
      <c r="F1046" s="5"/>
      <c r="G1046" s="5"/>
      <c r="H1046" s="5"/>
      <c r="I1046" s="5"/>
      <c r="J1046" s="73"/>
      <c r="K1046" s="75" t="str">
        <f>IFERROR(__xludf.DUMMYFUNCTION("""COMPUTED_VALUE"""),"")</f>
        <v/>
      </c>
      <c r="L1046" s="75"/>
      <c r="M1046" s="46" t="s">
        <v>2002</v>
      </c>
    </row>
    <row r="1047">
      <c r="A1047" s="70">
        <f>IFERROR(__xludf.DUMMYFUNCTION("""COMPUTED_VALUE"""),9.999290302E9)</f>
        <v>9999290302</v>
      </c>
      <c r="B1047" s="46" t="str">
        <f>IFERROR(__xludf.DUMMYFUNCTION("""COMPUTED_VALUE"""),"Vipin")</f>
        <v>Vipin</v>
      </c>
      <c r="C1047" s="5" t="s">
        <v>2002</v>
      </c>
      <c r="D1047" s="5"/>
      <c r="E1047" s="5"/>
      <c r="F1047" s="5"/>
      <c r="G1047" s="5"/>
      <c r="H1047" s="5"/>
      <c r="I1047" s="5"/>
      <c r="J1047" s="73"/>
      <c r="K1047" s="75" t="str">
        <f>IFERROR(__xludf.DUMMYFUNCTION("""COMPUTED_VALUE"""),"")</f>
        <v/>
      </c>
      <c r="L1047" s="75"/>
      <c r="M1047" s="46" t="s">
        <v>2002</v>
      </c>
    </row>
    <row r="1048">
      <c r="A1048" s="70">
        <f>IFERROR(__xludf.DUMMYFUNCTION("""COMPUTED_VALUE"""),8.86002195E9)</f>
        <v>8860021950</v>
      </c>
      <c r="B1048" s="46" t="str">
        <f>IFERROR(__xludf.DUMMYFUNCTION("""COMPUTED_VALUE"""),"Dv arora")</f>
        <v>Dv arora</v>
      </c>
      <c r="C1048" s="5" t="s">
        <v>2002</v>
      </c>
      <c r="D1048" s="5"/>
      <c r="E1048" s="5"/>
      <c r="F1048" s="5"/>
      <c r="G1048" s="5"/>
      <c r="H1048" s="5"/>
      <c r="I1048" s="5"/>
      <c r="J1048" s="73"/>
      <c r="K1048" s="75" t="str">
        <f>IFERROR(__xludf.DUMMYFUNCTION("""COMPUTED_VALUE"""),"")</f>
        <v/>
      </c>
      <c r="L1048" s="75"/>
      <c r="M1048" s="46" t="s">
        <v>2002</v>
      </c>
    </row>
    <row r="1049">
      <c r="A1049" s="70">
        <f>IFERROR(__xludf.DUMMYFUNCTION("""COMPUTED_VALUE"""),8.851669453E9)</f>
        <v>8851669453</v>
      </c>
      <c r="B1049" s="46" t="str">
        <f>IFERROR(__xludf.DUMMYFUNCTION("""COMPUTED_VALUE"""),"Bhavik")</f>
        <v>Bhavik</v>
      </c>
      <c r="C1049" s="5" t="s">
        <v>2002</v>
      </c>
      <c r="D1049" s="5"/>
      <c r="E1049" s="5"/>
      <c r="F1049" s="5"/>
      <c r="G1049" s="5"/>
      <c r="H1049" s="5"/>
      <c r="I1049" s="5"/>
      <c r="J1049" s="73"/>
      <c r="K1049" s="75" t="str">
        <f>IFERROR(__xludf.DUMMYFUNCTION("""COMPUTED_VALUE"""),"")</f>
        <v/>
      </c>
      <c r="L1049" s="75"/>
      <c r="M1049" s="46" t="s">
        <v>2002</v>
      </c>
    </row>
    <row r="1050">
      <c r="A1050" s="70">
        <f>IFERROR(__xludf.DUMMYFUNCTION("""COMPUTED_VALUE"""),9.810635058E9)</f>
        <v>9810635058</v>
      </c>
      <c r="B1050" s="46" t="str">
        <f>IFERROR(__xludf.DUMMYFUNCTION("""COMPUTED_VALUE"""),"Sanjeev Aggarwal ")</f>
        <v>Sanjeev Aggarwal </v>
      </c>
      <c r="C1050" s="5" t="s">
        <v>2002</v>
      </c>
      <c r="D1050" s="5"/>
      <c r="E1050" s="5"/>
      <c r="F1050" s="5"/>
      <c r="G1050" s="5"/>
      <c r="H1050" s="5"/>
      <c r="I1050" s="5"/>
      <c r="J1050" s="73"/>
      <c r="K1050" s="75" t="str">
        <f>IFERROR(__xludf.DUMMYFUNCTION("""COMPUTED_VALUE"""),"")</f>
        <v/>
      </c>
      <c r="L1050" s="75"/>
      <c r="M1050" s="46" t="s">
        <v>2002</v>
      </c>
    </row>
    <row r="1051">
      <c r="A1051" s="70">
        <f>IFERROR(__xludf.DUMMYFUNCTION("""COMPUTED_VALUE"""),9.891057156E9)</f>
        <v>9891057156</v>
      </c>
      <c r="B1051" s="46" t="str">
        <f>IFERROR(__xludf.DUMMYFUNCTION("""COMPUTED_VALUE"""),"Rajeev Kumar Gupta")</f>
        <v>Rajeev Kumar Gupta</v>
      </c>
      <c r="C1051" s="5" t="s">
        <v>2002</v>
      </c>
      <c r="D1051" s="5"/>
      <c r="E1051" s="5"/>
      <c r="F1051" s="5"/>
      <c r="G1051" s="5"/>
      <c r="H1051" s="5"/>
      <c r="I1051" s="5"/>
      <c r="J1051" s="73"/>
      <c r="K1051" s="75" t="str">
        <f>IFERROR(__xludf.DUMMYFUNCTION("""COMPUTED_VALUE"""),"")</f>
        <v/>
      </c>
      <c r="L1051" s="75"/>
      <c r="M1051" s="46" t="s">
        <v>2002</v>
      </c>
    </row>
    <row r="1052">
      <c r="A1052" s="70">
        <f>IFERROR(__xludf.DUMMYFUNCTION("""COMPUTED_VALUE"""),9.811121393E9)</f>
        <v>9811121393</v>
      </c>
      <c r="B1052" s="46" t="str">
        <f>IFERROR(__xludf.DUMMYFUNCTION("""COMPUTED_VALUE"""),"Bijender Singh")</f>
        <v>Bijender Singh</v>
      </c>
      <c r="C1052" s="5" t="s">
        <v>2002</v>
      </c>
      <c r="D1052" s="5"/>
      <c r="E1052" s="5"/>
      <c r="F1052" s="5"/>
      <c r="G1052" s="5"/>
      <c r="H1052" s="5"/>
      <c r="I1052" s="5"/>
      <c r="J1052" s="73"/>
      <c r="K1052" s="75" t="str">
        <f>IFERROR(__xludf.DUMMYFUNCTION("""COMPUTED_VALUE"""),"")</f>
        <v/>
      </c>
      <c r="L1052" s="75"/>
      <c r="M1052" s="46" t="s">
        <v>2002</v>
      </c>
    </row>
    <row r="1053">
      <c r="A1053" s="70">
        <f>IFERROR(__xludf.DUMMYFUNCTION("""COMPUTED_VALUE"""),9.540688386E9)</f>
        <v>9540688386</v>
      </c>
      <c r="B1053" s="46" t="str">
        <f>IFERROR(__xludf.DUMMYFUNCTION("""COMPUTED_VALUE"""),"Ms monica austin")</f>
        <v>Ms monica austin</v>
      </c>
      <c r="C1053" s="5" t="s">
        <v>2002</v>
      </c>
      <c r="D1053" s="5"/>
      <c r="E1053" s="5"/>
      <c r="F1053" s="5"/>
      <c r="G1053" s="5"/>
      <c r="H1053" s="5"/>
      <c r="I1053" s="5"/>
      <c r="J1053" s="73"/>
      <c r="K1053" s="75" t="str">
        <f>IFERROR(__xludf.DUMMYFUNCTION("""COMPUTED_VALUE"""),"")</f>
        <v/>
      </c>
      <c r="L1053" s="75"/>
      <c r="M1053" s="46" t="s">
        <v>2002</v>
      </c>
    </row>
    <row r="1054">
      <c r="A1054" s="70">
        <f>IFERROR(__xludf.DUMMYFUNCTION("""COMPUTED_VALUE"""),9.313250404E9)</f>
        <v>9313250404</v>
      </c>
      <c r="B1054" s="46" t="str">
        <f>IFERROR(__xludf.DUMMYFUNCTION("""COMPUTED_VALUE"""),"Maya")</f>
        <v>Maya</v>
      </c>
      <c r="C1054" s="5" t="s">
        <v>2002</v>
      </c>
      <c r="D1054" s="5"/>
      <c r="E1054" s="5"/>
      <c r="F1054" s="5"/>
      <c r="G1054" s="5"/>
      <c r="H1054" s="5"/>
      <c r="I1054" s="5"/>
      <c r="J1054" s="73"/>
      <c r="K1054" s="75" t="str">
        <f>IFERROR(__xludf.DUMMYFUNCTION("""COMPUTED_VALUE"""),"")</f>
        <v/>
      </c>
      <c r="L1054" s="75"/>
      <c r="M1054" s="46" t="s">
        <v>2002</v>
      </c>
    </row>
    <row r="1055">
      <c r="A1055" s="70">
        <f>IFERROR(__xludf.DUMMYFUNCTION("""COMPUTED_VALUE"""),9.250608505E9)</f>
        <v>9250608505</v>
      </c>
      <c r="B1055" s="46" t="str">
        <f>IFERROR(__xludf.DUMMYFUNCTION("""COMPUTED_VALUE"""),"Rajesh")</f>
        <v>Rajesh</v>
      </c>
      <c r="C1055" s="5" t="s">
        <v>2002</v>
      </c>
      <c r="D1055" s="5"/>
      <c r="E1055" s="5"/>
      <c r="F1055" s="5"/>
      <c r="G1055" s="5"/>
      <c r="H1055" s="5"/>
      <c r="I1055" s="5"/>
      <c r="J1055" s="73"/>
      <c r="K1055" s="75" t="str">
        <f>IFERROR(__xludf.DUMMYFUNCTION("""COMPUTED_VALUE"""),"")</f>
        <v/>
      </c>
      <c r="L1055" s="75"/>
      <c r="M1055" s="46" t="s">
        <v>2002</v>
      </c>
    </row>
    <row r="1056">
      <c r="A1056" s="70">
        <f>IFERROR(__xludf.DUMMYFUNCTION("""COMPUTED_VALUE"""),9.250608505E9)</f>
        <v>9250608505</v>
      </c>
      <c r="B1056" s="46" t="str">
        <f>IFERROR(__xludf.DUMMYFUNCTION("""COMPUTED_VALUE"""),"Tushar")</f>
        <v>Tushar</v>
      </c>
      <c r="C1056" s="5" t="s">
        <v>2002</v>
      </c>
      <c r="D1056" s="5"/>
      <c r="E1056" s="5"/>
      <c r="F1056" s="5"/>
      <c r="G1056" s="5"/>
      <c r="H1056" s="5"/>
      <c r="I1056" s="5"/>
      <c r="J1056" s="73"/>
      <c r="K1056" s="75" t="str">
        <f>IFERROR(__xludf.DUMMYFUNCTION("""COMPUTED_VALUE"""),"")</f>
        <v/>
      </c>
      <c r="L1056" s="75"/>
      <c r="M1056" s="46" t="s">
        <v>2002</v>
      </c>
    </row>
    <row r="1057">
      <c r="A1057" s="70">
        <f>IFERROR(__xludf.DUMMYFUNCTION("""COMPUTED_VALUE"""),8.448614505E9)</f>
        <v>8448614505</v>
      </c>
      <c r="B1057" s="46" t="str">
        <f>IFERROR(__xludf.DUMMYFUNCTION("""COMPUTED_VALUE"""),"Purab")</f>
        <v>Purab</v>
      </c>
      <c r="C1057" s="5" t="s">
        <v>2002</v>
      </c>
      <c r="D1057" s="5"/>
      <c r="E1057" s="5"/>
      <c r="F1057" s="5"/>
      <c r="G1057" s="5"/>
      <c r="H1057" s="5"/>
      <c r="I1057" s="5"/>
      <c r="J1057" s="73"/>
      <c r="K1057" s="75" t="str">
        <f>IFERROR(__xludf.DUMMYFUNCTION("""COMPUTED_VALUE"""),"")</f>
        <v/>
      </c>
      <c r="L1057" s="75"/>
      <c r="M1057" s="46" t="s">
        <v>2002</v>
      </c>
    </row>
    <row r="1058">
      <c r="A1058" s="70">
        <f>IFERROR(__xludf.DUMMYFUNCTION("""COMPUTED_VALUE"""),8.860788358E9)</f>
        <v>8860788358</v>
      </c>
      <c r="B1058" s="46" t="str">
        <f>IFERROR(__xludf.DUMMYFUNCTION("""COMPUTED_VALUE"""),"Abhishek Kumar Patel")</f>
        <v>Abhishek Kumar Patel</v>
      </c>
      <c r="C1058" s="5" t="s">
        <v>2002</v>
      </c>
      <c r="D1058" s="5"/>
      <c r="E1058" s="5"/>
      <c r="F1058" s="5"/>
      <c r="G1058" s="5"/>
      <c r="H1058" s="5"/>
      <c r="I1058" s="5"/>
      <c r="J1058" s="73"/>
      <c r="K1058" s="75" t="str">
        <f>IFERROR(__xludf.DUMMYFUNCTION("""COMPUTED_VALUE"""),"")</f>
        <v/>
      </c>
      <c r="L1058" s="75"/>
      <c r="M1058" s="46" t="s">
        <v>2002</v>
      </c>
    </row>
    <row r="1059">
      <c r="A1059" s="70">
        <f>IFERROR(__xludf.DUMMYFUNCTION("""COMPUTED_VALUE"""),9.999456013E9)</f>
        <v>9999456013</v>
      </c>
      <c r="B1059" s="46" t="str">
        <f>IFERROR(__xludf.DUMMYFUNCTION("""COMPUTED_VALUE"""),"Kanika ji")</f>
        <v>Kanika ji</v>
      </c>
      <c r="C1059" s="5" t="s">
        <v>2002</v>
      </c>
      <c r="D1059" s="5"/>
      <c r="E1059" s="5"/>
      <c r="F1059" s="5"/>
      <c r="G1059" s="5"/>
      <c r="H1059" s="5"/>
      <c r="I1059" s="5"/>
      <c r="J1059" s="73"/>
      <c r="K1059" s="75" t="str">
        <f>IFERROR(__xludf.DUMMYFUNCTION("""COMPUTED_VALUE"""),"")</f>
        <v/>
      </c>
      <c r="L1059" s="75"/>
      <c r="M1059" s="46" t="s">
        <v>2002</v>
      </c>
    </row>
    <row r="1060">
      <c r="A1060" s="70">
        <f>IFERROR(__xludf.DUMMYFUNCTION("""COMPUTED_VALUE"""),9.466847152E9)</f>
        <v>9466847152</v>
      </c>
      <c r="B1060" s="46" t="str">
        <f>IFERROR(__xludf.DUMMYFUNCTION("""COMPUTED_VALUE"""),"Sanjeev ")</f>
        <v>Sanjeev </v>
      </c>
      <c r="C1060" s="5" t="s">
        <v>2002</v>
      </c>
      <c r="D1060" s="5"/>
      <c r="E1060" s="5"/>
      <c r="F1060" s="5"/>
      <c r="G1060" s="5"/>
      <c r="H1060" s="5"/>
      <c r="I1060" s="5"/>
      <c r="J1060" s="73"/>
      <c r="K1060" s="75" t="str">
        <f>IFERROR(__xludf.DUMMYFUNCTION("""COMPUTED_VALUE"""),"")</f>
        <v/>
      </c>
      <c r="L1060" s="75"/>
      <c r="M1060" s="46" t="s">
        <v>2002</v>
      </c>
    </row>
    <row r="1061">
      <c r="A1061" s="70">
        <f>IFERROR(__xludf.DUMMYFUNCTION("""COMPUTED_VALUE"""),9.868356275E9)</f>
        <v>9868356275</v>
      </c>
      <c r="B1061" s="46" t="str">
        <f>IFERROR(__xludf.DUMMYFUNCTION("""COMPUTED_VALUE"""),"Honny Wason")</f>
        <v>Honny Wason</v>
      </c>
      <c r="C1061" s="5" t="s">
        <v>2002</v>
      </c>
      <c r="D1061" s="5"/>
      <c r="E1061" s="5"/>
      <c r="F1061" s="5"/>
      <c r="G1061" s="5"/>
      <c r="H1061" s="5"/>
      <c r="I1061" s="5"/>
      <c r="J1061" s="73"/>
      <c r="K1061" s="75" t="str">
        <f>IFERROR(__xludf.DUMMYFUNCTION("""COMPUTED_VALUE"""),"")</f>
        <v/>
      </c>
      <c r="L1061" s="75"/>
      <c r="M1061" s="46" t="s">
        <v>2002</v>
      </c>
    </row>
    <row r="1062">
      <c r="A1062" s="70">
        <f>IFERROR(__xludf.DUMMYFUNCTION("""COMPUTED_VALUE"""),9.96894577E9)</f>
        <v>9968945770</v>
      </c>
      <c r="B1062" s="46" t="str">
        <f>IFERROR(__xludf.DUMMYFUNCTION("""COMPUTED_VALUE"""),"Geeta goyal ")</f>
        <v>Geeta goyal </v>
      </c>
      <c r="C1062" s="5" t="s">
        <v>2002</v>
      </c>
      <c r="D1062" s="5"/>
      <c r="E1062" s="5"/>
      <c r="F1062" s="5"/>
      <c r="G1062" s="5"/>
      <c r="H1062" s="5"/>
      <c r="I1062" s="5"/>
      <c r="J1062" s="73"/>
      <c r="K1062" s="75" t="str">
        <f>IFERROR(__xludf.DUMMYFUNCTION("""COMPUTED_VALUE"""),"")</f>
        <v/>
      </c>
      <c r="L1062" s="75"/>
      <c r="M1062" s="46" t="s">
        <v>2002</v>
      </c>
    </row>
    <row r="1063">
      <c r="A1063" s="70">
        <f>IFERROR(__xludf.DUMMYFUNCTION("""COMPUTED_VALUE"""),8.168782192E9)</f>
        <v>8168782192</v>
      </c>
      <c r="B1063" s="46" t="str">
        <f>IFERROR(__xludf.DUMMYFUNCTION("""COMPUTED_VALUE"""),"Anu Ahlawat ")</f>
        <v>Anu Ahlawat </v>
      </c>
      <c r="C1063" s="5" t="s">
        <v>2002</v>
      </c>
      <c r="D1063" s="5"/>
      <c r="E1063" s="5"/>
      <c r="F1063" s="5"/>
      <c r="G1063" s="5"/>
      <c r="H1063" s="5"/>
      <c r="I1063" s="5"/>
      <c r="J1063" s="73"/>
      <c r="K1063" s="75" t="str">
        <f>IFERROR(__xludf.DUMMYFUNCTION("""COMPUTED_VALUE"""),"")</f>
        <v/>
      </c>
      <c r="L1063" s="75"/>
      <c r="M1063" s="46" t="s">
        <v>2002</v>
      </c>
    </row>
    <row r="1064">
      <c r="A1064" s="70">
        <f>IFERROR(__xludf.DUMMYFUNCTION("""COMPUTED_VALUE"""),9.953004457E9)</f>
        <v>9953004457</v>
      </c>
      <c r="B1064" s="46" t="str">
        <f>IFERROR(__xludf.DUMMYFUNCTION("""COMPUTED_VALUE"""),"Anjali Singh ji ")</f>
        <v>Anjali Singh ji </v>
      </c>
      <c r="C1064" s="5" t="s">
        <v>2002</v>
      </c>
      <c r="D1064" s="5"/>
      <c r="E1064" s="5"/>
      <c r="F1064" s="5"/>
      <c r="G1064" s="5"/>
      <c r="H1064" s="5"/>
      <c r="I1064" s="5"/>
      <c r="J1064" s="73"/>
      <c r="K1064" s="75" t="str">
        <f>IFERROR(__xludf.DUMMYFUNCTION("""COMPUTED_VALUE"""),"")</f>
        <v/>
      </c>
      <c r="L1064" s="75"/>
      <c r="M1064" s="46" t="s">
        <v>2002</v>
      </c>
    </row>
    <row r="1065">
      <c r="A1065" s="70">
        <f>IFERROR(__xludf.DUMMYFUNCTION("""COMPUTED_VALUE"""),9.818388828E9)</f>
        <v>9818388828</v>
      </c>
      <c r="B1065" s="46" t="str">
        <f>IFERROR(__xludf.DUMMYFUNCTION("""COMPUTED_VALUE"""),"Vikas Tyagi")</f>
        <v>Vikas Tyagi</v>
      </c>
      <c r="C1065" s="5" t="s">
        <v>2002</v>
      </c>
      <c r="D1065" s="5"/>
      <c r="E1065" s="5"/>
      <c r="F1065" s="5"/>
      <c r="G1065" s="5"/>
      <c r="H1065" s="5"/>
      <c r="I1065" s="5"/>
      <c r="J1065" s="73"/>
      <c r="K1065" s="75" t="str">
        <f>IFERROR(__xludf.DUMMYFUNCTION("""COMPUTED_VALUE"""),"")</f>
        <v/>
      </c>
      <c r="L1065" s="75"/>
      <c r="M1065" s="46" t="s">
        <v>2002</v>
      </c>
    </row>
    <row r="1066">
      <c r="A1066" s="70">
        <f>IFERROR(__xludf.DUMMYFUNCTION("""COMPUTED_VALUE"""),9.599311785E9)</f>
        <v>9599311785</v>
      </c>
      <c r="B1066" s="46" t="str">
        <f>IFERROR(__xludf.DUMMYFUNCTION("""COMPUTED_VALUE"""),"Pooja")</f>
        <v>Pooja</v>
      </c>
      <c r="C1066" s="5" t="s">
        <v>2002</v>
      </c>
      <c r="D1066" s="5"/>
      <c r="E1066" s="5"/>
      <c r="F1066" s="5"/>
      <c r="G1066" s="5"/>
      <c r="H1066" s="5"/>
      <c r="I1066" s="5"/>
      <c r="J1066" s="73"/>
      <c r="K1066" s="75" t="str">
        <f>IFERROR(__xludf.DUMMYFUNCTION("""COMPUTED_VALUE"""),"")</f>
        <v/>
      </c>
      <c r="L1066" s="75"/>
      <c r="M1066" s="46" t="s">
        <v>2002</v>
      </c>
    </row>
    <row r="1067">
      <c r="A1067" s="70">
        <f>IFERROR(__xludf.DUMMYFUNCTION("""COMPUTED_VALUE"""),9.205771287E9)</f>
        <v>9205771287</v>
      </c>
      <c r="B1067" s="46" t="str">
        <f>IFERROR(__xludf.DUMMYFUNCTION("""COMPUTED_VALUE"""),"Astha Gupta ")</f>
        <v>Astha Gupta </v>
      </c>
      <c r="C1067" s="5" t="s">
        <v>2002</v>
      </c>
      <c r="D1067" s="5"/>
      <c r="E1067" s="5"/>
      <c r="F1067" s="5"/>
      <c r="G1067" s="5"/>
      <c r="H1067" s="5"/>
      <c r="I1067" s="5"/>
      <c r="J1067" s="73"/>
      <c r="K1067" s="75" t="str">
        <f>IFERROR(__xludf.DUMMYFUNCTION("""COMPUTED_VALUE"""),"")</f>
        <v/>
      </c>
      <c r="L1067" s="75"/>
      <c r="M1067" s="46" t="s">
        <v>2002</v>
      </c>
    </row>
    <row r="1068">
      <c r="A1068" s="70">
        <f>IFERROR(__xludf.DUMMYFUNCTION("""COMPUTED_VALUE"""),8.010003423E9)</f>
        <v>8010003423</v>
      </c>
      <c r="B1068" s="46" t="str">
        <f>IFERROR(__xludf.DUMMYFUNCTION("""COMPUTED_VALUE"""),"Upender")</f>
        <v>Upender</v>
      </c>
      <c r="C1068" s="5" t="s">
        <v>2002</v>
      </c>
      <c r="D1068" s="5"/>
      <c r="E1068" s="5"/>
      <c r="F1068" s="5"/>
      <c r="G1068" s="5"/>
      <c r="H1068" s="5"/>
      <c r="I1068" s="5"/>
      <c r="J1068" s="73"/>
      <c r="K1068" s="75" t="str">
        <f>IFERROR(__xludf.DUMMYFUNCTION("""COMPUTED_VALUE"""),"")</f>
        <v/>
      </c>
      <c r="L1068" s="75"/>
      <c r="M1068" s="46" t="s">
        <v>2002</v>
      </c>
    </row>
    <row r="1069">
      <c r="A1069" s="70">
        <f>IFERROR(__xludf.DUMMYFUNCTION("""COMPUTED_VALUE"""),9.827093039E9)</f>
        <v>9827093039</v>
      </c>
      <c r="B1069" s="46" t="str">
        <f>IFERROR(__xludf.DUMMYFUNCTION("""COMPUTED_VALUE"""),"Umesh Arora")</f>
        <v>Umesh Arora</v>
      </c>
      <c r="C1069" s="5" t="s">
        <v>2002</v>
      </c>
      <c r="D1069" s="5"/>
      <c r="E1069" s="5"/>
      <c r="F1069" s="5"/>
      <c r="G1069" s="5"/>
      <c r="H1069" s="5"/>
      <c r="I1069" s="5"/>
      <c r="J1069" s="73"/>
      <c r="K1069" s="75" t="str">
        <f>IFERROR(__xludf.DUMMYFUNCTION("""COMPUTED_VALUE"""),"")</f>
        <v/>
      </c>
      <c r="L1069" s="75"/>
      <c r="M1069" s="46" t="s">
        <v>2002</v>
      </c>
    </row>
    <row r="1070">
      <c r="A1070" s="70">
        <f>IFERROR(__xludf.DUMMYFUNCTION("""COMPUTED_VALUE"""),9.827232301E9)</f>
        <v>9827232301</v>
      </c>
      <c r="B1070" s="46" t="str">
        <f>IFERROR(__xludf.DUMMYFUNCTION("""COMPUTED_VALUE"""),"Kamal malkani")</f>
        <v>Kamal malkani</v>
      </c>
      <c r="C1070" s="5" t="s">
        <v>2002</v>
      </c>
      <c r="D1070" s="5"/>
      <c r="E1070" s="5"/>
      <c r="F1070" s="5"/>
      <c r="G1070" s="5"/>
      <c r="H1070" s="5"/>
      <c r="I1070" s="5"/>
      <c r="J1070" s="73"/>
      <c r="K1070" s="75" t="str">
        <f>IFERROR(__xludf.DUMMYFUNCTION("""COMPUTED_VALUE"""),"")</f>
        <v/>
      </c>
      <c r="L1070" s="75"/>
      <c r="M1070" s="46" t="s">
        <v>2002</v>
      </c>
    </row>
    <row r="1071">
      <c r="A1071" s="70">
        <f>IFERROR(__xludf.DUMMYFUNCTION("""COMPUTED_VALUE"""),9.21291912E9)</f>
        <v>9212919120</v>
      </c>
      <c r="B1071" s="46" t="str">
        <f>IFERROR(__xludf.DUMMYFUNCTION("""COMPUTED_VALUE"""),"Rajat sharma")</f>
        <v>Rajat sharma</v>
      </c>
      <c r="C1071" s="5" t="s">
        <v>2002</v>
      </c>
      <c r="D1071" s="5"/>
      <c r="E1071" s="5"/>
      <c r="F1071" s="5"/>
      <c r="G1071" s="5"/>
      <c r="H1071" s="5"/>
      <c r="I1071" s="5"/>
      <c r="J1071" s="73"/>
      <c r="K1071" s="75" t="str">
        <f>IFERROR(__xludf.DUMMYFUNCTION("""COMPUTED_VALUE"""),"")</f>
        <v/>
      </c>
      <c r="L1071" s="75"/>
      <c r="M1071" s="46" t="s">
        <v>2002</v>
      </c>
    </row>
    <row r="1072">
      <c r="A1072" s="70">
        <f>IFERROR(__xludf.DUMMYFUNCTION("""COMPUTED_VALUE"""),7.827379352E9)</f>
        <v>7827379352</v>
      </c>
      <c r="B1072" s="46" t="str">
        <f>IFERROR(__xludf.DUMMYFUNCTION("""COMPUTED_VALUE"""),"Amod Bajaj")</f>
        <v>Amod Bajaj</v>
      </c>
      <c r="C1072" s="5" t="s">
        <v>2002</v>
      </c>
      <c r="D1072" s="5"/>
      <c r="E1072" s="5"/>
      <c r="F1072" s="5"/>
      <c r="G1072" s="5"/>
      <c r="H1072" s="5"/>
      <c r="I1072" s="5"/>
      <c r="J1072" s="73"/>
      <c r="K1072" s="75" t="str">
        <f>IFERROR(__xludf.DUMMYFUNCTION("""COMPUTED_VALUE"""),"")</f>
        <v/>
      </c>
      <c r="L1072" s="75"/>
      <c r="M1072" s="46" t="s">
        <v>2002</v>
      </c>
    </row>
    <row r="1073">
      <c r="A1073" s="70">
        <f>IFERROR(__xludf.DUMMYFUNCTION("""COMPUTED_VALUE"""),9.667599479E9)</f>
        <v>9667599479</v>
      </c>
      <c r="B1073" s="46" t="str">
        <f>IFERROR(__xludf.DUMMYFUNCTION("""COMPUTED_VALUE"""),"Sandhya")</f>
        <v>Sandhya</v>
      </c>
      <c r="C1073" s="5" t="s">
        <v>2002</v>
      </c>
      <c r="D1073" s="5"/>
      <c r="E1073" s="5"/>
      <c r="F1073" s="5"/>
      <c r="G1073" s="5"/>
      <c r="H1073" s="5"/>
      <c r="I1073" s="5"/>
      <c r="J1073" s="73"/>
      <c r="K1073" s="75" t="str">
        <f>IFERROR(__xludf.DUMMYFUNCTION("""COMPUTED_VALUE"""),"")</f>
        <v/>
      </c>
      <c r="L1073" s="75"/>
      <c r="M1073" s="46" t="s">
        <v>2002</v>
      </c>
    </row>
    <row r="1074">
      <c r="A1074" s="70">
        <f>IFERROR(__xludf.DUMMYFUNCTION("""COMPUTED_VALUE"""),7.30364137E9)</f>
        <v>7303641370</v>
      </c>
      <c r="B1074" s="46" t="str">
        <f>IFERROR(__xludf.DUMMYFUNCTION("""COMPUTED_VALUE"""),"Abdul")</f>
        <v>Abdul</v>
      </c>
      <c r="C1074" s="5" t="s">
        <v>2002</v>
      </c>
      <c r="D1074" s="5"/>
      <c r="E1074" s="5"/>
      <c r="F1074" s="5"/>
      <c r="G1074" s="5"/>
      <c r="H1074" s="5"/>
      <c r="I1074" s="5"/>
      <c r="J1074" s="73"/>
      <c r="K1074" s="75" t="str">
        <f>IFERROR(__xludf.DUMMYFUNCTION("""COMPUTED_VALUE"""),"")</f>
        <v/>
      </c>
      <c r="L1074" s="75"/>
      <c r="M1074" s="46" t="s">
        <v>2002</v>
      </c>
    </row>
    <row r="1075">
      <c r="A1075" s="70">
        <f>IFERROR(__xludf.DUMMYFUNCTION("""COMPUTED_VALUE"""),9.650288566E9)</f>
        <v>9650288566</v>
      </c>
      <c r="B1075" s="46" t="str">
        <f>IFERROR(__xludf.DUMMYFUNCTION("""COMPUTED_VALUE"""),"Nisha Raja wansh ")</f>
        <v>Nisha Raja wansh </v>
      </c>
      <c r="C1075" s="5" t="s">
        <v>2002</v>
      </c>
      <c r="D1075" s="5"/>
      <c r="E1075" s="5"/>
      <c r="F1075" s="5"/>
      <c r="G1075" s="5"/>
      <c r="H1075" s="5"/>
      <c r="I1075" s="5"/>
      <c r="J1075" s="73"/>
      <c r="K1075" s="75" t="str">
        <f>IFERROR(__xludf.DUMMYFUNCTION("""COMPUTED_VALUE"""),"")</f>
        <v/>
      </c>
      <c r="L1075" s="75"/>
      <c r="M1075" s="46" t="s">
        <v>2002</v>
      </c>
    </row>
    <row r="1076">
      <c r="A1076" s="70">
        <f>IFERROR(__xludf.DUMMYFUNCTION("""COMPUTED_VALUE"""),9.99233327E9)</f>
        <v>9992333270</v>
      </c>
      <c r="B1076" s="46" t="str">
        <f>IFERROR(__xludf.DUMMYFUNCTION("""COMPUTED_VALUE"""),"Yogesh kumar")</f>
        <v>Yogesh kumar</v>
      </c>
      <c r="C1076" s="5" t="s">
        <v>2002</v>
      </c>
      <c r="D1076" s="5"/>
      <c r="E1076" s="5"/>
      <c r="F1076" s="5"/>
      <c r="G1076" s="5"/>
      <c r="H1076" s="5"/>
      <c r="I1076" s="5"/>
      <c r="J1076" s="73"/>
      <c r="K1076" s="75" t="str">
        <f>IFERROR(__xludf.DUMMYFUNCTION("""COMPUTED_VALUE"""),"")</f>
        <v/>
      </c>
      <c r="L1076" s="75"/>
      <c r="M1076" s="46" t="s">
        <v>2002</v>
      </c>
    </row>
    <row r="1077">
      <c r="A1077" s="70">
        <f>IFERROR(__xludf.DUMMYFUNCTION("""COMPUTED_VALUE"""),9.958199115E9)</f>
        <v>9958199115</v>
      </c>
      <c r="B1077" s="46" t="str">
        <f>IFERROR(__xludf.DUMMYFUNCTION("""COMPUTED_VALUE"""),"Vinod")</f>
        <v>Vinod</v>
      </c>
      <c r="C1077" s="5" t="s">
        <v>2002</v>
      </c>
      <c r="D1077" s="5"/>
      <c r="E1077" s="5"/>
      <c r="F1077" s="5"/>
      <c r="G1077" s="5"/>
      <c r="H1077" s="5"/>
      <c r="I1077" s="5"/>
      <c r="J1077" s="73"/>
      <c r="K1077" s="75" t="str">
        <f>IFERROR(__xludf.DUMMYFUNCTION("""COMPUTED_VALUE"""),"")</f>
        <v/>
      </c>
      <c r="L1077" s="75"/>
      <c r="M1077" s="46" t="s">
        <v>2002</v>
      </c>
    </row>
    <row r="1078">
      <c r="A1078" s="70">
        <f>IFERROR(__xludf.DUMMYFUNCTION("""COMPUTED_VALUE"""),9.625458533E9)</f>
        <v>9625458533</v>
      </c>
      <c r="B1078" s="46" t="str">
        <f>IFERROR(__xludf.DUMMYFUNCTION("""COMPUTED_VALUE"""),"Ashok")</f>
        <v>Ashok</v>
      </c>
      <c r="C1078" s="5" t="s">
        <v>2002</v>
      </c>
      <c r="D1078" s="5"/>
      <c r="E1078" s="5"/>
      <c r="F1078" s="5"/>
      <c r="G1078" s="5"/>
      <c r="H1078" s="5"/>
      <c r="I1078" s="5"/>
      <c r="J1078" s="73"/>
      <c r="K1078" s="75" t="str">
        <f>IFERROR(__xludf.DUMMYFUNCTION("""COMPUTED_VALUE"""),"")</f>
        <v/>
      </c>
      <c r="L1078" s="75"/>
      <c r="M1078" s="46" t="s">
        <v>2002</v>
      </c>
    </row>
    <row r="1079">
      <c r="A1079" s="70">
        <f>IFERROR(__xludf.DUMMYFUNCTION("""COMPUTED_VALUE"""),9.968503699E9)</f>
        <v>9968503699</v>
      </c>
      <c r="B1079" s="46" t="str">
        <f>IFERROR(__xludf.DUMMYFUNCTION("""COMPUTED_VALUE"""),"kanika")</f>
        <v>kanika</v>
      </c>
      <c r="C1079" s="5" t="s">
        <v>2002</v>
      </c>
      <c r="D1079" s="5"/>
      <c r="E1079" s="5"/>
      <c r="F1079" s="5"/>
      <c r="G1079" s="5"/>
      <c r="H1079" s="5"/>
      <c r="I1079" s="5"/>
      <c r="J1079" s="73"/>
      <c r="K1079" s="75" t="str">
        <f>IFERROR(__xludf.DUMMYFUNCTION("""COMPUTED_VALUE"""),"")</f>
        <v/>
      </c>
      <c r="L1079" s="75"/>
      <c r="M1079" s="46" t="s">
        <v>2002</v>
      </c>
    </row>
    <row r="1080">
      <c r="A1080" s="70">
        <f>IFERROR(__xludf.DUMMYFUNCTION("""COMPUTED_VALUE"""),9.97141981E9)</f>
        <v>9971419810</v>
      </c>
      <c r="B1080" s="46" t="str">
        <f>IFERROR(__xludf.DUMMYFUNCTION("""COMPUTED_VALUE"""),"Muskan")</f>
        <v>Muskan</v>
      </c>
      <c r="C1080" s="5" t="s">
        <v>2002</v>
      </c>
      <c r="D1080" s="5"/>
      <c r="E1080" s="5"/>
      <c r="F1080" s="5"/>
      <c r="G1080" s="5"/>
      <c r="H1080" s="5"/>
      <c r="I1080" s="5"/>
      <c r="J1080" s="73"/>
      <c r="K1080" s="75" t="str">
        <f>IFERROR(__xludf.DUMMYFUNCTION("""COMPUTED_VALUE"""),"")</f>
        <v/>
      </c>
      <c r="L1080" s="75"/>
      <c r="M1080" s="46" t="s">
        <v>2002</v>
      </c>
    </row>
    <row r="1081">
      <c r="A1081" s="70">
        <f>IFERROR(__xludf.DUMMYFUNCTION("""COMPUTED_VALUE"""),9.899398964E9)</f>
        <v>9899398964</v>
      </c>
      <c r="B1081" s="46" t="str">
        <f>IFERROR(__xludf.DUMMYFUNCTION("""COMPUTED_VALUE"""),"Rashmi  Indoria")</f>
        <v>Rashmi  Indoria</v>
      </c>
      <c r="C1081" s="5" t="s">
        <v>2002</v>
      </c>
      <c r="D1081" s="5"/>
      <c r="E1081" s="5"/>
      <c r="F1081" s="5"/>
      <c r="G1081" s="5"/>
      <c r="H1081" s="5"/>
      <c r="I1081" s="5"/>
      <c r="J1081" s="73"/>
      <c r="K1081" s="75" t="str">
        <f>IFERROR(__xludf.DUMMYFUNCTION("""COMPUTED_VALUE"""),"")</f>
        <v/>
      </c>
      <c r="L1081" s="75"/>
      <c r="M1081" s="46" t="s">
        <v>2002</v>
      </c>
    </row>
    <row r="1082">
      <c r="A1082" s="70">
        <f>IFERROR(__xludf.DUMMYFUNCTION("""COMPUTED_VALUE"""),9.899523117E9)</f>
        <v>9899523117</v>
      </c>
      <c r="B1082" s="46" t="str">
        <f>IFERROR(__xludf.DUMMYFUNCTION("""COMPUTED_VALUE"""),"Suman ")</f>
        <v>Suman </v>
      </c>
      <c r="C1082" s="5" t="s">
        <v>2002</v>
      </c>
      <c r="D1082" s="5"/>
      <c r="E1082" s="5"/>
      <c r="F1082" s="5"/>
      <c r="G1082" s="5"/>
      <c r="H1082" s="5"/>
      <c r="I1082" s="5"/>
      <c r="J1082" s="73"/>
      <c r="K1082" s="75" t="str">
        <f>IFERROR(__xludf.DUMMYFUNCTION("""COMPUTED_VALUE"""),"")</f>
        <v/>
      </c>
      <c r="L1082" s="75"/>
      <c r="M1082" s="46" t="s">
        <v>2002</v>
      </c>
    </row>
    <row r="1083">
      <c r="A1083" s="70">
        <f>IFERROR(__xludf.DUMMYFUNCTION("""COMPUTED_VALUE"""),9.873228283E9)</f>
        <v>9873228283</v>
      </c>
      <c r="B1083" s="46" t="str">
        <f>IFERROR(__xludf.DUMMYFUNCTION("""COMPUTED_VALUE"""),"Rajshree ")</f>
        <v>Rajshree </v>
      </c>
      <c r="C1083" s="5" t="s">
        <v>2002</v>
      </c>
      <c r="D1083" s="5"/>
      <c r="E1083" s="5"/>
      <c r="F1083" s="5"/>
      <c r="G1083" s="5"/>
      <c r="H1083" s="5"/>
      <c r="I1083" s="5"/>
      <c r="J1083" s="73"/>
      <c r="K1083" s="75" t="str">
        <f>IFERROR(__xludf.DUMMYFUNCTION("""COMPUTED_VALUE"""),"")</f>
        <v/>
      </c>
      <c r="L1083" s="75"/>
      <c r="M1083" s="46" t="s">
        <v>2002</v>
      </c>
    </row>
    <row r="1084">
      <c r="A1084" s="70">
        <f>IFERROR(__xludf.DUMMYFUNCTION("""COMPUTED_VALUE"""),9.91061166E9)</f>
        <v>9910611660</v>
      </c>
      <c r="B1084" s="46" t="str">
        <f>IFERROR(__xludf.DUMMYFUNCTION("""COMPUTED_VALUE"""),"Shaurya vardhan")</f>
        <v>Shaurya vardhan</v>
      </c>
      <c r="C1084" s="5" t="s">
        <v>2002</v>
      </c>
      <c r="D1084" s="5"/>
      <c r="E1084" s="5"/>
      <c r="F1084" s="5"/>
      <c r="G1084" s="5"/>
      <c r="H1084" s="5"/>
      <c r="I1084" s="5"/>
      <c r="J1084" s="73"/>
      <c r="K1084" s="75" t="str">
        <f>IFERROR(__xludf.DUMMYFUNCTION("""COMPUTED_VALUE"""),"")</f>
        <v/>
      </c>
      <c r="L1084" s="75"/>
      <c r="M1084" s="46" t="s">
        <v>2002</v>
      </c>
    </row>
    <row r="1085">
      <c r="A1085" s="70">
        <f>IFERROR(__xludf.DUMMYFUNCTION("""COMPUTED_VALUE"""),9.312873215E9)</f>
        <v>9312873215</v>
      </c>
      <c r="B1085" s="46" t="str">
        <f>IFERROR(__xludf.DUMMYFUNCTION("""COMPUTED_VALUE"""),"Devender Jain")</f>
        <v>Devender Jain</v>
      </c>
      <c r="C1085" s="5" t="s">
        <v>2002</v>
      </c>
      <c r="D1085" s="5"/>
      <c r="E1085" s="5"/>
      <c r="F1085" s="5"/>
      <c r="G1085" s="5"/>
      <c r="H1085" s="5"/>
      <c r="I1085" s="5"/>
      <c r="J1085" s="73"/>
      <c r="K1085" s="75" t="str">
        <f>IFERROR(__xludf.DUMMYFUNCTION("""COMPUTED_VALUE"""),"")</f>
        <v/>
      </c>
      <c r="L1085" s="75"/>
      <c r="M1085" s="46" t="s">
        <v>2002</v>
      </c>
    </row>
    <row r="1086">
      <c r="A1086" s="70">
        <f>IFERROR(__xludf.DUMMYFUNCTION("""COMPUTED_VALUE"""),9.810501814E9)</f>
        <v>9810501814</v>
      </c>
      <c r="B1086" s="46" t="str">
        <f>IFERROR(__xludf.DUMMYFUNCTION("""COMPUTED_VALUE"""),"Seema bhatia")</f>
        <v>Seema bhatia</v>
      </c>
      <c r="C1086" s="5" t="s">
        <v>2002</v>
      </c>
      <c r="D1086" s="5"/>
      <c r="E1086" s="5"/>
      <c r="F1086" s="5"/>
      <c r="G1086" s="5"/>
      <c r="H1086" s="5"/>
      <c r="I1086" s="5"/>
      <c r="J1086" s="73"/>
      <c r="K1086" s="75" t="str">
        <f>IFERROR(__xludf.DUMMYFUNCTION("""COMPUTED_VALUE"""),"")</f>
        <v/>
      </c>
      <c r="L1086" s="75"/>
      <c r="M1086" s="46" t="s">
        <v>2002</v>
      </c>
    </row>
    <row r="1087">
      <c r="A1087" s="70">
        <f>IFERROR(__xludf.DUMMYFUNCTION("""COMPUTED_VALUE"""),9.31149716E9)</f>
        <v>9311497160</v>
      </c>
      <c r="B1087" s="46" t="str">
        <f>IFERROR(__xludf.DUMMYFUNCTION("""COMPUTED_VALUE"""),"bimla Aggarwal ")</f>
        <v>bimla Aggarwal </v>
      </c>
      <c r="C1087" s="5" t="s">
        <v>2002</v>
      </c>
      <c r="D1087" s="5"/>
      <c r="E1087" s="5"/>
      <c r="F1087" s="5"/>
      <c r="G1087" s="5"/>
      <c r="H1087" s="5"/>
      <c r="I1087" s="5"/>
      <c r="J1087" s="73"/>
      <c r="K1087" s="75" t="str">
        <f>IFERROR(__xludf.DUMMYFUNCTION("""COMPUTED_VALUE"""),"")</f>
        <v/>
      </c>
      <c r="L1087" s="75"/>
      <c r="M1087" s="46" t="s">
        <v>2002</v>
      </c>
    </row>
    <row r="1088">
      <c r="A1088" s="70">
        <f>IFERROR(__xludf.DUMMYFUNCTION("""COMPUTED_VALUE"""),9.315787027E9)</f>
        <v>9315787027</v>
      </c>
      <c r="B1088" s="46" t="str">
        <f>IFERROR(__xludf.DUMMYFUNCTION("""COMPUTED_VALUE"""),"Deepti")</f>
        <v>Deepti</v>
      </c>
      <c r="C1088" s="5" t="s">
        <v>2002</v>
      </c>
      <c r="D1088" s="5"/>
      <c r="E1088" s="5"/>
      <c r="F1088" s="5"/>
      <c r="G1088" s="5"/>
      <c r="H1088" s="5"/>
      <c r="I1088" s="5"/>
      <c r="J1088" s="73"/>
      <c r="K1088" s="75" t="str">
        <f>IFERROR(__xludf.DUMMYFUNCTION("""COMPUTED_VALUE"""),"")</f>
        <v/>
      </c>
      <c r="L1088" s="75"/>
      <c r="M1088" s="46" t="s">
        <v>2002</v>
      </c>
    </row>
    <row r="1089">
      <c r="A1089" s="70">
        <f>IFERROR(__xludf.DUMMYFUNCTION("""COMPUTED_VALUE"""),8.448816837E9)</f>
        <v>8448816837</v>
      </c>
      <c r="B1089" s="46" t="str">
        <f>IFERROR(__xludf.DUMMYFUNCTION("""COMPUTED_VALUE"""),"Anoop")</f>
        <v>Anoop</v>
      </c>
      <c r="C1089" s="5" t="s">
        <v>2002</v>
      </c>
      <c r="D1089" s="5"/>
      <c r="E1089" s="5"/>
      <c r="F1089" s="5"/>
      <c r="G1089" s="5"/>
      <c r="H1089" s="5"/>
      <c r="I1089" s="5"/>
      <c r="J1089" s="73"/>
      <c r="K1089" s="75" t="str">
        <f>IFERROR(__xludf.DUMMYFUNCTION("""COMPUTED_VALUE"""),"")</f>
        <v/>
      </c>
      <c r="L1089" s="75"/>
      <c r="M1089" s="46" t="s">
        <v>2002</v>
      </c>
    </row>
    <row r="1090">
      <c r="A1090" s="70">
        <f>IFERROR(__xludf.DUMMYFUNCTION("""COMPUTED_VALUE"""),7.701907231E9)</f>
        <v>7701907231</v>
      </c>
      <c r="B1090" s="46" t="str">
        <f>IFERROR(__xludf.DUMMYFUNCTION("""COMPUTED_VALUE"""),"Monika kumawat")</f>
        <v>Monika kumawat</v>
      </c>
      <c r="C1090" s="5" t="s">
        <v>2002</v>
      </c>
      <c r="D1090" s="5"/>
      <c r="E1090" s="5"/>
      <c r="F1090" s="5"/>
      <c r="G1090" s="5"/>
      <c r="H1090" s="5"/>
      <c r="I1090" s="5"/>
      <c r="J1090" s="73"/>
      <c r="K1090" s="75" t="str">
        <f>IFERROR(__xludf.DUMMYFUNCTION("""COMPUTED_VALUE"""),"")</f>
        <v/>
      </c>
      <c r="L1090" s="75"/>
      <c r="M1090" s="46" t="s">
        <v>2002</v>
      </c>
    </row>
    <row r="1091">
      <c r="A1091" s="70">
        <f>IFERROR(__xludf.DUMMYFUNCTION("""COMPUTED_VALUE"""),9.625113437E9)</f>
        <v>9625113437</v>
      </c>
      <c r="B1091" s="46" t="str">
        <f>IFERROR(__xludf.DUMMYFUNCTION("""COMPUTED_VALUE"""),"Preeti kumar")</f>
        <v>Preeti kumar</v>
      </c>
      <c r="C1091" s="5" t="s">
        <v>2002</v>
      </c>
      <c r="D1091" s="5"/>
      <c r="E1091" s="5"/>
      <c r="F1091" s="5"/>
      <c r="G1091" s="5"/>
      <c r="H1091" s="5"/>
      <c r="I1091" s="5"/>
      <c r="J1091" s="73"/>
      <c r="K1091" s="75" t="str">
        <f>IFERROR(__xludf.DUMMYFUNCTION("""COMPUTED_VALUE"""),"")</f>
        <v/>
      </c>
      <c r="L1091" s="75"/>
      <c r="M1091" s="46" t="s">
        <v>2002</v>
      </c>
    </row>
    <row r="1092">
      <c r="A1092" s="70">
        <f>IFERROR(__xludf.DUMMYFUNCTION("""COMPUTED_VALUE"""),9.9532107E9)</f>
        <v>9953210700</v>
      </c>
      <c r="B1092" s="46" t="str">
        <f>IFERROR(__xludf.DUMMYFUNCTION("""COMPUTED_VALUE"""),"Ravi Singh")</f>
        <v>Ravi Singh</v>
      </c>
      <c r="C1092" s="5" t="s">
        <v>2002</v>
      </c>
      <c r="D1092" s="5"/>
      <c r="E1092" s="5"/>
      <c r="F1092" s="5"/>
      <c r="G1092" s="5"/>
      <c r="H1092" s="5"/>
      <c r="I1092" s="5"/>
      <c r="J1092" s="73"/>
      <c r="K1092" s="75" t="str">
        <f>IFERROR(__xludf.DUMMYFUNCTION("""COMPUTED_VALUE"""),"")</f>
        <v/>
      </c>
      <c r="L1092" s="75"/>
      <c r="M1092" s="46" t="s">
        <v>2002</v>
      </c>
    </row>
    <row r="1093">
      <c r="A1093" s="70">
        <f>IFERROR(__xludf.DUMMYFUNCTION("""COMPUTED_VALUE"""),9.368671762E9)</f>
        <v>9368671762</v>
      </c>
      <c r="B1093" s="46" t="str">
        <f>IFERROR(__xludf.DUMMYFUNCTION("""COMPUTED_VALUE"""),"saniya")</f>
        <v>saniya</v>
      </c>
      <c r="C1093" s="5" t="s">
        <v>2002</v>
      </c>
      <c r="D1093" s="5"/>
      <c r="E1093" s="5"/>
      <c r="F1093" s="5"/>
      <c r="G1093" s="5"/>
      <c r="H1093" s="5"/>
      <c r="I1093" s="5"/>
      <c r="J1093" s="73"/>
      <c r="K1093" s="75" t="str">
        <f>IFERROR(__xludf.DUMMYFUNCTION("""COMPUTED_VALUE"""),"")</f>
        <v/>
      </c>
      <c r="L1093" s="75"/>
      <c r="M1093" s="46" t="s">
        <v>2002</v>
      </c>
    </row>
    <row r="1094">
      <c r="A1094" s="70">
        <f>IFERROR(__xludf.DUMMYFUNCTION("""COMPUTED_VALUE"""),8.860130037E9)</f>
        <v>8860130037</v>
      </c>
      <c r="B1094" s="46" t="str">
        <f>IFERROR(__xludf.DUMMYFUNCTION("""COMPUTED_VALUE"""),"Pushpa")</f>
        <v>Pushpa</v>
      </c>
      <c r="C1094" s="5" t="s">
        <v>2002</v>
      </c>
      <c r="D1094" s="5"/>
      <c r="E1094" s="5"/>
      <c r="F1094" s="5"/>
      <c r="G1094" s="5"/>
      <c r="H1094" s="5"/>
      <c r="I1094" s="5"/>
      <c r="J1094" s="73"/>
      <c r="K1094" s="75" t="str">
        <f>IFERROR(__xludf.DUMMYFUNCTION("""COMPUTED_VALUE"""),"")</f>
        <v/>
      </c>
      <c r="L1094" s="75"/>
      <c r="M1094" s="46" t="s">
        <v>2002</v>
      </c>
    </row>
    <row r="1095">
      <c r="A1095" s="70">
        <f>IFERROR(__xludf.DUMMYFUNCTION("""COMPUTED_VALUE"""),7.206660875E9)</f>
        <v>7206660875</v>
      </c>
      <c r="B1095" s="46" t="str">
        <f>IFERROR(__xludf.DUMMYFUNCTION("""COMPUTED_VALUE"""),"Himanshu")</f>
        <v>Himanshu</v>
      </c>
      <c r="C1095" s="5" t="s">
        <v>2002</v>
      </c>
      <c r="D1095" s="5"/>
      <c r="E1095" s="5"/>
      <c r="F1095" s="5"/>
      <c r="G1095" s="5"/>
      <c r="H1095" s="5"/>
      <c r="I1095" s="5"/>
      <c r="J1095" s="73"/>
      <c r="K1095" s="75" t="str">
        <f>IFERROR(__xludf.DUMMYFUNCTION("""COMPUTED_VALUE"""),"")</f>
        <v/>
      </c>
      <c r="L1095" s="75"/>
      <c r="M1095" s="46" t="s">
        <v>2002</v>
      </c>
    </row>
    <row r="1096">
      <c r="A1096" s="70">
        <f>IFERROR(__xludf.DUMMYFUNCTION("""COMPUTED_VALUE"""),9.416694977E9)</f>
        <v>9416694977</v>
      </c>
      <c r="B1096" s="46" t="str">
        <f>IFERROR(__xludf.DUMMYFUNCTION("""COMPUTED_VALUE"""),"Nisha sahni")</f>
        <v>Nisha sahni</v>
      </c>
      <c r="C1096" s="5" t="s">
        <v>2002</v>
      </c>
      <c r="D1096" s="5"/>
      <c r="E1096" s="5"/>
      <c r="F1096" s="5"/>
      <c r="G1096" s="5"/>
      <c r="H1096" s="5"/>
      <c r="I1096" s="5"/>
      <c r="J1096" s="73"/>
      <c r="K1096" s="75" t="str">
        <f>IFERROR(__xludf.DUMMYFUNCTION("""COMPUTED_VALUE"""),"")</f>
        <v/>
      </c>
      <c r="L1096" s="75"/>
      <c r="M1096" s="46" t="s">
        <v>2002</v>
      </c>
    </row>
    <row r="1097">
      <c r="A1097" s="70">
        <f>IFERROR(__xludf.DUMMYFUNCTION("""COMPUTED_VALUE"""),7.988078592E9)</f>
        <v>7988078592</v>
      </c>
      <c r="B1097" s="46" t="str">
        <f>IFERROR(__xludf.DUMMYFUNCTION("""COMPUTED_VALUE"""),"Parveen ")</f>
        <v>Parveen </v>
      </c>
      <c r="C1097" s="5" t="s">
        <v>2002</v>
      </c>
      <c r="D1097" s="5"/>
      <c r="E1097" s="5"/>
      <c r="F1097" s="5"/>
      <c r="G1097" s="5"/>
      <c r="H1097" s="5"/>
      <c r="I1097" s="5"/>
      <c r="J1097" s="73"/>
      <c r="K1097" s="75" t="str">
        <f>IFERROR(__xludf.DUMMYFUNCTION("""COMPUTED_VALUE"""),"")</f>
        <v/>
      </c>
      <c r="L1097" s="75"/>
      <c r="M1097" s="46" t="s">
        <v>2002</v>
      </c>
    </row>
    <row r="1098">
      <c r="A1098" s="70">
        <f>IFERROR(__xludf.DUMMYFUNCTION("""COMPUTED_VALUE"""),9.560002747E9)</f>
        <v>9560002747</v>
      </c>
      <c r="B1098" s="46" t="str">
        <f>IFERROR(__xludf.DUMMYFUNCTION("""COMPUTED_VALUE"""),"Madhu")</f>
        <v>Madhu</v>
      </c>
      <c r="C1098" s="5" t="s">
        <v>2002</v>
      </c>
      <c r="D1098" s="5"/>
      <c r="E1098" s="5"/>
      <c r="F1098" s="5"/>
      <c r="G1098" s="5"/>
      <c r="H1098" s="5"/>
      <c r="I1098" s="5"/>
      <c r="J1098" s="73"/>
      <c r="K1098" s="75" t="str">
        <f>IFERROR(__xludf.DUMMYFUNCTION("""COMPUTED_VALUE"""),"")</f>
        <v/>
      </c>
      <c r="L1098" s="75"/>
      <c r="M1098" s="46" t="s">
        <v>2002</v>
      </c>
    </row>
    <row r="1099">
      <c r="A1099" s="70">
        <f>IFERROR(__xludf.DUMMYFUNCTION("""COMPUTED_VALUE"""),7.065851322E9)</f>
        <v>7065851322</v>
      </c>
      <c r="B1099" s="46" t="str">
        <f>IFERROR(__xludf.DUMMYFUNCTION("""COMPUTED_VALUE"""),"Pooja")</f>
        <v>Pooja</v>
      </c>
      <c r="C1099" s="5" t="s">
        <v>2002</v>
      </c>
      <c r="D1099" s="5"/>
      <c r="E1099" s="5"/>
      <c r="F1099" s="5"/>
      <c r="G1099" s="5"/>
      <c r="H1099" s="5"/>
      <c r="I1099" s="5"/>
      <c r="J1099" s="73"/>
      <c r="K1099" s="75" t="str">
        <f>IFERROR(__xludf.DUMMYFUNCTION("""COMPUTED_VALUE"""),"")</f>
        <v/>
      </c>
      <c r="L1099" s="75"/>
      <c r="M1099" s="46" t="s">
        <v>2002</v>
      </c>
    </row>
    <row r="1100">
      <c r="A1100" s="70">
        <f>IFERROR(__xludf.DUMMYFUNCTION("""COMPUTED_VALUE"""),9.71665605E9)</f>
        <v>9716656050</v>
      </c>
      <c r="B1100" s="46" t="str">
        <f>IFERROR(__xludf.DUMMYFUNCTION("""COMPUTED_VALUE"""),"Shimmer Goyal")</f>
        <v>Shimmer Goyal</v>
      </c>
      <c r="C1100" s="5" t="s">
        <v>2002</v>
      </c>
      <c r="D1100" s="5"/>
      <c r="E1100" s="5"/>
      <c r="F1100" s="5"/>
      <c r="G1100" s="5"/>
      <c r="H1100" s="5"/>
      <c r="I1100" s="5"/>
      <c r="J1100" s="73"/>
      <c r="K1100" s="75" t="str">
        <f>IFERROR(__xludf.DUMMYFUNCTION("""COMPUTED_VALUE"""),"")</f>
        <v/>
      </c>
      <c r="L1100" s="75"/>
      <c r="M1100" s="46" t="s">
        <v>2002</v>
      </c>
    </row>
    <row r="1101">
      <c r="A1101" s="70">
        <f>IFERROR(__xludf.DUMMYFUNCTION("""COMPUTED_VALUE"""),9.650022943E9)</f>
        <v>9650022943</v>
      </c>
      <c r="B1101" s="46" t="str">
        <f>IFERROR(__xludf.DUMMYFUNCTION("""COMPUTED_VALUE"""),"Poonam jain")</f>
        <v>Poonam jain</v>
      </c>
      <c r="C1101" s="5" t="s">
        <v>2002</v>
      </c>
      <c r="D1101" s="5"/>
      <c r="E1101" s="5"/>
      <c r="F1101" s="5"/>
      <c r="G1101" s="5"/>
      <c r="H1101" s="5"/>
      <c r="I1101" s="5"/>
      <c r="J1101" s="73"/>
      <c r="K1101" s="75" t="str">
        <f>IFERROR(__xludf.DUMMYFUNCTION("""COMPUTED_VALUE"""),"")</f>
        <v/>
      </c>
      <c r="L1101" s="75"/>
      <c r="M1101" s="46" t="s">
        <v>2002</v>
      </c>
    </row>
    <row r="1102">
      <c r="A1102" s="70">
        <f>IFERROR(__xludf.DUMMYFUNCTION("""COMPUTED_VALUE"""),9.953561935E9)</f>
        <v>9953561935</v>
      </c>
      <c r="B1102" s="46" t="str">
        <f>IFERROR(__xludf.DUMMYFUNCTION("""COMPUTED_VALUE"""),"Partima")</f>
        <v>Partima</v>
      </c>
      <c r="C1102" s="5" t="s">
        <v>2002</v>
      </c>
      <c r="D1102" s="5"/>
      <c r="E1102" s="5"/>
      <c r="F1102" s="5"/>
      <c r="G1102" s="5"/>
      <c r="H1102" s="5"/>
      <c r="I1102" s="5"/>
      <c r="J1102" s="73"/>
      <c r="K1102" s="75" t="str">
        <f>IFERROR(__xludf.DUMMYFUNCTION("""COMPUTED_VALUE"""),"")</f>
        <v/>
      </c>
      <c r="L1102" s="75"/>
      <c r="M1102" s="46" t="s">
        <v>2002</v>
      </c>
    </row>
    <row r="1103">
      <c r="A1103" s="70">
        <f>IFERROR(__xludf.DUMMYFUNCTION("""COMPUTED_VALUE"""),9.999259394E9)</f>
        <v>9999259394</v>
      </c>
      <c r="B1103" s="46" t="str">
        <f>IFERROR(__xludf.DUMMYFUNCTION("""COMPUTED_VALUE"""),"Meena pandey")</f>
        <v>Meena pandey</v>
      </c>
      <c r="C1103" s="5" t="s">
        <v>2002</v>
      </c>
      <c r="D1103" s="5"/>
      <c r="E1103" s="5"/>
      <c r="F1103" s="5"/>
      <c r="G1103" s="5"/>
      <c r="H1103" s="5"/>
      <c r="I1103" s="5"/>
      <c r="J1103" s="73"/>
      <c r="K1103" s="75" t="str">
        <f>IFERROR(__xludf.DUMMYFUNCTION("""COMPUTED_VALUE"""),"")</f>
        <v/>
      </c>
      <c r="L1103" s="75"/>
      <c r="M1103" s="46" t="s">
        <v>2002</v>
      </c>
    </row>
    <row r="1104">
      <c r="A1104" s="70">
        <f>IFERROR(__xludf.DUMMYFUNCTION("""COMPUTED_VALUE"""),9.990987498E9)</f>
        <v>9990987498</v>
      </c>
      <c r="B1104" s="46" t="str">
        <f>IFERROR(__xludf.DUMMYFUNCTION("""COMPUTED_VALUE"""),"Deepika")</f>
        <v>Deepika</v>
      </c>
      <c r="C1104" s="5" t="s">
        <v>2002</v>
      </c>
      <c r="D1104" s="5"/>
      <c r="E1104" s="5"/>
      <c r="F1104" s="5"/>
      <c r="G1104" s="5"/>
      <c r="H1104" s="5"/>
      <c r="I1104" s="5"/>
      <c r="J1104" s="73"/>
      <c r="K1104" s="75" t="str">
        <f>IFERROR(__xludf.DUMMYFUNCTION("""COMPUTED_VALUE"""),"")</f>
        <v/>
      </c>
      <c r="L1104" s="75"/>
      <c r="M1104" s="46" t="s">
        <v>2002</v>
      </c>
    </row>
    <row r="1105">
      <c r="A1105" s="70">
        <f>IFERROR(__xludf.DUMMYFUNCTION("""COMPUTED_VALUE"""),7.06517155E9)</f>
        <v>7065171550</v>
      </c>
      <c r="B1105" s="46" t="str">
        <f>IFERROR(__xludf.DUMMYFUNCTION("""COMPUTED_VALUE"""),"Vivek")</f>
        <v>Vivek</v>
      </c>
      <c r="C1105" s="5" t="s">
        <v>2002</v>
      </c>
      <c r="D1105" s="5"/>
      <c r="E1105" s="5"/>
      <c r="F1105" s="5"/>
      <c r="G1105" s="5"/>
      <c r="H1105" s="5"/>
      <c r="I1105" s="5"/>
      <c r="J1105" s="73"/>
      <c r="K1105" s="75" t="str">
        <f>IFERROR(__xludf.DUMMYFUNCTION("""COMPUTED_VALUE"""),"")</f>
        <v/>
      </c>
      <c r="L1105" s="75"/>
      <c r="M1105" s="46" t="s">
        <v>2002</v>
      </c>
    </row>
    <row r="1106">
      <c r="A1106" s="70">
        <f>IFERROR(__xludf.DUMMYFUNCTION("""COMPUTED_VALUE"""),9.899007811E9)</f>
        <v>9899007811</v>
      </c>
      <c r="B1106" s="46" t="str">
        <f>IFERROR(__xludf.DUMMYFUNCTION("""COMPUTED_VALUE"""),"Amit ")</f>
        <v>Amit </v>
      </c>
      <c r="C1106" s="5" t="s">
        <v>2002</v>
      </c>
      <c r="D1106" s="5"/>
      <c r="E1106" s="5"/>
      <c r="F1106" s="5"/>
      <c r="G1106" s="5"/>
      <c r="H1106" s="5"/>
      <c r="I1106" s="5"/>
      <c r="J1106" s="73"/>
      <c r="K1106" s="75" t="str">
        <f>IFERROR(__xludf.DUMMYFUNCTION("""COMPUTED_VALUE"""),"")</f>
        <v/>
      </c>
      <c r="L1106" s="75"/>
      <c r="M1106" s="46" t="s">
        <v>2002</v>
      </c>
    </row>
    <row r="1107">
      <c r="A1107" s="70">
        <f>IFERROR(__xludf.DUMMYFUNCTION("""COMPUTED_VALUE"""),9.83882867E9)</f>
        <v>9838828670</v>
      </c>
      <c r="B1107" s="46" t="str">
        <f>IFERROR(__xludf.DUMMYFUNCTION("""COMPUTED_VALUE"""),"Arun varma ji")</f>
        <v>Arun varma ji</v>
      </c>
      <c r="C1107" s="5" t="s">
        <v>2002</v>
      </c>
      <c r="D1107" s="5"/>
      <c r="E1107" s="5"/>
      <c r="F1107" s="5"/>
      <c r="G1107" s="5"/>
      <c r="H1107" s="5"/>
      <c r="I1107" s="5"/>
      <c r="J1107" s="73"/>
      <c r="K1107" s="75" t="str">
        <f>IFERROR(__xludf.DUMMYFUNCTION("""COMPUTED_VALUE"""),"")</f>
        <v/>
      </c>
      <c r="L1107" s="75"/>
      <c r="M1107" s="46" t="s">
        <v>2002</v>
      </c>
    </row>
    <row r="1108">
      <c r="A1108" s="70">
        <f>IFERROR(__xludf.DUMMYFUNCTION("""COMPUTED_VALUE"""),8.010214196E9)</f>
        <v>8010214196</v>
      </c>
      <c r="B1108" s="46" t="str">
        <f>IFERROR(__xludf.DUMMYFUNCTION("""COMPUTED_VALUE"""),"Preeti chopra")</f>
        <v>Preeti chopra</v>
      </c>
      <c r="C1108" s="5" t="s">
        <v>2002</v>
      </c>
      <c r="D1108" s="5"/>
      <c r="E1108" s="5"/>
      <c r="F1108" s="5"/>
      <c r="G1108" s="5"/>
      <c r="H1108" s="5"/>
      <c r="I1108" s="5"/>
      <c r="J1108" s="73"/>
      <c r="K1108" s="75" t="str">
        <f>IFERROR(__xludf.DUMMYFUNCTION("""COMPUTED_VALUE"""),"")</f>
        <v/>
      </c>
      <c r="L1108" s="75"/>
      <c r="M1108" s="46" t="s">
        <v>2002</v>
      </c>
    </row>
    <row r="1109">
      <c r="A1109" s="70">
        <f>IFERROR(__xludf.DUMMYFUNCTION("""COMPUTED_VALUE"""),9.643517133E9)</f>
        <v>9643517133</v>
      </c>
      <c r="B1109" s="46" t="str">
        <f>IFERROR(__xludf.DUMMYFUNCTION("""COMPUTED_VALUE"""),"Ashu ji")</f>
        <v>Ashu ji</v>
      </c>
      <c r="C1109" s="5" t="s">
        <v>2002</v>
      </c>
      <c r="D1109" s="5"/>
      <c r="E1109" s="5"/>
      <c r="F1109" s="5"/>
      <c r="G1109" s="5"/>
      <c r="H1109" s="5"/>
      <c r="I1109" s="5"/>
      <c r="J1109" s="73"/>
      <c r="K1109" s="75" t="str">
        <f>IFERROR(__xludf.DUMMYFUNCTION("""COMPUTED_VALUE"""),"")</f>
        <v/>
      </c>
      <c r="L1109" s="75"/>
      <c r="M1109" s="46" t="s">
        <v>2002</v>
      </c>
    </row>
    <row r="1110">
      <c r="A1110" s="70">
        <f>IFERROR(__xludf.DUMMYFUNCTION("""COMPUTED_VALUE"""),7.857081468E9)</f>
        <v>7857081468</v>
      </c>
      <c r="B1110" s="46" t="str">
        <f>IFERROR(__xludf.DUMMYFUNCTION("""COMPUTED_VALUE"""),"Shivtosh")</f>
        <v>Shivtosh</v>
      </c>
      <c r="C1110" s="5" t="s">
        <v>2002</v>
      </c>
      <c r="D1110" s="5"/>
      <c r="E1110" s="5"/>
      <c r="F1110" s="5"/>
      <c r="G1110" s="5"/>
      <c r="H1110" s="5"/>
      <c r="I1110" s="5"/>
      <c r="J1110" s="73"/>
      <c r="K1110" s="75" t="str">
        <f>IFERROR(__xludf.DUMMYFUNCTION("""COMPUTED_VALUE"""),"")</f>
        <v/>
      </c>
      <c r="L1110" s="75"/>
      <c r="M1110" s="46" t="s">
        <v>2002</v>
      </c>
    </row>
    <row r="1111">
      <c r="A1111" s="70">
        <f>IFERROR(__xludf.DUMMYFUNCTION("""COMPUTED_VALUE"""),9.810524563E9)</f>
        <v>9810524563</v>
      </c>
      <c r="B1111" s="46" t="str">
        <f>IFERROR(__xludf.DUMMYFUNCTION("""COMPUTED_VALUE"""),"Puneet bansal")</f>
        <v>Puneet bansal</v>
      </c>
      <c r="C1111" s="5" t="s">
        <v>2002</v>
      </c>
      <c r="D1111" s="5"/>
      <c r="E1111" s="5"/>
      <c r="F1111" s="5"/>
      <c r="G1111" s="5"/>
      <c r="H1111" s="5"/>
      <c r="I1111" s="5"/>
      <c r="J1111" s="73"/>
      <c r="K1111" s="75" t="str">
        <f>IFERROR(__xludf.DUMMYFUNCTION("""COMPUTED_VALUE"""),"")</f>
        <v/>
      </c>
      <c r="L1111" s="75"/>
      <c r="M1111" s="46" t="s">
        <v>2002</v>
      </c>
    </row>
    <row r="1112">
      <c r="A1112" s="70">
        <f>IFERROR(__xludf.DUMMYFUNCTION("""COMPUTED_VALUE"""),8.700463815E9)</f>
        <v>8700463815</v>
      </c>
      <c r="B1112" s="46" t="str">
        <f>IFERROR(__xludf.DUMMYFUNCTION("""COMPUTED_VALUE"""),"Chirag ")</f>
        <v>Chirag </v>
      </c>
      <c r="C1112" s="5" t="s">
        <v>2002</v>
      </c>
      <c r="D1112" s="5"/>
      <c r="E1112" s="5"/>
      <c r="F1112" s="5"/>
      <c r="G1112" s="5"/>
      <c r="H1112" s="5"/>
      <c r="I1112" s="5"/>
      <c r="J1112" s="73"/>
      <c r="K1112" s="75" t="str">
        <f>IFERROR(__xludf.DUMMYFUNCTION("""COMPUTED_VALUE"""),"")</f>
        <v/>
      </c>
      <c r="L1112" s="75"/>
      <c r="M1112" s="46" t="s">
        <v>2002</v>
      </c>
    </row>
    <row r="1113">
      <c r="A1113" s="70">
        <f>IFERROR(__xludf.DUMMYFUNCTION("""COMPUTED_VALUE"""),9.21200633E9)</f>
        <v>9212006330</v>
      </c>
      <c r="B1113" s="46" t="str">
        <f>IFERROR(__xludf.DUMMYFUNCTION("""COMPUTED_VALUE"""),"Lokesh Gupta")</f>
        <v>Lokesh Gupta</v>
      </c>
      <c r="C1113" s="5" t="s">
        <v>2002</v>
      </c>
      <c r="D1113" s="5"/>
      <c r="E1113" s="5"/>
      <c r="F1113" s="5"/>
      <c r="G1113" s="5"/>
      <c r="H1113" s="5"/>
      <c r="I1113" s="5"/>
      <c r="J1113" s="73"/>
      <c r="K1113" s="75" t="str">
        <f>IFERROR(__xludf.DUMMYFUNCTION("""COMPUTED_VALUE"""),"")</f>
        <v/>
      </c>
      <c r="L1113" s="75"/>
      <c r="M1113" s="46" t="s">
        <v>2002</v>
      </c>
    </row>
    <row r="1114">
      <c r="A1114" s="70">
        <f>IFERROR(__xludf.DUMMYFUNCTION("""COMPUTED_VALUE"""),9.582664943E9)</f>
        <v>9582664943</v>
      </c>
      <c r="B1114" s="46" t="str">
        <f>IFERROR(__xludf.DUMMYFUNCTION("""COMPUTED_VALUE"""),"Manvir")</f>
        <v>Manvir</v>
      </c>
      <c r="C1114" s="5" t="s">
        <v>2002</v>
      </c>
      <c r="D1114" s="5"/>
      <c r="E1114" s="5"/>
      <c r="F1114" s="5"/>
      <c r="G1114" s="5"/>
      <c r="H1114" s="5"/>
      <c r="I1114" s="5"/>
      <c r="J1114" s="73"/>
      <c r="K1114" s="75" t="str">
        <f>IFERROR(__xludf.DUMMYFUNCTION("""COMPUTED_VALUE"""),"")</f>
        <v/>
      </c>
      <c r="L1114" s="75"/>
      <c r="M1114" s="46" t="s">
        <v>2002</v>
      </c>
    </row>
    <row r="1115">
      <c r="A1115" s="70">
        <f>IFERROR(__xludf.DUMMYFUNCTION("""COMPUTED_VALUE"""),9.810026304E9)</f>
        <v>9810026304</v>
      </c>
      <c r="B1115" s="46" t="str">
        <f>IFERROR(__xludf.DUMMYFUNCTION("""COMPUTED_VALUE"""),"P.S Bhatia")</f>
        <v>P.S Bhatia</v>
      </c>
      <c r="C1115" s="5" t="s">
        <v>2002</v>
      </c>
      <c r="D1115" s="5"/>
      <c r="E1115" s="5"/>
      <c r="F1115" s="5"/>
      <c r="G1115" s="5"/>
      <c r="H1115" s="5"/>
      <c r="I1115" s="5"/>
      <c r="J1115" s="73"/>
      <c r="K1115" s="75" t="str">
        <f>IFERROR(__xludf.DUMMYFUNCTION("""COMPUTED_VALUE"""),"")</f>
        <v/>
      </c>
      <c r="L1115" s="75"/>
      <c r="M1115" s="46" t="s">
        <v>2002</v>
      </c>
    </row>
    <row r="1116">
      <c r="A1116" s="70">
        <f>IFERROR(__xludf.DUMMYFUNCTION("""COMPUTED_VALUE"""),9.310674176E9)</f>
        <v>9310674176</v>
      </c>
      <c r="B1116" s="46" t="str">
        <f>IFERROR(__xludf.DUMMYFUNCTION("""COMPUTED_VALUE"""),"Kamal Kishore ")</f>
        <v>Kamal Kishore </v>
      </c>
      <c r="C1116" s="5" t="s">
        <v>2002</v>
      </c>
      <c r="D1116" s="5"/>
      <c r="E1116" s="5"/>
      <c r="F1116" s="5"/>
      <c r="G1116" s="5"/>
      <c r="H1116" s="5"/>
      <c r="I1116" s="5"/>
      <c r="J1116" s="73"/>
      <c r="K1116" s="75" t="str">
        <f>IFERROR(__xludf.DUMMYFUNCTION("""COMPUTED_VALUE"""),"")</f>
        <v/>
      </c>
      <c r="L1116" s="75"/>
      <c r="M1116" s="46" t="s">
        <v>2002</v>
      </c>
    </row>
    <row r="1117">
      <c r="A1117" s="70">
        <f>IFERROR(__xludf.DUMMYFUNCTION("""COMPUTED_VALUE"""),9.811025895E9)</f>
        <v>9811025895</v>
      </c>
      <c r="B1117" s="46" t="str">
        <f>IFERROR(__xludf.DUMMYFUNCTION("""COMPUTED_VALUE"""),"Abhishek ")</f>
        <v>Abhishek </v>
      </c>
      <c r="C1117" s="5" t="s">
        <v>2002</v>
      </c>
      <c r="D1117" s="5"/>
      <c r="E1117" s="5"/>
      <c r="F1117" s="5"/>
      <c r="G1117" s="5"/>
      <c r="H1117" s="5"/>
      <c r="I1117" s="5"/>
      <c r="J1117" s="73"/>
      <c r="K1117" s="75" t="str">
        <f>IFERROR(__xludf.DUMMYFUNCTION("""COMPUTED_VALUE"""),"")</f>
        <v/>
      </c>
      <c r="L1117" s="75"/>
      <c r="M1117" s="46" t="s">
        <v>2002</v>
      </c>
    </row>
    <row r="1118">
      <c r="A1118" s="70">
        <f>IFERROR(__xludf.DUMMYFUNCTION("""COMPUTED_VALUE"""),8.882303132E9)</f>
        <v>8882303132</v>
      </c>
      <c r="B1118" s="46" t="str">
        <f>IFERROR(__xludf.DUMMYFUNCTION("""COMPUTED_VALUE"""),"Priya")</f>
        <v>Priya</v>
      </c>
      <c r="C1118" s="5" t="s">
        <v>2002</v>
      </c>
      <c r="D1118" s="5"/>
      <c r="E1118" s="5"/>
      <c r="F1118" s="5"/>
      <c r="G1118" s="5"/>
      <c r="H1118" s="5"/>
      <c r="I1118" s="5"/>
      <c r="J1118" s="73"/>
      <c r="K1118" s="75" t="str">
        <f>IFERROR(__xludf.DUMMYFUNCTION("""COMPUTED_VALUE"""),"")</f>
        <v/>
      </c>
      <c r="L1118" s="75"/>
      <c r="M1118" s="46" t="s">
        <v>2002</v>
      </c>
    </row>
    <row r="1119">
      <c r="A1119" s="70">
        <f>IFERROR(__xludf.DUMMYFUNCTION("""COMPUTED_VALUE"""),9.999090866E9)</f>
        <v>9999090866</v>
      </c>
      <c r="B1119" s="46" t="str">
        <f>IFERROR(__xludf.DUMMYFUNCTION("""COMPUTED_VALUE"""),"dr.Aayushi")</f>
        <v>dr.Aayushi</v>
      </c>
      <c r="C1119" s="5" t="s">
        <v>2002</v>
      </c>
      <c r="D1119" s="5"/>
      <c r="E1119" s="5"/>
      <c r="F1119" s="5"/>
      <c r="G1119" s="5"/>
      <c r="H1119" s="5"/>
      <c r="I1119" s="5"/>
      <c r="J1119" s="73"/>
      <c r="K1119" s="75" t="str">
        <f>IFERROR(__xludf.DUMMYFUNCTION("""COMPUTED_VALUE"""),"")</f>
        <v/>
      </c>
      <c r="L1119" s="75"/>
      <c r="M1119" s="46" t="s">
        <v>2002</v>
      </c>
    </row>
    <row r="1120">
      <c r="A1120" s="70">
        <f>IFERROR(__xludf.DUMMYFUNCTION("""COMPUTED_VALUE"""),9.891510785E9)</f>
        <v>9891510785</v>
      </c>
      <c r="B1120" s="46" t="str">
        <f>IFERROR(__xludf.DUMMYFUNCTION("""COMPUTED_VALUE"""),"Tarun Singhal ")</f>
        <v>Tarun Singhal </v>
      </c>
      <c r="C1120" s="5" t="s">
        <v>2002</v>
      </c>
      <c r="D1120" s="5"/>
      <c r="E1120" s="5"/>
      <c r="F1120" s="5"/>
      <c r="G1120" s="5"/>
      <c r="H1120" s="5"/>
      <c r="I1120" s="5"/>
      <c r="J1120" s="73"/>
      <c r="K1120" s="75" t="str">
        <f>IFERROR(__xludf.DUMMYFUNCTION("""COMPUTED_VALUE"""),"")</f>
        <v/>
      </c>
      <c r="L1120" s="75"/>
      <c r="M1120" s="46" t="s">
        <v>2002</v>
      </c>
    </row>
    <row r="1121">
      <c r="A1121" s="70">
        <f>IFERROR(__xludf.DUMMYFUNCTION("""COMPUTED_VALUE"""),9.289722722E9)</f>
        <v>9289722722</v>
      </c>
      <c r="B1121" s="46" t="str">
        <f>IFERROR(__xludf.DUMMYFUNCTION("""COMPUTED_VALUE"""),"Anupama")</f>
        <v>Anupama</v>
      </c>
      <c r="C1121" s="5" t="s">
        <v>2002</v>
      </c>
      <c r="D1121" s="5"/>
      <c r="E1121" s="5"/>
      <c r="F1121" s="5"/>
      <c r="G1121" s="5"/>
      <c r="H1121" s="5"/>
      <c r="I1121" s="5"/>
      <c r="J1121" s="73"/>
      <c r="K1121" s="75" t="str">
        <f>IFERROR(__xludf.DUMMYFUNCTION("""COMPUTED_VALUE"""),"")</f>
        <v/>
      </c>
      <c r="L1121" s="75"/>
      <c r="M1121" s="46" t="s">
        <v>2002</v>
      </c>
    </row>
    <row r="1122">
      <c r="A1122" s="70">
        <f>IFERROR(__xludf.DUMMYFUNCTION("""COMPUTED_VALUE"""),9.717970069E9)</f>
        <v>9717970069</v>
      </c>
      <c r="B1122" s="46" t="str">
        <f>IFERROR(__xludf.DUMMYFUNCTION("""COMPUTED_VALUE"""),"Anju Verma")</f>
        <v>Anju Verma</v>
      </c>
      <c r="C1122" s="5" t="s">
        <v>2002</v>
      </c>
      <c r="D1122" s="5"/>
      <c r="E1122" s="5"/>
      <c r="F1122" s="5"/>
      <c r="G1122" s="5"/>
      <c r="H1122" s="5"/>
      <c r="I1122" s="5"/>
      <c r="J1122" s="73"/>
      <c r="K1122" s="75" t="str">
        <f>IFERROR(__xludf.DUMMYFUNCTION("""COMPUTED_VALUE"""),"")</f>
        <v/>
      </c>
      <c r="L1122" s="75"/>
      <c r="M1122" s="46" t="s">
        <v>2002</v>
      </c>
    </row>
    <row r="1123">
      <c r="A1123" s="70">
        <f>IFERROR(__xludf.DUMMYFUNCTION("""COMPUTED_VALUE"""),9.818703563E9)</f>
        <v>9818703563</v>
      </c>
      <c r="B1123" s="46" t="str">
        <f>IFERROR(__xludf.DUMMYFUNCTION("""COMPUTED_VALUE"""),"Rajesh Kumar")</f>
        <v>Rajesh Kumar</v>
      </c>
      <c r="C1123" s="5" t="s">
        <v>2002</v>
      </c>
      <c r="D1123" s="5"/>
      <c r="E1123" s="5"/>
      <c r="F1123" s="5"/>
      <c r="G1123" s="5"/>
      <c r="H1123" s="5"/>
      <c r="I1123" s="5"/>
      <c r="J1123" s="73"/>
      <c r="K1123" s="75" t="str">
        <f>IFERROR(__xludf.DUMMYFUNCTION("""COMPUTED_VALUE"""),"")</f>
        <v/>
      </c>
      <c r="L1123" s="75"/>
      <c r="M1123" s="46" t="s">
        <v>2002</v>
      </c>
    </row>
    <row r="1124">
      <c r="A1124" s="70">
        <f>IFERROR(__xludf.DUMMYFUNCTION("""COMPUTED_VALUE"""),7.827116401E9)</f>
        <v>7827116401</v>
      </c>
      <c r="B1124" s="46" t="str">
        <f>IFERROR(__xludf.DUMMYFUNCTION("""COMPUTED_VALUE"""),"Rinsi kohli")</f>
        <v>Rinsi kohli</v>
      </c>
      <c r="C1124" s="5" t="s">
        <v>2002</v>
      </c>
      <c r="D1124" s="5"/>
      <c r="E1124" s="5"/>
      <c r="F1124" s="5"/>
      <c r="G1124" s="5"/>
      <c r="H1124" s="5"/>
      <c r="I1124" s="5"/>
      <c r="J1124" s="73"/>
      <c r="K1124" s="75" t="str">
        <f>IFERROR(__xludf.DUMMYFUNCTION("""COMPUTED_VALUE"""),"")</f>
        <v/>
      </c>
      <c r="L1124" s="75"/>
      <c r="M1124" s="46" t="s">
        <v>2002</v>
      </c>
    </row>
    <row r="1125">
      <c r="A1125" s="70">
        <f>IFERROR(__xludf.DUMMYFUNCTION("""COMPUTED_VALUE"""),8.287924563E9)</f>
        <v>8287924563</v>
      </c>
      <c r="B1125" s="46" t="str">
        <f>IFERROR(__xludf.DUMMYFUNCTION("""COMPUTED_VALUE"""),"Rajni")</f>
        <v>Rajni</v>
      </c>
      <c r="C1125" s="5" t="s">
        <v>2002</v>
      </c>
      <c r="D1125" s="5"/>
      <c r="E1125" s="5"/>
      <c r="F1125" s="5"/>
      <c r="G1125" s="5"/>
      <c r="H1125" s="5"/>
      <c r="I1125" s="5"/>
      <c r="J1125" s="73"/>
      <c r="K1125" s="75" t="str">
        <f>IFERROR(__xludf.DUMMYFUNCTION("""COMPUTED_VALUE"""),"")</f>
        <v/>
      </c>
      <c r="L1125" s="75"/>
      <c r="M1125" s="46" t="s">
        <v>2002</v>
      </c>
    </row>
    <row r="1126">
      <c r="A1126" s="70">
        <f>IFERROR(__xludf.DUMMYFUNCTION("""COMPUTED_VALUE"""),9.891800777E9)</f>
        <v>9891800777</v>
      </c>
      <c r="B1126" s="46" t="str">
        <f>IFERROR(__xludf.DUMMYFUNCTION("""COMPUTED_VALUE"""),"Yogesh arora")</f>
        <v>Yogesh arora</v>
      </c>
      <c r="C1126" s="5" t="s">
        <v>2002</v>
      </c>
      <c r="D1126" s="5"/>
      <c r="E1126" s="5"/>
      <c r="F1126" s="5"/>
      <c r="G1126" s="5"/>
      <c r="H1126" s="5"/>
      <c r="I1126" s="5"/>
      <c r="J1126" s="73"/>
      <c r="K1126" s="75" t="str">
        <f>IFERROR(__xludf.DUMMYFUNCTION("""COMPUTED_VALUE"""),"")</f>
        <v/>
      </c>
      <c r="L1126" s="75"/>
      <c r="M1126" s="46" t="s">
        <v>2002</v>
      </c>
    </row>
    <row r="1127">
      <c r="A1127" s="70">
        <f>IFERROR(__xludf.DUMMYFUNCTION("""COMPUTED_VALUE"""),7.503338872E9)</f>
        <v>7503338872</v>
      </c>
      <c r="B1127" s="46" t="str">
        <f>IFERROR(__xludf.DUMMYFUNCTION("""COMPUTED_VALUE"""),"Rashi")</f>
        <v>Rashi</v>
      </c>
      <c r="C1127" s="5" t="s">
        <v>2002</v>
      </c>
      <c r="D1127" s="5"/>
      <c r="E1127" s="5"/>
      <c r="F1127" s="5"/>
      <c r="G1127" s="5"/>
      <c r="H1127" s="5"/>
      <c r="I1127" s="5"/>
      <c r="J1127" s="73"/>
      <c r="K1127" s="75" t="str">
        <f>IFERROR(__xludf.DUMMYFUNCTION("""COMPUTED_VALUE"""),"")</f>
        <v/>
      </c>
      <c r="L1127" s="75"/>
      <c r="M1127" s="46" t="s">
        <v>2002</v>
      </c>
    </row>
    <row r="1128">
      <c r="A1128" s="70">
        <f>IFERROR(__xludf.DUMMYFUNCTION("""COMPUTED_VALUE"""),9.716379252E9)</f>
        <v>9716379252</v>
      </c>
      <c r="B1128" s="46" t="str">
        <f>IFERROR(__xludf.DUMMYFUNCTION("""COMPUTED_VALUE""")," S khan")</f>
        <v> S khan</v>
      </c>
      <c r="C1128" s="5" t="s">
        <v>2002</v>
      </c>
      <c r="D1128" s="5"/>
      <c r="E1128" s="5"/>
      <c r="F1128" s="5"/>
      <c r="G1128" s="5"/>
      <c r="H1128" s="5"/>
      <c r="I1128" s="5"/>
      <c r="J1128" s="73"/>
      <c r="K1128" s="75" t="str">
        <f>IFERROR(__xludf.DUMMYFUNCTION("""COMPUTED_VALUE"""),"")</f>
        <v/>
      </c>
      <c r="L1128" s="75"/>
      <c r="M1128" s="46" t="s">
        <v>2002</v>
      </c>
    </row>
    <row r="1129">
      <c r="A1129" s="70">
        <f>IFERROR(__xludf.DUMMYFUNCTION("""COMPUTED_VALUE"""),7.042279101E9)</f>
        <v>7042279101</v>
      </c>
      <c r="B1129" s="46" t="str">
        <f>IFERROR(__xludf.DUMMYFUNCTION("""COMPUTED_VALUE"""),"Vikas")</f>
        <v>Vikas</v>
      </c>
      <c r="C1129" s="5" t="s">
        <v>2002</v>
      </c>
      <c r="D1129" s="5"/>
      <c r="E1129" s="5"/>
      <c r="F1129" s="5"/>
      <c r="G1129" s="5"/>
      <c r="H1129" s="5"/>
      <c r="I1129" s="5"/>
      <c r="J1129" s="73"/>
      <c r="K1129" s="75" t="str">
        <f>IFERROR(__xludf.DUMMYFUNCTION("""COMPUTED_VALUE"""),"")</f>
        <v/>
      </c>
      <c r="L1129" s="75"/>
      <c r="M1129" s="46" t="s">
        <v>2002</v>
      </c>
    </row>
    <row r="1130">
      <c r="A1130" s="70">
        <f>IFERROR(__xludf.DUMMYFUNCTION("""COMPUTED_VALUE"""),8.650280518E9)</f>
        <v>8650280518</v>
      </c>
      <c r="B1130" s="46" t="str">
        <f>IFERROR(__xludf.DUMMYFUNCTION("""COMPUTED_VALUE"""),"Mitesh Sharma")</f>
        <v>Mitesh Sharma</v>
      </c>
      <c r="C1130" s="5" t="s">
        <v>2002</v>
      </c>
      <c r="D1130" s="5"/>
      <c r="E1130" s="5"/>
      <c r="F1130" s="5"/>
      <c r="G1130" s="5"/>
      <c r="H1130" s="5"/>
      <c r="I1130" s="5"/>
      <c r="J1130" s="73"/>
      <c r="K1130" s="75" t="str">
        <f>IFERROR(__xludf.DUMMYFUNCTION("""COMPUTED_VALUE"""),"")</f>
        <v/>
      </c>
      <c r="L1130" s="75"/>
      <c r="M1130" s="46" t="s">
        <v>2002</v>
      </c>
    </row>
    <row r="1131">
      <c r="A1131" s="70">
        <f>IFERROR(__xludf.DUMMYFUNCTION("""COMPUTED_VALUE"""),9.717378638E9)</f>
        <v>9717378638</v>
      </c>
      <c r="B1131" s="46" t="str">
        <f>IFERROR(__xludf.DUMMYFUNCTION("""COMPUTED_VALUE"""),"Mansi")</f>
        <v>Mansi</v>
      </c>
      <c r="C1131" s="5" t="s">
        <v>2002</v>
      </c>
      <c r="D1131" s="5"/>
      <c r="E1131" s="5"/>
      <c r="F1131" s="5"/>
      <c r="G1131" s="5"/>
      <c r="H1131" s="5"/>
      <c r="I1131" s="5"/>
      <c r="J1131" s="73"/>
      <c r="K1131" s="75" t="str">
        <f>IFERROR(__xludf.DUMMYFUNCTION("""COMPUTED_VALUE"""),"")</f>
        <v/>
      </c>
      <c r="L1131" s="75"/>
      <c r="M1131" s="46" t="s">
        <v>2002</v>
      </c>
    </row>
    <row r="1132">
      <c r="A1132" s="70">
        <f>IFERROR(__xludf.DUMMYFUNCTION("""COMPUTED_VALUE"""),9.389271138E9)</f>
        <v>9389271138</v>
      </c>
      <c r="B1132" s="46" t="str">
        <f>IFERROR(__xludf.DUMMYFUNCTION("""COMPUTED_VALUE"""),"Intzar")</f>
        <v>Intzar</v>
      </c>
      <c r="C1132" s="5" t="s">
        <v>2002</v>
      </c>
      <c r="D1132" s="5"/>
      <c r="E1132" s="5"/>
      <c r="F1132" s="5"/>
      <c r="G1132" s="5"/>
      <c r="H1132" s="5"/>
      <c r="I1132" s="5"/>
      <c r="J1132" s="73"/>
      <c r="K1132" s="75" t="str">
        <f>IFERROR(__xludf.DUMMYFUNCTION("""COMPUTED_VALUE"""),"")</f>
        <v/>
      </c>
      <c r="L1132" s="75"/>
      <c r="M1132" s="46" t="s">
        <v>2002</v>
      </c>
    </row>
    <row r="1133">
      <c r="A1133" s="70">
        <f>IFERROR(__xludf.DUMMYFUNCTION("""COMPUTED_VALUE"""),9.9998154E9)</f>
        <v>9999815400</v>
      </c>
      <c r="B1133" s="46" t="str">
        <f>IFERROR(__xludf.DUMMYFUNCTION("""COMPUTED_VALUE"""),"Punit")</f>
        <v>Punit</v>
      </c>
      <c r="C1133" s="5" t="s">
        <v>2002</v>
      </c>
      <c r="D1133" s="5"/>
      <c r="E1133" s="5"/>
      <c r="F1133" s="5"/>
      <c r="G1133" s="5"/>
      <c r="H1133" s="5"/>
      <c r="I1133" s="5"/>
      <c r="J1133" s="73"/>
      <c r="K1133" s="75" t="str">
        <f>IFERROR(__xludf.DUMMYFUNCTION("""COMPUTED_VALUE"""),"")</f>
        <v/>
      </c>
      <c r="L1133" s="75"/>
      <c r="M1133" s="46" t="s">
        <v>2002</v>
      </c>
    </row>
    <row r="1134">
      <c r="A1134" s="70">
        <f>IFERROR(__xludf.DUMMYFUNCTION("""COMPUTED_VALUE"""),9.643975596E9)</f>
        <v>9643975596</v>
      </c>
      <c r="B1134" s="46" t="str">
        <f>IFERROR(__xludf.DUMMYFUNCTION("""COMPUTED_VALUE"""),"Charu Malhotra ")</f>
        <v>Charu Malhotra </v>
      </c>
      <c r="C1134" s="5" t="s">
        <v>2002</v>
      </c>
      <c r="D1134" s="5"/>
      <c r="E1134" s="5"/>
      <c r="F1134" s="5"/>
      <c r="G1134" s="5"/>
      <c r="H1134" s="5"/>
      <c r="I1134" s="5"/>
      <c r="J1134" s="73"/>
      <c r="K1134" s="75" t="str">
        <f>IFERROR(__xludf.DUMMYFUNCTION("""COMPUTED_VALUE"""),"")</f>
        <v/>
      </c>
      <c r="L1134" s="75"/>
      <c r="M1134" s="46" t="s">
        <v>2002</v>
      </c>
    </row>
    <row r="1135">
      <c r="A1135" s="70">
        <f>IFERROR(__xludf.DUMMYFUNCTION("""COMPUTED_VALUE"""),9.871378355E9)</f>
        <v>9871378355</v>
      </c>
      <c r="B1135" s="46" t="str">
        <f>IFERROR(__xludf.DUMMYFUNCTION("""COMPUTED_VALUE"""),"Sk Jain")</f>
        <v>Sk Jain</v>
      </c>
      <c r="C1135" s="5" t="s">
        <v>2002</v>
      </c>
      <c r="D1135" s="5"/>
      <c r="E1135" s="5"/>
      <c r="F1135" s="5"/>
      <c r="G1135" s="5"/>
      <c r="H1135" s="5"/>
      <c r="I1135" s="5"/>
      <c r="J1135" s="73"/>
      <c r="K1135" s="75" t="str">
        <f>IFERROR(__xludf.DUMMYFUNCTION("""COMPUTED_VALUE"""),"")</f>
        <v/>
      </c>
      <c r="L1135" s="75"/>
      <c r="M1135" s="46" t="s">
        <v>2002</v>
      </c>
    </row>
    <row r="1136">
      <c r="A1136" s="70">
        <f>IFERROR(__xludf.DUMMYFUNCTION("""COMPUTED_VALUE"""),9.871681591E9)</f>
        <v>9871681591</v>
      </c>
      <c r="B1136" s="46" t="str">
        <f>IFERROR(__xludf.DUMMYFUNCTION("""COMPUTED_VALUE"""),"Amit Maheshwari ")</f>
        <v>Amit Maheshwari </v>
      </c>
      <c r="C1136" s="5" t="s">
        <v>2002</v>
      </c>
      <c r="D1136" s="5"/>
      <c r="E1136" s="5"/>
      <c r="F1136" s="5"/>
      <c r="G1136" s="5"/>
      <c r="H1136" s="5"/>
      <c r="I1136" s="5"/>
      <c r="J1136" s="73"/>
      <c r="K1136" s="75" t="str">
        <f>IFERROR(__xludf.DUMMYFUNCTION("""COMPUTED_VALUE"""),"")</f>
        <v/>
      </c>
      <c r="L1136" s="75"/>
      <c r="M1136" s="46" t="s">
        <v>2002</v>
      </c>
    </row>
    <row r="1137">
      <c r="A1137" s="70">
        <f>IFERROR(__xludf.DUMMYFUNCTION("""COMPUTED_VALUE"""),9.810842702E9)</f>
        <v>9810842702</v>
      </c>
      <c r="B1137" s="46" t="str">
        <f>IFERROR(__xludf.DUMMYFUNCTION("""COMPUTED_VALUE"""),"Kundan Kumar Mishra (Roop jewellery Chandni chowk)")</f>
        <v>Kundan Kumar Mishra (Roop jewellery Chandni chowk)</v>
      </c>
      <c r="C1137" s="5" t="s">
        <v>2002</v>
      </c>
      <c r="D1137" s="5"/>
      <c r="E1137" s="5"/>
      <c r="F1137" s="5"/>
      <c r="G1137" s="5"/>
      <c r="H1137" s="5"/>
      <c r="I1137" s="5"/>
      <c r="J1137" s="73"/>
      <c r="K1137" s="75" t="str">
        <f>IFERROR(__xludf.DUMMYFUNCTION("""COMPUTED_VALUE"""),"")</f>
        <v/>
      </c>
      <c r="L1137" s="75"/>
      <c r="M1137" s="46" t="s">
        <v>2002</v>
      </c>
    </row>
    <row r="1138">
      <c r="A1138" s="70">
        <f>IFERROR(__xludf.DUMMYFUNCTION("""COMPUTED_VALUE"""),9.818646599E9)</f>
        <v>9818646599</v>
      </c>
      <c r="B1138" s="46" t="str">
        <f>IFERROR(__xludf.DUMMYFUNCTION("""COMPUTED_VALUE"""),"Satvir singh")</f>
        <v>Satvir singh</v>
      </c>
      <c r="C1138" s="5" t="s">
        <v>2002</v>
      </c>
      <c r="D1138" s="5"/>
      <c r="E1138" s="5"/>
      <c r="F1138" s="5"/>
      <c r="G1138" s="5"/>
      <c r="H1138" s="5"/>
      <c r="I1138" s="5"/>
      <c r="J1138" s="73"/>
      <c r="K1138" s="75" t="str">
        <f>IFERROR(__xludf.DUMMYFUNCTION("""COMPUTED_VALUE"""),"")</f>
        <v/>
      </c>
      <c r="L1138" s="75"/>
      <c r="M1138" s="46" t="s">
        <v>2002</v>
      </c>
    </row>
    <row r="1139">
      <c r="A1139" s="70">
        <f>IFERROR(__xludf.DUMMYFUNCTION("""COMPUTED_VALUE"""),7.011342208E9)</f>
        <v>7011342208</v>
      </c>
      <c r="B1139" s="46" t="str">
        <f>IFERROR(__xludf.DUMMYFUNCTION("""COMPUTED_VALUE"""),"Harmeet singh")</f>
        <v>Harmeet singh</v>
      </c>
      <c r="C1139" s="5" t="s">
        <v>2002</v>
      </c>
      <c r="D1139" s="5"/>
      <c r="E1139" s="5"/>
      <c r="F1139" s="5"/>
      <c r="G1139" s="5"/>
      <c r="H1139" s="5"/>
      <c r="I1139" s="5"/>
      <c r="J1139" s="73"/>
      <c r="K1139" s="75" t="str">
        <f>IFERROR(__xludf.DUMMYFUNCTION("""COMPUTED_VALUE"""),"")</f>
        <v/>
      </c>
      <c r="L1139" s="75"/>
      <c r="M1139" s="46" t="s">
        <v>2002</v>
      </c>
    </row>
    <row r="1140">
      <c r="A1140" s="70">
        <f>IFERROR(__xludf.DUMMYFUNCTION("""COMPUTED_VALUE"""),9.31311997E9)</f>
        <v>9313119970</v>
      </c>
      <c r="B1140" s="46" t="str">
        <f>IFERROR(__xludf.DUMMYFUNCTION("""COMPUTED_VALUE"""),"Ankit")</f>
        <v>Ankit</v>
      </c>
      <c r="C1140" s="5" t="s">
        <v>2002</v>
      </c>
      <c r="D1140" s="5"/>
      <c r="E1140" s="5"/>
      <c r="F1140" s="5"/>
      <c r="G1140" s="5"/>
      <c r="H1140" s="5"/>
      <c r="I1140" s="5"/>
      <c r="J1140" s="73"/>
      <c r="K1140" s="75" t="str">
        <f>IFERROR(__xludf.DUMMYFUNCTION("""COMPUTED_VALUE"""),"")</f>
        <v/>
      </c>
      <c r="L1140" s="75"/>
      <c r="M1140" s="46" t="s">
        <v>2002</v>
      </c>
    </row>
    <row r="1141">
      <c r="A1141" s="70">
        <f>IFERROR(__xludf.DUMMYFUNCTION("""COMPUTED_VALUE"""),8.383057401E9)</f>
        <v>8383057401</v>
      </c>
      <c r="B1141" s="46" t="str">
        <f>IFERROR(__xludf.DUMMYFUNCTION("""COMPUTED_VALUE"""),"Ankita")</f>
        <v>Ankita</v>
      </c>
      <c r="C1141" s="5" t="s">
        <v>2002</v>
      </c>
      <c r="D1141" s="5"/>
      <c r="E1141" s="5"/>
      <c r="F1141" s="5"/>
      <c r="G1141" s="5"/>
      <c r="H1141" s="5"/>
      <c r="I1141" s="5"/>
      <c r="J1141" s="73"/>
      <c r="K1141" s="75" t="str">
        <f>IFERROR(__xludf.DUMMYFUNCTION("""COMPUTED_VALUE"""),"")</f>
        <v/>
      </c>
      <c r="L1141" s="75"/>
      <c r="M1141" s="46" t="s">
        <v>2002</v>
      </c>
    </row>
    <row r="1142">
      <c r="A1142" s="70">
        <f>IFERROR(__xludf.DUMMYFUNCTION("""COMPUTED_VALUE"""),9.81025053E9)</f>
        <v>9810250530</v>
      </c>
      <c r="B1142" s="46" t="str">
        <f>IFERROR(__xludf.DUMMYFUNCTION("""COMPUTED_VALUE"""),"Ekta singhal")</f>
        <v>Ekta singhal</v>
      </c>
      <c r="C1142" s="5" t="s">
        <v>2002</v>
      </c>
      <c r="D1142" s="5"/>
      <c r="E1142" s="5"/>
      <c r="F1142" s="5"/>
      <c r="G1142" s="5"/>
      <c r="H1142" s="5"/>
      <c r="I1142" s="5"/>
      <c r="J1142" s="73"/>
      <c r="K1142" s="75" t="str">
        <f>IFERROR(__xludf.DUMMYFUNCTION("""COMPUTED_VALUE"""),"")</f>
        <v/>
      </c>
      <c r="L1142" s="75"/>
      <c r="M1142" s="46" t="s">
        <v>2002</v>
      </c>
    </row>
    <row r="1143">
      <c r="A1143" s="70">
        <f>IFERROR(__xludf.DUMMYFUNCTION("""COMPUTED_VALUE"""),9.667239002E9)</f>
        <v>9667239002</v>
      </c>
      <c r="B1143" s="46" t="str">
        <f>IFERROR(__xludf.DUMMYFUNCTION("""COMPUTED_VALUE"""),"Savita")</f>
        <v>Savita</v>
      </c>
      <c r="C1143" s="5" t="s">
        <v>2002</v>
      </c>
      <c r="D1143" s="5"/>
      <c r="E1143" s="5"/>
      <c r="F1143" s="5"/>
      <c r="G1143" s="5"/>
      <c r="H1143" s="5"/>
      <c r="I1143" s="5"/>
      <c r="J1143" s="73"/>
      <c r="K1143" s="75" t="str">
        <f>IFERROR(__xludf.DUMMYFUNCTION("""COMPUTED_VALUE"""),"")</f>
        <v/>
      </c>
      <c r="L1143" s="75"/>
      <c r="M1143" s="46" t="s">
        <v>2002</v>
      </c>
    </row>
    <row r="1144">
      <c r="A1144" s="70">
        <f>IFERROR(__xludf.DUMMYFUNCTION("""COMPUTED_VALUE"""),9.654168668E9)</f>
        <v>9654168668</v>
      </c>
      <c r="B1144" s="46" t="str">
        <f>IFERROR(__xludf.DUMMYFUNCTION("""COMPUTED_VALUE"""),"Anshika")</f>
        <v>Anshika</v>
      </c>
      <c r="C1144" s="5" t="s">
        <v>2002</v>
      </c>
      <c r="D1144" s="5"/>
      <c r="E1144" s="5"/>
      <c r="F1144" s="5"/>
      <c r="G1144" s="5"/>
      <c r="H1144" s="5"/>
      <c r="I1144" s="5"/>
      <c r="J1144" s="73"/>
      <c r="K1144" s="75" t="str">
        <f>IFERROR(__xludf.DUMMYFUNCTION("""COMPUTED_VALUE"""),"")</f>
        <v/>
      </c>
      <c r="L1144" s="75"/>
      <c r="M1144" s="46" t="s">
        <v>2002</v>
      </c>
    </row>
    <row r="1145">
      <c r="A1145" s="70">
        <f>IFERROR(__xludf.DUMMYFUNCTION("""COMPUTED_VALUE"""),9.666998585E9)</f>
        <v>9666998585</v>
      </c>
      <c r="B1145" s="46" t="str">
        <f>IFERROR(__xludf.DUMMYFUNCTION("""COMPUTED_VALUE"""),"Madhu khatri")</f>
        <v>Madhu khatri</v>
      </c>
      <c r="C1145" s="5" t="s">
        <v>2002</v>
      </c>
      <c r="D1145" s="5"/>
      <c r="E1145" s="5"/>
      <c r="F1145" s="5"/>
      <c r="G1145" s="5"/>
      <c r="H1145" s="5"/>
      <c r="I1145" s="5"/>
      <c r="J1145" s="73"/>
      <c r="K1145" s="75" t="str">
        <f>IFERROR(__xludf.DUMMYFUNCTION("""COMPUTED_VALUE"""),"")</f>
        <v/>
      </c>
      <c r="L1145" s="75"/>
      <c r="M1145" s="46" t="s">
        <v>2002</v>
      </c>
    </row>
    <row r="1146">
      <c r="A1146" s="70">
        <f>IFERROR(__xludf.DUMMYFUNCTION("""COMPUTED_VALUE"""),9.99905996E9)</f>
        <v>9999059960</v>
      </c>
      <c r="B1146" s="46" t="str">
        <f>IFERROR(__xludf.DUMMYFUNCTION("""COMPUTED_VALUE"""),"SK nayak")</f>
        <v>SK nayak</v>
      </c>
      <c r="C1146" s="5" t="s">
        <v>2002</v>
      </c>
      <c r="D1146" s="5"/>
      <c r="E1146" s="5"/>
      <c r="F1146" s="5"/>
      <c r="G1146" s="5"/>
      <c r="H1146" s="5"/>
      <c r="I1146" s="5"/>
      <c r="J1146" s="73"/>
      <c r="K1146" s="75" t="str">
        <f>IFERROR(__xludf.DUMMYFUNCTION("""COMPUTED_VALUE"""),"")</f>
        <v/>
      </c>
      <c r="L1146" s="75"/>
      <c r="M1146" s="46" t="s">
        <v>2002</v>
      </c>
    </row>
    <row r="1147">
      <c r="A1147" s="70">
        <f>IFERROR(__xludf.DUMMYFUNCTION("""COMPUTED_VALUE"""),8.851638279E9)</f>
        <v>8851638279</v>
      </c>
      <c r="B1147" s="46" t="str">
        <f>IFERROR(__xludf.DUMMYFUNCTION("""COMPUTED_VALUE"""),"Krishna sharma")</f>
        <v>Krishna sharma</v>
      </c>
      <c r="C1147" s="5" t="s">
        <v>2002</v>
      </c>
      <c r="D1147" s="5"/>
      <c r="E1147" s="5"/>
      <c r="F1147" s="5"/>
      <c r="G1147" s="5"/>
      <c r="H1147" s="5"/>
      <c r="I1147" s="5"/>
      <c r="J1147" s="73"/>
      <c r="K1147" s="75" t="str">
        <f>IFERROR(__xludf.DUMMYFUNCTION("""COMPUTED_VALUE"""),"")</f>
        <v/>
      </c>
      <c r="L1147" s="75"/>
      <c r="M1147" s="46" t="s">
        <v>2002</v>
      </c>
    </row>
    <row r="1148">
      <c r="A1148" s="70">
        <f>IFERROR(__xludf.DUMMYFUNCTION("""COMPUTED_VALUE"""),9.718800973E9)</f>
        <v>9718800973</v>
      </c>
      <c r="B1148" s="46" t="str">
        <f>IFERROR(__xludf.DUMMYFUNCTION("""COMPUTED_VALUE"""),"Kajal")</f>
        <v>Kajal</v>
      </c>
      <c r="C1148" s="5" t="s">
        <v>2002</v>
      </c>
      <c r="D1148" s="5"/>
      <c r="E1148" s="5"/>
      <c r="F1148" s="5"/>
      <c r="G1148" s="5"/>
      <c r="H1148" s="5"/>
      <c r="I1148" s="5"/>
      <c r="J1148" s="73"/>
      <c r="K1148" s="75" t="str">
        <f>IFERROR(__xludf.DUMMYFUNCTION("""COMPUTED_VALUE"""),"")</f>
        <v/>
      </c>
      <c r="L1148" s="75"/>
      <c r="M1148" s="46" t="s">
        <v>2002</v>
      </c>
    </row>
    <row r="1149">
      <c r="A1149" s="70">
        <f>IFERROR(__xludf.DUMMYFUNCTION("""COMPUTED_VALUE"""),9.650353762E9)</f>
        <v>9650353762</v>
      </c>
      <c r="B1149" s="46" t="str">
        <f>IFERROR(__xludf.DUMMYFUNCTION("""COMPUTED_VALUE"""),"Sonam")</f>
        <v>Sonam</v>
      </c>
      <c r="C1149" s="5" t="s">
        <v>2002</v>
      </c>
      <c r="D1149" s="5"/>
      <c r="E1149" s="5"/>
      <c r="F1149" s="5"/>
      <c r="G1149" s="5"/>
      <c r="H1149" s="5"/>
      <c r="I1149" s="5"/>
      <c r="J1149" s="73"/>
      <c r="K1149" s="75" t="str">
        <f>IFERROR(__xludf.DUMMYFUNCTION("""COMPUTED_VALUE"""),"")</f>
        <v/>
      </c>
      <c r="L1149" s="75"/>
      <c r="M1149" s="46" t="s">
        <v>2002</v>
      </c>
    </row>
    <row r="1150">
      <c r="A1150" s="70">
        <f>IFERROR(__xludf.DUMMYFUNCTION("""COMPUTED_VALUE"""),9.958349947E9)</f>
        <v>9958349947</v>
      </c>
      <c r="B1150" s="46" t="str">
        <f>IFERROR(__xludf.DUMMYFUNCTION("""COMPUTED_VALUE"""),"kajal")</f>
        <v>kajal</v>
      </c>
      <c r="C1150" s="5" t="s">
        <v>2002</v>
      </c>
      <c r="D1150" s="5"/>
      <c r="E1150" s="5"/>
      <c r="F1150" s="5"/>
      <c r="G1150" s="5"/>
      <c r="H1150" s="5"/>
      <c r="I1150" s="5"/>
      <c r="J1150" s="73"/>
      <c r="K1150" s="75" t="str">
        <f>IFERROR(__xludf.DUMMYFUNCTION("""COMPUTED_VALUE"""),"")</f>
        <v/>
      </c>
      <c r="L1150" s="75"/>
      <c r="M1150" s="46" t="s">
        <v>2002</v>
      </c>
    </row>
    <row r="1151">
      <c r="A1151" s="70">
        <f>IFERROR(__xludf.DUMMYFUNCTION("""COMPUTED_VALUE"""),9.969623776E9)</f>
        <v>9969623776</v>
      </c>
      <c r="B1151" s="46" t="str">
        <f>IFERROR(__xludf.DUMMYFUNCTION("""COMPUTED_VALUE"""),"Sudhir kushwaha ")</f>
        <v>Sudhir kushwaha </v>
      </c>
      <c r="C1151" s="5" t="s">
        <v>2002</v>
      </c>
      <c r="D1151" s="5"/>
      <c r="E1151" s="5"/>
      <c r="F1151" s="5"/>
      <c r="G1151" s="5"/>
      <c r="H1151" s="5"/>
      <c r="I1151" s="5"/>
      <c r="J1151" s="73"/>
      <c r="K1151" s="75" t="str">
        <f>IFERROR(__xludf.DUMMYFUNCTION("""COMPUTED_VALUE"""),"")</f>
        <v/>
      </c>
      <c r="L1151" s="75"/>
      <c r="M1151" s="46" t="s">
        <v>2002</v>
      </c>
    </row>
    <row r="1152">
      <c r="A1152" s="70">
        <f>IFERROR(__xludf.DUMMYFUNCTION("""COMPUTED_VALUE"""),9.81066177E9)</f>
        <v>9810661770</v>
      </c>
      <c r="B1152" s="46" t="str">
        <f>IFERROR(__xludf.DUMMYFUNCTION("""COMPUTED_VALUE"""),"Norin")</f>
        <v>Norin</v>
      </c>
      <c r="C1152" s="5" t="s">
        <v>2002</v>
      </c>
      <c r="D1152" s="5"/>
      <c r="E1152" s="5"/>
      <c r="F1152" s="5"/>
      <c r="G1152" s="5"/>
      <c r="H1152" s="5"/>
      <c r="I1152" s="5"/>
      <c r="J1152" s="73"/>
      <c r="K1152" s="75" t="str">
        <f>IFERROR(__xludf.DUMMYFUNCTION("""COMPUTED_VALUE"""),"")</f>
        <v/>
      </c>
      <c r="L1152" s="75"/>
      <c r="M1152" s="46" t="s">
        <v>2002</v>
      </c>
    </row>
    <row r="1153">
      <c r="A1153" s="70">
        <f>IFERROR(__xludf.DUMMYFUNCTION("""COMPUTED_VALUE"""),9.696444434E9)</f>
        <v>9696444434</v>
      </c>
      <c r="B1153" s="46" t="str">
        <f>IFERROR(__xludf.DUMMYFUNCTION("""COMPUTED_VALUE"""),"Shivangi ")</f>
        <v>Shivangi </v>
      </c>
      <c r="C1153" s="5" t="s">
        <v>2002</v>
      </c>
      <c r="D1153" s="5"/>
      <c r="E1153" s="5"/>
      <c r="F1153" s="5"/>
      <c r="G1153" s="5"/>
      <c r="H1153" s="5"/>
      <c r="I1153" s="5"/>
      <c r="J1153" s="73"/>
      <c r="K1153" s="75" t="str">
        <f>IFERROR(__xludf.DUMMYFUNCTION("""COMPUTED_VALUE"""),"")</f>
        <v/>
      </c>
      <c r="L1153" s="75"/>
      <c r="M1153" s="46" t="s">
        <v>2002</v>
      </c>
    </row>
    <row r="1154">
      <c r="A1154" s="70">
        <f>IFERROR(__xludf.DUMMYFUNCTION("""COMPUTED_VALUE"""),7.011006021E9)</f>
        <v>7011006021</v>
      </c>
      <c r="B1154" s="46" t="str">
        <f>IFERROR(__xludf.DUMMYFUNCTION("""COMPUTED_VALUE"""),"Shruti gupta")</f>
        <v>Shruti gupta</v>
      </c>
      <c r="C1154" s="5" t="s">
        <v>2002</v>
      </c>
      <c r="D1154" s="5"/>
      <c r="E1154" s="5"/>
      <c r="F1154" s="5"/>
      <c r="G1154" s="5"/>
      <c r="H1154" s="5"/>
      <c r="I1154" s="5"/>
      <c r="J1154" s="73"/>
      <c r="K1154" s="75" t="str">
        <f>IFERROR(__xludf.DUMMYFUNCTION("""COMPUTED_VALUE"""),"")</f>
        <v/>
      </c>
      <c r="L1154" s="75"/>
      <c r="M1154" s="46" t="s">
        <v>2002</v>
      </c>
    </row>
    <row r="1155">
      <c r="A1155" s="70">
        <f>IFERROR(__xludf.DUMMYFUNCTION("""COMPUTED_VALUE"""),9.812980505E9)</f>
        <v>9812980505</v>
      </c>
      <c r="B1155" s="46" t="str">
        <f>IFERROR(__xludf.DUMMYFUNCTION("""COMPUTED_VALUE"""),"Rajkumar")</f>
        <v>Rajkumar</v>
      </c>
      <c r="C1155" s="5" t="s">
        <v>2002</v>
      </c>
      <c r="D1155" s="5"/>
      <c r="E1155" s="5"/>
      <c r="F1155" s="5"/>
      <c r="G1155" s="5"/>
      <c r="H1155" s="5"/>
      <c r="I1155" s="5"/>
      <c r="J1155" s="73"/>
      <c r="K1155" s="75" t="str">
        <f>IFERROR(__xludf.DUMMYFUNCTION("""COMPUTED_VALUE"""),"")</f>
        <v/>
      </c>
      <c r="L1155" s="75"/>
      <c r="M1155" s="46" t="s">
        <v>2002</v>
      </c>
    </row>
    <row r="1156">
      <c r="A1156" s="70">
        <f>IFERROR(__xludf.DUMMYFUNCTION("""COMPUTED_VALUE"""),8.595674002E9)</f>
        <v>8595674002</v>
      </c>
      <c r="B1156" s="46" t="str">
        <f>IFERROR(__xludf.DUMMYFUNCTION("""COMPUTED_VALUE"""),"Sanjeev")</f>
        <v>Sanjeev</v>
      </c>
      <c r="C1156" s="5" t="s">
        <v>2002</v>
      </c>
      <c r="D1156" s="5"/>
      <c r="E1156" s="5"/>
      <c r="F1156" s="5"/>
      <c r="G1156" s="5"/>
      <c r="H1156" s="5"/>
      <c r="I1156" s="5"/>
      <c r="J1156" s="73"/>
      <c r="K1156" s="75" t="str">
        <f>IFERROR(__xludf.DUMMYFUNCTION("""COMPUTED_VALUE"""),"")</f>
        <v/>
      </c>
      <c r="L1156" s="75"/>
      <c r="M1156" s="46" t="s">
        <v>2002</v>
      </c>
    </row>
    <row r="1157">
      <c r="A1157" s="70">
        <f>IFERROR(__xludf.DUMMYFUNCTION("""COMPUTED_VALUE"""),9.59958111E9)</f>
        <v>9599581110</v>
      </c>
      <c r="B1157" s="46" t="str">
        <f>IFERROR(__xludf.DUMMYFUNCTION("""COMPUTED_VALUE"""),"Suraj rawat")</f>
        <v>Suraj rawat</v>
      </c>
      <c r="C1157" s="5" t="s">
        <v>2002</v>
      </c>
      <c r="D1157" s="5"/>
      <c r="E1157" s="5"/>
      <c r="F1157" s="5"/>
      <c r="G1157" s="5"/>
      <c r="H1157" s="5"/>
      <c r="I1157" s="5"/>
      <c r="J1157" s="73"/>
      <c r="K1157" s="75" t="str">
        <f>IFERROR(__xludf.DUMMYFUNCTION("""COMPUTED_VALUE"""),"")</f>
        <v/>
      </c>
      <c r="L1157" s="75"/>
      <c r="M1157" s="46" t="s">
        <v>2002</v>
      </c>
    </row>
    <row r="1158">
      <c r="A1158" s="70">
        <f>IFERROR(__xludf.DUMMYFUNCTION("""COMPUTED_VALUE"""),8.448914935E9)</f>
        <v>8448914935</v>
      </c>
      <c r="B1158" s="46" t="str">
        <f>IFERROR(__xludf.DUMMYFUNCTION("""COMPUTED_VALUE"""),"Harshita")</f>
        <v>Harshita</v>
      </c>
      <c r="C1158" s="5" t="s">
        <v>2002</v>
      </c>
      <c r="D1158" s="5"/>
      <c r="E1158" s="5"/>
      <c r="F1158" s="5"/>
      <c r="G1158" s="5"/>
      <c r="H1158" s="5"/>
      <c r="I1158" s="5"/>
      <c r="J1158" s="73"/>
      <c r="K1158" s="75" t="str">
        <f>IFERROR(__xludf.DUMMYFUNCTION("""COMPUTED_VALUE"""),"")</f>
        <v/>
      </c>
      <c r="L1158" s="75"/>
      <c r="M1158" s="46" t="s">
        <v>2002</v>
      </c>
    </row>
    <row r="1159">
      <c r="A1159" s="70">
        <f>IFERROR(__xludf.DUMMYFUNCTION("""COMPUTED_VALUE"""),8.920817335E9)</f>
        <v>8920817335</v>
      </c>
      <c r="B1159" s="46" t="str">
        <f>IFERROR(__xludf.DUMMYFUNCTION("""COMPUTED_VALUE"""),"lucky")</f>
        <v>lucky</v>
      </c>
      <c r="C1159" s="5" t="s">
        <v>2002</v>
      </c>
      <c r="D1159" s="5"/>
      <c r="E1159" s="5"/>
      <c r="F1159" s="5"/>
      <c r="G1159" s="5"/>
      <c r="H1159" s="5"/>
      <c r="I1159" s="5"/>
      <c r="J1159" s="73"/>
      <c r="K1159" s="75" t="str">
        <f>IFERROR(__xludf.DUMMYFUNCTION("""COMPUTED_VALUE"""),"")</f>
        <v/>
      </c>
      <c r="L1159" s="75"/>
      <c r="M1159" s="46" t="s">
        <v>2002</v>
      </c>
    </row>
    <row r="1160">
      <c r="A1160" s="70">
        <f>IFERROR(__xludf.DUMMYFUNCTION("""COMPUTED_VALUE"""),9.811490885E9)</f>
        <v>9811490885</v>
      </c>
      <c r="B1160" s="46" t="str">
        <f>IFERROR(__xludf.DUMMYFUNCTION("""COMPUTED_VALUE"""),"Suresh Kumar ")</f>
        <v>Suresh Kumar </v>
      </c>
      <c r="C1160" s="5" t="s">
        <v>2002</v>
      </c>
      <c r="D1160" s="5"/>
      <c r="E1160" s="5"/>
      <c r="F1160" s="5"/>
      <c r="G1160" s="5"/>
      <c r="H1160" s="5"/>
      <c r="I1160" s="5"/>
      <c r="J1160" s="73"/>
      <c r="K1160" s="75" t="str">
        <f>IFERROR(__xludf.DUMMYFUNCTION("""COMPUTED_VALUE"""),"")</f>
        <v/>
      </c>
      <c r="L1160" s="75"/>
      <c r="M1160" s="46" t="s">
        <v>2002</v>
      </c>
    </row>
    <row r="1161">
      <c r="A1161" s="70">
        <f>IFERROR(__xludf.DUMMYFUNCTION("""COMPUTED_VALUE"""),9.250839231E9)</f>
        <v>9250839231</v>
      </c>
      <c r="B1161" s="46" t="str">
        <f>IFERROR(__xludf.DUMMYFUNCTION("""COMPUTED_VALUE"""),"Ruchika")</f>
        <v>Ruchika</v>
      </c>
      <c r="C1161" s="5" t="s">
        <v>2002</v>
      </c>
      <c r="D1161" s="5"/>
      <c r="E1161" s="5"/>
      <c r="F1161" s="5"/>
      <c r="G1161" s="5"/>
      <c r="H1161" s="5"/>
      <c r="I1161" s="5"/>
      <c r="J1161" s="73"/>
      <c r="K1161" s="75" t="str">
        <f>IFERROR(__xludf.DUMMYFUNCTION("""COMPUTED_VALUE"""),"")</f>
        <v/>
      </c>
      <c r="L1161" s="75"/>
      <c r="M1161" s="46" t="s">
        <v>2002</v>
      </c>
    </row>
    <row r="1162">
      <c r="A1162" s="70">
        <f>IFERROR(__xludf.DUMMYFUNCTION("""COMPUTED_VALUE"""),8.076223655E9)</f>
        <v>8076223655</v>
      </c>
      <c r="B1162" s="46" t="str">
        <f>IFERROR(__xludf.DUMMYFUNCTION("""COMPUTED_VALUE"""),"Chanchal")</f>
        <v>Chanchal</v>
      </c>
      <c r="C1162" s="5" t="s">
        <v>2002</v>
      </c>
      <c r="D1162" s="5"/>
      <c r="E1162" s="5"/>
      <c r="F1162" s="5"/>
      <c r="G1162" s="5"/>
      <c r="H1162" s="5"/>
      <c r="I1162" s="5"/>
      <c r="J1162" s="73"/>
      <c r="K1162" s="75" t="str">
        <f>IFERROR(__xludf.DUMMYFUNCTION("""COMPUTED_VALUE"""),"")</f>
        <v/>
      </c>
      <c r="L1162" s="75"/>
      <c r="M1162" s="46" t="s">
        <v>2002</v>
      </c>
    </row>
    <row r="1163">
      <c r="A1163" s="70">
        <f>IFERROR(__xludf.DUMMYFUNCTION("""COMPUTED_VALUE"""),9.999178E9)</f>
        <v>9999178000</v>
      </c>
      <c r="B1163" s="46" t="str">
        <f>IFERROR(__xludf.DUMMYFUNCTION("""COMPUTED_VALUE"""),"Anju poda ")</f>
        <v>Anju poda </v>
      </c>
      <c r="C1163" s="5" t="s">
        <v>2002</v>
      </c>
      <c r="D1163" s="5"/>
      <c r="E1163" s="5"/>
      <c r="F1163" s="5"/>
      <c r="G1163" s="5"/>
      <c r="H1163" s="5"/>
      <c r="I1163" s="5"/>
      <c r="J1163" s="73"/>
      <c r="K1163" s="75" t="str">
        <f>IFERROR(__xludf.DUMMYFUNCTION("""COMPUTED_VALUE"""),"")</f>
        <v/>
      </c>
      <c r="L1163" s="75"/>
      <c r="M1163" s="46" t="s">
        <v>2002</v>
      </c>
    </row>
    <row r="1164">
      <c r="A1164" s="70">
        <f>IFERROR(__xludf.DUMMYFUNCTION("""COMPUTED_VALUE"""),7.060730078E9)</f>
        <v>7060730078</v>
      </c>
      <c r="B1164" s="46" t="str">
        <f>IFERROR(__xludf.DUMMYFUNCTION("""COMPUTED_VALUE"""),"Akshat")</f>
        <v>Akshat</v>
      </c>
      <c r="C1164" s="5" t="s">
        <v>2002</v>
      </c>
      <c r="D1164" s="5"/>
      <c r="E1164" s="5"/>
      <c r="F1164" s="5"/>
      <c r="G1164" s="5"/>
      <c r="H1164" s="5"/>
      <c r="I1164" s="5"/>
      <c r="J1164" s="73"/>
      <c r="K1164" s="75" t="str">
        <f>IFERROR(__xludf.DUMMYFUNCTION("""COMPUTED_VALUE"""),"")</f>
        <v/>
      </c>
      <c r="L1164" s="75"/>
      <c r="M1164" s="46" t="s">
        <v>2002</v>
      </c>
    </row>
    <row r="1165">
      <c r="A1165" s="70">
        <f>IFERROR(__xludf.DUMMYFUNCTION("""COMPUTED_VALUE"""),9.818748273E9)</f>
        <v>9818748273</v>
      </c>
      <c r="B1165" s="46" t="str">
        <f>IFERROR(__xludf.DUMMYFUNCTION("""COMPUTED_VALUE"""),"Gopal")</f>
        <v>Gopal</v>
      </c>
      <c r="C1165" s="5" t="s">
        <v>2002</v>
      </c>
      <c r="D1165" s="5"/>
      <c r="E1165" s="5"/>
      <c r="F1165" s="5"/>
      <c r="G1165" s="5"/>
      <c r="H1165" s="5"/>
      <c r="I1165" s="5"/>
      <c r="J1165" s="73"/>
      <c r="K1165" s="75" t="str">
        <f>IFERROR(__xludf.DUMMYFUNCTION("""COMPUTED_VALUE"""),"")</f>
        <v/>
      </c>
      <c r="L1165" s="75"/>
      <c r="M1165" s="46" t="s">
        <v>2002</v>
      </c>
    </row>
    <row r="1166">
      <c r="A1166" s="70">
        <f>IFERROR(__xludf.DUMMYFUNCTION("""COMPUTED_VALUE"""),8.948904461E9)</f>
        <v>8948904461</v>
      </c>
      <c r="B1166" s="46" t="str">
        <f>IFERROR(__xludf.DUMMYFUNCTION("""COMPUTED_VALUE"""),"Shalini")</f>
        <v>Shalini</v>
      </c>
      <c r="C1166" s="5" t="s">
        <v>2002</v>
      </c>
      <c r="D1166" s="5"/>
      <c r="E1166" s="5"/>
      <c r="F1166" s="5"/>
      <c r="G1166" s="5"/>
      <c r="H1166" s="5"/>
      <c r="I1166" s="5"/>
      <c r="J1166" s="73"/>
      <c r="K1166" s="75" t="str">
        <f>IFERROR(__xludf.DUMMYFUNCTION("""COMPUTED_VALUE"""),"")</f>
        <v/>
      </c>
      <c r="L1166" s="75"/>
      <c r="M1166" s="46" t="s">
        <v>2002</v>
      </c>
    </row>
    <row r="1167">
      <c r="A1167" s="70">
        <f>IFERROR(__xludf.DUMMYFUNCTION("""COMPUTED_VALUE"""),9.311972803E9)</f>
        <v>9311972803</v>
      </c>
      <c r="B1167" s="46" t="str">
        <f>IFERROR(__xludf.DUMMYFUNCTION("""COMPUTED_VALUE"""),"Deepak patel ( era diamonds) ")</f>
        <v>Deepak patel ( era diamonds) </v>
      </c>
      <c r="C1167" s="5" t="s">
        <v>2002</v>
      </c>
      <c r="D1167" s="5"/>
      <c r="E1167" s="5"/>
      <c r="F1167" s="5"/>
      <c r="G1167" s="5"/>
      <c r="H1167" s="5"/>
      <c r="I1167" s="5"/>
      <c r="J1167" s="73"/>
      <c r="K1167" s="75" t="str">
        <f>IFERROR(__xludf.DUMMYFUNCTION("""COMPUTED_VALUE"""),"")</f>
        <v/>
      </c>
      <c r="L1167" s="75"/>
      <c r="M1167" s="46" t="s">
        <v>2002</v>
      </c>
    </row>
    <row r="1168">
      <c r="A1168" s="70">
        <f>IFERROR(__xludf.DUMMYFUNCTION("""COMPUTED_VALUE"""),9.654848666E9)</f>
        <v>9654848666</v>
      </c>
      <c r="B1168" s="46" t="str">
        <f>IFERROR(__xludf.DUMMYFUNCTION("""COMPUTED_VALUE"""),"Rajesh kymar")</f>
        <v>Rajesh kymar</v>
      </c>
      <c r="C1168" s="5" t="s">
        <v>2002</v>
      </c>
      <c r="D1168" s="5"/>
      <c r="E1168" s="5"/>
      <c r="F1168" s="5"/>
      <c r="G1168" s="5"/>
      <c r="H1168" s="5"/>
      <c r="I1168" s="5"/>
      <c r="J1168" s="73"/>
      <c r="K1168" s="75" t="str">
        <f>IFERROR(__xludf.DUMMYFUNCTION("""COMPUTED_VALUE"""),"")</f>
        <v/>
      </c>
      <c r="L1168" s="75"/>
      <c r="M1168" s="46" t="s">
        <v>2002</v>
      </c>
    </row>
    <row r="1169">
      <c r="A1169" s="70">
        <f>IFERROR(__xludf.DUMMYFUNCTION("""COMPUTED_VALUE"""),9.667343071E9)</f>
        <v>9667343071</v>
      </c>
      <c r="B1169" s="46" t="str">
        <f>IFERROR(__xludf.DUMMYFUNCTION("""COMPUTED_VALUE"""),"Sakshi")</f>
        <v>Sakshi</v>
      </c>
      <c r="C1169" s="5" t="s">
        <v>2002</v>
      </c>
      <c r="D1169" s="5"/>
      <c r="E1169" s="5"/>
      <c r="F1169" s="5"/>
      <c r="G1169" s="5"/>
      <c r="H1169" s="5"/>
      <c r="I1169" s="5"/>
      <c r="J1169" s="73"/>
      <c r="K1169" s="75" t="str">
        <f>IFERROR(__xludf.DUMMYFUNCTION("""COMPUTED_VALUE"""),"")</f>
        <v/>
      </c>
      <c r="L1169" s="75"/>
      <c r="M1169" s="46" t="s">
        <v>2002</v>
      </c>
    </row>
    <row r="1170">
      <c r="A1170" s="70">
        <f>IFERROR(__xludf.DUMMYFUNCTION("""COMPUTED_VALUE"""),9.667733189E9)</f>
        <v>9667733189</v>
      </c>
      <c r="B1170" s="46" t="str">
        <f>IFERROR(__xludf.DUMMYFUNCTION("""COMPUTED_VALUE"""),"Ratnesh Singh")</f>
        <v>Ratnesh Singh</v>
      </c>
      <c r="C1170" s="5" t="s">
        <v>2002</v>
      </c>
      <c r="D1170" s="5"/>
      <c r="E1170" s="5"/>
      <c r="F1170" s="5"/>
      <c r="G1170" s="5"/>
      <c r="H1170" s="5"/>
      <c r="I1170" s="5"/>
      <c r="J1170" s="73"/>
      <c r="K1170" s="75" t="str">
        <f>IFERROR(__xludf.DUMMYFUNCTION("""COMPUTED_VALUE"""),"")</f>
        <v/>
      </c>
      <c r="L1170" s="75"/>
      <c r="M1170" s="46" t="s">
        <v>2002</v>
      </c>
    </row>
    <row r="1171">
      <c r="A1171" s="70">
        <f>IFERROR(__xludf.DUMMYFUNCTION("""COMPUTED_VALUE"""),9.953501321E9)</f>
        <v>9953501321</v>
      </c>
      <c r="B1171" s="46" t="str">
        <f>IFERROR(__xludf.DUMMYFUNCTION("""COMPUTED_VALUE"""),"Atul bharadwaj ji ")</f>
        <v>Atul bharadwaj ji </v>
      </c>
      <c r="C1171" s="5" t="s">
        <v>2002</v>
      </c>
      <c r="D1171" s="5"/>
      <c r="E1171" s="5"/>
      <c r="F1171" s="5"/>
      <c r="G1171" s="5"/>
      <c r="H1171" s="5"/>
      <c r="I1171" s="5"/>
      <c r="J1171" s="73"/>
      <c r="K1171" s="75" t="str">
        <f>IFERROR(__xludf.DUMMYFUNCTION("""COMPUTED_VALUE"""),"")</f>
        <v/>
      </c>
      <c r="L1171" s="75"/>
      <c r="M1171" s="46" t="s">
        <v>2002</v>
      </c>
    </row>
    <row r="1172">
      <c r="A1172" s="70">
        <f>IFERROR(__xludf.DUMMYFUNCTION("""COMPUTED_VALUE"""),9.588179734E9)</f>
        <v>9588179734</v>
      </c>
      <c r="B1172" s="46" t="str">
        <f>IFERROR(__xludf.DUMMYFUNCTION("""COMPUTED_VALUE"""),"Aayushi")</f>
        <v>Aayushi</v>
      </c>
      <c r="C1172" s="5" t="s">
        <v>2002</v>
      </c>
      <c r="D1172" s="5"/>
      <c r="E1172" s="5"/>
      <c r="F1172" s="5"/>
      <c r="G1172" s="5"/>
      <c r="H1172" s="5"/>
      <c r="I1172" s="5"/>
      <c r="J1172" s="73"/>
      <c r="K1172" s="75" t="str">
        <f>IFERROR(__xludf.DUMMYFUNCTION("""COMPUTED_VALUE"""),"")</f>
        <v/>
      </c>
      <c r="L1172" s="75"/>
      <c r="M1172" s="46" t="s">
        <v>2002</v>
      </c>
    </row>
    <row r="1173">
      <c r="A1173" s="70">
        <f>IFERROR(__xludf.DUMMYFUNCTION("""COMPUTED_VALUE"""),7.404884976E9)</f>
        <v>7404884976</v>
      </c>
      <c r="B1173" s="46" t="str">
        <f>IFERROR(__xludf.DUMMYFUNCTION("""COMPUTED_VALUE"""),"Sweety")</f>
        <v>Sweety</v>
      </c>
      <c r="C1173" s="5" t="s">
        <v>2002</v>
      </c>
      <c r="D1173" s="5"/>
      <c r="E1173" s="5"/>
      <c r="F1173" s="5"/>
      <c r="G1173" s="5"/>
      <c r="H1173" s="5"/>
      <c r="I1173" s="5"/>
      <c r="J1173" s="73"/>
      <c r="K1173" s="75" t="str">
        <f>IFERROR(__xludf.DUMMYFUNCTION("""COMPUTED_VALUE"""),"")</f>
        <v/>
      </c>
      <c r="L1173" s="75"/>
      <c r="M1173" s="46" t="s">
        <v>2002</v>
      </c>
    </row>
    <row r="1174">
      <c r="A1174" s="70">
        <f>IFERROR(__xludf.DUMMYFUNCTION("""COMPUTED_VALUE"""),8.92946073E9)</f>
        <v>8929460730</v>
      </c>
      <c r="B1174" s="46" t="str">
        <f>IFERROR(__xludf.DUMMYFUNCTION("""COMPUTED_VALUE"""),"Krishna ")</f>
        <v>Krishna </v>
      </c>
      <c r="C1174" s="5" t="s">
        <v>2002</v>
      </c>
      <c r="D1174" s="5"/>
      <c r="E1174" s="5"/>
      <c r="F1174" s="5"/>
      <c r="G1174" s="5"/>
      <c r="H1174" s="5"/>
      <c r="I1174" s="5"/>
      <c r="J1174" s="73"/>
      <c r="K1174" s="75" t="str">
        <f>IFERROR(__xludf.DUMMYFUNCTION("""COMPUTED_VALUE"""),"")</f>
        <v/>
      </c>
      <c r="L1174" s="75"/>
      <c r="M1174" s="46" t="s">
        <v>2002</v>
      </c>
    </row>
    <row r="1175">
      <c r="A1175" s="70">
        <f>IFERROR(__xludf.DUMMYFUNCTION("""COMPUTED_VALUE"""),9.818858899E9)</f>
        <v>9818858899</v>
      </c>
      <c r="B1175" s="46" t="str">
        <f>IFERROR(__xludf.DUMMYFUNCTION("""COMPUTED_VALUE"""),"Kc sharma")</f>
        <v>Kc sharma</v>
      </c>
      <c r="C1175" s="5" t="s">
        <v>2002</v>
      </c>
      <c r="D1175" s="5"/>
      <c r="E1175" s="5"/>
      <c r="F1175" s="5"/>
      <c r="G1175" s="5"/>
      <c r="H1175" s="5"/>
      <c r="I1175" s="5"/>
      <c r="J1175" s="73"/>
      <c r="K1175" s="75" t="str">
        <f>IFERROR(__xludf.DUMMYFUNCTION("""COMPUTED_VALUE"""),"")</f>
        <v/>
      </c>
      <c r="L1175" s="75"/>
      <c r="M1175" s="46" t="s">
        <v>2002</v>
      </c>
    </row>
    <row r="1176">
      <c r="A1176" s="70">
        <f>IFERROR(__xludf.DUMMYFUNCTION("""COMPUTED_VALUE"""),9.212718715E9)</f>
        <v>9212718715</v>
      </c>
      <c r="B1176" s="46" t="str">
        <f>IFERROR(__xludf.DUMMYFUNCTION("""COMPUTED_VALUE"""),"Shajra")</f>
        <v>Shajra</v>
      </c>
      <c r="C1176" s="5" t="s">
        <v>2002</v>
      </c>
      <c r="D1176" s="5"/>
      <c r="E1176" s="5"/>
      <c r="F1176" s="5"/>
      <c r="G1176" s="5"/>
      <c r="H1176" s="5"/>
      <c r="I1176" s="5"/>
      <c r="J1176" s="73"/>
      <c r="K1176" s="75" t="str">
        <f>IFERROR(__xludf.DUMMYFUNCTION("""COMPUTED_VALUE"""),"")</f>
        <v/>
      </c>
      <c r="L1176" s="75"/>
      <c r="M1176" s="46" t="s">
        <v>2002</v>
      </c>
    </row>
    <row r="1177">
      <c r="A1177" s="70">
        <f>IFERROR(__xludf.DUMMYFUNCTION("""COMPUTED_VALUE"""),9.968425663E9)</f>
        <v>9968425663</v>
      </c>
      <c r="B1177" s="46" t="str">
        <f>IFERROR(__xludf.DUMMYFUNCTION("""COMPUTED_VALUE"""),"Prakash ")</f>
        <v>Prakash </v>
      </c>
      <c r="C1177" s="5" t="s">
        <v>2002</v>
      </c>
      <c r="D1177" s="5"/>
      <c r="E1177" s="5"/>
      <c r="F1177" s="5"/>
      <c r="G1177" s="5"/>
      <c r="H1177" s="5"/>
      <c r="I1177" s="5"/>
      <c r="J1177" s="73"/>
      <c r="K1177" s="75" t="str">
        <f>IFERROR(__xludf.DUMMYFUNCTION("""COMPUTED_VALUE"""),"")</f>
        <v/>
      </c>
      <c r="L1177" s="75"/>
      <c r="M1177" s="46" t="s">
        <v>2002</v>
      </c>
    </row>
    <row r="1178">
      <c r="A1178" s="70">
        <f>IFERROR(__xludf.DUMMYFUNCTION("""COMPUTED_VALUE"""),9.555625987E9)</f>
        <v>9555625987</v>
      </c>
      <c r="B1178" s="46" t="str">
        <f>IFERROR(__xludf.DUMMYFUNCTION("""COMPUTED_VALUE"""),"Pooja kumari")</f>
        <v>Pooja kumari</v>
      </c>
      <c r="C1178" s="5" t="s">
        <v>2002</v>
      </c>
      <c r="D1178" s="5"/>
      <c r="E1178" s="5"/>
      <c r="F1178" s="5"/>
      <c r="G1178" s="5"/>
      <c r="H1178" s="5"/>
      <c r="I1178" s="5"/>
      <c r="J1178" s="73"/>
      <c r="K1178" s="75" t="str">
        <f>IFERROR(__xludf.DUMMYFUNCTION("""COMPUTED_VALUE"""),"")</f>
        <v/>
      </c>
      <c r="L1178" s="75"/>
      <c r="M1178" s="46" t="s">
        <v>2002</v>
      </c>
    </row>
    <row r="1179">
      <c r="A1179" s="70">
        <f>IFERROR(__xludf.DUMMYFUNCTION("""COMPUTED_VALUE"""),9.354474284E9)</f>
        <v>9354474284</v>
      </c>
      <c r="B1179" s="46" t="str">
        <f>IFERROR(__xludf.DUMMYFUNCTION("""COMPUTED_VALUE"""),"Pooja kumari")</f>
        <v>Pooja kumari</v>
      </c>
      <c r="C1179" s="5" t="s">
        <v>2002</v>
      </c>
      <c r="D1179" s="5"/>
      <c r="E1179" s="5"/>
      <c r="F1179" s="5"/>
      <c r="G1179" s="5"/>
      <c r="H1179" s="5"/>
      <c r="I1179" s="5"/>
      <c r="J1179" s="73"/>
      <c r="K1179" s="75" t="str">
        <f>IFERROR(__xludf.DUMMYFUNCTION("""COMPUTED_VALUE"""),"")</f>
        <v/>
      </c>
      <c r="L1179" s="75"/>
      <c r="M1179" s="46" t="s">
        <v>2002</v>
      </c>
    </row>
    <row r="1180">
      <c r="A1180" s="70">
        <f>IFERROR(__xludf.DUMMYFUNCTION("""COMPUTED_VALUE"""),9.311791238E9)</f>
        <v>9311791238</v>
      </c>
      <c r="B1180" s="46" t="str">
        <f>IFERROR(__xludf.DUMMYFUNCTION("""COMPUTED_VALUE"""),"Ashwani")</f>
        <v>Ashwani</v>
      </c>
      <c r="C1180" s="5" t="s">
        <v>2002</v>
      </c>
      <c r="D1180" s="5"/>
      <c r="E1180" s="5"/>
      <c r="F1180" s="5"/>
      <c r="G1180" s="5"/>
      <c r="H1180" s="5"/>
      <c r="I1180" s="5"/>
      <c r="J1180" s="73"/>
      <c r="K1180" s="75" t="str">
        <f>IFERROR(__xludf.DUMMYFUNCTION("""COMPUTED_VALUE"""),"")</f>
        <v/>
      </c>
      <c r="L1180" s="75"/>
      <c r="M1180" s="46" t="s">
        <v>2002</v>
      </c>
    </row>
    <row r="1181">
      <c r="A1181" s="70">
        <f>IFERROR(__xludf.DUMMYFUNCTION("""COMPUTED_VALUE"""),7.988203631E9)</f>
        <v>7988203631</v>
      </c>
      <c r="B1181" s="46" t="str">
        <f>IFERROR(__xludf.DUMMYFUNCTION("""COMPUTED_VALUE"""),"Aarti gupta")</f>
        <v>Aarti gupta</v>
      </c>
      <c r="C1181" s="5" t="s">
        <v>2002</v>
      </c>
      <c r="D1181" s="5"/>
      <c r="E1181" s="5"/>
      <c r="F1181" s="5"/>
      <c r="G1181" s="5"/>
      <c r="H1181" s="5"/>
      <c r="I1181" s="5"/>
      <c r="J1181" s="73"/>
      <c r="K1181" s="75" t="str">
        <f>IFERROR(__xludf.DUMMYFUNCTION("""COMPUTED_VALUE"""),"")</f>
        <v/>
      </c>
      <c r="L1181" s="75"/>
      <c r="M1181" s="46" t="s">
        <v>2002</v>
      </c>
    </row>
    <row r="1182">
      <c r="A1182" s="70">
        <f>IFERROR(__xludf.DUMMYFUNCTION("""COMPUTED_VALUE"""),9.31000913E9)</f>
        <v>9310009130</v>
      </c>
      <c r="B1182" s="46" t="str">
        <f>IFERROR(__xludf.DUMMYFUNCTION("""COMPUTED_VALUE"""),"Suman bansal")</f>
        <v>Suman bansal</v>
      </c>
      <c r="C1182" s="5" t="s">
        <v>2002</v>
      </c>
      <c r="D1182" s="5"/>
      <c r="E1182" s="5"/>
      <c r="F1182" s="5"/>
      <c r="G1182" s="5"/>
      <c r="H1182" s="5"/>
      <c r="I1182" s="5"/>
      <c r="J1182" s="73"/>
      <c r="K1182" s="75" t="str">
        <f>IFERROR(__xludf.DUMMYFUNCTION("""COMPUTED_VALUE"""),"")</f>
        <v/>
      </c>
      <c r="L1182" s="75"/>
      <c r="M1182" s="46" t="s">
        <v>2002</v>
      </c>
    </row>
    <row r="1183">
      <c r="A1183" s="70">
        <f>IFERROR(__xludf.DUMMYFUNCTION("""COMPUTED_VALUE"""),9.555970751E9)</f>
        <v>9555970751</v>
      </c>
      <c r="B1183" s="46" t="str">
        <f>IFERROR(__xludf.DUMMYFUNCTION("""COMPUTED_VALUE"""),"Chandrakala")</f>
        <v>Chandrakala</v>
      </c>
      <c r="C1183" s="5" t="s">
        <v>2002</v>
      </c>
      <c r="D1183" s="5"/>
      <c r="E1183" s="5"/>
      <c r="F1183" s="5"/>
      <c r="G1183" s="5"/>
      <c r="H1183" s="5"/>
      <c r="I1183" s="5"/>
      <c r="J1183" s="73"/>
      <c r="K1183" s="75" t="str">
        <f>IFERROR(__xludf.DUMMYFUNCTION("""COMPUTED_VALUE"""),"")</f>
        <v/>
      </c>
      <c r="L1183" s="75"/>
      <c r="M1183" s="46" t="s">
        <v>2002</v>
      </c>
    </row>
    <row r="1184">
      <c r="A1184" s="70">
        <f>IFERROR(__xludf.DUMMYFUNCTION("""COMPUTED_VALUE"""),9.555970751E9)</f>
        <v>9555970751</v>
      </c>
      <c r="B1184" s="46" t="str">
        <f>IFERROR(__xludf.DUMMYFUNCTION("""COMPUTED_VALUE"""),"Ravi kumar")</f>
        <v>Ravi kumar</v>
      </c>
      <c r="C1184" s="5" t="s">
        <v>2002</v>
      </c>
      <c r="D1184" s="5"/>
      <c r="E1184" s="5"/>
      <c r="F1184" s="5"/>
      <c r="G1184" s="5"/>
      <c r="H1184" s="5"/>
      <c r="I1184" s="5"/>
      <c r="J1184" s="73"/>
      <c r="K1184" s="75" t="str">
        <f>IFERROR(__xludf.DUMMYFUNCTION("""COMPUTED_VALUE"""),"")</f>
        <v/>
      </c>
      <c r="L1184" s="75"/>
      <c r="M1184" s="46" t="s">
        <v>2002</v>
      </c>
    </row>
    <row r="1185">
      <c r="A1185" s="70">
        <f>IFERROR(__xludf.DUMMYFUNCTION("""COMPUTED_VALUE"""),9.315702203E9)</f>
        <v>9315702203</v>
      </c>
      <c r="B1185" s="46" t="str">
        <f>IFERROR(__xludf.DUMMYFUNCTION("""COMPUTED_VALUE"""),"Anjali")</f>
        <v>Anjali</v>
      </c>
      <c r="C1185" s="5" t="s">
        <v>2002</v>
      </c>
      <c r="D1185" s="5"/>
      <c r="E1185" s="5"/>
      <c r="F1185" s="5"/>
      <c r="G1185" s="5"/>
      <c r="H1185" s="5"/>
      <c r="I1185" s="5"/>
      <c r="J1185" s="73"/>
      <c r="K1185" s="75" t="str">
        <f>IFERROR(__xludf.DUMMYFUNCTION("""COMPUTED_VALUE"""),"")</f>
        <v/>
      </c>
      <c r="L1185" s="75"/>
      <c r="M1185" s="46" t="s">
        <v>2002</v>
      </c>
    </row>
    <row r="1186">
      <c r="A1186" s="70">
        <f>IFERROR(__xludf.DUMMYFUNCTION("""COMPUTED_VALUE"""),9.811746666E9)</f>
        <v>9811746666</v>
      </c>
      <c r="B1186" s="46" t="str">
        <f>IFERROR(__xludf.DUMMYFUNCTION("""COMPUTED_VALUE"""),"Pooja Sharma ")</f>
        <v>Pooja Sharma </v>
      </c>
      <c r="C1186" s="5" t="s">
        <v>2002</v>
      </c>
      <c r="D1186" s="5"/>
      <c r="E1186" s="5"/>
      <c r="F1186" s="5"/>
      <c r="G1186" s="5"/>
      <c r="H1186" s="5"/>
      <c r="I1186" s="5"/>
      <c r="J1186" s="73"/>
      <c r="K1186" s="75" t="str">
        <f>IFERROR(__xludf.DUMMYFUNCTION("""COMPUTED_VALUE"""),"")</f>
        <v/>
      </c>
      <c r="L1186" s="75"/>
      <c r="M1186" s="46" t="s">
        <v>2002</v>
      </c>
    </row>
    <row r="1187">
      <c r="A1187" s="70">
        <f>IFERROR(__xludf.DUMMYFUNCTION("""COMPUTED_VALUE"""),7.048987553E9)</f>
        <v>7048987553</v>
      </c>
      <c r="B1187" s="46" t="str">
        <f>IFERROR(__xludf.DUMMYFUNCTION("""COMPUTED_VALUE"""),"Yash")</f>
        <v>Yash</v>
      </c>
      <c r="C1187" s="5" t="s">
        <v>2002</v>
      </c>
      <c r="D1187" s="5"/>
      <c r="E1187" s="5"/>
      <c r="F1187" s="5"/>
      <c r="G1187" s="5"/>
      <c r="H1187" s="5"/>
      <c r="I1187" s="5"/>
      <c r="J1187" s="73"/>
      <c r="K1187" s="75" t="str">
        <f>IFERROR(__xludf.DUMMYFUNCTION("""COMPUTED_VALUE"""),"")</f>
        <v/>
      </c>
      <c r="L1187" s="75"/>
      <c r="M1187" s="46" t="s">
        <v>2002</v>
      </c>
    </row>
    <row r="1188">
      <c r="A1188" s="70">
        <f>IFERROR(__xludf.DUMMYFUNCTION("""COMPUTED_VALUE"""),7.906846072E9)</f>
        <v>7906846072</v>
      </c>
      <c r="B1188" s="46" t="str">
        <f>IFERROR(__xludf.DUMMYFUNCTION("""COMPUTED_VALUE"""),"Diksha ")</f>
        <v>Diksha </v>
      </c>
      <c r="C1188" s="5" t="s">
        <v>2002</v>
      </c>
      <c r="D1188" s="5"/>
      <c r="E1188" s="5"/>
      <c r="F1188" s="5"/>
      <c r="G1188" s="5"/>
      <c r="H1188" s="5"/>
      <c r="I1188" s="5"/>
      <c r="J1188" s="73"/>
      <c r="K1188" s="75" t="str">
        <f>IFERROR(__xludf.DUMMYFUNCTION("""COMPUTED_VALUE"""),"")</f>
        <v/>
      </c>
      <c r="L1188" s="75"/>
      <c r="M1188" s="46" t="s">
        <v>2002</v>
      </c>
    </row>
    <row r="1189">
      <c r="A1189" s="70">
        <f>IFERROR(__xludf.DUMMYFUNCTION("""COMPUTED_VALUE"""),8.368158627E9)</f>
        <v>8368158627</v>
      </c>
      <c r="B1189" s="46" t="str">
        <f>IFERROR(__xludf.DUMMYFUNCTION("""COMPUTED_VALUE"""),"Sheily")</f>
        <v>Sheily</v>
      </c>
      <c r="C1189" s="5" t="s">
        <v>2002</v>
      </c>
      <c r="D1189" s="5"/>
      <c r="E1189" s="5"/>
      <c r="F1189" s="5"/>
      <c r="G1189" s="5"/>
      <c r="H1189" s="5"/>
      <c r="I1189" s="5"/>
      <c r="J1189" s="73"/>
      <c r="K1189" s="75" t="str">
        <f>IFERROR(__xludf.DUMMYFUNCTION("""COMPUTED_VALUE"""),"")</f>
        <v/>
      </c>
      <c r="L1189" s="75"/>
      <c r="M1189" s="46" t="s">
        <v>2002</v>
      </c>
    </row>
    <row r="1190">
      <c r="A1190" s="70">
        <f>IFERROR(__xludf.DUMMYFUNCTION("""COMPUTED_VALUE"""),8.368158627E9)</f>
        <v>8368158627</v>
      </c>
      <c r="B1190" s="46" t="str">
        <f>IFERROR(__xludf.DUMMYFUNCTION("""COMPUTED_VALUE"""),"Shelly Aggarwal ")</f>
        <v>Shelly Aggarwal </v>
      </c>
      <c r="C1190" s="5" t="s">
        <v>2002</v>
      </c>
      <c r="D1190" s="5"/>
      <c r="E1190" s="5"/>
      <c r="F1190" s="5"/>
      <c r="G1190" s="5"/>
      <c r="H1190" s="5"/>
      <c r="I1190" s="5"/>
      <c r="J1190" s="73"/>
      <c r="K1190" s="75" t="str">
        <f>IFERROR(__xludf.DUMMYFUNCTION("""COMPUTED_VALUE"""),"")</f>
        <v/>
      </c>
      <c r="L1190" s="75"/>
      <c r="M1190" s="46" t="s">
        <v>2002</v>
      </c>
    </row>
    <row r="1191">
      <c r="A1191" s="70">
        <f>IFERROR(__xludf.DUMMYFUNCTION("""COMPUTED_VALUE"""),9.991119396E9)</f>
        <v>9991119396</v>
      </c>
      <c r="B1191" s="46" t="str">
        <f>IFERROR(__xludf.DUMMYFUNCTION("""COMPUTED_VALUE"""),"Hari kishan")</f>
        <v>Hari kishan</v>
      </c>
      <c r="C1191" s="5" t="s">
        <v>2002</v>
      </c>
      <c r="D1191" s="5"/>
      <c r="E1191" s="5"/>
      <c r="F1191" s="5"/>
      <c r="G1191" s="5"/>
      <c r="H1191" s="5"/>
      <c r="I1191" s="5"/>
      <c r="J1191" s="73"/>
      <c r="K1191" s="75" t="str">
        <f>IFERROR(__xludf.DUMMYFUNCTION("""COMPUTED_VALUE"""),"")</f>
        <v/>
      </c>
      <c r="L1191" s="75"/>
      <c r="M1191" s="46" t="s">
        <v>2002</v>
      </c>
    </row>
    <row r="1192">
      <c r="A1192" s="70">
        <f>IFERROR(__xludf.DUMMYFUNCTION("""COMPUTED_VALUE"""),9.911003114E9)</f>
        <v>9911003114</v>
      </c>
      <c r="B1192" s="46" t="str">
        <f>IFERROR(__xludf.DUMMYFUNCTION("""COMPUTED_VALUE"""),"Akash")</f>
        <v>Akash</v>
      </c>
      <c r="C1192" s="5" t="s">
        <v>2002</v>
      </c>
      <c r="D1192" s="5"/>
      <c r="E1192" s="5"/>
      <c r="F1192" s="5"/>
      <c r="G1192" s="5"/>
      <c r="H1192" s="5"/>
      <c r="I1192" s="5"/>
      <c r="J1192" s="73"/>
      <c r="K1192" s="75" t="str">
        <f>IFERROR(__xludf.DUMMYFUNCTION("""COMPUTED_VALUE"""),"")</f>
        <v/>
      </c>
      <c r="L1192" s="75"/>
      <c r="M1192" s="46" t="s">
        <v>2002</v>
      </c>
    </row>
    <row r="1193">
      <c r="A1193" s="70">
        <f>IFERROR(__xludf.DUMMYFUNCTION("""COMPUTED_VALUE"""),9.953037817E9)</f>
        <v>9953037817</v>
      </c>
      <c r="B1193" s="46" t="str">
        <f>IFERROR(__xludf.DUMMYFUNCTION("""COMPUTED_VALUE"""),"Rohini")</f>
        <v>Rohini</v>
      </c>
      <c r="C1193" s="5" t="s">
        <v>2002</v>
      </c>
      <c r="D1193" s="5"/>
      <c r="E1193" s="5"/>
      <c r="F1193" s="5"/>
      <c r="G1193" s="5"/>
      <c r="H1193" s="5"/>
      <c r="I1193" s="5"/>
      <c r="J1193" s="73"/>
      <c r="K1193" s="75" t="str">
        <f>IFERROR(__xludf.DUMMYFUNCTION("""COMPUTED_VALUE"""),"")</f>
        <v/>
      </c>
      <c r="L1193" s="75"/>
      <c r="M1193" s="46" t="s">
        <v>2002</v>
      </c>
    </row>
    <row r="1194">
      <c r="A1194" s="70">
        <f>IFERROR(__xludf.DUMMYFUNCTION("""COMPUTED_VALUE"""),7.01124844E9)</f>
        <v>7011248440</v>
      </c>
      <c r="B1194" s="46" t="str">
        <f>IFERROR(__xludf.DUMMYFUNCTION("""COMPUTED_VALUE"""),"Poonam Gupta")</f>
        <v>Poonam Gupta</v>
      </c>
      <c r="C1194" s="5" t="s">
        <v>2002</v>
      </c>
      <c r="D1194" s="5"/>
      <c r="E1194" s="5"/>
      <c r="F1194" s="5"/>
      <c r="G1194" s="5"/>
      <c r="H1194" s="5"/>
      <c r="I1194" s="5"/>
      <c r="J1194" s="73"/>
      <c r="K1194" s="75" t="str">
        <f>IFERROR(__xludf.DUMMYFUNCTION("""COMPUTED_VALUE"""),"")</f>
        <v/>
      </c>
      <c r="L1194" s="75"/>
      <c r="M1194" s="46" t="s">
        <v>2002</v>
      </c>
    </row>
    <row r="1195">
      <c r="A1195" s="70">
        <f>IFERROR(__xludf.DUMMYFUNCTION("""COMPUTED_VALUE"""),9.250156086E9)</f>
        <v>9250156086</v>
      </c>
      <c r="B1195" s="46" t="str">
        <f>IFERROR(__xludf.DUMMYFUNCTION("""COMPUTED_VALUE"""),"Rekha Gupta")</f>
        <v>Rekha Gupta</v>
      </c>
      <c r="C1195" s="5" t="s">
        <v>2002</v>
      </c>
      <c r="D1195" s="5"/>
      <c r="E1195" s="5"/>
      <c r="F1195" s="5"/>
      <c r="G1195" s="5"/>
      <c r="H1195" s="5"/>
      <c r="I1195" s="5"/>
      <c r="J1195" s="73"/>
      <c r="K1195" s="75" t="str">
        <f>IFERROR(__xludf.DUMMYFUNCTION("""COMPUTED_VALUE"""),"")</f>
        <v/>
      </c>
      <c r="L1195" s="75"/>
      <c r="M1195" s="46" t="s">
        <v>2002</v>
      </c>
    </row>
    <row r="1196">
      <c r="A1196" s="70">
        <f>IFERROR(__xludf.DUMMYFUNCTION("""COMPUTED_VALUE"""),9.315791897E9)</f>
        <v>9315791897</v>
      </c>
      <c r="B1196" s="46" t="str">
        <f>IFERROR(__xludf.DUMMYFUNCTION("""COMPUTED_VALUE"""),"Abhishek ")</f>
        <v>Abhishek </v>
      </c>
      <c r="C1196" s="5" t="s">
        <v>2002</v>
      </c>
      <c r="D1196" s="5"/>
      <c r="E1196" s="5"/>
      <c r="F1196" s="5"/>
      <c r="G1196" s="5"/>
      <c r="H1196" s="5"/>
      <c r="I1196" s="5"/>
      <c r="J1196" s="73"/>
      <c r="K1196" s="75" t="str">
        <f>IFERROR(__xludf.DUMMYFUNCTION("""COMPUTED_VALUE"""),"")</f>
        <v/>
      </c>
      <c r="L1196" s="75"/>
      <c r="M1196" s="46" t="s">
        <v>2002</v>
      </c>
    </row>
    <row r="1197">
      <c r="A1197" s="70">
        <f>IFERROR(__xludf.DUMMYFUNCTION("""COMPUTED_VALUE"""),9.871778139E9)</f>
        <v>9871778139</v>
      </c>
      <c r="B1197" s="46" t="str">
        <f>IFERROR(__xludf.DUMMYFUNCTION("""COMPUTED_VALUE"""),"Somesh ji ")</f>
        <v>Somesh ji </v>
      </c>
      <c r="C1197" s="5" t="s">
        <v>2002</v>
      </c>
      <c r="D1197" s="5"/>
      <c r="E1197" s="5"/>
      <c r="F1197" s="5"/>
      <c r="G1197" s="5"/>
      <c r="H1197" s="5"/>
      <c r="I1197" s="5"/>
      <c r="J1197" s="73"/>
      <c r="K1197" s="75" t="str">
        <f>IFERROR(__xludf.DUMMYFUNCTION("""COMPUTED_VALUE"""),"")</f>
        <v/>
      </c>
      <c r="L1197" s="75"/>
      <c r="M1197" s="46" t="s">
        <v>2002</v>
      </c>
    </row>
    <row r="1198">
      <c r="A1198" s="70">
        <f>IFERROR(__xludf.DUMMYFUNCTION("""COMPUTED_VALUE"""),9.560453601E9)</f>
        <v>9560453601</v>
      </c>
      <c r="B1198" s="46" t="str">
        <f>IFERROR(__xludf.DUMMYFUNCTION("""COMPUTED_VALUE"""),"Anil")</f>
        <v>Anil</v>
      </c>
      <c r="C1198" s="5" t="s">
        <v>2002</v>
      </c>
      <c r="D1198" s="5"/>
      <c r="E1198" s="5"/>
      <c r="F1198" s="5"/>
      <c r="G1198" s="5"/>
      <c r="H1198" s="5"/>
      <c r="I1198" s="5"/>
      <c r="J1198" s="73"/>
      <c r="K1198" s="75" t="str">
        <f>IFERROR(__xludf.DUMMYFUNCTION("""COMPUTED_VALUE"""),"")</f>
        <v/>
      </c>
      <c r="L1198" s="75"/>
      <c r="M1198" s="46" t="s">
        <v>2002</v>
      </c>
    </row>
    <row r="1199">
      <c r="A1199" s="70">
        <f>IFERROR(__xludf.DUMMYFUNCTION("""COMPUTED_VALUE"""),9.340152367E9)</f>
        <v>9340152367</v>
      </c>
      <c r="B1199" s="46" t="str">
        <f>IFERROR(__xludf.DUMMYFUNCTION("""COMPUTED_VALUE"""),"Parul gautam")</f>
        <v>Parul gautam</v>
      </c>
      <c r="C1199" s="5" t="s">
        <v>2002</v>
      </c>
      <c r="D1199" s="5"/>
      <c r="E1199" s="5"/>
      <c r="F1199" s="5"/>
      <c r="G1199" s="5"/>
      <c r="H1199" s="5"/>
      <c r="I1199" s="5"/>
      <c r="J1199" s="73"/>
      <c r="K1199" s="75" t="str">
        <f>IFERROR(__xludf.DUMMYFUNCTION("""COMPUTED_VALUE"""),"")</f>
        <v/>
      </c>
      <c r="L1199" s="75"/>
      <c r="M1199" s="46" t="s">
        <v>2002</v>
      </c>
    </row>
    <row r="1200">
      <c r="A1200" s="70">
        <f>IFERROR(__xludf.DUMMYFUNCTION("""COMPUTED_VALUE"""),9.837156243E9)</f>
        <v>9837156243</v>
      </c>
      <c r="B1200" s="46" t="str">
        <f>IFERROR(__xludf.DUMMYFUNCTION("""COMPUTED_VALUE"""),"Nishant jain ")</f>
        <v>Nishant jain </v>
      </c>
      <c r="C1200" s="5" t="s">
        <v>2002</v>
      </c>
      <c r="D1200" s="5"/>
      <c r="E1200" s="5"/>
      <c r="F1200" s="5"/>
      <c r="G1200" s="5"/>
      <c r="H1200" s="5"/>
      <c r="I1200" s="5"/>
      <c r="J1200" s="73"/>
      <c r="K1200" s="75" t="str">
        <f>IFERROR(__xludf.DUMMYFUNCTION("""COMPUTED_VALUE"""),"")</f>
        <v/>
      </c>
      <c r="L1200" s="75"/>
      <c r="M1200" s="46" t="s">
        <v>2002</v>
      </c>
    </row>
    <row r="1201">
      <c r="A1201" s="70">
        <f>IFERROR(__xludf.DUMMYFUNCTION("""COMPUTED_VALUE"""),9.8110977E9)</f>
        <v>9811097700</v>
      </c>
      <c r="B1201" s="46" t="str">
        <f>IFERROR(__xludf.DUMMYFUNCTION("""COMPUTED_VALUE"""),"Yogesh Verma")</f>
        <v>Yogesh Verma</v>
      </c>
      <c r="C1201" s="5" t="s">
        <v>2002</v>
      </c>
      <c r="D1201" s="5"/>
      <c r="E1201" s="5"/>
      <c r="F1201" s="5"/>
      <c r="G1201" s="5"/>
      <c r="H1201" s="5"/>
      <c r="I1201" s="5"/>
      <c r="J1201" s="73"/>
      <c r="K1201" s="75" t="str">
        <f>IFERROR(__xludf.DUMMYFUNCTION("""COMPUTED_VALUE"""),"")</f>
        <v/>
      </c>
      <c r="L1201" s="75"/>
      <c r="M1201" s="46" t="s">
        <v>2002</v>
      </c>
    </row>
    <row r="1202">
      <c r="A1202" s="70">
        <f>IFERROR(__xludf.DUMMYFUNCTION("""COMPUTED_VALUE"""),9.810826712E9)</f>
        <v>9810826712</v>
      </c>
      <c r="B1202" s="46" t="str">
        <f>IFERROR(__xludf.DUMMYFUNCTION("""COMPUTED_VALUE"""),"Vandana")</f>
        <v>Vandana</v>
      </c>
      <c r="C1202" s="5" t="s">
        <v>2002</v>
      </c>
      <c r="D1202" s="5"/>
      <c r="E1202" s="5"/>
      <c r="F1202" s="5"/>
      <c r="G1202" s="5"/>
      <c r="H1202" s="5"/>
      <c r="I1202" s="5"/>
      <c r="J1202" s="73"/>
      <c r="K1202" s="75" t="str">
        <f>IFERROR(__xludf.DUMMYFUNCTION("""COMPUTED_VALUE"""),"")</f>
        <v/>
      </c>
      <c r="L1202" s="75"/>
      <c r="M1202" s="46" t="s">
        <v>2002</v>
      </c>
    </row>
    <row r="1203">
      <c r="A1203" s="70">
        <f>IFERROR(__xludf.DUMMYFUNCTION("""COMPUTED_VALUE"""),9.643594967E9)</f>
        <v>9643594967</v>
      </c>
      <c r="B1203" s="46" t="str">
        <f>IFERROR(__xludf.DUMMYFUNCTION("""COMPUTED_VALUE"""),"Arjun kumar")</f>
        <v>Arjun kumar</v>
      </c>
      <c r="C1203" s="5" t="s">
        <v>2002</v>
      </c>
      <c r="D1203" s="5"/>
      <c r="E1203" s="5"/>
      <c r="F1203" s="5"/>
      <c r="G1203" s="5"/>
      <c r="H1203" s="5"/>
      <c r="I1203" s="5"/>
      <c r="J1203" s="73"/>
      <c r="K1203" s="75" t="str">
        <f>IFERROR(__xludf.DUMMYFUNCTION("""COMPUTED_VALUE"""),"")</f>
        <v/>
      </c>
      <c r="L1203" s="75"/>
      <c r="M1203" s="46" t="s">
        <v>2002</v>
      </c>
    </row>
    <row r="1204">
      <c r="A1204" s="70">
        <f>IFERROR(__xludf.DUMMYFUNCTION("""COMPUTED_VALUE"""),9.803199031E9)</f>
        <v>9803199031</v>
      </c>
      <c r="B1204" s="46" t="str">
        <f>IFERROR(__xludf.DUMMYFUNCTION("""COMPUTED_VALUE"""),"Rajkumar goyal")</f>
        <v>Rajkumar goyal</v>
      </c>
      <c r="C1204" s="5" t="s">
        <v>2002</v>
      </c>
      <c r="D1204" s="5"/>
      <c r="E1204" s="5"/>
      <c r="F1204" s="5"/>
      <c r="G1204" s="5"/>
      <c r="H1204" s="5"/>
      <c r="I1204" s="5"/>
      <c r="J1204" s="73"/>
      <c r="K1204" s="75" t="str">
        <f>IFERROR(__xludf.DUMMYFUNCTION("""COMPUTED_VALUE"""),"")</f>
        <v/>
      </c>
      <c r="L1204" s="75"/>
      <c r="M1204" s="46" t="s">
        <v>2002</v>
      </c>
    </row>
    <row r="1205">
      <c r="A1205" s="70">
        <f>IFERROR(__xludf.DUMMYFUNCTION("""COMPUTED_VALUE"""),8.527761717E9)</f>
        <v>8527761717</v>
      </c>
      <c r="B1205" s="46" t="str">
        <f>IFERROR(__xludf.DUMMYFUNCTION("""COMPUTED_VALUE"""),"Rashi")</f>
        <v>Rashi</v>
      </c>
      <c r="C1205" s="5" t="s">
        <v>2002</v>
      </c>
      <c r="D1205" s="5"/>
      <c r="E1205" s="5"/>
      <c r="F1205" s="5"/>
      <c r="G1205" s="5"/>
      <c r="H1205" s="5"/>
      <c r="I1205" s="5"/>
      <c r="J1205" s="73"/>
      <c r="K1205" s="75" t="str">
        <f>IFERROR(__xludf.DUMMYFUNCTION("""COMPUTED_VALUE"""),"")</f>
        <v/>
      </c>
      <c r="L1205" s="75"/>
      <c r="M1205" s="46" t="s">
        <v>2002</v>
      </c>
    </row>
    <row r="1206">
      <c r="A1206" s="70">
        <f>IFERROR(__xludf.DUMMYFUNCTION("""COMPUTED_VALUE"""),8.130088575E9)</f>
        <v>8130088575</v>
      </c>
      <c r="B1206" s="46" t="str">
        <f>IFERROR(__xludf.DUMMYFUNCTION("""COMPUTED_VALUE"""),"Ramit")</f>
        <v>Ramit</v>
      </c>
      <c r="C1206" s="5" t="s">
        <v>2002</v>
      </c>
      <c r="D1206" s="5"/>
      <c r="E1206" s="5"/>
      <c r="F1206" s="5"/>
      <c r="G1206" s="5"/>
      <c r="H1206" s="5"/>
      <c r="I1206" s="5"/>
      <c r="J1206" s="73"/>
      <c r="K1206" s="75" t="str">
        <f>IFERROR(__xludf.DUMMYFUNCTION("""COMPUTED_VALUE"""),"")</f>
        <v/>
      </c>
      <c r="L1206" s="75"/>
      <c r="M1206" s="46" t="s">
        <v>2002</v>
      </c>
    </row>
    <row r="1207">
      <c r="A1207" s="70">
        <f>IFERROR(__xludf.DUMMYFUNCTION("""COMPUTED_VALUE"""),9.759210097E9)</f>
        <v>9759210097</v>
      </c>
      <c r="B1207" s="46" t="str">
        <f>IFERROR(__xludf.DUMMYFUNCTION("""COMPUTED_VALUE"""),"Kunal bajaj")</f>
        <v>Kunal bajaj</v>
      </c>
      <c r="C1207" s="5" t="s">
        <v>2002</v>
      </c>
      <c r="D1207" s="5"/>
      <c r="E1207" s="5"/>
      <c r="F1207" s="5"/>
      <c r="G1207" s="5"/>
      <c r="H1207" s="5"/>
      <c r="I1207" s="5"/>
      <c r="J1207" s="73"/>
      <c r="K1207" s="75" t="str">
        <f>IFERROR(__xludf.DUMMYFUNCTION("""COMPUTED_VALUE"""),"")</f>
        <v/>
      </c>
      <c r="L1207" s="75"/>
      <c r="M1207" s="46" t="s">
        <v>2002</v>
      </c>
    </row>
    <row r="1208">
      <c r="A1208" s="70">
        <f>IFERROR(__xludf.DUMMYFUNCTION("""COMPUTED_VALUE"""),8.447055018E9)</f>
        <v>8447055018</v>
      </c>
      <c r="B1208" s="46" t="str">
        <f>IFERROR(__xludf.DUMMYFUNCTION("""COMPUTED_VALUE"""),"Sandhya Sharma ")</f>
        <v>Sandhya Sharma </v>
      </c>
      <c r="C1208" s="5" t="s">
        <v>2002</v>
      </c>
      <c r="D1208" s="5"/>
      <c r="E1208" s="5"/>
      <c r="F1208" s="5"/>
      <c r="G1208" s="5"/>
      <c r="H1208" s="5"/>
      <c r="I1208" s="5"/>
      <c r="J1208" s="73"/>
      <c r="K1208" s="75" t="str">
        <f>IFERROR(__xludf.DUMMYFUNCTION("""COMPUTED_VALUE"""),"")</f>
        <v/>
      </c>
      <c r="L1208" s="75"/>
      <c r="M1208" s="46" t="s">
        <v>2002</v>
      </c>
    </row>
    <row r="1209">
      <c r="A1209" s="70">
        <f>IFERROR(__xludf.DUMMYFUNCTION("""COMPUTED_VALUE"""),9.928539646E9)</f>
        <v>9928539646</v>
      </c>
      <c r="B1209" s="46" t="str">
        <f>IFERROR(__xludf.DUMMYFUNCTION("""COMPUTED_VALUE"""),"Vaibhav ")</f>
        <v>Vaibhav </v>
      </c>
      <c r="C1209" s="5" t="s">
        <v>2002</v>
      </c>
      <c r="D1209" s="5"/>
      <c r="E1209" s="5"/>
      <c r="F1209" s="5"/>
      <c r="G1209" s="5"/>
      <c r="H1209" s="5"/>
      <c r="I1209" s="5"/>
      <c r="J1209" s="73"/>
      <c r="K1209" s="75" t="str">
        <f>IFERROR(__xludf.DUMMYFUNCTION("""COMPUTED_VALUE"""),"")</f>
        <v/>
      </c>
      <c r="L1209" s="75"/>
      <c r="M1209" s="46" t="s">
        <v>2002</v>
      </c>
    </row>
    <row r="1210">
      <c r="A1210" s="70">
        <f>IFERROR(__xludf.DUMMYFUNCTION("""COMPUTED_VALUE"""),9.65454491E9)</f>
        <v>9654544910</v>
      </c>
      <c r="B1210" s="46" t="str">
        <f>IFERROR(__xludf.DUMMYFUNCTION("""COMPUTED_VALUE"""),"Neha Sethi ")</f>
        <v>Neha Sethi </v>
      </c>
      <c r="C1210" s="5" t="s">
        <v>2002</v>
      </c>
      <c r="D1210" s="5"/>
      <c r="E1210" s="5"/>
      <c r="F1210" s="5"/>
      <c r="G1210" s="5"/>
      <c r="H1210" s="5"/>
      <c r="I1210" s="5"/>
      <c r="J1210" s="73"/>
      <c r="K1210" s="75" t="str">
        <f>IFERROR(__xludf.DUMMYFUNCTION("""COMPUTED_VALUE"""),"")</f>
        <v/>
      </c>
      <c r="L1210" s="75"/>
      <c r="M1210" s="46" t="s">
        <v>2002</v>
      </c>
    </row>
    <row r="1211">
      <c r="A1211" s="70">
        <f>IFERROR(__xludf.DUMMYFUNCTION("""COMPUTED_VALUE"""),9.540071893E9)</f>
        <v>9540071893</v>
      </c>
      <c r="B1211" s="46" t="str">
        <f>IFERROR(__xludf.DUMMYFUNCTION("""COMPUTED_VALUE"""),"Neha ")</f>
        <v>Neha </v>
      </c>
      <c r="C1211" s="5" t="s">
        <v>2002</v>
      </c>
      <c r="D1211" s="5"/>
      <c r="E1211" s="5"/>
      <c r="F1211" s="5"/>
      <c r="G1211" s="5"/>
      <c r="H1211" s="5"/>
      <c r="I1211" s="5"/>
      <c r="J1211" s="73"/>
      <c r="K1211" s="75" t="str">
        <f>IFERROR(__xludf.DUMMYFUNCTION("""COMPUTED_VALUE"""),"")</f>
        <v/>
      </c>
      <c r="L1211" s="75"/>
      <c r="M1211" s="46" t="s">
        <v>2002</v>
      </c>
    </row>
    <row r="1212">
      <c r="A1212" s="70">
        <f>IFERROR(__xludf.DUMMYFUNCTION("""COMPUTED_VALUE"""),9.91076026E9)</f>
        <v>9910760260</v>
      </c>
      <c r="B1212" s="46" t="str">
        <f>IFERROR(__xludf.DUMMYFUNCTION("""COMPUTED_VALUE"""),"suvansh")</f>
        <v>suvansh</v>
      </c>
      <c r="C1212" s="5" t="s">
        <v>2002</v>
      </c>
      <c r="D1212" s="5"/>
      <c r="E1212" s="5"/>
      <c r="F1212" s="5"/>
      <c r="G1212" s="5"/>
      <c r="H1212" s="5"/>
      <c r="I1212" s="5"/>
      <c r="J1212" s="73"/>
      <c r="K1212" s="75" t="str">
        <f>IFERROR(__xludf.DUMMYFUNCTION("""COMPUTED_VALUE"""),"")</f>
        <v/>
      </c>
      <c r="L1212" s="75"/>
      <c r="M1212" s="46" t="s">
        <v>2002</v>
      </c>
    </row>
    <row r="1213">
      <c r="A1213" s="70">
        <f>IFERROR(__xludf.DUMMYFUNCTION("""COMPUTED_VALUE"""),9.958326169E9)</f>
        <v>9958326169</v>
      </c>
      <c r="B1213" s="46" t="str">
        <f>IFERROR(__xludf.DUMMYFUNCTION("""COMPUTED_VALUE"""),"priyasha")</f>
        <v>priyasha</v>
      </c>
      <c r="C1213" s="5" t="s">
        <v>2002</v>
      </c>
      <c r="D1213" s="5"/>
      <c r="E1213" s="5"/>
      <c r="F1213" s="5"/>
      <c r="G1213" s="5"/>
      <c r="H1213" s="5"/>
      <c r="I1213" s="5"/>
      <c r="J1213" s="73"/>
      <c r="K1213" s="75" t="str">
        <f>IFERROR(__xludf.DUMMYFUNCTION("""COMPUTED_VALUE"""),"")</f>
        <v/>
      </c>
      <c r="L1213" s="75"/>
      <c r="M1213" s="46" t="s">
        <v>2002</v>
      </c>
    </row>
    <row r="1214">
      <c r="A1214" s="70">
        <f>IFERROR(__xludf.DUMMYFUNCTION("""COMPUTED_VALUE"""),9.958325881E9)</f>
        <v>9958325881</v>
      </c>
      <c r="B1214" s="46" t="str">
        <f>IFERROR(__xludf.DUMMYFUNCTION("""COMPUTED_VALUE"""),"Divyasha ")</f>
        <v>Divyasha </v>
      </c>
      <c r="C1214" s="5" t="s">
        <v>2002</v>
      </c>
      <c r="D1214" s="5"/>
      <c r="E1214" s="5"/>
      <c r="F1214" s="5"/>
      <c r="G1214" s="5"/>
      <c r="H1214" s="5"/>
      <c r="I1214" s="5"/>
      <c r="J1214" s="73"/>
      <c r="K1214" s="75" t="str">
        <f>IFERROR(__xludf.DUMMYFUNCTION("""COMPUTED_VALUE"""),"")</f>
        <v/>
      </c>
      <c r="L1214" s="75"/>
      <c r="M1214" s="46" t="s">
        <v>2002</v>
      </c>
    </row>
    <row r="1215">
      <c r="A1215" s="70">
        <f>IFERROR(__xludf.DUMMYFUNCTION("""COMPUTED_VALUE"""),9.26640961E9)</f>
        <v>9266409610</v>
      </c>
      <c r="B1215" s="46" t="str">
        <f>IFERROR(__xludf.DUMMYFUNCTION("""COMPUTED_VALUE"""),"Nitika jain")</f>
        <v>Nitika jain</v>
      </c>
      <c r="C1215" s="5" t="s">
        <v>2002</v>
      </c>
      <c r="D1215" s="5"/>
      <c r="E1215" s="5"/>
      <c r="F1215" s="5"/>
      <c r="G1215" s="5"/>
      <c r="H1215" s="5"/>
      <c r="I1215" s="5"/>
      <c r="J1215" s="73"/>
      <c r="K1215" s="75" t="str">
        <f>IFERROR(__xludf.DUMMYFUNCTION("""COMPUTED_VALUE"""),"")</f>
        <v/>
      </c>
      <c r="L1215" s="75"/>
      <c r="M1215" s="46" t="s">
        <v>2002</v>
      </c>
    </row>
    <row r="1216">
      <c r="A1216" s="70">
        <f>IFERROR(__xludf.DUMMYFUNCTION("""COMPUTED_VALUE"""),7.838644289E9)</f>
        <v>7838644289</v>
      </c>
      <c r="B1216" s="46" t="str">
        <f>IFERROR(__xludf.DUMMYFUNCTION("""COMPUTED_VALUE"""),"Jasmit")</f>
        <v>Jasmit</v>
      </c>
      <c r="C1216" s="5" t="s">
        <v>2002</v>
      </c>
      <c r="D1216" s="5"/>
      <c r="E1216" s="5"/>
      <c r="F1216" s="5"/>
      <c r="G1216" s="5"/>
      <c r="H1216" s="5"/>
      <c r="I1216" s="5"/>
      <c r="J1216" s="73"/>
      <c r="K1216" s="75" t="str">
        <f>IFERROR(__xludf.DUMMYFUNCTION("""COMPUTED_VALUE"""),"")</f>
        <v/>
      </c>
      <c r="L1216" s="75"/>
      <c r="M1216" s="46" t="s">
        <v>2002</v>
      </c>
    </row>
    <row r="1217">
      <c r="A1217" s="70">
        <f>IFERROR(__xludf.DUMMYFUNCTION("""COMPUTED_VALUE"""),7.888366009E9)</f>
        <v>7888366009</v>
      </c>
      <c r="B1217" s="46" t="str">
        <f>IFERROR(__xludf.DUMMYFUNCTION("""COMPUTED_VALUE"""),"Bharti ")</f>
        <v>Bharti </v>
      </c>
      <c r="C1217" s="5" t="s">
        <v>2002</v>
      </c>
      <c r="D1217" s="5"/>
      <c r="E1217" s="5"/>
      <c r="F1217" s="5"/>
      <c r="G1217" s="5"/>
      <c r="H1217" s="5"/>
      <c r="I1217" s="5"/>
      <c r="J1217" s="73"/>
      <c r="K1217" s="75" t="str">
        <f>IFERROR(__xludf.DUMMYFUNCTION("""COMPUTED_VALUE"""),"")</f>
        <v/>
      </c>
      <c r="L1217" s="75"/>
      <c r="M1217" s="46" t="s">
        <v>2002</v>
      </c>
    </row>
    <row r="1218">
      <c r="A1218" s="70">
        <f>IFERROR(__xludf.DUMMYFUNCTION("""COMPUTED_VALUE"""),9.599725628E9)</f>
        <v>9599725628</v>
      </c>
      <c r="B1218" s="46" t="str">
        <f>IFERROR(__xludf.DUMMYFUNCTION("""COMPUTED_VALUE"""),"Sidhant")</f>
        <v>Sidhant</v>
      </c>
      <c r="C1218" s="5" t="s">
        <v>2002</v>
      </c>
      <c r="D1218" s="5"/>
      <c r="E1218" s="5"/>
      <c r="F1218" s="5"/>
      <c r="G1218" s="5"/>
      <c r="H1218" s="5"/>
      <c r="I1218" s="5"/>
      <c r="J1218" s="73"/>
      <c r="K1218" s="75" t="str">
        <f>IFERROR(__xludf.DUMMYFUNCTION("""COMPUTED_VALUE"""),"")</f>
        <v/>
      </c>
      <c r="L1218" s="75"/>
      <c r="M1218" s="46" t="s">
        <v>2002</v>
      </c>
    </row>
    <row r="1219">
      <c r="A1219" s="70">
        <f>IFERROR(__xludf.DUMMYFUNCTION("""COMPUTED_VALUE"""),9.811995214E9)</f>
        <v>9811995214</v>
      </c>
      <c r="B1219" s="46" t="str">
        <f>IFERROR(__xludf.DUMMYFUNCTION("""COMPUTED_VALUE"""),"Puneet")</f>
        <v>Puneet</v>
      </c>
      <c r="C1219" s="5" t="s">
        <v>2002</v>
      </c>
      <c r="D1219" s="5"/>
      <c r="E1219" s="5"/>
      <c r="F1219" s="5"/>
      <c r="G1219" s="5"/>
      <c r="H1219" s="5"/>
      <c r="I1219" s="5"/>
      <c r="J1219" s="73"/>
      <c r="K1219" s="75" t="str">
        <f>IFERROR(__xludf.DUMMYFUNCTION("""COMPUTED_VALUE"""),"")</f>
        <v/>
      </c>
      <c r="L1219" s="75"/>
      <c r="M1219" s="46" t="s">
        <v>2002</v>
      </c>
    </row>
    <row r="1220">
      <c r="A1220" s="70">
        <f>IFERROR(__xludf.DUMMYFUNCTION("""COMPUTED_VALUE"""),8.510097787E9)</f>
        <v>8510097787</v>
      </c>
      <c r="B1220" s="46" t="str">
        <f>IFERROR(__xludf.DUMMYFUNCTION("""COMPUTED_VALUE"""),"Sachin mishra")</f>
        <v>Sachin mishra</v>
      </c>
      <c r="C1220" s="5" t="s">
        <v>2002</v>
      </c>
      <c r="D1220" s="5"/>
      <c r="E1220" s="5"/>
      <c r="F1220" s="5"/>
      <c r="G1220" s="5"/>
      <c r="H1220" s="5"/>
      <c r="I1220" s="5"/>
      <c r="J1220" s="73"/>
      <c r="K1220" s="75" t="str">
        <f>IFERROR(__xludf.DUMMYFUNCTION("""COMPUTED_VALUE"""),"")</f>
        <v/>
      </c>
      <c r="L1220" s="75"/>
      <c r="M1220" s="46" t="s">
        <v>2002</v>
      </c>
    </row>
    <row r="1221">
      <c r="A1221" s="70">
        <f>IFERROR(__xludf.DUMMYFUNCTION("""COMPUTED_VALUE"""),9.899663556E9)</f>
        <v>9899663556</v>
      </c>
      <c r="B1221" s="46" t="str">
        <f>IFERROR(__xludf.DUMMYFUNCTION("""COMPUTED_VALUE"""),"Suchi pandy")</f>
        <v>Suchi pandy</v>
      </c>
      <c r="C1221" s="5" t="s">
        <v>2002</v>
      </c>
      <c r="D1221" s="5"/>
      <c r="E1221" s="5"/>
      <c r="F1221" s="5"/>
      <c r="G1221" s="5"/>
      <c r="H1221" s="5"/>
      <c r="I1221" s="5"/>
      <c r="J1221" s="73"/>
      <c r="K1221" s="75" t="str">
        <f>IFERROR(__xludf.DUMMYFUNCTION("""COMPUTED_VALUE"""),"")</f>
        <v/>
      </c>
      <c r="L1221" s="75"/>
      <c r="M1221" s="46" t="s">
        <v>2002</v>
      </c>
    </row>
    <row r="1222">
      <c r="A1222" s="70">
        <f>IFERROR(__xludf.DUMMYFUNCTION("""COMPUTED_VALUE"""),8.882691508E9)</f>
        <v>8882691508</v>
      </c>
      <c r="B1222" s="46" t="str">
        <f>IFERROR(__xludf.DUMMYFUNCTION("""COMPUTED_VALUE"""),"Nitin")</f>
        <v>Nitin</v>
      </c>
      <c r="C1222" s="5" t="s">
        <v>2002</v>
      </c>
      <c r="D1222" s="5"/>
      <c r="E1222" s="5"/>
      <c r="F1222" s="5"/>
      <c r="G1222" s="5"/>
      <c r="H1222" s="5"/>
      <c r="I1222" s="5"/>
      <c r="J1222" s="73"/>
      <c r="K1222" s="75" t="str">
        <f>IFERROR(__xludf.DUMMYFUNCTION("""COMPUTED_VALUE"""),"")</f>
        <v/>
      </c>
      <c r="L1222" s="75"/>
      <c r="M1222" s="46" t="s">
        <v>2002</v>
      </c>
    </row>
    <row r="1223">
      <c r="A1223" s="70">
        <f>IFERROR(__xludf.DUMMYFUNCTION("""COMPUTED_VALUE"""),8.287837923E9)</f>
        <v>8287837923</v>
      </c>
      <c r="B1223" s="46" t="str">
        <f>IFERROR(__xludf.DUMMYFUNCTION("""COMPUTED_VALUE"""),"Anil kumar")</f>
        <v>Anil kumar</v>
      </c>
      <c r="C1223" s="5" t="s">
        <v>2002</v>
      </c>
      <c r="D1223" s="5"/>
      <c r="E1223" s="5"/>
      <c r="F1223" s="5"/>
      <c r="G1223" s="5"/>
      <c r="H1223" s="5"/>
      <c r="I1223" s="5"/>
      <c r="J1223" s="73"/>
      <c r="K1223" s="75" t="str">
        <f>IFERROR(__xludf.DUMMYFUNCTION("""COMPUTED_VALUE"""),"")</f>
        <v/>
      </c>
      <c r="L1223" s="75"/>
      <c r="M1223" s="46" t="s">
        <v>2002</v>
      </c>
    </row>
    <row r="1224">
      <c r="A1224" s="70">
        <f>IFERROR(__xludf.DUMMYFUNCTION("""COMPUTED_VALUE"""),9.306304224E9)</f>
        <v>9306304224</v>
      </c>
      <c r="B1224" s="46" t="str">
        <f>IFERROR(__xludf.DUMMYFUNCTION("""COMPUTED_VALUE"""),"Mitesh Gupta")</f>
        <v>Mitesh Gupta</v>
      </c>
      <c r="C1224" s="5" t="s">
        <v>2002</v>
      </c>
      <c r="D1224" s="5"/>
      <c r="E1224" s="5"/>
      <c r="F1224" s="5"/>
      <c r="G1224" s="5"/>
      <c r="H1224" s="5"/>
      <c r="I1224" s="5"/>
      <c r="J1224" s="73"/>
      <c r="K1224" s="75" t="str">
        <f>IFERROR(__xludf.DUMMYFUNCTION("""COMPUTED_VALUE"""),"")</f>
        <v/>
      </c>
      <c r="L1224" s="75"/>
      <c r="M1224" s="46" t="s">
        <v>2002</v>
      </c>
    </row>
    <row r="1225">
      <c r="A1225" s="70">
        <f>IFERROR(__xludf.DUMMYFUNCTION("""COMPUTED_VALUE"""),7.988468118E9)</f>
        <v>7988468118</v>
      </c>
      <c r="B1225" s="46" t="str">
        <f>IFERROR(__xludf.DUMMYFUNCTION("""COMPUTED_VALUE"""),"Ayush Sharma")</f>
        <v>Ayush Sharma</v>
      </c>
      <c r="C1225" s="5" t="s">
        <v>2002</v>
      </c>
      <c r="D1225" s="5"/>
      <c r="E1225" s="5"/>
      <c r="F1225" s="5"/>
      <c r="G1225" s="5"/>
      <c r="H1225" s="5"/>
      <c r="I1225" s="5"/>
      <c r="J1225" s="73"/>
      <c r="K1225" s="75" t="str">
        <f>IFERROR(__xludf.DUMMYFUNCTION("""COMPUTED_VALUE"""),"")</f>
        <v/>
      </c>
      <c r="L1225" s="75"/>
      <c r="M1225" s="46" t="s">
        <v>2002</v>
      </c>
    </row>
    <row r="1226">
      <c r="A1226" s="70">
        <f>IFERROR(__xludf.DUMMYFUNCTION("""COMPUTED_VALUE"""),8.708614419E9)</f>
        <v>8708614419</v>
      </c>
      <c r="B1226" s="46" t="str">
        <f>IFERROR(__xludf.DUMMYFUNCTION("""COMPUTED_VALUE"""),"isha Gupta")</f>
        <v>isha Gupta</v>
      </c>
      <c r="C1226" s="5" t="s">
        <v>2002</v>
      </c>
      <c r="D1226" s="5"/>
      <c r="E1226" s="5"/>
      <c r="F1226" s="5"/>
      <c r="G1226" s="5"/>
      <c r="H1226" s="5"/>
      <c r="I1226" s="5"/>
      <c r="J1226" s="73"/>
      <c r="K1226" s="75" t="str">
        <f>IFERROR(__xludf.DUMMYFUNCTION("""COMPUTED_VALUE"""),"")</f>
        <v/>
      </c>
      <c r="L1226" s="75"/>
      <c r="M1226" s="46" t="s">
        <v>2002</v>
      </c>
    </row>
    <row r="1227">
      <c r="A1227" s="70">
        <f>IFERROR(__xludf.DUMMYFUNCTION("""COMPUTED_VALUE"""),9.971505665E9)</f>
        <v>9971505665</v>
      </c>
      <c r="B1227" s="46" t="str">
        <f>IFERROR(__xludf.DUMMYFUNCTION("""COMPUTED_VALUE"""),"Parul")</f>
        <v>Parul</v>
      </c>
      <c r="C1227" s="5" t="s">
        <v>2002</v>
      </c>
      <c r="D1227" s="5"/>
      <c r="E1227" s="5"/>
      <c r="F1227" s="5"/>
      <c r="G1227" s="5"/>
      <c r="H1227" s="5"/>
      <c r="I1227" s="5"/>
      <c r="J1227" s="73"/>
      <c r="K1227" s="75" t="str">
        <f>IFERROR(__xludf.DUMMYFUNCTION("""COMPUTED_VALUE"""),"")</f>
        <v/>
      </c>
      <c r="L1227" s="75"/>
      <c r="M1227" s="46" t="s">
        <v>2002</v>
      </c>
    </row>
    <row r="1228">
      <c r="A1228" s="70">
        <f>IFERROR(__xludf.DUMMYFUNCTION("""COMPUTED_VALUE"""),9.990364427E9)</f>
        <v>9990364427</v>
      </c>
      <c r="B1228" s="46" t="str">
        <f>IFERROR(__xludf.DUMMYFUNCTION("""COMPUTED_VALUE"""),"Monika")</f>
        <v>Monika</v>
      </c>
      <c r="C1228" s="5" t="s">
        <v>2002</v>
      </c>
      <c r="D1228" s="5"/>
      <c r="E1228" s="5"/>
      <c r="F1228" s="5"/>
      <c r="G1228" s="5"/>
      <c r="H1228" s="5"/>
      <c r="I1228" s="5"/>
      <c r="J1228" s="73"/>
      <c r="K1228" s="75" t="str">
        <f>IFERROR(__xludf.DUMMYFUNCTION("""COMPUTED_VALUE"""),"")</f>
        <v/>
      </c>
      <c r="L1228" s="75"/>
      <c r="M1228" s="46" t="s">
        <v>2002</v>
      </c>
    </row>
    <row r="1229">
      <c r="A1229" s="70">
        <f>IFERROR(__xludf.DUMMYFUNCTION("""COMPUTED_VALUE"""),9.899240702E9)</f>
        <v>9899240702</v>
      </c>
      <c r="B1229" s="46" t="str">
        <f>IFERROR(__xludf.DUMMYFUNCTION("""COMPUTED_VALUE"""),"Sangeeta Yadav")</f>
        <v>Sangeeta Yadav</v>
      </c>
      <c r="C1229" s="5" t="s">
        <v>2002</v>
      </c>
      <c r="D1229" s="5"/>
      <c r="E1229" s="5"/>
      <c r="F1229" s="5"/>
      <c r="G1229" s="5"/>
      <c r="H1229" s="5"/>
      <c r="I1229" s="5"/>
      <c r="J1229" s="73"/>
      <c r="K1229" s="75" t="str">
        <f>IFERROR(__xludf.DUMMYFUNCTION("""COMPUTED_VALUE"""),"")</f>
        <v/>
      </c>
      <c r="L1229" s="75"/>
      <c r="M1229" s="46" t="s">
        <v>2002</v>
      </c>
    </row>
    <row r="1230">
      <c r="A1230" s="70">
        <f>IFERROR(__xludf.DUMMYFUNCTION("""COMPUTED_VALUE"""),9.560953821E9)</f>
        <v>9560953821</v>
      </c>
      <c r="B1230" s="46" t="str">
        <f>IFERROR(__xludf.DUMMYFUNCTION("""COMPUTED_VALUE"""),"Sarika ")</f>
        <v>Sarika </v>
      </c>
      <c r="C1230" s="5" t="s">
        <v>2002</v>
      </c>
      <c r="D1230" s="5"/>
      <c r="E1230" s="5"/>
      <c r="F1230" s="5"/>
      <c r="G1230" s="5"/>
      <c r="H1230" s="5"/>
      <c r="I1230" s="5"/>
      <c r="J1230" s="73"/>
      <c r="K1230" s="75" t="str">
        <f>IFERROR(__xludf.DUMMYFUNCTION("""COMPUTED_VALUE"""),"")</f>
        <v/>
      </c>
      <c r="L1230" s="75"/>
      <c r="M1230" s="46" t="s">
        <v>2002</v>
      </c>
    </row>
    <row r="1231">
      <c r="A1231" s="70">
        <f>IFERROR(__xludf.DUMMYFUNCTION("""COMPUTED_VALUE"""),9.873008448E9)</f>
        <v>9873008448</v>
      </c>
      <c r="B1231" s="46" t="str">
        <f>IFERROR(__xludf.DUMMYFUNCTION("""COMPUTED_VALUE"""),"Priya kumar")</f>
        <v>Priya kumar</v>
      </c>
      <c r="C1231" s="5" t="s">
        <v>2002</v>
      </c>
      <c r="D1231" s="5"/>
      <c r="E1231" s="5"/>
      <c r="F1231" s="5"/>
      <c r="G1231" s="5"/>
      <c r="H1231" s="5"/>
      <c r="I1231" s="5"/>
      <c r="J1231" s="73"/>
      <c r="K1231" s="75" t="str">
        <f>IFERROR(__xludf.DUMMYFUNCTION("""COMPUTED_VALUE"""),"")</f>
        <v/>
      </c>
      <c r="L1231" s="75"/>
      <c r="M1231" s="46" t="s">
        <v>2002</v>
      </c>
    </row>
    <row r="1232">
      <c r="A1232" s="70">
        <f>IFERROR(__xludf.DUMMYFUNCTION("""COMPUTED_VALUE"""),7.836868011E9)</f>
        <v>7836868011</v>
      </c>
      <c r="B1232" s="46" t="str">
        <f>IFERROR(__xludf.DUMMYFUNCTION("""COMPUTED_VALUE"""),"Rajani")</f>
        <v>Rajani</v>
      </c>
      <c r="C1232" s="5" t="s">
        <v>2002</v>
      </c>
      <c r="D1232" s="5"/>
      <c r="E1232" s="5"/>
      <c r="F1232" s="5"/>
      <c r="G1232" s="5"/>
      <c r="H1232" s="5"/>
      <c r="I1232" s="5"/>
      <c r="J1232" s="73"/>
      <c r="K1232" s="75" t="str">
        <f>IFERROR(__xludf.DUMMYFUNCTION("""COMPUTED_VALUE"""),"")</f>
        <v/>
      </c>
      <c r="L1232" s="75"/>
      <c r="M1232" s="46" t="s">
        <v>2002</v>
      </c>
    </row>
    <row r="1233">
      <c r="A1233" s="70">
        <f>IFERROR(__xludf.DUMMYFUNCTION("""COMPUTED_VALUE"""),9.711898306E9)</f>
        <v>9711898306</v>
      </c>
      <c r="B1233" s="46" t="str">
        <f>IFERROR(__xludf.DUMMYFUNCTION("""COMPUTED_VALUE"""),"Unnati")</f>
        <v>Unnati</v>
      </c>
      <c r="C1233" s="5" t="s">
        <v>2002</v>
      </c>
      <c r="D1233" s="5"/>
      <c r="E1233" s="5"/>
      <c r="F1233" s="5"/>
      <c r="G1233" s="5"/>
      <c r="H1233" s="5"/>
      <c r="I1233" s="5"/>
      <c r="J1233" s="73"/>
      <c r="K1233" s="75" t="str">
        <f>IFERROR(__xludf.DUMMYFUNCTION("""COMPUTED_VALUE"""),"")</f>
        <v/>
      </c>
      <c r="L1233" s="75"/>
      <c r="M1233" s="46" t="s">
        <v>2002</v>
      </c>
    </row>
    <row r="1234">
      <c r="A1234" s="70">
        <f>IFERROR(__xludf.DUMMYFUNCTION("""COMPUTED_VALUE"""),7.83863071E9)</f>
        <v>7838630710</v>
      </c>
      <c r="B1234" s="46" t="str">
        <f>IFERROR(__xludf.DUMMYFUNCTION("""COMPUTED_VALUE"""),"indu")</f>
        <v>indu</v>
      </c>
      <c r="C1234" s="5" t="s">
        <v>2002</v>
      </c>
      <c r="D1234" s="5"/>
      <c r="E1234" s="5"/>
      <c r="F1234" s="5"/>
      <c r="G1234" s="5"/>
      <c r="H1234" s="5"/>
      <c r="I1234" s="5"/>
      <c r="J1234" s="73"/>
      <c r="K1234" s="75" t="str">
        <f>IFERROR(__xludf.DUMMYFUNCTION("""COMPUTED_VALUE"""),"")</f>
        <v/>
      </c>
      <c r="L1234" s="75"/>
      <c r="M1234" s="46" t="s">
        <v>2002</v>
      </c>
    </row>
    <row r="1235">
      <c r="A1235" s="70">
        <f>IFERROR(__xludf.DUMMYFUNCTION("""COMPUTED_VALUE"""),9.037926768E9)</f>
        <v>9037926768</v>
      </c>
      <c r="B1235" s="46" t="str">
        <f>IFERROR(__xludf.DUMMYFUNCTION("""COMPUTED_VALUE"""),"Vinod")</f>
        <v>Vinod</v>
      </c>
      <c r="C1235" s="5" t="s">
        <v>2002</v>
      </c>
      <c r="D1235" s="5"/>
      <c r="E1235" s="5"/>
      <c r="F1235" s="5"/>
      <c r="G1235" s="5"/>
      <c r="H1235" s="5"/>
      <c r="I1235" s="5"/>
      <c r="J1235" s="73"/>
      <c r="K1235" s="75" t="str">
        <f>IFERROR(__xludf.DUMMYFUNCTION("""COMPUTED_VALUE"""),"")</f>
        <v/>
      </c>
      <c r="L1235" s="75"/>
      <c r="M1235" s="46" t="s">
        <v>2002</v>
      </c>
    </row>
    <row r="1236">
      <c r="A1236" s="70">
        <f>IFERROR(__xludf.DUMMYFUNCTION("""COMPUTED_VALUE"""),9.999501179E9)</f>
        <v>9999501179</v>
      </c>
      <c r="B1236" s="46" t="str">
        <f>IFERROR(__xludf.DUMMYFUNCTION("""COMPUTED_VALUE"""),"J.S chawla")</f>
        <v>J.S chawla</v>
      </c>
      <c r="C1236" s="5" t="s">
        <v>2002</v>
      </c>
      <c r="D1236" s="5"/>
      <c r="E1236" s="5"/>
      <c r="F1236" s="5"/>
      <c r="G1236" s="5"/>
      <c r="H1236" s="5"/>
      <c r="I1236" s="5"/>
      <c r="J1236" s="73"/>
      <c r="K1236" s="75" t="str">
        <f>IFERROR(__xludf.DUMMYFUNCTION("""COMPUTED_VALUE"""),"")</f>
        <v/>
      </c>
      <c r="L1236" s="75"/>
      <c r="M1236" s="46" t="s">
        <v>2002</v>
      </c>
    </row>
    <row r="1237">
      <c r="A1237" s="70">
        <f>IFERROR(__xludf.DUMMYFUNCTION("""COMPUTED_VALUE"""),9.540022599E9)</f>
        <v>9540022599</v>
      </c>
      <c r="B1237" s="46" t="str">
        <f>IFERROR(__xludf.DUMMYFUNCTION("""COMPUTED_VALUE"""),"Pooja Saluja")</f>
        <v>Pooja Saluja</v>
      </c>
      <c r="C1237" s="5" t="s">
        <v>2002</v>
      </c>
      <c r="D1237" s="5"/>
      <c r="E1237" s="5"/>
      <c r="F1237" s="5"/>
      <c r="G1237" s="5"/>
      <c r="H1237" s="5"/>
      <c r="I1237" s="5"/>
      <c r="J1237" s="73"/>
      <c r="K1237" s="75" t="str">
        <f>IFERROR(__xludf.DUMMYFUNCTION("""COMPUTED_VALUE"""),"")</f>
        <v/>
      </c>
      <c r="L1237" s="75"/>
      <c r="M1237" s="46" t="s">
        <v>2002</v>
      </c>
    </row>
    <row r="1238">
      <c r="A1238" s="70">
        <f>IFERROR(__xludf.DUMMYFUNCTION("""COMPUTED_VALUE"""),7.678264566E9)</f>
        <v>7678264566</v>
      </c>
      <c r="B1238" s="46" t="str">
        <f>IFERROR(__xludf.DUMMYFUNCTION("""COMPUTED_VALUE"""),"Moena")</f>
        <v>Moena</v>
      </c>
      <c r="C1238" s="5" t="s">
        <v>2002</v>
      </c>
      <c r="D1238" s="5"/>
      <c r="E1238" s="5"/>
      <c r="F1238" s="5"/>
      <c r="G1238" s="5"/>
      <c r="H1238" s="5"/>
      <c r="I1238" s="5"/>
      <c r="J1238" s="73"/>
      <c r="K1238" s="75" t="str">
        <f>IFERROR(__xludf.DUMMYFUNCTION("""COMPUTED_VALUE"""),"")</f>
        <v/>
      </c>
      <c r="L1238" s="75"/>
      <c r="M1238" s="46" t="s">
        <v>2002</v>
      </c>
    </row>
    <row r="1239">
      <c r="A1239" s="70">
        <f>IFERROR(__xludf.DUMMYFUNCTION("""COMPUTED_VALUE"""),9.212638429E9)</f>
        <v>9212638429</v>
      </c>
      <c r="B1239" s="46" t="str">
        <f>IFERROR(__xludf.DUMMYFUNCTION("""COMPUTED_VALUE"""),"Priyanka")</f>
        <v>Priyanka</v>
      </c>
      <c r="C1239" s="5" t="s">
        <v>2002</v>
      </c>
      <c r="D1239" s="5"/>
      <c r="E1239" s="5"/>
      <c r="F1239" s="5"/>
      <c r="G1239" s="5"/>
      <c r="H1239" s="5"/>
      <c r="I1239" s="5"/>
      <c r="J1239" s="73"/>
      <c r="K1239" s="75" t="str">
        <f>IFERROR(__xludf.DUMMYFUNCTION("""COMPUTED_VALUE"""),"")</f>
        <v/>
      </c>
      <c r="L1239" s="75"/>
      <c r="M1239" s="46" t="s">
        <v>2002</v>
      </c>
    </row>
    <row r="1240">
      <c r="A1240" s="70">
        <f>IFERROR(__xludf.DUMMYFUNCTION("""COMPUTED_VALUE"""),9.871568901E9)</f>
        <v>9871568901</v>
      </c>
      <c r="B1240" s="46" t="str">
        <f>IFERROR(__xludf.DUMMYFUNCTION("""COMPUTED_VALUE"""),"Bimla katariya")</f>
        <v>Bimla katariya</v>
      </c>
      <c r="C1240" s="5" t="s">
        <v>2002</v>
      </c>
      <c r="D1240" s="5"/>
      <c r="E1240" s="5"/>
      <c r="F1240" s="5"/>
      <c r="G1240" s="5"/>
      <c r="H1240" s="5"/>
      <c r="I1240" s="5"/>
      <c r="J1240" s="73"/>
      <c r="K1240" s="75" t="str">
        <f>IFERROR(__xludf.DUMMYFUNCTION("""COMPUTED_VALUE"""),"")</f>
        <v/>
      </c>
      <c r="L1240" s="75"/>
      <c r="M1240" s="46" t="s">
        <v>2002</v>
      </c>
    </row>
    <row r="1241">
      <c r="A1241" s="70">
        <f>IFERROR(__xludf.DUMMYFUNCTION("""COMPUTED_VALUE"""),9.868090839E9)</f>
        <v>9868090839</v>
      </c>
      <c r="B1241" s="46" t="str">
        <f>IFERROR(__xludf.DUMMYFUNCTION("""COMPUTED_VALUE"""),"Sunil gupta")</f>
        <v>Sunil gupta</v>
      </c>
      <c r="C1241" s="5" t="s">
        <v>2002</v>
      </c>
      <c r="D1241" s="5"/>
      <c r="E1241" s="5"/>
      <c r="F1241" s="5"/>
      <c r="G1241" s="5"/>
      <c r="H1241" s="5"/>
      <c r="I1241" s="5"/>
      <c r="J1241" s="73"/>
      <c r="K1241" s="75" t="str">
        <f>IFERROR(__xludf.DUMMYFUNCTION("""COMPUTED_VALUE"""),"")</f>
        <v/>
      </c>
      <c r="L1241" s="75"/>
      <c r="M1241" s="46" t="s">
        <v>2002</v>
      </c>
    </row>
    <row r="1242">
      <c r="A1242" s="70">
        <f>IFERROR(__xludf.DUMMYFUNCTION("""COMPUTED_VALUE"""),9.312030975E9)</f>
        <v>9312030975</v>
      </c>
      <c r="B1242" s="46" t="str">
        <f>IFERROR(__xludf.DUMMYFUNCTION("""COMPUTED_VALUE"""),"payal Bansal")</f>
        <v>payal Bansal</v>
      </c>
      <c r="C1242" s="5" t="s">
        <v>2002</v>
      </c>
      <c r="D1242" s="5"/>
      <c r="E1242" s="5"/>
      <c r="F1242" s="5"/>
      <c r="G1242" s="5"/>
      <c r="H1242" s="5"/>
      <c r="I1242" s="5"/>
      <c r="J1242" s="73"/>
      <c r="K1242" s="75" t="str">
        <f>IFERROR(__xludf.DUMMYFUNCTION("""COMPUTED_VALUE"""),"")</f>
        <v/>
      </c>
      <c r="L1242" s="75"/>
      <c r="M1242" s="46" t="s">
        <v>2002</v>
      </c>
    </row>
    <row r="1243">
      <c r="A1243" s="70">
        <f>IFERROR(__xludf.DUMMYFUNCTION("""COMPUTED_VALUE"""),9.953847907E9)</f>
        <v>9953847907</v>
      </c>
      <c r="B1243" s="46" t="str">
        <f>IFERROR(__xludf.DUMMYFUNCTION("""COMPUTED_VALUE"""),"Alpna Goyal")</f>
        <v>Alpna Goyal</v>
      </c>
      <c r="C1243" s="5" t="s">
        <v>2002</v>
      </c>
      <c r="D1243" s="5"/>
      <c r="E1243" s="5"/>
      <c r="F1243" s="5"/>
      <c r="G1243" s="5"/>
      <c r="H1243" s="5"/>
      <c r="I1243" s="5"/>
      <c r="J1243" s="73"/>
      <c r="K1243" s="75" t="str">
        <f>IFERROR(__xludf.DUMMYFUNCTION("""COMPUTED_VALUE"""),"")</f>
        <v/>
      </c>
      <c r="L1243" s="75"/>
      <c r="M1243" s="46" t="s">
        <v>2002</v>
      </c>
    </row>
    <row r="1244">
      <c r="A1244" s="70">
        <f>IFERROR(__xludf.DUMMYFUNCTION("""COMPUTED_VALUE"""),9.953037233E9)</f>
        <v>9953037233</v>
      </c>
      <c r="B1244" s="46" t="str">
        <f>IFERROR(__xludf.DUMMYFUNCTION("""COMPUTED_VALUE"""),"Pinky")</f>
        <v>Pinky</v>
      </c>
      <c r="C1244" s="5" t="s">
        <v>2002</v>
      </c>
      <c r="D1244" s="5"/>
      <c r="E1244" s="5"/>
      <c r="F1244" s="5"/>
      <c r="G1244" s="5"/>
      <c r="H1244" s="5"/>
      <c r="I1244" s="5"/>
      <c r="J1244" s="73"/>
      <c r="K1244" s="75" t="str">
        <f>IFERROR(__xludf.DUMMYFUNCTION("""COMPUTED_VALUE"""),"")</f>
        <v/>
      </c>
      <c r="L1244" s="75"/>
      <c r="M1244" s="46" t="s">
        <v>2002</v>
      </c>
    </row>
    <row r="1245">
      <c r="A1245" s="70">
        <f>IFERROR(__xludf.DUMMYFUNCTION("""COMPUTED_VALUE"""),8.007388788E9)</f>
        <v>8007388788</v>
      </c>
      <c r="B1245" s="46" t="str">
        <f>IFERROR(__xludf.DUMMYFUNCTION("""COMPUTED_VALUE"""),"Utsav")</f>
        <v>Utsav</v>
      </c>
      <c r="C1245" s="5" t="s">
        <v>2002</v>
      </c>
      <c r="D1245" s="5"/>
      <c r="E1245" s="5"/>
      <c r="F1245" s="5"/>
      <c r="G1245" s="5"/>
      <c r="H1245" s="5"/>
      <c r="I1245" s="5"/>
      <c r="J1245" s="73"/>
      <c r="K1245" s="75" t="str">
        <f>IFERROR(__xludf.DUMMYFUNCTION("""COMPUTED_VALUE"""),"")</f>
        <v/>
      </c>
      <c r="L1245" s="75"/>
      <c r="M1245" s="46" t="s">
        <v>2002</v>
      </c>
    </row>
    <row r="1246">
      <c r="A1246" s="70">
        <f>IFERROR(__xludf.DUMMYFUNCTION("""COMPUTED_VALUE"""),8.791733436E9)</f>
        <v>8791733436</v>
      </c>
      <c r="B1246" s="46" t="str">
        <f>IFERROR(__xludf.DUMMYFUNCTION("""COMPUTED_VALUE"""),"Monika ji ")</f>
        <v>Monika ji </v>
      </c>
      <c r="C1246" s="5" t="s">
        <v>2002</v>
      </c>
      <c r="D1246" s="5"/>
      <c r="E1246" s="5"/>
      <c r="F1246" s="5"/>
      <c r="G1246" s="5"/>
      <c r="H1246" s="5"/>
      <c r="I1246" s="5"/>
      <c r="J1246" s="73"/>
      <c r="K1246" s="75" t="str">
        <f>IFERROR(__xludf.DUMMYFUNCTION("""COMPUTED_VALUE"""),"")</f>
        <v/>
      </c>
      <c r="L1246" s="75"/>
      <c r="M1246" s="46" t="s">
        <v>2002</v>
      </c>
    </row>
    <row r="1247">
      <c r="A1247" s="70">
        <f>IFERROR(__xludf.DUMMYFUNCTION("""COMPUTED_VALUE"""),9.785303247E9)</f>
        <v>9785303247</v>
      </c>
      <c r="B1247" s="46" t="str">
        <f>IFERROR(__xludf.DUMMYFUNCTION("""COMPUTED_VALUE"""),"Sonu")</f>
        <v>Sonu</v>
      </c>
      <c r="C1247" s="5" t="s">
        <v>2002</v>
      </c>
      <c r="D1247" s="5"/>
      <c r="E1247" s="5"/>
      <c r="F1247" s="5"/>
      <c r="G1247" s="5"/>
      <c r="H1247" s="5"/>
      <c r="I1247" s="5"/>
      <c r="J1247" s="73"/>
      <c r="K1247" s="75" t="str">
        <f>IFERROR(__xludf.DUMMYFUNCTION("""COMPUTED_VALUE"""),"")</f>
        <v/>
      </c>
      <c r="L1247" s="75"/>
      <c r="M1247" s="46" t="s">
        <v>2002</v>
      </c>
    </row>
    <row r="1248">
      <c r="A1248" s="70">
        <f>IFERROR(__xludf.DUMMYFUNCTION("""COMPUTED_VALUE"""),8.587049879E9)</f>
        <v>8587049879</v>
      </c>
      <c r="B1248" s="46" t="str">
        <f>IFERROR(__xludf.DUMMYFUNCTION("""COMPUTED_VALUE"""),"Kanta")</f>
        <v>Kanta</v>
      </c>
      <c r="C1248" s="5" t="s">
        <v>2002</v>
      </c>
      <c r="D1248" s="5"/>
      <c r="E1248" s="5"/>
      <c r="F1248" s="5"/>
      <c r="G1248" s="5"/>
      <c r="H1248" s="5"/>
      <c r="I1248" s="5"/>
      <c r="J1248" s="73"/>
      <c r="K1248" s="75" t="str">
        <f>IFERROR(__xludf.DUMMYFUNCTION("""COMPUTED_VALUE"""),"")</f>
        <v/>
      </c>
      <c r="L1248" s="75"/>
      <c r="M1248" s="46" t="s">
        <v>2002</v>
      </c>
    </row>
    <row r="1249">
      <c r="A1249" s="70">
        <f>IFERROR(__xludf.DUMMYFUNCTION("""COMPUTED_VALUE"""),9.334625619E9)</f>
        <v>9334625619</v>
      </c>
      <c r="B1249" s="46" t="str">
        <f>IFERROR(__xludf.DUMMYFUNCTION("""COMPUTED_VALUE"""),"Rajesh Kumar Sharma")</f>
        <v>Rajesh Kumar Sharma</v>
      </c>
      <c r="C1249" s="5" t="s">
        <v>2002</v>
      </c>
      <c r="D1249" s="5"/>
      <c r="E1249" s="5"/>
      <c r="F1249" s="5"/>
      <c r="G1249" s="5"/>
      <c r="H1249" s="5"/>
      <c r="I1249" s="5"/>
      <c r="J1249" s="73"/>
      <c r="K1249" s="75" t="str">
        <f>IFERROR(__xludf.DUMMYFUNCTION("""COMPUTED_VALUE"""),"")</f>
        <v/>
      </c>
      <c r="L1249" s="75"/>
      <c r="M1249" s="46" t="s">
        <v>2002</v>
      </c>
    </row>
    <row r="1250">
      <c r="A1250" s="70">
        <f>IFERROR(__xludf.DUMMYFUNCTION("""COMPUTED_VALUE"""),9.998428555E9)</f>
        <v>9998428555</v>
      </c>
      <c r="B1250" s="46" t="str">
        <f>IFERROR(__xludf.DUMMYFUNCTION("""COMPUTED_VALUE"""),"Aman jain ")</f>
        <v>Aman jain </v>
      </c>
      <c r="C1250" s="5" t="s">
        <v>2002</v>
      </c>
      <c r="D1250" s="5"/>
      <c r="E1250" s="5"/>
      <c r="F1250" s="5"/>
      <c r="G1250" s="5"/>
      <c r="H1250" s="5"/>
      <c r="I1250" s="5"/>
      <c r="J1250" s="73"/>
      <c r="K1250" s="75" t="str">
        <f>IFERROR(__xludf.DUMMYFUNCTION("""COMPUTED_VALUE"""),"")</f>
        <v/>
      </c>
      <c r="L1250" s="75"/>
      <c r="M1250" s="46" t="s">
        <v>2002</v>
      </c>
    </row>
    <row r="1251">
      <c r="A1251" s="70">
        <f>IFERROR(__xludf.DUMMYFUNCTION("""COMPUTED_VALUE"""),7.580809E9)</f>
        <v>7580809000</v>
      </c>
      <c r="B1251" s="46" t="str">
        <f>IFERROR(__xludf.DUMMYFUNCTION("""COMPUTED_VALUE"""),"Nitesh")</f>
        <v>Nitesh</v>
      </c>
      <c r="C1251" s="5" t="s">
        <v>2002</v>
      </c>
      <c r="D1251" s="5"/>
      <c r="E1251" s="5"/>
      <c r="F1251" s="5"/>
      <c r="G1251" s="5"/>
      <c r="H1251" s="5"/>
      <c r="I1251" s="5"/>
      <c r="J1251" s="73"/>
      <c r="K1251" s="75" t="str">
        <f>IFERROR(__xludf.DUMMYFUNCTION("""COMPUTED_VALUE"""),"")</f>
        <v/>
      </c>
      <c r="L1251" s="75"/>
      <c r="M1251" s="46" t="s">
        <v>2002</v>
      </c>
    </row>
    <row r="1252">
      <c r="A1252" s="70">
        <f>IFERROR(__xludf.DUMMYFUNCTION("""COMPUTED_VALUE"""),8.595960542E9)</f>
        <v>8595960542</v>
      </c>
      <c r="B1252" s="46" t="str">
        <f>IFERROR(__xludf.DUMMYFUNCTION("""COMPUTED_VALUE"""),"Kunal")</f>
        <v>Kunal</v>
      </c>
      <c r="C1252" s="5" t="s">
        <v>2002</v>
      </c>
      <c r="D1252" s="5"/>
      <c r="E1252" s="5"/>
      <c r="F1252" s="5"/>
      <c r="G1252" s="5"/>
      <c r="H1252" s="5"/>
      <c r="I1252" s="5"/>
      <c r="J1252" s="73"/>
      <c r="K1252" s="75" t="str">
        <f>IFERROR(__xludf.DUMMYFUNCTION("""COMPUTED_VALUE"""),"")</f>
        <v/>
      </c>
      <c r="L1252" s="75"/>
      <c r="M1252" s="46" t="s">
        <v>2002</v>
      </c>
    </row>
    <row r="1253">
      <c r="A1253" s="70">
        <f>IFERROR(__xludf.DUMMYFUNCTION("""COMPUTED_VALUE"""),8.700102983E9)</f>
        <v>8700102983</v>
      </c>
      <c r="B1253" s="46" t="str">
        <f>IFERROR(__xludf.DUMMYFUNCTION("""COMPUTED_VALUE"""),"Ankit ji ")</f>
        <v>Ankit ji </v>
      </c>
      <c r="C1253" s="5" t="s">
        <v>2002</v>
      </c>
      <c r="D1253" s="5"/>
      <c r="E1253" s="5"/>
      <c r="F1253" s="5"/>
      <c r="G1253" s="5"/>
      <c r="H1253" s="5"/>
      <c r="I1253" s="5"/>
      <c r="J1253" s="73"/>
      <c r="K1253" s="75" t="str">
        <f>IFERROR(__xludf.DUMMYFUNCTION("""COMPUTED_VALUE"""),"")</f>
        <v/>
      </c>
      <c r="L1253" s="75"/>
      <c r="M1253" s="46" t="s">
        <v>2002</v>
      </c>
    </row>
    <row r="1254">
      <c r="A1254" s="70">
        <f>IFERROR(__xludf.DUMMYFUNCTION("""COMPUTED_VALUE"""),8.851063684E9)</f>
        <v>8851063684</v>
      </c>
      <c r="B1254" s="46" t="str">
        <f>IFERROR(__xludf.DUMMYFUNCTION("""COMPUTED_VALUE"""),"Koka B ")</f>
        <v>Koka B </v>
      </c>
      <c r="C1254" s="5" t="s">
        <v>2002</v>
      </c>
      <c r="D1254" s="5"/>
      <c r="E1254" s="5"/>
      <c r="F1254" s="5"/>
      <c r="G1254" s="5"/>
      <c r="H1254" s="5"/>
      <c r="I1254" s="5"/>
      <c r="J1254" s="73"/>
      <c r="K1254" s="75" t="str">
        <f>IFERROR(__xludf.DUMMYFUNCTION("""COMPUTED_VALUE"""),"")</f>
        <v/>
      </c>
      <c r="L1254" s="75"/>
      <c r="M1254" s="46" t="s">
        <v>2002</v>
      </c>
    </row>
    <row r="1255">
      <c r="A1255" s="70">
        <f>IFERROR(__xludf.DUMMYFUNCTION("""COMPUTED_VALUE"""),9.117041121E9)</f>
        <v>9117041121</v>
      </c>
      <c r="B1255" s="46" t="str">
        <f>IFERROR(__xludf.DUMMYFUNCTION("""COMPUTED_VALUE"""),"Shalini Singh ")</f>
        <v>Shalini Singh </v>
      </c>
      <c r="C1255" s="5" t="s">
        <v>2002</v>
      </c>
      <c r="D1255" s="5"/>
      <c r="E1255" s="5"/>
      <c r="F1255" s="5"/>
      <c r="G1255" s="5"/>
      <c r="H1255" s="5"/>
      <c r="I1255" s="5"/>
      <c r="J1255" s="73"/>
      <c r="K1255" s="75" t="str">
        <f>IFERROR(__xludf.DUMMYFUNCTION("""COMPUTED_VALUE"""),"")</f>
        <v/>
      </c>
      <c r="L1255" s="75"/>
      <c r="M1255" s="46" t="s">
        <v>2002</v>
      </c>
    </row>
    <row r="1256">
      <c r="A1256" s="70">
        <f>IFERROR(__xludf.DUMMYFUNCTION("""COMPUTED_VALUE"""),9.911038786E9)</f>
        <v>9911038786</v>
      </c>
      <c r="B1256" s="46" t="str">
        <f>IFERROR(__xludf.DUMMYFUNCTION("""COMPUTED_VALUE"""),"A ahmen")</f>
        <v>A ahmen</v>
      </c>
      <c r="C1256" s="5" t="s">
        <v>2002</v>
      </c>
      <c r="D1256" s="5"/>
      <c r="E1256" s="5"/>
      <c r="F1256" s="5"/>
      <c r="G1256" s="5"/>
      <c r="H1256" s="5"/>
      <c r="I1256" s="5"/>
      <c r="J1256" s="73"/>
      <c r="K1256" s="75" t="str">
        <f>IFERROR(__xludf.DUMMYFUNCTION("""COMPUTED_VALUE"""),"")</f>
        <v/>
      </c>
      <c r="L1256" s="75"/>
      <c r="M1256" s="46" t="s">
        <v>2002</v>
      </c>
    </row>
    <row r="1257">
      <c r="A1257" s="70">
        <f>IFERROR(__xludf.DUMMYFUNCTION("""COMPUTED_VALUE"""),8.851342161E9)</f>
        <v>8851342161</v>
      </c>
      <c r="B1257" s="46" t="str">
        <f>IFERROR(__xludf.DUMMYFUNCTION("""COMPUTED_VALUE"""),"Sarita")</f>
        <v>Sarita</v>
      </c>
      <c r="C1257" s="5" t="s">
        <v>2002</v>
      </c>
      <c r="D1257" s="5"/>
      <c r="E1257" s="5"/>
      <c r="F1257" s="5"/>
      <c r="G1257" s="5"/>
      <c r="H1257" s="5"/>
      <c r="I1257" s="5"/>
      <c r="J1257" s="73"/>
      <c r="K1257" s="75" t="str">
        <f>IFERROR(__xludf.DUMMYFUNCTION("""COMPUTED_VALUE"""),"")</f>
        <v/>
      </c>
      <c r="L1257" s="75"/>
      <c r="M1257" s="46" t="s">
        <v>2002</v>
      </c>
    </row>
    <row r="1258">
      <c r="A1258" s="70">
        <f>IFERROR(__xludf.DUMMYFUNCTION("""COMPUTED_VALUE"""),9.873388293E9)</f>
        <v>9873388293</v>
      </c>
      <c r="B1258" s="46" t="str">
        <f>IFERROR(__xludf.DUMMYFUNCTION("""COMPUTED_VALUE"""),"Sangeeta")</f>
        <v>Sangeeta</v>
      </c>
      <c r="C1258" s="5" t="s">
        <v>2002</v>
      </c>
      <c r="D1258" s="5"/>
      <c r="E1258" s="5"/>
      <c r="F1258" s="5"/>
      <c r="G1258" s="5"/>
      <c r="H1258" s="5"/>
      <c r="I1258" s="5"/>
      <c r="J1258" s="73"/>
      <c r="K1258" s="75" t="str">
        <f>IFERROR(__xludf.DUMMYFUNCTION("""COMPUTED_VALUE"""),"")</f>
        <v/>
      </c>
      <c r="L1258" s="75"/>
      <c r="M1258" s="46" t="s">
        <v>2002</v>
      </c>
    </row>
    <row r="1259">
      <c r="A1259" s="70">
        <f>IFERROR(__xludf.DUMMYFUNCTION("""COMPUTED_VALUE"""),9.971586214E9)</f>
        <v>9971586214</v>
      </c>
      <c r="B1259" s="46" t="str">
        <f>IFERROR(__xludf.DUMMYFUNCTION("""COMPUTED_VALUE"""),"Ankur Aggarwal ")</f>
        <v>Ankur Aggarwal </v>
      </c>
      <c r="C1259" s="5" t="s">
        <v>2002</v>
      </c>
      <c r="D1259" s="5"/>
      <c r="E1259" s="5"/>
      <c r="F1259" s="5"/>
      <c r="G1259" s="5"/>
      <c r="H1259" s="5"/>
      <c r="I1259" s="5"/>
      <c r="J1259" s="73"/>
      <c r="K1259" s="75" t="str">
        <f>IFERROR(__xludf.DUMMYFUNCTION("""COMPUTED_VALUE"""),"")</f>
        <v/>
      </c>
      <c r="L1259" s="75"/>
      <c r="M1259" s="46" t="s">
        <v>2002</v>
      </c>
    </row>
    <row r="1260">
      <c r="A1260" s="70">
        <f>IFERROR(__xludf.DUMMYFUNCTION("""COMPUTED_VALUE"""),7.011781738E9)</f>
        <v>7011781738</v>
      </c>
      <c r="B1260" s="46" t="str">
        <f>IFERROR(__xludf.DUMMYFUNCTION("""COMPUTED_VALUE"""),"Anuj")</f>
        <v>Anuj</v>
      </c>
      <c r="C1260" s="5" t="s">
        <v>2002</v>
      </c>
      <c r="D1260" s="5"/>
      <c r="E1260" s="5"/>
      <c r="F1260" s="5"/>
      <c r="G1260" s="5"/>
      <c r="H1260" s="5"/>
      <c r="I1260" s="5"/>
      <c r="J1260" s="73"/>
      <c r="K1260" s="75" t="str">
        <f>IFERROR(__xludf.DUMMYFUNCTION("""COMPUTED_VALUE"""),"")</f>
        <v/>
      </c>
      <c r="L1260" s="75"/>
      <c r="M1260" s="46" t="s">
        <v>2002</v>
      </c>
    </row>
    <row r="1261">
      <c r="A1261" s="70">
        <f>IFERROR(__xludf.DUMMYFUNCTION("""COMPUTED_VALUE"""),8.64100008E9)</f>
        <v>8641000080</v>
      </c>
      <c r="B1261" s="46" t="str">
        <f>IFERROR(__xludf.DUMMYFUNCTION("""COMPUTED_VALUE"""),"Nitin")</f>
        <v>Nitin</v>
      </c>
      <c r="C1261" s="5" t="s">
        <v>2002</v>
      </c>
      <c r="D1261" s="5"/>
      <c r="E1261" s="5"/>
      <c r="F1261" s="5"/>
      <c r="G1261" s="5"/>
      <c r="H1261" s="5"/>
      <c r="I1261" s="5"/>
      <c r="J1261" s="73"/>
      <c r="K1261" s="75" t="str">
        <f>IFERROR(__xludf.DUMMYFUNCTION("""COMPUTED_VALUE"""),"")</f>
        <v/>
      </c>
      <c r="L1261" s="75"/>
      <c r="M1261" s="46" t="s">
        <v>2002</v>
      </c>
    </row>
    <row r="1262">
      <c r="A1262" s="70">
        <f>IFERROR(__xludf.DUMMYFUNCTION("""COMPUTED_VALUE"""),9.818896326E9)</f>
        <v>9818896326</v>
      </c>
      <c r="B1262" s="46" t="str">
        <f>IFERROR(__xludf.DUMMYFUNCTION("""COMPUTED_VALUE"""),"Akansha ")</f>
        <v>Akansha </v>
      </c>
      <c r="C1262" s="5" t="s">
        <v>2002</v>
      </c>
      <c r="D1262" s="5"/>
      <c r="E1262" s="5"/>
      <c r="F1262" s="5"/>
      <c r="G1262" s="5"/>
      <c r="H1262" s="5"/>
      <c r="I1262" s="5"/>
      <c r="J1262" s="73"/>
      <c r="K1262" s="75" t="str">
        <f>IFERROR(__xludf.DUMMYFUNCTION("""COMPUTED_VALUE"""),"")</f>
        <v/>
      </c>
      <c r="L1262" s="75"/>
      <c r="M1262" s="46" t="s">
        <v>2002</v>
      </c>
    </row>
    <row r="1263">
      <c r="A1263" s="70">
        <f>IFERROR(__xludf.DUMMYFUNCTION("""COMPUTED_VALUE"""),9.810699303E9)</f>
        <v>9810699303</v>
      </c>
      <c r="B1263" s="46" t="str">
        <f>IFERROR(__xludf.DUMMYFUNCTION("""COMPUTED_VALUE"""),"Meena ")</f>
        <v>Meena </v>
      </c>
      <c r="C1263" s="5" t="s">
        <v>2002</v>
      </c>
      <c r="D1263" s="5"/>
      <c r="E1263" s="5"/>
      <c r="F1263" s="5"/>
      <c r="G1263" s="5"/>
      <c r="H1263" s="5"/>
      <c r="I1263" s="5"/>
      <c r="J1263" s="73"/>
      <c r="K1263" s="75" t="str">
        <f>IFERROR(__xludf.DUMMYFUNCTION("""COMPUTED_VALUE"""),"")</f>
        <v/>
      </c>
      <c r="L1263" s="75"/>
      <c r="M1263" s="46" t="s">
        <v>2002</v>
      </c>
    </row>
    <row r="1264">
      <c r="A1264" s="70">
        <f>IFERROR(__xludf.DUMMYFUNCTION("""COMPUTED_VALUE"""),9.667262908E9)</f>
        <v>9667262908</v>
      </c>
      <c r="B1264" s="46" t="str">
        <f>IFERROR(__xludf.DUMMYFUNCTION("""COMPUTED_VALUE"""),"nayna paul")</f>
        <v>nayna paul</v>
      </c>
      <c r="C1264" s="5" t="s">
        <v>2002</v>
      </c>
      <c r="D1264" s="5"/>
      <c r="E1264" s="5"/>
      <c r="F1264" s="5"/>
      <c r="G1264" s="5"/>
      <c r="H1264" s="5"/>
      <c r="I1264" s="5"/>
      <c r="J1264" s="73"/>
      <c r="K1264" s="75" t="str">
        <f>IFERROR(__xludf.DUMMYFUNCTION("""COMPUTED_VALUE"""),"")</f>
        <v/>
      </c>
      <c r="L1264" s="75"/>
      <c r="M1264" s="46" t="s">
        <v>2002</v>
      </c>
    </row>
    <row r="1265">
      <c r="A1265" s="70">
        <f>IFERROR(__xludf.DUMMYFUNCTION("""COMPUTED_VALUE"""),8.826628839E9)</f>
        <v>8826628839</v>
      </c>
      <c r="B1265" s="46" t="str">
        <f>IFERROR(__xludf.DUMMYFUNCTION("""COMPUTED_VALUE"""),"Krishansh ")</f>
        <v>Krishansh </v>
      </c>
      <c r="C1265" s="5" t="s">
        <v>2002</v>
      </c>
      <c r="D1265" s="5"/>
      <c r="E1265" s="5"/>
      <c r="F1265" s="5"/>
      <c r="G1265" s="5"/>
      <c r="H1265" s="5"/>
      <c r="I1265" s="5"/>
      <c r="J1265" s="73"/>
      <c r="K1265" s="75" t="str">
        <f>IFERROR(__xludf.DUMMYFUNCTION("""COMPUTED_VALUE"""),"")</f>
        <v/>
      </c>
      <c r="L1265" s="75"/>
      <c r="M1265" s="46" t="s">
        <v>2002</v>
      </c>
    </row>
    <row r="1266">
      <c r="A1266" s="70">
        <f>IFERROR(__xludf.DUMMYFUNCTION("""COMPUTED_VALUE"""),8.285970468E9)</f>
        <v>8285970468</v>
      </c>
      <c r="B1266" s="46" t="str">
        <f>IFERROR(__xludf.DUMMYFUNCTION("""COMPUTED_VALUE"""),"Varun Chauhan ")</f>
        <v>Varun Chauhan </v>
      </c>
      <c r="C1266" s="5" t="s">
        <v>2002</v>
      </c>
      <c r="D1266" s="5"/>
      <c r="E1266" s="5"/>
      <c r="F1266" s="5"/>
      <c r="G1266" s="5"/>
      <c r="H1266" s="5"/>
      <c r="I1266" s="5"/>
      <c r="J1266" s="73"/>
      <c r="K1266" s="75" t="str">
        <f>IFERROR(__xludf.DUMMYFUNCTION("""COMPUTED_VALUE"""),"")</f>
        <v/>
      </c>
      <c r="L1266" s="75"/>
      <c r="M1266" s="46" t="s">
        <v>2002</v>
      </c>
    </row>
    <row r="1267">
      <c r="A1267" s="70">
        <f>IFERROR(__xludf.DUMMYFUNCTION("""COMPUTED_VALUE"""),9.619248021E9)</f>
        <v>9619248021</v>
      </c>
      <c r="B1267" s="46" t="str">
        <f>IFERROR(__xludf.DUMMYFUNCTION("""COMPUTED_VALUE"""),"Kruti Jain")</f>
        <v>Kruti Jain</v>
      </c>
      <c r="C1267" s="5" t="s">
        <v>2002</v>
      </c>
      <c r="D1267" s="5"/>
      <c r="E1267" s="5"/>
      <c r="F1267" s="5"/>
      <c r="G1267" s="5"/>
      <c r="H1267" s="5"/>
      <c r="I1267" s="5"/>
      <c r="J1267" s="73"/>
      <c r="K1267" s="75" t="str">
        <f>IFERROR(__xludf.DUMMYFUNCTION("""COMPUTED_VALUE"""),"")</f>
        <v/>
      </c>
      <c r="L1267" s="75"/>
      <c r="M1267" s="46" t="s">
        <v>2002</v>
      </c>
    </row>
    <row r="1268">
      <c r="A1268" s="70">
        <f>IFERROR(__xludf.DUMMYFUNCTION("""COMPUTED_VALUE"""),9.911371602E9)</f>
        <v>9911371602</v>
      </c>
      <c r="B1268" s="46" t="str">
        <f>IFERROR(__xludf.DUMMYFUNCTION("""COMPUTED_VALUE"""),"Sarita dhawan")</f>
        <v>Sarita dhawan</v>
      </c>
      <c r="C1268" s="5" t="s">
        <v>2002</v>
      </c>
      <c r="D1268" s="5"/>
      <c r="E1268" s="5"/>
      <c r="F1268" s="5"/>
      <c r="G1268" s="5"/>
      <c r="H1268" s="5"/>
      <c r="I1268" s="5"/>
      <c r="J1268" s="73"/>
      <c r="K1268" s="75" t="str">
        <f>IFERROR(__xludf.DUMMYFUNCTION("""COMPUTED_VALUE"""),"")</f>
        <v/>
      </c>
      <c r="L1268" s="75"/>
      <c r="M1268" s="46" t="s">
        <v>2002</v>
      </c>
    </row>
    <row r="1269">
      <c r="A1269" s="70">
        <f>IFERROR(__xludf.DUMMYFUNCTION("""COMPUTED_VALUE"""),8.178235687E9)</f>
        <v>8178235687</v>
      </c>
      <c r="B1269" s="46" t="str">
        <f>IFERROR(__xludf.DUMMYFUNCTION("""COMPUTED_VALUE"""),"Divya ")</f>
        <v>Divya </v>
      </c>
      <c r="C1269" s="5" t="s">
        <v>2002</v>
      </c>
      <c r="D1269" s="5"/>
      <c r="E1269" s="5"/>
      <c r="F1269" s="5"/>
      <c r="G1269" s="5"/>
      <c r="H1269" s="5"/>
      <c r="I1269" s="5"/>
      <c r="J1269" s="73"/>
      <c r="K1269" s="75" t="str">
        <f>IFERROR(__xludf.DUMMYFUNCTION("""COMPUTED_VALUE"""),"")</f>
        <v/>
      </c>
      <c r="L1269" s="75"/>
      <c r="M1269" s="46" t="s">
        <v>2002</v>
      </c>
    </row>
    <row r="1270">
      <c r="A1270" s="70">
        <f>IFERROR(__xludf.DUMMYFUNCTION("""COMPUTED_VALUE"""),7.503494379E9)</f>
        <v>7503494379</v>
      </c>
      <c r="B1270" s="46" t="str">
        <f>IFERROR(__xludf.DUMMYFUNCTION("""COMPUTED_VALUE"""),"Dikhsha mittal")</f>
        <v>Dikhsha mittal</v>
      </c>
      <c r="C1270" s="5" t="s">
        <v>2002</v>
      </c>
      <c r="D1270" s="5"/>
      <c r="E1270" s="5"/>
      <c r="F1270" s="5"/>
      <c r="G1270" s="5"/>
      <c r="H1270" s="5"/>
      <c r="I1270" s="5"/>
      <c r="J1270" s="73"/>
      <c r="K1270" s="75" t="str">
        <f>IFERROR(__xludf.DUMMYFUNCTION("""COMPUTED_VALUE"""),"")</f>
        <v/>
      </c>
      <c r="L1270" s="75"/>
      <c r="M1270" s="46" t="s">
        <v>2002</v>
      </c>
    </row>
    <row r="1271">
      <c r="A1271" s="70">
        <f>IFERROR(__xludf.DUMMYFUNCTION("""COMPUTED_VALUE"""),9.811167431E9)</f>
        <v>9811167431</v>
      </c>
      <c r="B1271" s="46" t="str">
        <f>IFERROR(__xludf.DUMMYFUNCTION("""COMPUTED_VALUE"""),"Ravinder")</f>
        <v>Ravinder</v>
      </c>
      <c r="C1271" s="5" t="s">
        <v>2002</v>
      </c>
      <c r="D1271" s="5"/>
      <c r="E1271" s="5"/>
      <c r="F1271" s="5"/>
      <c r="G1271" s="5"/>
      <c r="H1271" s="5"/>
      <c r="I1271" s="5"/>
      <c r="J1271" s="73"/>
      <c r="K1271" s="75" t="str">
        <f>IFERROR(__xludf.DUMMYFUNCTION("""COMPUTED_VALUE"""),"")</f>
        <v/>
      </c>
      <c r="L1271" s="75"/>
      <c r="M1271" s="46" t="s">
        <v>2002</v>
      </c>
    </row>
    <row r="1272">
      <c r="A1272" s="70">
        <f>IFERROR(__xludf.DUMMYFUNCTION("""COMPUTED_VALUE"""),9.045214128E9)</f>
        <v>9045214128</v>
      </c>
      <c r="B1272" s="46" t="str">
        <f>IFERROR(__xludf.DUMMYFUNCTION("""COMPUTED_VALUE"""),"Nitin sen")</f>
        <v>Nitin sen</v>
      </c>
      <c r="C1272" s="5" t="s">
        <v>2002</v>
      </c>
      <c r="D1272" s="5"/>
      <c r="E1272" s="5"/>
      <c r="F1272" s="5"/>
      <c r="G1272" s="5"/>
      <c r="H1272" s="5"/>
      <c r="I1272" s="5"/>
      <c r="J1272" s="73"/>
      <c r="K1272" s="75" t="str">
        <f>IFERROR(__xludf.DUMMYFUNCTION("""COMPUTED_VALUE"""),"")</f>
        <v/>
      </c>
      <c r="L1272" s="75"/>
      <c r="M1272" s="46" t="s">
        <v>2002</v>
      </c>
    </row>
    <row r="1273">
      <c r="A1273" s="70">
        <f>IFERROR(__xludf.DUMMYFUNCTION("""COMPUTED_VALUE"""),9.65468265E9)</f>
        <v>9654682650</v>
      </c>
      <c r="B1273" s="46" t="str">
        <f>IFERROR(__xludf.DUMMYFUNCTION("""COMPUTED_VALUE"""),"Shanu")</f>
        <v>Shanu</v>
      </c>
      <c r="C1273" s="5" t="s">
        <v>2002</v>
      </c>
      <c r="D1273" s="5"/>
      <c r="E1273" s="5"/>
      <c r="F1273" s="5"/>
      <c r="G1273" s="5"/>
      <c r="H1273" s="5"/>
      <c r="I1273" s="5"/>
      <c r="J1273" s="73"/>
      <c r="K1273" s="75" t="str">
        <f>IFERROR(__xludf.DUMMYFUNCTION("""COMPUTED_VALUE"""),"")</f>
        <v/>
      </c>
      <c r="L1273" s="75"/>
      <c r="M1273" s="46" t="s">
        <v>2002</v>
      </c>
    </row>
    <row r="1274">
      <c r="A1274" s="70">
        <f>IFERROR(__xludf.DUMMYFUNCTION("""COMPUTED_VALUE"""),8.368576547E9)</f>
        <v>8368576547</v>
      </c>
      <c r="B1274" s="46" t="str">
        <f>IFERROR(__xludf.DUMMYFUNCTION("""COMPUTED_VALUE"""),"Ruby Goyal")</f>
        <v>Ruby Goyal</v>
      </c>
      <c r="C1274" s="5" t="s">
        <v>2002</v>
      </c>
      <c r="D1274" s="5"/>
      <c r="E1274" s="5"/>
      <c r="F1274" s="5"/>
      <c r="G1274" s="5"/>
      <c r="H1274" s="5"/>
      <c r="I1274" s="5"/>
      <c r="J1274" s="73"/>
      <c r="K1274" s="75" t="str">
        <f>IFERROR(__xludf.DUMMYFUNCTION("""COMPUTED_VALUE"""),"")</f>
        <v/>
      </c>
      <c r="L1274" s="75"/>
      <c r="M1274" s="46" t="s">
        <v>2002</v>
      </c>
    </row>
    <row r="1275">
      <c r="A1275" s="70">
        <f>IFERROR(__xludf.DUMMYFUNCTION("""COMPUTED_VALUE"""),6.387953068E9)</f>
        <v>6387953068</v>
      </c>
      <c r="B1275" s="46" t="str">
        <f>IFERROR(__xludf.DUMMYFUNCTION("""COMPUTED_VALUE"""),"Sonu yadav")</f>
        <v>Sonu yadav</v>
      </c>
      <c r="C1275" s="5" t="s">
        <v>2002</v>
      </c>
      <c r="D1275" s="5"/>
      <c r="E1275" s="5"/>
      <c r="F1275" s="5"/>
      <c r="G1275" s="5"/>
      <c r="H1275" s="5"/>
      <c r="I1275" s="5"/>
      <c r="J1275" s="73"/>
      <c r="K1275" s="75" t="str">
        <f>IFERROR(__xludf.DUMMYFUNCTION("""COMPUTED_VALUE"""),"")</f>
        <v/>
      </c>
      <c r="L1275" s="75"/>
      <c r="M1275" s="46" t="s">
        <v>2002</v>
      </c>
    </row>
    <row r="1276">
      <c r="A1276" s="70">
        <f>IFERROR(__xludf.DUMMYFUNCTION("""COMPUTED_VALUE"""),9.899130661E9)</f>
        <v>9899130661</v>
      </c>
      <c r="B1276" s="46" t="str">
        <f>IFERROR(__xludf.DUMMYFUNCTION("""COMPUTED_VALUE"""),"mohd.yusuf")</f>
        <v>mohd.yusuf</v>
      </c>
      <c r="C1276" s="5" t="s">
        <v>2002</v>
      </c>
      <c r="D1276" s="5"/>
      <c r="E1276" s="5"/>
      <c r="F1276" s="5"/>
      <c r="G1276" s="5"/>
      <c r="H1276" s="5"/>
      <c r="I1276" s="5"/>
      <c r="J1276" s="73"/>
      <c r="K1276" s="75" t="str">
        <f>IFERROR(__xludf.DUMMYFUNCTION("""COMPUTED_VALUE"""),"")</f>
        <v/>
      </c>
      <c r="L1276" s="75"/>
      <c r="M1276" s="46" t="s">
        <v>2002</v>
      </c>
    </row>
    <row r="1277">
      <c r="A1277" s="70">
        <f>IFERROR(__xludf.DUMMYFUNCTION("""COMPUTED_VALUE"""),6.388862301E9)</f>
        <v>6388862301</v>
      </c>
      <c r="B1277" s="46" t="str">
        <f>IFERROR(__xludf.DUMMYFUNCTION("""COMPUTED_VALUE"""),"M.P Singh")</f>
        <v>M.P Singh</v>
      </c>
      <c r="C1277" s="5" t="s">
        <v>2002</v>
      </c>
      <c r="D1277" s="5"/>
      <c r="E1277" s="5"/>
      <c r="F1277" s="5"/>
      <c r="G1277" s="5"/>
      <c r="H1277" s="5"/>
      <c r="I1277" s="5"/>
      <c r="J1277" s="73"/>
      <c r="K1277" s="75" t="str">
        <f>IFERROR(__xludf.DUMMYFUNCTION("""COMPUTED_VALUE"""),"")</f>
        <v/>
      </c>
      <c r="L1277" s="75"/>
      <c r="M1277" s="46" t="s">
        <v>2002</v>
      </c>
    </row>
    <row r="1278">
      <c r="A1278" s="70">
        <f>IFERROR(__xludf.DUMMYFUNCTION("""COMPUTED_VALUE"""),7.696341074E9)</f>
        <v>7696341074</v>
      </c>
      <c r="B1278" s="46" t="str">
        <f>IFERROR(__xludf.DUMMYFUNCTION("""COMPUTED_VALUE"""),"Kanishka")</f>
        <v>Kanishka</v>
      </c>
      <c r="C1278" s="5" t="s">
        <v>2002</v>
      </c>
      <c r="D1278" s="5"/>
      <c r="E1278" s="5"/>
      <c r="F1278" s="5"/>
      <c r="G1278" s="5"/>
      <c r="H1278" s="5"/>
      <c r="I1278" s="5"/>
      <c r="J1278" s="73"/>
      <c r="K1278" s="75" t="str">
        <f>IFERROR(__xludf.DUMMYFUNCTION("""COMPUTED_VALUE"""),"")</f>
        <v/>
      </c>
      <c r="L1278" s="75"/>
      <c r="M1278" s="46" t="s">
        <v>2002</v>
      </c>
    </row>
    <row r="1279">
      <c r="A1279" s="70">
        <f>IFERROR(__xludf.DUMMYFUNCTION("""COMPUTED_VALUE"""),9.468270858E9)</f>
        <v>9468270858</v>
      </c>
      <c r="B1279" s="46" t="str">
        <f>IFERROR(__xludf.DUMMYFUNCTION("""COMPUTED_VALUE"""),"Preeti")</f>
        <v>Preeti</v>
      </c>
      <c r="C1279" s="5" t="s">
        <v>2002</v>
      </c>
      <c r="D1279" s="5"/>
      <c r="E1279" s="5"/>
      <c r="F1279" s="5"/>
      <c r="G1279" s="5"/>
      <c r="H1279" s="5"/>
      <c r="I1279" s="5"/>
      <c r="J1279" s="73"/>
      <c r="K1279" s="75" t="str">
        <f>IFERROR(__xludf.DUMMYFUNCTION("""COMPUTED_VALUE"""),"")</f>
        <v/>
      </c>
      <c r="L1279" s="75"/>
      <c r="M1279" s="46" t="s">
        <v>2002</v>
      </c>
    </row>
    <row r="1280">
      <c r="A1280" s="70">
        <f>IFERROR(__xludf.DUMMYFUNCTION("""COMPUTED_VALUE"""),9.996863007E9)</f>
        <v>9996863007</v>
      </c>
      <c r="B1280" s="46" t="str">
        <f>IFERROR(__xludf.DUMMYFUNCTION("""COMPUTED_VALUE"""),"Madan ji ")</f>
        <v>Madan ji </v>
      </c>
      <c r="C1280" s="5" t="s">
        <v>2002</v>
      </c>
      <c r="D1280" s="5"/>
      <c r="E1280" s="5"/>
      <c r="F1280" s="5"/>
      <c r="G1280" s="5"/>
      <c r="H1280" s="5"/>
      <c r="I1280" s="5"/>
      <c r="J1280" s="73"/>
      <c r="K1280" s="75" t="str">
        <f>IFERROR(__xludf.DUMMYFUNCTION("""COMPUTED_VALUE"""),"")</f>
        <v/>
      </c>
      <c r="L1280" s="75"/>
      <c r="M1280" s="46" t="s">
        <v>2002</v>
      </c>
    </row>
    <row r="1281">
      <c r="A1281" s="70">
        <f>IFERROR(__xludf.DUMMYFUNCTION("""COMPUTED_VALUE"""),9.999565136E9)</f>
        <v>9999565136</v>
      </c>
      <c r="B1281" s="46" t="str">
        <f>IFERROR(__xludf.DUMMYFUNCTION("""COMPUTED_VALUE"""),"Geeta Sharma ji")</f>
        <v>Geeta Sharma ji</v>
      </c>
      <c r="C1281" s="5" t="s">
        <v>2002</v>
      </c>
      <c r="D1281" s="5"/>
      <c r="E1281" s="5"/>
      <c r="F1281" s="5"/>
      <c r="G1281" s="5"/>
      <c r="H1281" s="5"/>
      <c r="I1281" s="5"/>
      <c r="J1281" s="73"/>
      <c r="K1281" s="75" t="str">
        <f>IFERROR(__xludf.DUMMYFUNCTION("""COMPUTED_VALUE"""),"")</f>
        <v/>
      </c>
      <c r="L1281" s="75"/>
      <c r="M1281" s="46" t="s">
        <v>2002</v>
      </c>
    </row>
    <row r="1282">
      <c r="A1282" s="70">
        <f>IFERROR(__xludf.DUMMYFUNCTION("""COMPUTED_VALUE"""),9.818424256E9)</f>
        <v>9818424256</v>
      </c>
      <c r="B1282" s="46" t="str">
        <f>IFERROR(__xludf.DUMMYFUNCTION("""COMPUTED_VALUE"""),"Manish rayo")</f>
        <v>Manish rayo</v>
      </c>
      <c r="C1282" s="5" t="s">
        <v>2002</v>
      </c>
      <c r="D1282" s="5"/>
      <c r="E1282" s="5"/>
      <c r="F1282" s="5"/>
      <c r="G1282" s="5"/>
      <c r="H1282" s="5"/>
      <c r="I1282" s="5"/>
      <c r="J1282" s="73"/>
      <c r="K1282" s="75" t="str">
        <f>IFERROR(__xludf.DUMMYFUNCTION("""COMPUTED_VALUE"""),"")</f>
        <v/>
      </c>
      <c r="L1282" s="75"/>
      <c r="M1282" s="46" t="s">
        <v>2002</v>
      </c>
    </row>
    <row r="1283">
      <c r="A1283" s="70">
        <f>IFERROR(__xludf.DUMMYFUNCTION("""COMPUTED_VALUE"""),9.910110248E9)</f>
        <v>9910110248</v>
      </c>
      <c r="B1283" s="46" t="str">
        <f>IFERROR(__xludf.DUMMYFUNCTION("""COMPUTED_VALUE"""),"R S Maurya")</f>
        <v>R S Maurya</v>
      </c>
      <c r="C1283" s="5" t="s">
        <v>2002</v>
      </c>
      <c r="D1283" s="5"/>
      <c r="E1283" s="5"/>
      <c r="F1283" s="5"/>
      <c r="G1283" s="5"/>
      <c r="H1283" s="5"/>
      <c r="I1283" s="5"/>
      <c r="J1283" s="73"/>
      <c r="K1283" s="75" t="str">
        <f>IFERROR(__xludf.DUMMYFUNCTION("""COMPUTED_VALUE"""),"")</f>
        <v/>
      </c>
      <c r="L1283" s="75"/>
      <c r="M1283" s="46" t="s">
        <v>2002</v>
      </c>
    </row>
    <row r="1284">
      <c r="A1284" s="70">
        <f>IFERROR(__xludf.DUMMYFUNCTION("""COMPUTED_VALUE"""),9.212315556E9)</f>
        <v>9212315556</v>
      </c>
      <c r="B1284" s="46" t="str">
        <f>IFERROR(__xludf.DUMMYFUNCTION("""COMPUTED_VALUE"""),"Neeraj")</f>
        <v>Neeraj</v>
      </c>
      <c r="C1284" s="5" t="s">
        <v>2002</v>
      </c>
      <c r="D1284" s="5"/>
      <c r="E1284" s="5"/>
      <c r="F1284" s="5"/>
      <c r="G1284" s="5"/>
      <c r="H1284" s="5"/>
      <c r="I1284" s="5"/>
      <c r="J1284" s="73"/>
      <c r="K1284" s="75" t="str">
        <f>IFERROR(__xludf.DUMMYFUNCTION("""COMPUTED_VALUE"""),"")</f>
        <v/>
      </c>
      <c r="L1284" s="75"/>
      <c r="M1284" s="46" t="s">
        <v>2002</v>
      </c>
    </row>
    <row r="1285">
      <c r="A1285" s="70">
        <f>IFERROR(__xludf.DUMMYFUNCTION("""COMPUTED_VALUE"""),9.773608014E9)</f>
        <v>9773608014</v>
      </c>
      <c r="B1285" s="46" t="str">
        <f>IFERROR(__xludf.DUMMYFUNCTION("""COMPUTED_VALUE"""),"nandini")</f>
        <v>nandini</v>
      </c>
      <c r="C1285" s="5" t="s">
        <v>2002</v>
      </c>
      <c r="D1285" s="5"/>
      <c r="E1285" s="5"/>
      <c r="F1285" s="5"/>
      <c r="G1285" s="5"/>
      <c r="H1285" s="5"/>
      <c r="I1285" s="5"/>
      <c r="J1285" s="73"/>
      <c r="K1285" s="75" t="str">
        <f>IFERROR(__xludf.DUMMYFUNCTION("""COMPUTED_VALUE"""),"")</f>
        <v/>
      </c>
      <c r="L1285" s="75"/>
      <c r="M1285" s="46" t="s">
        <v>2002</v>
      </c>
    </row>
    <row r="1286">
      <c r="A1286" s="70">
        <f>IFERROR(__xludf.DUMMYFUNCTION("""COMPUTED_VALUE"""),9.910496557E9)</f>
        <v>9910496557</v>
      </c>
      <c r="B1286" s="46" t="str">
        <f>IFERROR(__xludf.DUMMYFUNCTION("""COMPUTED_VALUE"""),"A mishra")</f>
        <v>A mishra</v>
      </c>
      <c r="C1286" s="5" t="s">
        <v>2002</v>
      </c>
      <c r="D1286" s="5"/>
      <c r="E1286" s="5"/>
      <c r="F1286" s="5"/>
      <c r="G1286" s="5"/>
      <c r="H1286" s="5"/>
      <c r="I1286" s="5"/>
      <c r="J1286" s="73"/>
      <c r="K1286" s="75" t="str">
        <f>IFERROR(__xludf.DUMMYFUNCTION("""COMPUTED_VALUE"""),"")</f>
        <v/>
      </c>
      <c r="L1286" s="75"/>
      <c r="M1286" s="46" t="s">
        <v>2002</v>
      </c>
    </row>
    <row r="1287">
      <c r="A1287" s="70">
        <f>IFERROR(__xludf.DUMMYFUNCTION("""COMPUTED_VALUE"""),9.888204159E9)</f>
        <v>9888204159</v>
      </c>
      <c r="B1287" s="46" t="str">
        <f>IFERROR(__xludf.DUMMYFUNCTION("""COMPUTED_VALUE"""),"Gunjit Jain")</f>
        <v>Gunjit Jain</v>
      </c>
      <c r="C1287" s="5" t="s">
        <v>2002</v>
      </c>
      <c r="D1287" s="5"/>
      <c r="E1287" s="5"/>
      <c r="F1287" s="5"/>
      <c r="G1287" s="5"/>
      <c r="H1287" s="5"/>
      <c r="I1287" s="5"/>
      <c r="J1287" s="73"/>
      <c r="K1287" s="75" t="str">
        <f>IFERROR(__xludf.DUMMYFUNCTION("""COMPUTED_VALUE"""),"")</f>
        <v/>
      </c>
      <c r="L1287" s="75"/>
      <c r="M1287" s="46" t="s">
        <v>2002</v>
      </c>
    </row>
    <row r="1288">
      <c r="A1288" s="70">
        <f>IFERROR(__xludf.DUMMYFUNCTION("""COMPUTED_VALUE"""),8.59194E9)</f>
        <v>8591940000</v>
      </c>
      <c r="B1288" s="46" t="str">
        <f>IFERROR(__xludf.DUMMYFUNCTION("""COMPUTED_VALUE"""),"Ullas ")</f>
        <v>Ullas </v>
      </c>
      <c r="C1288" s="5" t="s">
        <v>2002</v>
      </c>
      <c r="D1288" s="5"/>
      <c r="E1288" s="5"/>
      <c r="F1288" s="5"/>
      <c r="G1288" s="5"/>
      <c r="H1288" s="5"/>
      <c r="I1288" s="5"/>
      <c r="J1288" s="73"/>
      <c r="K1288" s="75" t="str">
        <f>IFERROR(__xludf.DUMMYFUNCTION("""COMPUTED_VALUE"""),"")</f>
        <v/>
      </c>
      <c r="L1288" s="75"/>
      <c r="M1288" s="46" t="s">
        <v>2002</v>
      </c>
    </row>
    <row r="1289">
      <c r="A1289" s="70">
        <f>IFERROR(__xludf.DUMMYFUNCTION("""COMPUTED_VALUE"""),9.675496754E9)</f>
        <v>9675496754</v>
      </c>
      <c r="B1289" s="46" t="str">
        <f>IFERROR(__xludf.DUMMYFUNCTION("""COMPUTED_VALUE"""),"Saurav")</f>
        <v>Saurav</v>
      </c>
      <c r="C1289" s="5" t="s">
        <v>2002</v>
      </c>
      <c r="D1289" s="5"/>
      <c r="E1289" s="5"/>
      <c r="F1289" s="5"/>
      <c r="G1289" s="5"/>
      <c r="H1289" s="5"/>
      <c r="I1289" s="5"/>
      <c r="J1289" s="73"/>
      <c r="K1289" s="75" t="str">
        <f>IFERROR(__xludf.DUMMYFUNCTION("""COMPUTED_VALUE"""),"")</f>
        <v/>
      </c>
      <c r="L1289" s="75"/>
      <c r="M1289" s="46" t="s">
        <v>2002</v>
      </c>
    </row>
    <row r="1290">
      <c r="A1290" s="70">
        <f>IFERROR(__xludf.DUMMYFUNCTION("""COMPUTED_VALUE"""),8.874780171E9)</f>
        <v>8874780171</v>
      </c>
      <c r="B1290" s="46" t="str">
        <f>IFERROR(__xludf.DUMMYFUNCTION("""COMPUTED_VALUE"""),"Mishant")</f>
        <v>Mishant</v>
      </c>
      <c r="C1290" s="5" t="s">
        <v>2002</v>
      </c>
      <c r="D1290" s="5"/>
      <c r="E1290" s="5"/>
      <c r="F1290" s="5"/>
      <c r="G1290" s="5"/>
      <c r="H1290" s="5"/>
      <c r="I1290" s="5"/>
      <c r="J1290" s="73"/>
      <c r="K1290" s="75" t="str">
        <f>IFERROR(__xludf.DUMMYFUNCTION("""COMPUTED_VALUE"""),"")</f>
        <v/>
      </c>
      <c r="L1290" s="75"/>
      <c r="M1290" s="46" t="s">
        <v>2002</v>
      </c>
    </row>
    <row r="1291">
      <c r="A1291" s="70">
        <f>IFERROR(__xludf.DUMMYFUNCTION("""COMPUTED_VALUE"""),9.718884666E9)</f>
        <v>9718884666</v>
      </c>
      <c r="B1291" s="46" t="str">
        <f>IFERROR(__xludf.DUMMYFUNCTION("""COMPUTED_VALUE"""),"Vinay kumar")</f>
        <v>Vinay kumar</v>
      </c>
      <c r="C1291" s="5" t="s">
        <v>2002</v>
      </c>
      <c r="D1291" s="5"/>
      <c r="E1291" s="5"/>
      <c r="F1291" s="5"/>
      <c r="G1291" s="5"/>
      <c r="H1291" s="5"/>
      <c r="I1291" s="5"/>
      <c r="J1291" s="73"/>
      <c r="K1291" s="75" t="str">
        <f>IFERROR(__xludf.DUMMYFUNCTION("""COMPUTED_VALUE"""),"")</f>
        <v/>
      </c>
      <c r="L1291" s="75"/>
      <c r="M1291" s="46" t="s">
        <v>2002</v>
      </c>
    </row>
    <row r="1292">
      <c r="A1292" s="70">
        <f>IFERROR(__xludf.DUMMYFUNCTION("""COMPUTED_VALUE"""),9.213949567E9)</f>
        <v>9213949567</v>
      </c>
      <c r="B1292" s="46" t="str">
        <f>IFERROR(__xludf.DUMMYFUNCTION("""COMPUTED_VALUE"""),"Heena Gupta")</f>
        <v>Heena Gupta</v>
      </c>
      <c r="C1292" s="5" t="s">
        <v>2002</v>
      </c>
      <c r="D1292" s="5"/>
      <c r="E1292" s="5"/>
      <c r="F1292" s="5"/>
      <c r="G1292" s="5"/>
      <c r="H1292" s="5"/>
      <c r="I1292" s="5"/>
      <c r="J1292" s="73"/>
      <c r="K1292" s="75" t="str">
        <f>IFERROR(__xludf.DUMMYFUNCTION("""COMPUTED_VALUE"""),"")</f>
        <v/>
      </c>
      <c r="L1292" s="75"/>
      <c r="M1292" s="46" t="s">
        <v>2002</v>
      </c>
    </row>
    <row r="1293">
      <c r="A1293" s="70">
        <f>IFERROR(__xludf.DUMMYFUNCTION("""COMPUTED_VALUE"""),9.560407603E9)</f>
        <v>9560407603</v>
      </c>
      <c r="B1293" s="46" t="str">
        <f>IFERROR(__xludf.DUMMYFUNCTION("""COMPUTED_VALUE"""),"Rajiv")</f>
        <v>Rajiv</v>
      </c>
      <c r="C1293" s="5" t="s">
        <v>2002</v>
      </c>
      <c r="D1293" s="5"/>
      <c r="E1293" s="5"/>
      <c r="F1293" s="5"/>
      <c r="G1293" s="5"/>
      <c r="H1293" s="5"/>
      <c r="I1293" s="5"/>
      <c r="J1293" s="73"/>
      <c r="K1293" s="75" t="str">
        <f>IFERROR(__xludf.DUMMYFUNCTION("""COMPUTED_VALUE"""),"")</f>
        <v/>
      </c>
      <c r="L1293" s="75"/>
      <c r="M1293" s="46" t="s">
        <v>2002</v>
      </c>
    </row>
    <row r="1294">
      <c r="A1294" s="70">
        <f>IFERROR(__xludf.DUMMYFUNCTION("""COMPUTED_VALUE"""),9.560515548E9)</f>
        <v>9560515548</v>
      </c>
      <c r="B1294" s="46" t="str">
        <f>IFERROR(__xludf.DUMMYFUNCTION("""COMPUTED_VALUE"""),"Sujal goel")</f>
        <v>Sujal goel</v>
      </c>
      <c r="C1294" s="5" t="s">
        <v>2002</v>
      </c>
      <c r="D1294" s="5"/>
      <c r="E1294" s="5"/>
      <c r="F1294" s="5"/>
      <c r="G1294" s="5"/>
      <c r="H1294" s="5"/>
      <c r="I1294" s="5"/>
      <c r="J1294" s="73"/>
      <c r="K1294" s="75" t="str">
        <f>IFERROR(__xludf.DUMMYFUNCTION("""COMPUTED_VALUE"""),"")</f>
        <v/>
      </c>
      <c r="L1294" s="75"/>
      <c r="M1294" s="46" t="s">
        <v>2002</v>
      </c>
    </row>
    <row r="1295">
      <c r="A1295" s="70">
        <f>IFERROR(__xludf.DUMMYFUNCTION("""COMPUTED_VALUE"""),8.950783958E9)</f>
        <v>8950783958</v>
      </c>
      <c r="B1295" s="46" t="str">
        <f>IFERROR(__xludf.DUMMYFUNCTION("""COMPUTED_VALUE"""),"Anshul")</f>
        <v>Anshul</v>
      </c>
      <c r="C1295" s="5" t="s">
        <v>2002</v>
      </c>
      <c r="D1295" s="5"/>
      <c r="E1295" s="5"/>
      <c r="F1295" s="5"/>
      <c r="G1295" s="5"/>
      <c r="H1295" s="5"/>
      <c r="I1295" s="5"/>
      <c r="J1295" s="73"/>
      <c r="K1295" s="75" t="str">
        <f>IFERROR(__xludf.DUMMYFUNCTION("""COMPUTED_VALUE"""),"")</f>
        <v/>
      </c>
      <c r="L1295" s="75"/>
      <c r="M1295" s="46" t="s">
        <v>2002</v>
      </c>
    </row>
    <row r="1296">
      <c r="A1296" s="70">
        <f>IFERROR(__xludf.DUMMYFUNCTION("""COMPUTED_VALUE"""),9.997060999E9)</f>
        <v>9997060999</v>
      </c>
      <c r="B1296" s="46" t="str">
        <f>IFERROR(__xludf.DUMMYFUNCTION("""COMPUTED_VALUE"""),"Dr ganash Mishra ")</f>
        <v>Dr ganash Mishra </v>
      </c>
      <c r="C1296" s="5" t="s">
        <v>2002</v>
      </c>
      <c r="D1296" s="5"/>
      <c r="E1296" s="5"/>
      <c r="F1296" s="5"/>
      <c r="G1296" s="5"/>
      <c r="H1296" s="5"/>
      <c r="I1296" s="5"/>
      <c r="J1296" s="73"/>
      <c r="K1296" s="75" t="str">
        <f>IFERROR(__xludf.DUMMYFUNCTION("""COMPUTED_VALUE"""),"")</f>
        <v/>
      </c>
      <c r="L1296" s="75"/>
      <c r="M1296" s="46" t="s">
        <v>2002</v>
      </c>
    </row>
    <row r="1297">
      <c r="A1297" s="70">
        <f>IFERROR(__xludf.DUMMYFUNCTION("""COMPUTED_VALUE"""),7.419194061E9)</f>
        <v>7419194061</v>
      </c>
      <c r="B1297" s="46" t="str">
        <f>IFERROR(__xludf.DUMMYFUNCTION("""COMPUTED_VALUE"""),"Sumedha")</f>
        <v>Sumedha</v>
      </c>
      <c r="C1297" s="5" t="s">
        <v>2002</v>
      </c>
      <c r="D1297" s="5"/>
      <c r="E1297" s="5"/>
      <c r="F1297" s="5"/>
      <c r="G1297" s="5"/>
      <c r="H1297" s="5"/>
      <c r="I1297" s="5"/>
      <c r="J1297" s="73"/>
      <c r="K1297" s="75" t="str">
        <f>IFERROR(__xludf.DUMMYFUNCTION("""COMPUTED_VALUE"""),"")</f>
        <v/>
      </c>
      <c r="L1297" s="75"/>
      <c r="M1297" s="46" t="s">
        <v>2002</v>
      </c>
    </row>
    <row r="1298">
      <c r="A1298" s="70">
        <f>IFERROR(__xludf.DUMMYFUNCTION("""COMPUTED_VALUE"""),9.810036918E9)</f>
        <v>9810036918</v>
      </c>
      <c r="B1298" s="46" t="str">
        <f>IFERROR(__xludf.DUMMYFUNCTION("""COMPUTED_VALUE"""),"Amarjeet vedi")</f>
        <v>Amarjeet vedi</v>
      </c>
      <c r="C1298" s="5" t="s">
        <v>2002</v>
      </c>
      <c r="D1298" s="5"/>
      <c r="E1298" s="5"/>
      <c r="F1298" s="5"/>
      <c r="G1298" s="5"/>
      <c r="H1298" s="5"/>
      <c r="I1298" s="5"/>
      <c r="J1298" s="73"/>
      <c r="K1298" s="75" t="str">
        <f>IFERROR(__xludf.DUMMYFUNCTION("""COMPUTED_VALUE"""),"")</f>
        <v/>
      </c>
      <c r="L1298" s="75"/>
      <c r="M1298" s="46" t="s">
        <v>2002</v>
      </c>
    </row>
    <row r="1299">
      <c r="A1299" s="70">
        <f>IFERROR(__xludf.DUMMYFUNCTION("""COMPUTED_VALUE"""),9.625071302E9)</f>
        <v>9625071302</v>
      </c>
      <c r="B1299" s="46" t="str">
        <f>IFERROR(__xludf.DUMMYFUNCTION("""COMPUTED_VALUE"""),"Urmila rawat")</f>
        <v>Urmila rawat</v>
      </c>
      <c r="C1299" s="5" t="s">
        <v>2002</v>
      </c>
      <c r="D1299" s="5"/>
      <c r="E1299" s="5"/>
      <c r="F1299" s="5"/>
      <c r="G1299" s="5"/>
      <c r="H1299" s="5"/>
      <c r="I1299" s="5"/>
      <c r="J1299" s="73"/>
      <c r="K1299" s="75" t="str">
        <f>IFERROR(__xludf.DUMMYFUNCTION("""COMPUTED_VALUE"""),"")</f>
        <v/>
      </c>
      <c r="L1299" s="75"/>
      <c r="M1299" s="46" t="s">
        <v>2002</v>
      </c>
    </row>
    <row r="1300">
      <c r="A1300" s="70">
        <f>IFERROR(__xludf.DUMMYFUNCTION("""COMPUTED_VALUE"""),8.920386205E9)</f>
        <v>8920386205</v>
      </c>
      <c r="B1300" s="46" t="str">
        <f>IFERROR(__xludf.DUMMYFUNCTION("""COMPUTED_VALUE"""),"Manish mandal")</f>
        <v>Manish mandal</v>
      </c>
      <c r="C1300" s="5" t="s">
        <v>2002</v>
      </c>
      <c r="D1300" s="5"/>
      <c r="E1300" s="5"/>
      <c r="F1300" s="5"/>
      <c r="G1300" s="5"/>
      <c r="H1300" s="5"/>
      <c r="I1300" s="5"/>
      <c r="J1300" s="73"/>
      <c r="K1300" s="75" t="str">
        <f>IFERROR(__xludf.DUMMYFUNCTION("""COMPUTED_VALUE"""),"")</f>
        <v/>
      </c>
      <c r="L1300" s="75"/>
      <c r="M1300" s="46" t="s">
        <v>2002</v>
      </c>
    </row>
    <row r="1301">
      <c r="A1301" s="70">
        <f>IFERROR(__xludf.DUMMYFUNCTION("""COMPUTED_VALUE"""),9.910299327E9)</f>
        <v>9910299327</v>
      </c>
      <c r="B1301" s="46" t="str">
        <f>IFERROR(__xludf.DUMMYFUNCTION("""COMPUTED_VALUE"""),"Manju Aggarwal ")</f>
        <v>Manju Aggarwal </v>
      </c>
      <c r="C1301" s="5" t="s">
        <v>2002</v>
      </c>
      <c r="D1301" s="5"/>
      <c r="E1301" s="5"/>
      <c r="F1301" s="5"/>
      <c r="G1301" s="5"/>
      <c r="H1301" s="5"/>
      <c r="I1301" s="5"/>
      <c r="J1301" s="73"/>
      <c r="K1301" s="75" t="str">
        <f>IFERROR(__xludf.DUMMYFUNCTION("""COMPUTED_VALUE"""),"")</f>
        <v/>
      </c>
      <c r="L1301" s="75"/>
      <c r="M1301" s="46" t="s">
        <v>2002</v>
      </c>
    </row>
    <row r="1302">
      <c r="A1302" s="70">
        <f>IFERROR(__xludf.DUMMYFUNCTION("""COMPUTED_VALUE"""),9.899139331E9)</f>
        <v>9899139331</v>
      </c>
      <c r="B1302" s="46" t="str">
        <f>IFERROR(__xludf.DUMMYFUNCTION("""COMPUTED_VALUE"""),"Amjad")</f>
        <v>Amjad</v>
      </c>
      <c r="C1302" s="5" t="s">
        <v>2002</v>
      </c>
      <c r="D1302" s="5"/>
      <c r="E1302" s="5"/>
      <c r="F1302" s="5"/>
      <c r="G1302" s="5"/>
      <c r="H1302" s="5"/>
      <c r="I1302" s="5"/>
      <c r="J1302" s="73"/>
      <c r="K1302" s="75" t="str">
        <f>IFERROR(__xludf.DUMMYFUNCTION("""COMPUTED_VALUE"""),"")</f>
        <v/>
      </c>
      <c r="L1302" s="75"/>
      <c r="M1302" s="46" t="s">
        <v>2002</v>
      </c>
    </row>
    <row r="1303">
      <c r="A1303" s="70">
        <f>IFERROR(__xludf.DUMMYFUNCTION("""COMPUTED_VALUE"""),9.728705296E9)</f>
        <v>9728705296</v>
      </c>
      <c r="B1303" s="46" t="str">
        <f>IFERROR(__xludf.DUMMYFUNCTION("""COMPUTED_VALUE"""),"Parveen kumar")</f>
        <v>Parveen kumar</v>
      </c>
      <c r="C1303" s="5" t="s">
        <v>2002</v>
      </c>
      <c r="D1303" s="5"/>
      <c r="E1303" s="5"/>
      <c r="F1303" s="5"/>
      <c r="G1303" s="5"/>
      <c r="H1303" s="5"/>
      <c r="I1303" s="5"/>
      <c r="J1303" s="73"/>
      <c r="K1303" s="75" t="str">
        <f>IFERROR(__xludf.DUMMYFUNCTION("""COMPUTED_VALUE"""),"")</f>
        <v/>
      </c>
      <c r="L1303" s="75"/>
      <c r="M1303" s="46" t="s">
        <v>2002</v>
      </c>
    </row>
    <row r="1304">
      <c r="A1304" s="70">
        <f>IFERROR(__xludf.DUMMYFUNCTION("""COMPUTED_VALUE"""),9.992179799E9)</f>
        <v>9992179799</v>
      </c>
      <c r="B1304" s="46" t="str">
        <f>IFERROR(__xludf.DUMMYFUNCTION("""COMPUTED_VALUE"""),"Nitin kumar")</f>
        <v>Nitin kumar</v>
      </c>
      <c r="C1304" s="5" t="s">
        <v>2002</v>
      </c>
      <c r="D1304" s="5"/>
      <c r="E1304" s="5"/>
      <c r="F1304" s="5"/>
      <c r="G1304" s="5"/>
      <c r="H1304" s="5"/>
      <c r="I1304" s="5"/>
      <c r="J1304" s="73"/>
      <c r="K1304" s="75" t="str">
        <f>IFERROR(__xludf.DUMMYFUNCTION("""COMPUTED_VALUE"""),"")</f>
        <v/>
      </c>
      <c r="L1304" s="75"/>
      <c r="M1304" s="46" t="s">
        <v>2002</v>
      </c>
    </row>
    <row r="1305">
      <c r="A1305" s="70">
        <f>IFERROR(__xludf.DUMMYFUNCTION("""COMPUTED_VALUE"""),9.213155114E9)</f>
        <v>9213155114</v>
      </c>
      <c r="B1305" s="46" t="str">
        <f>IFERROR(__xludf.DUMMYFUNCTION("""COMPUTED_VALUE"""),"Kiran")</f>
        <v>Kiran</v>
      </c>
      <c r="C1305" s="5" t="s">
        <v>2002</v>
      </c>
      <c r="D1305" s="5"/>
      <c r="E1305" s="5"/>
      <c r="F1305" s="5"/>
      <c r="G1305" s="5"/>
      <c r="H1305" s="5"/>
      <c r="I1305" s="5"/>
      <c r="J1305" s="73"/>
      <c r="K1305" s="75" t="str">
        <f>IFERROR(__xludf.DUMMYFUNCTION("""COMPUTED_VALUE"""),"")</f>
        <v/>
      </c>
      <c r="L1305" s="75"/>
      <c r="M1305" s="46" t="s">
        <v>2002</v>
      </c>
    </row>
    <row r="1306">
      <c r="A1306" s="70">
        <f>IFERROR(__xludf.DUMMYFUNCTION("""COMPUTED_VALUE"""),9.910592746E9)</f>
        <v>9910592746</v>
      </c>
      <c r="B1306" s="46" t="str">
        <f>IFERROR(__xludf.DUMMYFUNCTION("""COMPUTED_VALUE"""),"Manju")</f>
        <v>Manju</v>
      </c>
      <c r="C1306" s="5" t="s">
        <v>2002</v>
      </c>
      <c r="D1306" s="5"/>
      <c r="E1306" s="5"/>
      <c r="F1306" s="5"/>
      <c r="G1306" s="5"/>
      <c r="H1306" s="5"/>
      <c r="I1306" s="5"/>
      <c r="J1306" s="73"/>
      <c r="K1306" s="75" t="str">
        <f>IFERROR(__xludf.DUMMYFUNCTION("""COMPUTED_VALUE"""),"")</f>
        <v/>
      </c>
      <c r="L1306" s="75"/>
      <c r="M1306" s="46" t="s">
        <v>2002</v>
      </c>
    </row>
    <row r="1307">
      <c r="A1307" s="70">
        <f>IFERROR(__xludf.DUMMYFUNCTION("""COMPUTED_VALUE"""),8.802824647E9)</f>
        <v>8802824647</v>
      </c>
      <c r="B1307" s="46" t="str">
        <f>IFERROR(__xludf.DUMMYFUNCTION("""COMPUTED_VALUE"""),"Vinod kumar")</f>
        <v>Vinod kumar</v>
      </c>
      <c r="C1307" s="5" t="s">
        <v>2002</v>
      </c>
      <c r="D1307" s="5"/>
      <c r="E1307" s="5"/>
      <c r="F1307" s="5"/>
      <c r="G1307" s="5"/>
      <c r="H1307" s="5"/>
      <c r="I1307" s="5"/>
      <c r="J1307" s="73"/>
      <c r="K1307" s="75" t="str">
        <f>IFERROR(__xludf.DUMMYFUNCTION("""COMPUTED_VALUE"""),"")</f>
        <v/>
      </c>
      <c r="L1307" s="75"/>
      <c r="M1307" s="46" t="s">
        <v>2002</v>
      </c>
    </row>
    <row r="1308">
      <c r="A1308" s="70">
        <f>IFERROR(__xludf.DUMMYFUNCTION("""COMPUTED_VALUE"""),7.00214361E9)</f>
        <v>7002143610</v>
      </c>
      <c r="B1308" s="46" t="str">
        <f>IFERROR(__xludf.DUMMYFUNCTION("""COMPUTED_VALUE"""),"Jai Aggarwal ")</f>
        <v>Jai Aggarwal </v>
      </c>
      <c r="C1308" s="5" t="s">
        <v>2002</v>
      </c>
      <c r="D1308" s="5"/>
      <c r="E1308" s="5"/>
      <c r="F1308" s="5"/>
      <c r="G1308" s="5"/>
      <c r="H1308" s="5"/>
      <c r="I1308" s="5"/>
      <c r="J1308" s="73"/>
      <c r="K1308" s="75" t="str">
        <f>IFERROR(__xludf.DUMMYFUNCTION("""COMPUTED_VALUE"""),"")</f>
        <v/>
      </c>
      <c r="L1308" s="75"/>
      <c r="M1308" s="46" t="s">
        <v>2002</v>
      </c>
    </row>
    <row r="1309">
      <c r="A1309" s="70">
        <f>IFERROR(__xludf.DUMMYFUNCTION("""COMPUTED_VALUE"""),8.168837905E9)</f>
        <v>8168837905</v>
      </c>
      <c r="B1309" s="46" t="str">
        <f>IFERROR(__xludf.DUMMYFUNCTION("""COMPUTED_VALUE"""),"Himani")</f>
        <v>Himani</v>
      </c>
      <c r="C1309" s="5" t="s">
        <v>2002</v>
      </c>
      <c r="D1309" s="5"/>
      <c r="E1309" s="5"/>
      <c r="F1309" s="5"/>
      <c r="G1309" s="5"/>
      <c r="H1309" s="5"/>
      <c r="I1309" s="5"/>
      <c r="J1309" s="73"/>
      <c r="K1309" s="75" t="str">
        <f>IFERROR(__xludf.DUMMYFUNCTION("""COMPUTED_VALUE"""),"")</f>
        <v/>
      </c>
      <c r="L1309" s="75"/>
      <c r="M1309" s="46" t="s">
        <v>2002</v>
      </c>
    </row>
    <row r="1310">
      <c r="A1310" s="70">
        <f>IFERROR(__xludf.DUMMYFUNCTION("""COMPUTED_VALUE"""),9.053321312E9)</f>
        <v>9053321312</v>
      </c>
      <c r="B1310" s="46" t="str">
        <f>IFERROR(__xludf.DUMMYFUNCTION("""COMPUTED_VALUE"""),"Dinesh kumar")</f>
        <v>Dinesh kumar</v>
      </c>
      <c r="C1310" s="5" t="s">
        <v>2002</v>
      </c>
      <c r="D1310" s="5"/>
      <c r="E1310" s="5"/>
      <c r="F1310" s="5"/>
      <c r="G1310" s="5"/>
      <c r="H1310" s="5"/>
      <c r="I1310" s="5"/>
      <c r="J1310" s="73"/>
      <c r="K1310" s="75" t="str">
        <f>IFERROR(__xludf.DUMMYFUNCTION("""COMPUTED_VALUE"""),"")</f>
        <v/>
      </c>
      <c r="L1310" s="75"/>
      <c r="M1310" s="46" t="s">
        <v>2002</v>
      </c>
    </row>
    <row r="1311">
      <c r="A1311" s="70">
        <f>IFERROR(__xludf.DUMMYFUNCTION("""COMPUTED_VALUE"""),8.882535457E9)</f>
        <v>8882535457</v>
      </c>
      <c r="B1311" s="46" t="str">
        <f>IFERROR(__xludf.DUMMYFUNCTION("""COMPUTED_VALUE"""),"Rita singh")</f>
        <v>Rita singh</v>
      </c>
      <c r="C1311" s="5" t="s">
        <v>2002</v>
      </c>
      <c r="D1311" s="5"/>
      <c r="E1311" s="5"/>
      <c r="F1311" s="5"/>
      <c r="G1311" s="5"/>
      <c r="H1311" s="5"/>
      <c r="I1311" s="5"/>
      <c r="J1311" s="73"/>
      <c r="K1311" s="75" t="str">
        <f>IFERROR(__xludf.DUMMYFUNCTION("""COMPUTED_VALUE"""),"")</f>
        <v/>
      </c>
      <c r="L1311" s="75"/>
      <c r="M1311" s="46" t="s">
        <v>2002</v>
      </c>
    </row>
    <row r="1312">
      <c r="A1312" s="70">
        <f>IFERROR(__xludf.DUMMYFUNCTION("""COMPUTED_VALUE"""),9.62585262E9)</f>
        <v>9625852620</v>
      </c>
      <c r="B1312" s="46" t="str">
        <f>IFERROR(__xludf.DUMMYFUNCTION("""COMPUTED_VALUE"""),"Kazim")</f>
        <v>Kazim</v>
      </c>
      <c r="C1312" s="5" t="s">
        <v>2002</v>
      </c>
      <c r="D1312" s="5"/>
      <c r="E1312" s="5"/>
      <c r="F1312" s="5"/>
      <c r="G1312" s="5"/>
      <c r="H1312" s="5"/>
      <c r="I1312" s="5"/>
      <c r="J1312" s="73"/>
      <c r="K1312" s="75" t="str">
        <f>IFERROR(__xludf.DUMMYFUNCTION("""COMPUTED_VALUE"""),"")</f>
        <v/>
      </c>
      <c r="L1312" s="75"/>
      <c r="M1312" s="46" t="s">
        <v>2002</v>
      </c>
    </row>
    <row r="1313">
      <c r="A1313" s="70">
        <f>IFERROR(__xludf.DUMMYFUNCTION("""COMPUTED_VALUE"""),6.390641704E9)</f>
        <v>6390641704</v>
      </c>
      <c r="B1313" s="46" t="str">
        <f>IFERROR(__xludf.DUMMYFUNCTION("""COMPUTED_VALUE"""),"Kamil")</f>
        <v>Kamil</v>
      </c>
      <c r="C1313" s="5" t="s">
        <v>2002</v>
      </c>
      <c r="D1313" s="5"/>
      <c r="E1313" s="5"/>
      <c r="F1313" s="5"/>
      <c r="G1313" s="5"/>
      <c r="H1313" s="5"/>
      <c r="I1313" s="5"/>
      <c r="J1313" s="73"/>
      <c r="K1313" s="75" t="str">
        <f>IFERROR(__xludf.DUMMYFUNCTION("""COMPUTED_VALUE"""),"")</f>
        <v/>
      </c>
      <c r="L1313" s="75"/>
      <c r="M1313" s="46" t="s">
        <v>2002</v>
      </c>
    </row>
    <row r="1314">
      <c r="A1314" s="70">
        <f>IFERROR(__xludf.DUMMYFUNCTION("""COMPUTED_VALUE"""),9.6437544E9)</f>
        <v>9643754400</v>
      </c>
      <c r="B1314" s="46" t="str">
        <f>IFERROR(__xludf.DUMMYFUNCTION("""COMPUTED_VALUE"""),"Jitender")</f>
        <v>Jitender</v>
      </c>
      <c r="C1314" s="5" t="s">
        <v>2002</v>
      </c>
      <c r="D1314" s="5"/>
      <c r="E1314" s="5"/>
      <c r="F1314" s="5"/>
      <c r="G1314" s="5"/>
      <c r="H1314" s="5"/>
      <c r="I1314" s="5"/>
      <c r="J1314" s="73"/>
      <c r="K1314" s="75" t="str">
        <f>IFERROR(__xludf.DUMMYFUNCTION("""COMPUTED_VALUE"""),"")</f>
        <v/>
      </c>
      <c r="L1314" s="75"/>
      <c r="M1314" s="46" t="s">
        <v>2002</v>
      </c>
    </row>
    <row r="1315">
      <c r="A1315" s="70">
        <f>IFERROR(__xludf.DUMMYFUNCTION("""COMPUTED_VALUE"""),9.355650133E9)</f>
        <v>9355650133</v>
      </c>
      <c r="B1315" s="46" t="str">
        <f>IFERROR(__xludf.DUMMYFUNCTION("""COMPUTED_VALUE"""),"aman sehgal")</f>
        <v>aman sehgal</v>
      </c>
      <c r="C1315" s="5" t="s">
        <v>2002</v>
      </c>
      <c r="D1315" s="5"/>
      <c r="E1315" s="5"/>
      <c r="F1315" s="5"/>
      <c r="G1315" s="5"/>
      <c r="H1315" s="5"/>
      <c r="I1315" s="5"/>
      <c r="J1315" s="73"/>
      <c r="K1315" s="75" t="str">
        <f>IFERROR(__xludf.DUMMYFUNCTION("""COMPUTED_VALUE"""),"")</f>
        <v/>
      </c>
      <c r="L1315" s="75"/>
      <c r="M1315" s="46" t="s">
        <v>2002</v>
      </c>
    </row>
    <row r="1316">
      <c r="A1316" s="70">
        <f>IFERROR(__xludf.DUMMYFUNCTION("""COMPUTED_VALUE"""),9.259524523E9)</f>
        <v>9259524523</v>
      </c>
      <c r="B1316" s="46" t="str">
        <f>IFERROR(__xludf.DUMMYFUNCTION("""COMPUTED_VALUE"""),"Rituja jain")</f>
        <v>Rituja jain</v>
      </c>
      <c r="C1316" s="5" t="s">
        <v>2002</v>
      </c>
      <c r="D1316" s="5"/>
      <c r="E1316" s="5"/>
      <c r="F1316" s="5"/>
      <c r="G1316" s="5"/>
      <c r="H1316" s="5"/>
      <c r="I1316" s="5"/>
      <c r="J1316" s="73"/>
      <c r="K1316" s="75" t="str">
        <f>IFERROR(__xludf.DUMMYFUNCTION("""COMPUTED_VALUE"""),"")</f>
        <v/>
      </c>
      <c r="L1316" s="75"/>
      <c r="M1316" s="46" t="s">
        <v>2002</v>
      </c>
    </row>
    <row r="1317">
      <c r="A1317" s="70">
        <f>IFERROR(__xludf.DUMMYFUNCTION("""COMPUTED_VALUE"""),9.882816742E9)</f>
        <v>9882816742</v>
      </c>
      <c r="B1317" s="46" t="str">
        <f>IFERROR(__xludf.DUMMYFUNCTION("""COMPUTED_VALUE"""),"Krishna")</f>
        <v>Krishna</v>
      </c>
      <c r="C1317" s="5" t="s">
        <v>2002</v>
      </c>
      <c r="D1317" s="5"/>
      <c r="E1317" s="5"/>
      <c r="F1317" s="5"/>
      <c r="G1317" s="5"/>
      <c r="H1317" s="5"/>
      <c r="I1317" s="5"/>
      <c r="J1317" s="73"/>
      <c r="K1317" s="75" t="str">
        <f>IFERROR(__xludf.DUMMYFUNCTION("""COMPUTED_VALUE"""),"")</f>
        <v/>
      </c>
      <c r="L1317" s="75"/>
      <c r="M1317" s="46" t="s">
        <v>2002</v>
      </c>
    </row>
    <row r="1318">
      <c r="A1318" s="70">
        <f>IFERROR(__xludf.DUMMYFUNCTION("""COMPUTED_VALUE"""),8.447384008E9)</f>
        <v>8447384008</v>
      </c>
      <c r="B1318" s="46" t="str">
        <f>IFERROR(__xludf.DUMMYFUNCTION("""COMPUTED_VALUE"""),"Ajeet ji googal")</f>
        <v>Ajeet ji googal</v>
      </c>
      <c r="C1318" s="5" t="s">
        <v>2002</v>
      </c>
      <c r="D1318" s="5"/>
      <c r="E1318" s="5"/>
      <c r="F1318" s="5"/>
      <c r="G1318" s="5"/>
      <c r="H1318" s="5"/>
      <c r="I1318" s="5"/>
      <c r="J1318" s="73"/>
      <c r="K1318" s="75" t="str">
        <f>IFERROR(__xludf.DUMMYFUNCTION("""COMPUTED_VALUE"""),"")</f>
        <v/>
      </c>
      <c r="L1318" s="75"/>
      <c r="M1318" s="46" t="s">
        <v>2002</v>
      </c>
    </row>
    <row r="1319">
      <c r="A1319" s="70">
        <f>IFERROR(__xludf.DUMMYFUNCTION("""COMPUTED_VALUE"""),9.891252812E9)</f>
        <v>9891252812</v>
      </c>
      <c r="B1319" s="46" t="str">
        <f>IFERROR(__xludf.DUMMYFUNCTION("""COMPUTED_VALUE"""),"Mamta")</f>
        <v>Mamta</v>
      </c>
      <c r="C1319" s="5" t="s">
        <v>2002</v>
      </c>
      <c r="D1319" s="5"/>
      <c r="E1319" s="5"/>
      <c r="F1319" s="5"/>
      <c r="G1319" s="5"/>
      <c r="H1319" s="5"/>
      <c r="I1319" s="5"/>
      <c r="J1319" s="73"/>
      <c r="K1319" s="75" t="str">
        <f>IFERROR(__xludf.DUMMYFUNCTION("""COMPUTED_VALUE"""),"")</f>
        <v/>
      </c>
      <c r="L1319" s="75"/>
      <c r="M1319" s="46" t="s">
        <v>2002</v>
      </c>
    </row>
    <row r="1320">
      <c r="A1320" s="70">
        <f>IFERROR(__xludf.DUMMYFUNCTION("""COMPUTED_VALUE"""),8.477925081E9)</f>
        <v>8477925081</v>
      </c>
      <c r="B1320" s="46" t="str">
        <f>IFERROR(__xludf.DUMMYFUNCTION("""COMPUTED_VALUE"""),"Amit Sharma ")</f>
        <v>Amit Sharma </v>
      </c>
      <c r="C1320" s="5" t="s">
        <v>2002</v>
      </c>
      <c r="D1320" s="5"/>
      <c r="E1320" s="5"/>
      <c r="F1320" s="5"/>
      <c r="G1320" s="5"/>
      <c r="H1320" s="5"/>
      <c r="I1320" s="5"/>
      <c r="J1320" s="73"/>
      <c r="K1320" s="75" t="str">
        <f>IFERROR(__xludf.DUMMYFUNCTION("""COMPUTED_VALUE"""),"")</f>
        <v/>
      </c>
      <c r="L1320" s="75"/>
      <c r="M1320" s="46" t="s">
        <v>2002</v>
      </c>
    </row>
    <row r="1321">
      <c r="A1321" s="70">
        <f>IFERROR(__xludf.DUMMYFUNCTION("""COMPUTED_VALUE"""),9.35200242E9)</f>
        <v>9352002420</v>
      </c>
      <c r="B1321" s="46" t="str">
        <f>IFERROR(__xludf.DUMMYFUNCTION("""COMPUTED_VALUE"""),"Dinesh Garg")</f>
        <v>Dinesh Garg</v>
      </c>
      <c r="C1321" s="5" t="s">
        <v>2002</v>
      </c>
      <c r="D1321" s="5"/>
      <c r="E1321" s="5"/>
      <c r="F1321" s="5"/>
      <c r="G1321" s="5"/>
      <c r="H1321" s="5"/>
      <c r="I1321" s="5"/>
      <c r="J1321" s="73"/>
      <c r="K1321" s="75" t="str">
        <f>IFERROR(__xludf.DUMMYFUNCTION("""COMPUTED_VALUE"""),"")</f>
        <v/>
      </c>
      <c r="L1321" s="75"/>
      <c r="M1321" s="46" t="s">
        <v>2002</v>
      </c>
    </row>
    <row r="1322">
      <c r="A1322" s="70">
        <f>IFERROR(__xludf.DUMMYFUNCTION("""COMPUTED_VALUE"""),8.448355982E9)</f>
        <v>8448355982</v>
      </c>
      <c r="B1322" s="46" t="str">
        <f>IFERROR(__xludf.DUMMYFUNCTION("""COMPUTED_VALUE"""),"Vinish")</f>
        <v>Vinish</v>
      </c>
      <c r="C1322" s="5" t="s">
        <v>2002</v>
      </c>
      <c r="D1322" s="5"/>
      <c r="E1322" s="5"/>
      <c r="F1322" s="5"/>
      <c r="G1322" s="5"/>
      <c r="H1322" s="5"/>
      <c r="I1322" s="5"/>
      <c r="J1322" s="73"/>
      <c r="K1322" s="75" t="str">
        <f>IFERROR(__xludf.DUMMYFUNCTION("""COMPUTED_VALUE"""),"")</f>
        <v/>
      </c>
      <c r="L1322" s="75"/>
      <c r="M1322" s="46" t="s">
        <v>2002</v>
      </c>
    </row>
    <row r="1323">
      <c r="A1323" s="70">
        <f>IFERROR(__xludf.DUMMYFUNCTION("""COMPUTED_VALUE"""),7.053516651E9)</f>
        <v>7053516651</v>
      </c>
      <c r="B1323" s="46" t="str">
        <f>IFERROR(__xludf.DUMMYFUNCTION("""COMPUTED_VALUE"""),"Bimresh jha ")</f>
        <v>Bimresh jha </v>
      </c>
      <c r="C1323" s="5" t="s">
        <v>2002</v>
      </c>
      <c r="D1323" s="5"/>
      <c r="E1323" s="5"/>
      <c r="F1323" s="5"/>
      <c r="G1323" s="5"/>
      <c r="H1323" s="5"/>
      <c r="I1323" s="5"/>
      <c r="J1323" s="73"/>
      <c r="K1323" s="75" t="str">
        <f>IFERROR(__xludf.DUMMYFUNCTION("""COMPUTED_VALUE"""),"")</f>
        <v/>
      </c>
      <c r="L1323" s="75"/>
      <c r="M1323" s="46" t="s">
        <v>2002</v>
      </c>
    </row>
    <row r="1324">
      <c r="A1324" s="70">
        <f>IFERROR(__xludf.DUMMYFUNCTION("""COMPUTED_VALUE"""),9.560933993E9)</f>
        <v>9560933993</v>
      </c>
      <c r="B1324" s="46" t="str">
        <f>IFERROR(__xludf.DUMMYFUNCTION("""COMPUTED_VALUE"""),"Abhinav malguri")</f>
        <v>Abhinav malguri</v>
      </c>
      <c r="C1324" s="5" t="s">
        <v>2002</v>
      </c>
      <c r="D1324" s="5"/>
      <c r="E1324" s="5"/>
      <c r="F1324" s="5"/>
      <c r="G1324" s="5"/>
      <c r="H1324" s="5"/>
      <c r="I1324" s="5"/>
      <c r="J1324" s="73"/>
      <c r="K1324" s="75" t="str">
        <f>IFERROR(__xludf.DUMMYFUNCTION("""COMPUTED_VALUE"""),"")</f>
        <v/>
      </c>
      <c r="L1324" s="75"/>
      <c r="M1324" s="46" t="s">
        <v>2002</v>
      </c>
    </row>
    <row r="1325">
      <c r="A1325" s="70">
        <f>IFERROR(__xludf.DUMMYFUNCTION("""COMPUTED_VALUE"""),9.717010738E9)</f>
        <v>9717010738</v>
      </c>
      <c r="B1325" s="46" t="str">
        <f>IFERROR(__xludf.DUMMYFUNCTION("""COMPUTED_VALUE"""),"Deepak")</f>
        <v>Deepak</v>
      </c>
      <c r="C1325" s="5" t="s">
        <v>2002</v>
      </c>
      <c r="D1325" s="5"/>
      <c r="E1325" s="5"/>
      <c r="F1325" s="5"/>
      <c r="G1325" s="5"/>
      <c r="H1325" s="5"/>
      <c r="I1325" s="5"/>
      <c r="J1325" s="73"/>
      <c r="K1325" s="75" t="str">
        <f>IFERROR(__xludf.DUMMYFUNCTION("""COMPUTED_VALUE"""),"")</f>
        <v/>
      </c>
      <c r="L1325" s="75"/>
      <c r="M1325" s="46" t="s">
        <v>2002</v>
      </c>
    </row>
    <row r="1326">
      <c r="A1326" s="70">
        <f>IFERROR(__xludf.DUMMYFUNCTION("""COMPUTED_VALUE"""),7.830159025E9)</f>
        <v>7830159025</v>
      </c>
      <c r="B1326" s="46" t="str">
        <f>IFERROR(__xludf.DUMMYFUNCTION("""COMPUTED_VALUE"""),"Sheetal chauhan")</f>
        <v>Sheetal chauhan</v>
      </c>
      <c r="C1326" s="5" t="s">
        <v>2002</v>
      </c>
      <c r="D1326" s="5"/>
      <c r="E1326" s="5"/>
      <c r="F1326" s="5"/>
      <c r="G1326" s="5"/>
      <c r="H1326" s="5"/>
      <c r="I1326" s="5"/>
      <c r="J1326" s="73"/>
      <c r="K1326" s="75" t="str">
        <f>IFERROR(__xludf.DUMMYFUNCTION("""COMPUTED_VALUE"""),"")</f>
        <v/>
      </c>
      <c r="L1326" s="75"/>
      <c r="M1326" s="46" t="s">
        <v>2002</v>
      </c>
    </row>
    <row r="1327">
      <c r="A1327" s="70">
        <f>IFERROR(__xludf.DUMMYFUNCTION("""COMPUTED_VALUE"""),8.178838524E9)</f>
        <v>8178838524</v>
      </c>
      <c r="B1327" s="46" t="str">
        <f>IFERROR(__xludf.DUMMYFUNCTION("""COMPUTED_VALUE"""),"Divya")</f>
        <v>Divya</v>
      </c>
      <c r="C1327" s="5" t="s">
        <v>2002</v>
      </c>
      <c r="D1327" s="5"/>
      <c r="E1327" s="5"/>
      <c r="F1327" s="5"/>
      <c r="G1327" s="5"/>
      <c r="H1327" s="5"/>
      <c r="I1327" s="5"/>
      <c r="J1327" s="73"/>
      <c r="K1327" s="75" t="str">
        <f>IFERROR(__xludf.DUMMYFUNCTION("""COMPUTED_VALUE"""),"")</f>
        <v/>
      </c>
      <c r="L1327" s="75"/>
      <c r="M1327" s="46" t="s">
        <v>2002</v>
      </c>
    </row>
    <row r="1328">
      <c r="A1328" s="70">
        <f>IFERROR(__xludf.DUMMYFUNCTION("""COMPUTED_VALUE"""),8.810476148E9)</f>
        <v>8810476148</v>
      </c>
      <c r="B1328" s="46" t="str">
        <f>IFERROR(__xludf.DUMMYFUNCTION("""COMPUTED_VALUE"""),"S  chhikra")</f>
        <v>S  chhikra</v>
      </c>
      <c r="C1328" s="5" t="s">
        <v>2002</v>
      </c>
      <c r="D1328" s="5"/>
      <c r="E1328" s="5"/>
      <c r="F1328" s="5"/>
      <c r="G1328" s="5"/>
      <c r="H1328" s="5"/>
      <c r="I1328" s="5"/>
      <c r="J1328" s="73"/>
      <c r="K1328" s="75" t="str">
        <f>IFERROR(__xludf.DUMMYFUNCTION("""COMPUTED_VALUE"""),"")</f>
        <v/>
      </c>
      <c r="L1328" s="75"/>
      <c r="M1328" s="46" t="s">
        <v>2002</v>
      </c>
    </row>
    <row r="1329">
      <c r="A1329" s="70">
        <f>IFERROR(__xludf.DUMMYFUNCTION("""COMPUTED_VALUE"""),8.607484995E9)</f>
        <v>8607484995</v>
      </c>
      <c r="B1329" s="46" t="str">
        <f>IFERROR(__xludf.DUMMYFUNCTION("""COMPUTED_VALUE"""),"Mona")</f>
        <v>Mona</v>
      </c>
      <c r="C1329" s="5" t="s">
        <v>2002</v>
      </c>
      <c r="D1329" s="5"/>
      <c r="E1329" s="5"/>
      <c r="F1329" s="5"/>
      <c r="G1329" s="5"/>
      <c r="H1329" s="5"/>
      <c r="I1329" s="5"/>
      <c r="J1329" s="73"/>
      <c r="K1329" s="75" t="str">
        <f>IFERROR(__xludf.DUMMYFUNCTION("""COMPUTED_VALUE"""),"")</f>
        <v/>
      </c>
      <c r="L1329" s="75"/>
      <c r="M1329" s="46" t="s">
        <v>2002</v>
      </c>
    </row>
    <row r="1330">
      <c r="A1330" s="70">
        <f>IFERROR(__xludf.DUMMYFUNCTION("""COMPUTED_VALUE"""),9.911997566E9)</f>
        <v>9911997566</v>
      </c>
      <c r="B1330" s="46" t="str">
        <f>IFERROR(__xludf.DUMMYFUNCTION("""COMPUTED_VALUE"""),"Mukesh gupta")</f>
        <v>Mukesh gupta</v>
      </c>
      <c r="C1330" s="5" t="s">
        <v>2002</v>
      </c>
      <c r="D1330" s="5"/>
      <c r="E1330" s="5"/>
      <c r="F1330" s="5"/>
      <c r="G1330" s="5"/>
      <c r="H1330" s="5"/>
      <c r="I1330" s="5"/>
      <c r="J1330" s="73"/>
      <c r="K1330" s="75" t="str">
        <f>IFERROR(__xludf.DUMMYFUNCTION("""COMPUTED_VALUE"""),"")</f>
        <v/>
      </c>
      <c r="L1330" s="75"/>
      <c r="M1330" s="46" t="s">
        <v>2002</v>
      </c>
    </row>
    <row r="1331">
      <c r="A1331" s="70">
        <f>IFERROR(__xludf.DUMMYFUNCTION("""COMPUTED_VALUE"""),9.416789608E9)</f>
        <v>9416789608</v>
      </c>
      <c r="B1331" s="46" t="str">
        <f>IFERROR(__xludf.DUMMYFUNCTION("""COMPUTED_VALUE"""),"Parth")</f>
        <v>Parth</v>
      </c>
      <c r="C1331" s="5" t="s">
        <v>2002</v>
      </c>
      <c r="D1331" s="5"/>
      <c r="E1331" s="5"/>
      <c r="F1331" s="5"/>
      <c r="G1331" s="5"/>
      <c r="H1331" s="5"/>
      <c r="I1331" s="5"/>
      <c r="J1331" s="73"/>
      <c r="K1331" s="75" t="str">
        <f>IFERROR(__xludf.DUMMYFUNCTION("""COMPUTED_VALUE"""),"")</f>
        <v/>
      </c>
      <c r="L1331" s="75"/>
      <c r="M1331" s="46" t="s">
        <v>2002</v>
      </c>
    </row>
    <row r="1332">
      <c r="A1332" s="70">
        <f>IFERROR(__xludf.DUMMYFUNCTION("""COMPUTED_VALUE"""),9.87342675E9)</f>
        <v>9873426750</v>
      </c>
      <c r="B1332" s="46" t="str">
        <f>IFERROR(__xludf.DUMMYFUNCTION("""COMPUTED_VALUE"""),"Rajesh gupta")</f>
        <v>Rajesh gupta</v>
      </c>
      <c r="C1332" s="5" t="s">
        <v>2002</v>
      </c>
      <c r="D1332" s="5"/>
      <c r="E1332" s="5"/>
      <c r="F1332" s="5"/>
      <c r="G1332" s="5"/>
      <c r="H1332" s="5"/>
      <c r="I1332" s="5"/>
      <c r="J1332" s="73"/>
      <c r="K1332" s="75" t="str">
        <f>IFERROR(__xludf.DUMMYFUNCTION("""COMPUTED_VALUE"""),"")</f>
        <v/>
      </c>
      <c r="L1332" s="75"/>
      <c r="M1332" s="46" t="s">
        <v>2002</v>
      </c>
    </row>
    <row r="1333">
      <c r="A1333" s="70">
        <f>IFERROR(__xludf.DUMMYFUNCTION("""COMPUTED_VALUE"""),8.527054042E9)</f>
        <v>8527054042</v>
      </c>
      <c r="B1333" s="46" t="str">
        <f>IFERROR(__xludf.DUMMYFUNCTION("""COMPUTED_VALUE"""),"beena ")</f>
        <v>beena </v>
      </c>
      <c r="C1333" s="5" t="s">
        <v>2002</v>
      </c>
      <c r="D1333" s="5"/>
      <c r="E1333" s="5"/>
      <c r="F1333" s="5"/>
      <c r="G1333" s="5"/>
      <c r="H1333" s="5"/>
      <c r="I1333" s="5"/>
      <c r="J1333" s="73"/>
      <c r="K1333" s="75" t="str">
        <f>IFERROR(__xludf.DUMMYFUNCTION("""COMPUTED_VALUE"""),"")</f>
        <v/>
      </c>
      <c r="L1333" s="75"/>
      <c r="M1333" s="46" t="s">
        <v>2002</v>
      </c>
    </row>
    <row r="1334">
      <c r="A1334" s="70">
        <f>IFERROR(__xludf.DUMMYFUNCTION("""COMPUTED_VALUE"""),9.873128973E9)</f>
        <v>9873128973</v>
      </c>
      <c r="B1334" s="46" t="str">
        <f>IFERROR(__xludf.DUMMYFUNCTION("""COMPUTED_VALUE"""),"Anju bhala ")</f>
        <v>Anju bhala </v>
      </c>
      <c r="C1334" s="5" t="s">
        <v>2002</v>
      </c>
      <c r="D1334" s="5"/>
      <c r="E1334" s="5"/>
      <c r="F1334" s="5"/>
      <c r="G1334" s="5"/>
      <c r="H1334" s="5"/>
      <c r="I1334" s="5"/>
      <c r="J1334" s="73"/>
      <c r="K1334" s="75" t="str">
        <f>IFERROR(__xludf.DUMMYFUNCTION("""COMPUTED_VALUE"""),"")</f>
        <v/>
      </c>
      <c r="L1334" s="75"/>
      <c r="M1334" s="46" t="s">
        <v>2002</v>
      </c>
    </row>
    <row r="1335">
      <c r="A1335" s="70">
        <f>IFERROR(__xludf.DUMMYFUNCTION("""COMPUTED_VALUE"""),9.811319949E9)</f>
        <v>9811319949</v>
      </c>
      <c r="B1335" s="46" t="str">
        <f>IFERROR(__xludf.DUMMYFUNCTION("""COMPUTED_VALUE"""),"Inder")</f>
        <v>Inder</v>
      </c>
      <c r="C1335" s="5" t="s">
        <v>2002</v>
      </c>
      <c r="D1335" s="5"/>
      <c r="E1335" s="5"/>
      <c r="F1335" s="5"/>
      <c r="G1335" s="5"/>
      <c r="H1335" s="5"/>
      <c r="I1335" s="5"/>
      <c r="J1335" s="73"/>
      <c r="K1335" s="75" t="str">
        <f>IFERROR(__xludf.DUMMYFUNCTION("""COMPUTED_VALUE"""),"")</f>
        <v/>
      </c>
      <c r="L1335" s="75"/>
      <c r="M1335" s="46" t="s">
        <v>2002</v>
      </c>
    </row>
    <row r="1336">
      <c r="A1336" s="70">
        <f>IFERROR(__xludf.DUMMYFUNCTION("""COMPUTED_VALUE"""),9.999338381E9)</f>
        <v>9999338381</v>
      </c>
      <c r="B1336" s="46" t="str">
        <f>IFERROR(__xludf.DUMMYFUNCTION("""COMPUTED_VALUE"""),"Rashi Khanna ")</f>
        <v>Rashi Khanna </v>
      </c>
      <c r="C1336" s="5" t="s">
        <v>2002</v>
      </c>
      <c r="D1336" s="5"/>
      <c r="E1336" s="5"/>
      <c r="F1336" s="5"/>
      <c r="G1336" s="5"/>
      <c r="H1336" s="5"/>
      <c r="I1336" s="5"/>
      <c r="J1336" s="73"/>
      <c r="K1336" s="75" t="str">
        <f>IFERROR(__xludf.DUMMYFUNCTION("""COMPUTED_VALUE"""),"")</f>
        <v/>
      </c>
      <c r="L1336" s="75"/>
      <c r="M1336" s="46" t="s">
        <v>2002</v>
      </c>
    </row>
    <row r="1337">
      <c r="A1337" s="70">
        <f>IFERROR(__xludf.DUMMYFUNCTION("""COMPUTED_VALUE"""),9.210483918E9)</f>
        <v>9210483918</v>
      </c>
      <c r="B1337" s="46" t="str">
        <f>IFERROR(__xludf.DUMMYFUNCTION("""COMPUTED_VALUE"""),"Hitesh nayyar")</f>
        <v>Hitesh nayyar</v>
      </c>
      <c r="C1337" s="5" t="s">
        <v>2002</v>
      </c>
      <c r="D1337" s="5"/>
      <c r="E1337" s="5"/>
      <c r="F1337" s="5"/>
      <c r="G1337" s="5"/>
      <c r="H1337" s="5"/>
      <c r="I1337" s="5"/>
      <c r="J1337" s="73"/>
      <c r="K1337" s="75" t="str">
        <f>IFERROR(__xludf.DUMMYFUNCTION("""COMPUTED_VALUE"""),"")</f>
        <v/>
      </c>
      <c r="L1337" s="75"/>
      <c r="M1337" s="46" t="s">
        <v>2002</v>
      </c>
    </row>
    <row r="1338">
      <c r="A1338" s="70">
        <f>IFERROR(__xludf.DUMMYFUNCTION("""COMPUTED_VALUE"""),9.98474518E9)</f>
        <v>9984745180</v>
      </c>
      <c r="B1338" s="46" t="str">
        <f>IFERROR(__xludf.DUMMYFUNCTION("""COMPUTED_VALUE"""),"annd Krishna das")</f>
        <v>annd Krishna das</v>
      </c>
      <c r="C1338" s="5" t="s">
        <v>2002</v>
      </c>
      <c r="D1338" s="5"/>
      <c r="E1338" s="5"/>
      <c r="F1338" s="5"/>
      <c r="G1338" s="5"/>
      <c r="H1338" s="5"/>
      <c r="I1338" s="5"/>
      <c r="J1338" s="73"/>
      <c r="K1338" s="75" t="str">
        <f>IFERROR(__xludf.DUMMYFUNCTION("""COMPUTED_VALUE"""),"")</f>
        <v/>
      </c>
      <c r="L1338" s="75"/>
      <c r="M1338" s="46" t="s">
        <v>2002</v>
      </c>
    </row>
    <row r="1339">
      <c r="A1339" s="70">
        <f>IFERROR(__xludf.DUMMYFUNCTION("""COMPUTED_VALUE"""),8.787076921E9)</f>
        <v>8787076921</v>
      </c>
      <c r="B1339" s="46" t="str">
        <f>IFERROR(__xludf.DUMMYFUNCTION("""COMPUTED_VALUE"""),"Sushma Gupta")</f>
        <v>Sushma Gupta</v>
      </c>
      <c r="C1339" s="5" t="s">
        <v>2002</v>
      </c>
      <c r="D1339" s="5"/>
      <c r="E1339" s="5"/>
      <c r="F1339" s="5"/>
      <c r="G1339" s="5"/>
      <c r="H1339" s="5"/>
      <c r="I1339" s="5"/>
      <c r="J1339" s="73"/>
      <c r="K1339" s="75" t="str">
        <f>IFERROR(__xludf.DUMMYFUNCTION("""COMPUTED_VALUE"""),"")</f>
        <v/>
      </c>
      <c r="L1339" s="75"/>
      <c r="M1339" s="46" t="s">
        <v>2002</v>
      </c>
    </row>
    <row r="1340">
      <c r="A1340" s="70">
        <f>IFERROR(__xludf.DUMMYFUNCTION("""COMPUTED_VALUE"""),9.582187215E9)</f>
        <v>9582187215</v>
      </c>
      <c r="B1340" s="46" t="str">
        <f>IFERROR(__xludf.DUMMYFUNCTION("""COMPUTED_VALUE"""),"Nalina goyal ")</f>
        <v>Nalina goyal </v>
      </c>
      <c r="C1340" s="5" t="s">
        <v>2002</v>
      </c>
      <c r="D1340" s="5"/>
      <c r="E1340" s="5"/>
      <c r="F1340" s="5"/>
      <c r="G1340" s="5"/>
      <c r="H1340" s="5"/>
      <c r="I1340" s="5"/>
      <c r="J1340" s="73"/>
      <c r="K1340" s="75" t="str">
        <f>IFERROR(__xludf.DUMMYFUNCTION("""COMPUTED_VALUE"""),"")</f>
        <v/>
      </c>
      <c r="L1340" s="75"/>
      <c r="M1340" s="46" t="s">
        <v>2002</v>
      </c>
    </row>
    <row r="1341">
      <c r="A1341" s="70">
        <f>IFERROR(__xludf.DUMMYFUNCTION("""COMPUTED_VALUE"""),9.968546185E9)</f>
        <v>9968546185</v>
      </c>
      <c r="B1341" s="46" t="str">
        <f>IFERROR(__xludf.DUMMYFUNCTION("""COMPUTED_VALUE"""),"Avkash Jain")</f>
        <v>Avkash Jain</v>
      </c>
      <c r="C1341" s="5" t="s">
        <v>2002</v>
      </c>
      <c r="D1341" s="5"/>
      <c r="E1341" s="5"/>
      <c r="F1341" s="5"/>
      <c r="G1341" s="5"/>
      <c r="H1341" s="5"/>
      <c r="I1341" s="5"/>
      <c r="J1341" s="73"/>
      <c r="K1341" s="75" t="str">
        <f>IFERROR(__xludf.DUMMYFUNCTION("""COMPUTED_VALUE"""),"")</f>
        <v/>
      </c>
      <c r="L1341" s="75"/>
      <c r="M1341" s="46" t="s">
        <v>2002</v>
      </c>
    </row>
    <row r="1342">
      <c r="A1342" s="70">
        <f>IFERROR(__xludf.DUMMYFUNCTION("""COMPUTED_VALUE"""),8.076551913E9)</f>
        <v>8076551913</v>
      </c>
      <c r="B1342" s="46" t="str">
        <f>IFERROR(__xludf.DUMMYFUNCTION("""COMPUTED_VALUE"""),"Sapna jain")</f>
        <v>Sapna jain</v>
      </c>
      <c r="C1342" s="5" t="s">
        <v>2002</v>
      </c>
      <c r="D1342" s="5"/>
      <c r="E1342" s="5"/>
      <c r="F1342" s="5"/>
      <c r="G1342" s="5"/>
      <c r="H1342" s="5"/>
      <c r="I1342" s="5"/>
      <c r="J1342" s="73"/>
      <c r="K1342" s="75" t="str">
        <f>IFERROR(__xludf.DUMMYFUNCTION("""COMPUTED_VALUE"""),"")</f>
        <v/>
      </c>
      <c r="L1342" s="75"/>
      <c r="M1342" s="46" t="s">
        <v>2002</v>
      </c>
    </row>
    <row r="1343">
      <c r="A1343" s="70">
        <f>IFERROR(__xludf.DUMMYFUNCTION("""COMPUTED_VALUE"""),9.899921478E9)</f>
        <v>9899921478</v>
      </c>
      <c r="B1343" s="46" t="str">
        <f>IFERROR(__xludf.DUMMYFUNCTION("""COMPUTED_VALUE"""),"Gulistan")</f>
        <v>Gulistan</v>
      </c>
      <c r="C1343" s="5" t="s">
        <v>2002</v>
      </c>
      <c r="D1343" s="5"/>
      <c r="E1343" s="5"/>
      <c r="F1343" s="5"/>
      <c r="G1343" s="5"/>
      <c r="H1343" s="5"/>
      <c r="I1343" s="5"/>
      <c r="J1343" s="73"/>
      <c r="K1343" s="75" t="str">
        <f>IFERROR(__xludf.DUMMYFUNCTION("""COMPUTED_VALUE"""),"")</f>
        <v/>
      </c>
      <c r="L1343" s="75"/>
      <c r="M1343" s="46" t="s">
        <v>2002</v>
      </c>
    </row>
    <row r="1344">
      <c r="A1344" s="70">
        <f>IFERROR(__xludf.DUMMYFUNCTION("""COMPUTED_VALUE"""),9.968546185E9)</f>
        <v>9968546185</v>
      </c>
      <c r="B1344" s="46" t="str">
        <f>IFERROR(__xludf.DUMMYFUNCTION("""COMPUTED_VALUE"""),"avkash jain")</f>
        <v>avkash jain</v>
      </c>
      <c r="C1344" s="5" t="s">
        <v>2002</v>
      </c>
      <c r="D1344" s="5"/>
      <c r="E1344" s="5"/>
      <c r="F1344" s="5"/>
      <c r="G1344" s="5"/>
      <c r="H1344" s="5"/>
      <c r="I1344" s="5"/>
      <c r="J1344" s="73"/>
      <c r="K1344" s="75" t="str">
        <f>IFERROR(__xludf.DUMMYFUNCTION("""COMPUTED_VALUE"""),"")</f>
        <v/>
      </c>
      <c r="L1344" s="75"/>
      <c r="M1344" s="46" t="s">
        <v>2002</v>
      </c>
    </row>
    <row r="1345">
      <c r="A1345" s="70">
        <f>IFERROR(__xludf.DUMMYFUNCTION("""COMPUTED_VALUE"""),9.873877924E9)</f>
        <v>9873877924</v>
      </c>
      <c r="B1345" s="46" t="str">
        <f>IFERROR(__xludf.DUMMYFUNCTION("""COMPUTED_VALUE"""),"Sumit")</f>
        <v>Sumit</v>
      </c>
      <c r="C1345" s="5" t="s">
        <v>2002</v>
      </c>
      <c r="D1345" s="5"/>
      <c r="E1345" s="5"/>
      <c r="F1345" s="5"/>
      <c r="G1345" s="5"/>
      <c r="H1345" s="5"/>
      <c r="I1345" s="5"/>
      <c r="J1345" s="73"/>
      <c r="K1345" s="75" t="str">
        <f>IFERROR(__xludf.DUMMYFUNCTION("""COMPUTED_VALUE"""),"")</f>
        <v/>
      </c>
      <c r="L1345" s="75"/>
      <c r="M1345" s="46" t="s">
        <v>2002</v>
      </c>
    </row>
    <row r="1346">
      <c r="A1346" s="70">
        <f>IFERROR(__xludf.DUMMYFUNCTION("""COMPUTED_VALUE"""),8.750831223E9)</f>
        <v>8750831223</v>
      </c>
      <c r="B1346" s="46" t="str">
        <f>IFERROR(__xludf.DUMMYFUNCTION("""COMPUTED_VALUE"""),"Rahul")</f>
        <v>Rahul</v>
      </c>
      <c r="C1346" s="5" t="s">
        <v>2002</v>
      </c>
      <c r="D1346" s="5"/>
      <c r="E1346" s="5"/>
      <c r="F1346" s="5"/>
      <c r="G1346" s="5"/>
      <c r="H1346" s="5"/>
      <c r="I1346" s="5"/>
      <c r="J1346" s="73"/>
      <c r="K1346" s="75" t="str">
        <f>IFERROR(__xludf.DUMMYFUNCTION("""COMPUTED_VALUE"""),"")</f>
        <v/>
      </c>
      <c r="L1346" s="75"/>
      <c r="M1346" s="46" t="s">
        <v>2002</v>
      </c>
    </row>
    <row r="1347">
      <c r="A1347" s="70">
        <f>IFERROR(__xludf.DUMMYFUNCTION("""COMPUTED_VALUE"""),8.273418446E9)</f>
        <v>8273418446</v>
      </c>
      <c r="B1347" s="46" t="str">
        <f>IFERROR(__xludf.DUMMYFUNCTION("""COMPUTED_VALUE"""),"Ankit raghuvanshi")</f>
        <v>Ankit raghuvanshi</v>
      </c>
      <c r="C1347" s="5" t="s">
        <v>2002</v>
      </c>
      <c r="D1347" s="5"/>
      <c r="E1347" s="5"/>
      <c r="F1347" s="5"/>
      <c r="G1347" s="5"/>
      <c r="H1347" s="5"/>
      <c r="I1347" s="5"/>
      <c r="J1347" s="73"/>
      <c r="K1347" s="75" t="str">
        <f>IFERROR(__xludf.DUMMYFUNCTION("""COMPUTED_VALUE"""),"")</f>
        <v/>
      </c>
      <c r="L1347" s="75"/>
      <c r="M1347" s="46" t="s">
        <v>2002</v>
      </c>
    </row>
    <row r="1348">
      <c r="A1348" s="70">
        <f>IFERROR(__xludf.DUMMYFUNCTION("""COMPUTED_VALUE"""),9.311526415E9)</f>
        <v>9311526415</v>
      </c>
      <c r="B1348" s="46" t="str">
        <f>IFERROR(__xludf.DUMMYFUNCTION("""COMPUTED_VALUE"""),"Pankaj jindal")</f>
        <v>Pankaj jindal</v>
      </c>
      <c r="C1348" s="5" t="s">
        <v>2002</v>
      </c>
      <c r="D1348" s="5"/>
      <c r="E1348" s="5"/>
      <c r="F1348" s="5"/>
      <c r="G1348" s="5"/>
      <c r="H1348" s="5"/>
      <c r="I1348" s="5"/>
      <c r="J1348" s="73"/>
      <c r="K1348" s="75" t="str">
        <f>IFERROR(__xludf.DUMMYFUNCTION("""COMPUTED_VALUE"""),"")</f>
        <v/>
      </c>
      <c r="L1348" s="75"/>
      <c r="M1348" s="46" t="s">
        <v>2002</v>
      </c>
    </row>
    <row r="1349">
      <c r="A1349" s="70">
        <f>IFERROR(__xludf.DUMMYFUNCTION("""COMPUTED_VALUE"""),9.896164575E9)</f>
        <v>9896164575</v>
      </c>
      <c r="B1349" s="46" t="str">
        <f>IFERROR(__xludf.DUMMYFUNCTION("""COMPUTED_VALUE"""),"Ved prakash chawala")</f>
        <v>Ved prakash chawala</v>
      </c>
      <c r="C1349" s="5" t="s">
        <v>2002</v>
      </c>
      <c r="D1349" s="5"/>
      <c r="E1349" s="5"/>
      <c r="F1349" s="5"/>
      <c r="G1349" s="5"/>
      <c r="H1349" s="5"/>
      <c r="I1349" s="5"/>
      <c r="J1349" s="73"/>
      <c r="K1349" s="75" t="str">
        <f>IFERROR(__xludf.DUMMYFUNCTION("""COMPUTED_VALUE"""),"")</f>
        <v/>
      </c>
      <c r="L1349" s="75"/>
      <c r="M1349" s="46" t="s">
        <v>2002</v>
      </c>
    </row>
    <row r="1350">
      <c r="A1350" s="70">
        <f>IFERROR(__xludf.DUMMYFUNCTION("""COMPUTED_VALUE"""),9.896799441E9)</f>
        <v>9896799441</v>
      </c>
      <c r="B1350" s="46" t="str">
        <f>IFERROR(__xludf.DUMMYFUNCTION("""COMPUTED_VALUE"""),"Ramesh Saluja")</f>
        <v>Ramesh Saluja</v>
      </c>
      <c r="C1350" s="5" t="s">
        <v>2002</v>
      </c>
      <c r="D1350" s="5"/>
      <c r="E1350" s="5"/>
      <c r="F1350" s="5"/>
      <c r="G1350" s="5"/>
      <c r="H1350" s="5"/>
      <c r="I1350" s="5"/>
      <c r="J1350" s="73"/>
      <c r="K1350" s="75" t="str">
        <f>IFERROR(__xludf.DUMMYFUNCTION("""COMPUTED_VALUE"""),"")</f>
        <v/>
      </c>
      <c r="L1350" s="75"/>
      <c r="M1350" s="46" t="s">
        <v>2002</v>
      </c>
    </row>
    <row r="1351">
      <c r="A1351" s="70">
        <f>IFERROR(__xludf.DUMMYFUNCTION("""COMPUTED_VALUE"""),9.896317273E9)</f>
        <v>9896317273</v>
      </c>
      <c r="B1351" s="46" t="str">
        <f>IFERROR(__xludf.DUMMYFUNCTION("""COMPUTED_VALUE"""),"Ved rattan")</f>
        <v>Ved rattan</v>
      </c>
      <c r="C1351" s="5" t="s">
        <v>2002</v>
      </c>
      <c r="D1351" s="5"/>
      <c r="E1351" s="5"/>
      <c r="F1351" s="5"/>
      <c r="G1351" s="5"/>
      <c r="H1351" s="5"/>
      <c r="I1351" s="5"/>
      <c r="J1351" s="73"/>
      <c r="K1351" s="75" t="str">
        <f>IFERROR(__xludf.DUMMYFUNCTION("""COMPUTED_VALUE"""),"")</f>
        <v/>
      </c>
      <c r="L1351" s="75"/>
      <c r="M1351" s="46" t="s">
        <v>2002</v>
      </c>
    </row>
    <row r="1352">
      <c r="A1352" s="70">
        <f>IFERROR(__xludf.DUMMYFUNCTION("""COMPUTED_VALUE"""),9.466814188E9)</f>
        <v>9466814188</v>
      </c>
      <c r="B1352" s="46" t="str">
        <f>IFERROR(__xludf.DUMMYFUNCTION("""COMPUTED_VALUE"""),"arjun Dev")</f>
        <v>arjun Dev</v>
      </c>
      <c r="C1352" s="5" t="s">
        <v>2002</v>
      </c>
      <c r="D1352" s="5"/>
      <c r="E1352" s="5"/>
      <c r="F1352" s="5"/>
      <c r="G1352" s="5"/>
      <c r="H1352" s="5"/>
      <c r="I1352" s="5"/>
      <c r="J1352" s="73"/>
      <c r="K1352" s="75" t="str">
        <f>IFERROR(__xludf.DUMMYFUNCTION("""COMPUTED_VALUE"""),"")</f>
        <v/>
      </c>
      <c r="L1352" s="75"/>
      <c r="M1352" s="46" t="s">
        <v>2002</v>
      </c>
    </row>
    <row r="1353">
      <c r="A1353" s="70">
        <f>IFERROR(__xludf.DUMMYFUNCTION("""COMPUTED_VALUE"""),9.896164575E9)</f>
        <v>9896164575</v>
      </c>
      <c r="B1353" s="46" t="str">
        <f>IFERROR(__xludf.DUMMYFUNCTION("""COMPUTED_VALUE"""),"Ved prakash chawla")</f>
        <v>Ved prakash chawla</v>
      </c>
      <c r="C1353" s="5" t="s">
        <v>2002</v>
      </c>
      <c r="D1353" s="5"/>
      <c r="E1353" s="5"/>
      <c r="F1353" s="5"/>
      <c r="G1353" s="5"/>
      <c r="H1353" s="5"/>
      <c r="I1353" s="5"/>
      <c r="J1353" s="73"/>
      <c r="K1353" s="75" t="str">
        <f>IFERROR(__xludf.DUMMYFUNCTION("""COMPUTED_VALUE"""),"")</f>
        <v/>
      </c>
      <c r="L1353" s="75"/>
      <c r="M1353" s="46" t="s">
        <v>2002</v>
      </c>
    </row>
    <row r="1354">
      <c r="A1354" s="70">
        <f>IFERROR(__xludf.DUMMYFUNCTION("""COMPUTED_VALUE"""),8.708223832E9)</f>
        <v>8708223832</v>
      </c>
      <c r="B1354" s="46" t="str">
        <f>IFERROR(__xludf.DUMMYFUNCTION("""COMPUTED_VALUE"""),"K L jagia")</f>
        <v>K L jagia</v>
      </c>
      <c r="C1354" s="5" t="s">
        <v>2002</v>
      </c>
      <c r="D1354" s="5"/>
      <c r="E1354" s="5"/>
      <c r="F1354" s="5"/>
      <c r="G1354" s="5"/>
      <c r="H1354" s="5"/>
      <c r="I1354" s="5"/>
      <c r="J1354" s="73"/>
      <c r="K1354" s="75" t="str">
        <f>IFERROR(__xludf.DUMMYFUNCTION("""COMPUTED_VALUE"""),"")</f>
        <v/>
      </c>
      <c r="L1354" s="75"/>
      <c r="M1354" s="46" t="s">
        <v>2002</v>
      </c>
    </row>
    <row r="1355">
      <c r="A1355" s="70">
        <f>IFERROR(__xludf.DUMMYFUNCTION("""COMPUTED_VALUE"""),7.838194064E9)</f>
        <v>7838194064</v>
      </c>
      <c r="B1355" s="46" t="str">
        <f>IFERROR(__xludf.DUMMYFUNCTION("""COMPUTED_VALUE"""),"Asha")</f>
        <v>Asha</v>
      </c>
      <c r="C1355" s="5" t="s">
        <v>2002</v>
      </c>
      <c r="D1355" s="5"/>
      <c r="E1355" s="5"/>
      <c r="F1355" s="5"/>
      <c r="G1355" s="5"/>
      <c r="H1355" s="5"/>
      <c r="I1355" s="5"/>
      <c r="J1355" s="73"/>
      <c r="K1355" s="75" t="str">
        <f>IFERROR(__xludf.DUMMYFUNCTION("""COMPUTED_VALUE"""),"")</f>
        <v/>
      </c>
      <c r="L1355" s="75"/>
      <c r="M1355" s="46" t="s">
        <v>2002</v>
      </c>
    </row>
    <row r="1356">
      <c r="A1356" s="70">
        <f>IFERROR(__xludf.DUMMYFUNCTION("""COMPUTED_VALUE"""),8.054252377E9)</f>
        <v>8054252377</v>
      </c>
      <c r="B1356" s="46" t="str">
        <f>IFERROR(__xludf.DUMMYFUNCTION("""COMPUTED_VALUE"""),"Honey")</f>
        <v>Honey</v>
      </c>
      <c r="C1356" s="5" t="s">
        <v>2002</v>
      </c>
      <c r="D1356" s="5"/>
      <c r="E1356" s="5"/>
      <c r="F1356" s="5"/>
      <c r="G1356" s="5"/>
      <c r="H1356" s="5"/>
      <c r="I1356" s="5"/>
      <c r="J1356" s="73"/>
      <c r="K1356" s="75" t="str">
        <f>IFERROR(__xludf.DUMMYFUNCTION("""COMPUTED_VALUE"""),"")</f>
        <v/>
      </c>
      <c r="L1356" s="75"/>
      <c r="M1356" s="46" t="s">
        <v>2002</v>
      </c>
    </row>
    <row r="1357">
      <c r="A1357" s="70">
        <f>IFERROR(__xludf.DUMMYFUNCTION("""COMPUTED_VALUE"""),9.050934155E9)</f>
        <v>9050934155</v>
      </c>
      <c r="B1357" s="46" t="str">
        <f>IFERROR(__xludf.DUMMYFUNCTION("""COMPUTED_VALUE"""),"Mukesh kumar")</f>
        <v>Mukesh kumar</v>
      </c>
      <c r="C1357" s="5" t="s">
        <v>2002</v>
      </c>
      <c r="D1357" s="5"/>
      <c r="E1357" s="5"/>
      <c r="F1357" s="5"/>
      <c r="G1357" s="5"/>
      <c r="H1357" s="5"/>
      <c r="I1357" s="5"/>
      <c r="J1357" s="73"/>
      <c r="K1357" s="75" t="str">
        <f>IFERROR(__xludf.DUMMYFUNCTION("""COMPUTED_VALUE"""),"")</f>
        <v/>
      </c>
      <c r="L1357" s="75"/>
      <c r="M1357" s="46" t="s">
        <v>2002</v>
      </c>
    </row>
    <row r="1358">
      <c r="A1358" s="70">
        <f>IFERROR(__xludf.DUMMYFUNCTION("""COMPUTED_VALUE"""),8.750913541E9)</f>
        <v>8750913541</v>
      </c>
      <c r="B1358" s="46" t="str">
        <f>IFERROR(__xludf.DUMMYFUNCTION("""COMPUTED_VALUE"""),"Subia")</f>
        <v>Subia</v>
      </c>
      <c r="C1358" s="5" t="s">
        <v>2002</v>
      </c>
      <c r="D1358" s="5"/>
      <c r="E1358" s="5"/>
      <c r="F1358" s="5"/>
      <c r="G1358" s="5"/>
      <c r="H1358" s="5"/>
      <c r="I1358" s="5"/>
      <c r="J1358" s="73"/>
      <c r="K1358" s="75" t="str">
        <f>IFERROR(__xludf.DUMMYFUNCTION("""COMPUTED_VALUE"""),"")</f>
        <v/>
      </c>
      <c r="L1358" s="75"/>
      <c r="M1358" s="46" t="s">
        <v>2002</v>
      </c>
    </row>
    <row r="1359">
      <c r="A1359" s="70">
        <f>IFERROR(__xludf.DUMMYFUNCTION("""COMPUTED_VALUE"""),9.711478697E9)</f>
        <v>9711478697</v>
      </c>
      <c r="B1359" s="46" t="str">
        <f>IFERROR(__xludf.DUMMYFUNCTION("""COMPUTED_VALUE"""),"Farah naaz")</f>
        <v>Farah naaz</v>
      </c>
      <c r="C1359" s="5" t="s">
        <v>2002</v>
      </c>
      <c r="D1359" s="5"/>
      <c r="E1359" s="5"/>
      <c r="F1359" s="5"/>
      <c r="G1359" s="5"/>
      <c r="H1359" s="5"/>
      <c r="I1359" s="5"/>
      <c r="J1359" s="73"/>
      <c r="K1359" s="75" t="str">
        <f>IFERROR(__xludf.DUMMYFUNCTION("""COMPUTED_VALUE"""),"")</f>
        <v/>
      </c>
      <c r="L1359" s="75"/>
      <c r="M1359" s="46" t="s">
        <v>2002</v>
      </c>
    </row>
    <row r="1360">
      <c r="A1360" s="70">
        <f>IFERROR(__xludf.DUMMYFUNCTION("""COMPUTED_VALUE"""),8.368475774E9)</f>
        <v>8368475774</v>
      </c>
      <c r="B1360" s="46" t="str">
        <f>IFERROR(__xludf.DUMMYFUNCTION("""COMPUTED_VALUE"""),"Mahesh")</f>
        <v>Mahesh</v>
      </c>
      <c r="C1360" s="5" t="s">
        <v>2002</v>
      </c>
      <c r="D1360" s="5"/>
      <c r="E1360" s="5"/>
      <c r="F1360" s="5"/>
      <c r="G1360" s="5"/>
      <c r="H1360" s="5"/>
      <c r="I1360" s="5"/>
      <c r="J1360" s="73"/>
      <c r="K1360" s="75" t="str">
        <f>IFERROR(__xludf.DUMMYFUNCTION("""COMPUTED_VALUE"""),"")</f>
        <v/>
      </c>
      <c r="L1360" s="75"/>
      <c r="M1360" s="46" t="s">
        <v>2002</v>
      </c>
    </row>
    <row r="1361">
      <c r="A1361" s="70">
        <f>IFERROR(__xludf.DUMMYFUNCTION("""COMPUTED_VALUE"""),8.595826909E9)</f>
        <v>8595826909</v>
      </c>
      <c r="B1361" s="46" t="str">
        <f>IFERROR(__xludf.DUMMYFUNCTION("""COMPUTED_VALUE"""),"Mithlesh ")</f>
        <v>Mithlesh </v>
      </c>
      <c r="C1361" s="5" t="s">
        <v>2002</v>
      </c>
      <c r="D1361" s="5"/>
      <c r="E1361" s="5"/>
      <c r="F1361" s="5"/>
      <c r="G1361" s="5"/>
      <c r="H1361" s="5"/>
      <c r="I1361" s="5"/>
      <c r="J1361" s="73"/>
      <c r="K1361" s="75" t="str">
        <f>IFERROR(__xludf.DUMMYFUNCTION("""COMPUTED_VALUE"""),"")</f>
        <v/>
      </c>
      <c r="L1361" s="75"/>
      <c r="M1361" s="46" t="s">
        <v>2002</v>
      </c>
    </row>
    <row r="1362">
      <c r="A1362" s="70">
        <f>IFERROR(__xludf.DUMMYFUNCTION("""COMPUTED_VALUE"""),8.273826045E9)</f>
        <v>8273826045</v>
      </c>
      <c r="B1362" s="46" t="str">
        <f>IFERROR(__xludf.DUMMYFUNCTION("""COMPUTED_VALUE"""),"Islamuddin mohd.asif")</f>
        <v>Islamuddin mohd.asif</v>
      </c>
      <c r="C1362" s="5" t="s">
        <v>2002</v>
      </c>
      <c r="D1362" s="5"/>
      <c r="E1362" s="5"/>
      <c r="F1362" s="5"/>
      <c r="G1362" s="5"/>
      <c r="H1362" s="5"/>
      <c r="I1362" s="5"/>
      <c r="J1362" s="73"/>
      <c r="K1362" s="75" t="str">
        <f>IFERROR(__xludf.DUMMYFUNCTION("""COMPUTED_VALUE"""),"")</f>
        <v/>
      </c>
      <c r="L1362" s="75"/>
      <c r="M1362" s="46" t="s">
        <v>2002</v>
      </c>
    </row>
    <row r="1363">
      <c r="A1363" s="70">
        <f>IFERROR(__xludf.DUMMYFUNCTION("""COMPUTED_VALUE"""),9.990999887E9)</f>
        <v>9990999887</v>
      </c>
      <c r="B1363" s="46" t="str">
        <f>IFERROR(__xludf.DUMMYFUNCTION("""COMPUTED_VALUE"""),"Rahul")</f>
        <v>Rahul</v>
      </c>
      <c r="C1363" s="5" t="s">
        <v>2002</v>
      </c>
      <c r="D1363" s="5"/>
      <c r="E1363" s="5"/>
      <c r="F1363" s="5"/>
      <c r="G1363" s="5"/>
      <c r="H1363" s="5"/>
      <c r="I1363" s="5"/>
      <c r="J1363" s="73"/>
      <c r="K1363" s="75" t="str">
        <f>IFERROR(__xludf.DUMMYFUNCTION("""COMPUTED_VALUE"""),"")</f>
        <v/>
      </c>
      <c r="L1363" s="75"/>
      <c r="M1363" s="46" t="s">
        <v>2002</v>
      </c>
    </row>
    <row r="1364">
      <c r="A1364" s="70">
        <f>IFERROR(__xludf.DUMMYFUNCTION("""COMPUTED_VALUE"""),9.250637699E9)</f>
        <v>9250637699</v>
      </c>
      <c r="B1364" s="46" t="str">
        <f>IFERROR(__xludf.DUMMYFUNCTION("""COMPUTED_VALUE"""),"Pankaj rahoriya")</f>
        <v>Pankaj rahoriya</v>
      </c>
      <c r="C1364" s="5" t="s">
        <v>2002</v>
      </c>
      <c r="D1364" s="5"/>
      <c r="E1364" s="5"/>
      <c r="F1364" s="5"/>
      <c r="G1364" s="5"/>
      <c r="H1364" s="5"/>
      <c r="I1364" s="5"/>
      <c r="J1364" s="73"/>
      <c r="K1364" s="75" t="str">
        <f>IFERROR(__xludf.DUMMYFUNCTION("""COMPUTED_VALUE"""),"")</f>
        <v/>
      </c>
      <c r="L1364" s="75"/>
      <c r="M1364" s="46" t="s">
        <v>2002</v>
      </c>
    </row>
    <row r="1365">
      <c r="A1365" s="70">
        <f>IFERROR(__xludf.DUMMYFUNCTION("""COMPUTED_VALUE"""),8.800485419E9)</f>
        <v>8800485419</v>
      </c>
      <c r="B1365" s="46" t="str">
        <f>IFERROR(__xludf.DUMMYFUNCTION("""COMPUTED_VALUE"""),"Ram Pal Singh")</f>
        <v>Ram Pal Singh</v>
      </c>
      <c r="C1365" s="5" t="s">
        <v>2002</v>
      </c>
      <c r="D1365" s="5"/>
      <c r="E1365" s="5"/>
      <c r="F1365" s="5"/>
      <c r="G1365" s="5"/>
      <c r="H1365" s="5"/>
      <c r="I1365" s="5"/>
      <c r="J1365" s="73"/>
      <c r="K1365" s="75" t="str">
        <f>IFERROR(__xludf.DUMMYFUNCTION("""COMPUTED_VALUE"""),"")</f>
        <v/>
      </c>
      <c r="L1365" s="75"/>
      <c r="M1365" s="46" t="s">
        <v>2002</v>
      </c>
    </row>
    <row r="1366">
      <c r="A1366" s="70">
        <f>IFERROR(__xludf.DUMMYFUNCTION("""COMPUTED_VALUE"""),9.810877139E9)</f>
        <v>9810877139</v>
      </c>
      <c r="B1366" s="46" t="str">
        <f>IFERROR(__xludf.DUMMYFUNCTION("""COMPUTED_VALUE"""),"Sunil Kumar")</f>
        <v>Sunil Kumar</v>
      </c>
      <c r="C1366" s="5" t="s">
        <v>2002</v>
      </c>
      <c r="D1366" s="5"/>
      <c r="E1366" s="5"/>
      <c r="F1366" s="5"/>
      <c r="G1366" s="5"/>
      <c r="H1366" s="5"/>
      <c r="I1366" s="5"/>
      <c r="J1366" s="73"/>
      <c r="K1366" s="75" t="str">
        <f>IFERROR(__xludf.DUMMYFUNCTION("""COMPUTED_VALUE"""),"")</f>
        <v/>
      </c>
      <c r="L1366" s="75"/>
      <c r="M1366" s="46" t="s">
        <v>2002</v>
      </c>
    </row>
    <row r="1367">
      <c r="A1367" s="70">
        <f>IFERROR(__xludf.DUMMYFUNCTION("""COMPUTED_VALUE"""),9.810250149E9)</f>
        <v>9810250149</v>
      </c>
      <c r="B1367" s="46" t="str">
        <f>IFERROR(__xludf.DUMMYFUNCTION("""COMPUTED_VALUE"""),"Raj kumar")</f>
        <v>Raj kumar</v>
      </c>
      <c r="C1367" s="5" t="s">
        <v>2002</v>
      </c>
      <c r="D1367" s="5"/>
      <c r="E1367" s="5"/>
      <c r="F1367" s="5"/>
      <c r="G1367" s="5"/>
      <c r="H1367" s="5"/>
      <c r="I1367" s="5"/>
      <c r="J1367" s="73"/>
      <c r="K1367" s="75" t="str">
        <f>IFERROR(__xludf.DUMMYFUNCTION("""COMPUTED_VALUE"""),"")</f>
        <v/>
      </c>
      <c r="L1367" s="75"/>
      <c r="M1367" s="46" t="s">
        <v>2002</v>
      </c>
    </row>
    <row r="1368">
      <c r="A1368" s="70">
        <f>IFERROR(__xludf.DUMMYFUNCTION("""COMPUTED_VALUE"""),9.116112142E9)</f>
        <v>9116112142</v>
      </c>
      <c r="B1368" s="46" t="str">
        <f>IFERROR(__xludf.DUMMYFUNCTION("""COMPUTED_VALUE"""),"Lalit Kumar ")</f>
        <v>Lalit Kumar </v>
      </c>
      <c r="C1368" s="5" t="s">
        <v>2002</v>
      </c>
      <c r="D1368" s="5"/>
      <c r="E1368" s="5"/>
      <c r="F1368" s="5"/>
      <c r="G1368" s="5"/>
      <c r="H1368" s="5"/>
      <c r="I1368" s="5"/>
      <c r="J1368" s="73"/>
      <c r="K1368" s="75" t="str">
        <f>IFERROR(__xludf.DUMMYFUNCTION("""COMPUTED_VALUE"""),"")</f>
        <v/>
      </c>
      <c r="L1368" s="75"/>
      <c r="M1368" s="46" t="s">
        <v>2002</v>
      </c>
    </row>
    <row r="1369">
      <c r="A1369" s="70">
        <f>IFERROR(__xludf.DUMMYFUNCTION("""COMPUTED_VALUE"""),8.05978185E9)</f>
        <v>8059781850</v>
      </c>
      <c r="B1369" s="46" t="str">
        <f>IFERROR(__xludf.DUMMYFUNCTION("""COMPUTED_VALUE"""),"Akhil")</f>
        <v>Akhil</v>
      </c>
      <c r="C1369" s="5" t="s">
        <v>2002</v>
      </c>
      <c r="D1369" s="5"/>
      <c r="E1369" s="5"/>
      <c r="F1369" s="5"/>
      <c r="G1369" s="5"/>
      <c r="H1369" s="5"/>
      <c r="I1369" s="5"/>
      <c r="J1369" s="73"/>
      <c r="K1369" s="75" t="str">
        <f>IFERROR(__xludf.DUMMYFUNCTION("""COMPUTED_VALUE"""),"")</f>
        <v/>
      </c>
      <c r="L1369" s="75"/>
      <c r="M1369" s="46" t="s">
        <v>2002</v>
      </c>
    </row>
    <row r="1370">
      <c r="A1370" s="70">
        <f>IFERROR(__xludf.DUMMYFUNCTION("""COMPUTED_VALUE"""),9.896999113E9)</f>
        <v>9896999113</v>
      </c>
      <c r="B1370" s="46" t="str">
        <f>IFERROR(__xludf.DUMMYFUNCTION("""COMPUTED_VALUE"""),"Sunil sehgal ")</f>
        <v>Sunil sehgal </v>
      </c>
      <c r="C1370" s="5" t="s">
        <v>2002</v>
      </c>
      <c r="D1370" s="5"/>
      <c r="E1370" s="5"/>
      <c r="F1370" s="5"/>
      <c r="G1370" s="5"/>
      <c r="H1370" s="5"/>
      <c r="I1370" s="5"/>
      <c r="J1370" s="73"/>
      <c r="K1370" s="75" t="str">
        <f>IFERROR(__xludf.DUMMYFUNCTION("""COMPUTED_VALUE"""),"")</f>
        <v/>
      </c>
      <c r="L1370" s="75"/>
      <c r="M1370" s="46" t="s">
        <v>2002</v>
      </c>
    </row>
    <row r="1371">
      <c r="A1371" s="70">
        <f>IFERROR(__xludf.DUMMYFUNCTION("""COMPUTED_VALUE"""),9.643252443E9)</f>
        <v>9643252443</v>
      </c>
      <c r="B1371" s="46" t="str">
        <f>IFERROR(__xludf.DUMMYFUNCTION("""COMPUTED_VALUE"""),"Ishika")</f>
        <v>Ishika</v>
      </c>
      <c r="C1371" s="5" t="s">
        <v>2002</v>
      </c>
      <c r="D1371" s="5"/>
      <c r="E1371" s="5"/>
      <c r="F1371" s="5"/>
      <c r="G1371" s="5"/>
      <c r="H1371" s="5"/>
      <c r="I1371" s="5"/>
      <c r="J1371" s="73"/>
      <c r="K1371" s="75" t="str">
        <f>IFERROR(__xludf.DUMMYFUNCTION("""COMPUTED_VALUE"""),"")</f>
        <v/>
      </c>
      <c r="L1371" s="75"/>
      <c r="M1371" s="46" t="s">
        <v>2002</v>
      </c>
    </row>
    <row r="1372">
      <c r="A1372" s="70">
        <f>IFERROR(__xludf.DUMMYFUNCTION("""COMPUTED_VALUE"""),9.811752389E9)</f>
        <v>9811752389</v>
      </c>
      <c r="B1372" s="46" t="str">
        <f>IFERROR(__xludf.DUMMYFUNCTION("""COMPUTED_VALUE"""),"Lalit malhotra ")</f>
        <v>Lalit malhotra </v>
      </c>
      <c r="C1372" s="5" t="s">
        <v>2002</v>
      </c>
      <c r="D1372" s="5"/>
      <c r="E1372" s="5"/>
      <c r="F1372" s="5"/>
      <c r="G1372" s="5"/>
      <c r="H1372" s="5"/>
      <c r="I1372" s="5"/>
      <c r="J1372" s="73"/>
      <c r="K1372" s="75" t="str">
        <f>IFERROR(__xludf.DUMMYFUNCTION("""COMPUTED_VALUE"""),"")</f>
        <v/>
      </c>
      <c r="L1372" s="75"/>
      <c r="M1372" s="46" t="s">
        <v>2002</v>
      </c>
    </row>
    <row r="1373">
      <c r="A1373" s="70">
        <f>IFERROR(__xludf.DUMMYFUNCTION("""COMPUTED_VALUE"""),7.0158379E9)</f>
        <v>7015837900</v>
      </c>
      <c r="B1373" s="46" t="str">
        <f>IFERROR(__xludf.DUMMYFUNCTION("""COMPUTED_VALUE"""),"Vijay gupta")</f>
        <v>Vijay gupta</v>
      </c>
      <c r="C1373" s="5" t="s">
        <v>2002</v>
      </c>
      <c r="D1373" s="5"/>
      <c r="E1373" s="5"/>
      <c r="F1373" s="5"/>
      <c r="G1373" s="5"/>
      <c r="H1373" s="5"/>
      <c r="I1373" s="5"/>
      <c r="J1373" s="73"/>
      <c r="K1373" s="75" t="str">
        <f>IFERROR(__xludf.DUMMYFUNCTION("""COMPUTED_VALUE"""),"")</f>
        <v/>
      </c>
      <c r="L1373" s="75"/>
      <c r="M1373" s="46" t="s">
        <v>2002</v>
      </c>
    </row>
    <row r="1374">
      <c r="A1374" s="70">
        <f>IFERROR(__xludf.DUMMYFUNCTION("""COMPUTED_VALUE"""),6.387827733E9)</f>
        <v>6387827733</v>
      </c>
      <c r="B1374" s="46" t="str">
        <f>IFERROR(__xludf.DUMMYFUNCTION("""COMPUTED_VALUE"""),"Suman gupta")</f>
        <v>Suman gupta</v>
      </c>
      <c r="C1374" s="5" t="s">
        <v>2002</v>
      </c>
      <c r="D1374" s="5"/>
      <c r="E1374" s="5"/>
      <c r="F1374" s="5"/>
      <c r="G1374" s="5"/>
      <c r="H1374" s="5"/>
      <c r="I1374" s="5"/>
      <c r="J1374" s="73"/>
      <c r="K1374" s="75" t="str">
        <f>IFERROR(__xludf.DUMMYFUNCTION("""COMPUTED_VALUE"""),"")</f>
        <v/>
      </c>
      <c r="L1374" s="75"/>
      <c r="M1374" s="46" t="s">
        <v>2002</v>
      </c>
    </row>
    <row r="1375">
      <c r="A1375" s="70">
        <f>IFERROR(__xludf.DUMMYFUNCTION("""COMPUTED_VALUE"""),9.416068001E9)</f>
        <v>9416068001</v>
      </c>
      <c r="B1375" s="46" t="str">
        <f>IFERROR(__xludf.DUMMYFUNCTION("""COMPUTED_VALUE"""),"Jitender Singh")</f>
        <v>Jitender Singh</v>
      </c>
      <c r="C1375" s="5" t="s">
        <v>2002</v>
      </c>
      <c r="D1375" s="5"/>
      <c r="E1375" s="5"/>
      <c r="F1375" s="5"/>
      <c r="G1375" s="5"/>
      <c r="H1375" s="5"/>
      <c r="I1375" s="5"/>
      <c r="J1375" s="73"/>
      <c r="K1375" s="75" t="str">
        <f>IFERROR(__xludf.DUMMYFUNCTION("""COMPUTED_VALUE"""),"")</f>
        <v/>
      </c>
      <c r="L1375" s="75"/>
      <c r="M1375" s="46" t="s">
        <v>2002</v>
      </c>
    </row>
    <row r="1376">
      <c r="A1376" s="70">
        <f>IFERROR(__xludf.DUMMYFUNCTION("""COMPUTED_VALUE"""),9.560324756E9)</f>
        <v>9560324756</v>
      </c>
      <c r="B1376" s="46" t="str">
        <f>IFERROR(__xludf.DUMMYFUNCTION("""COMPUTED_VALUE"""),"Sameer")</f>
        <v>Sameer</v>
      </c>
      <c r="C1376" s="5" t="s">
        <v>2002</v>
      </c>
      <c r="D1376" s="5"/>
      <c r="E1376" s="5"/>
      <c r="F1376" s="5"/>
      <c r="G1376" s="5"/>
      <c r="H1376" s="5"/>
      <c r="I1376" s="5"/>
      <c r="J1376" s="73"/>
      <c r="K1376" s="75" t="str">
        <f>IFERROR(__xludf.DUMMYFUNCTION("""COMPUTED_VALUE"""),"")</f>
        <v/>
      </c>
      <c r="L1376" s="75"/>
      <c r="M1376" s="46" t="s">
        <v>2002</v>
      </c>
    </row>
    <row r="1377">
      <c r="A1377" s="70">
        <f>IFERROR(__xludf.DUMMYFUNCTION("""COMPUTED_VALUE"""),8.532039149E9)</f>
        <v>8532039149</v>
      </c>
      <c r="B1377" s="46" t="str">
        <f>IFERROR(__xludf.DUMMYFUNCTION("""COMPUTED_VALUE"""),"Mudid Aggarwal ")</f>
        <v>Mudid Aggarwal </v>
      </c>
      <c r="C1377" s="5" t="s">
        <v>2002</v>
      </c>
      <c r="D1377" s="5"/>
      <c r="E1377" s="5"/>
      <c r="F1377" s="5"/>
      <c r="G1377" s="5"/>
      <c r="H1377" s="5"/>
      <c r="I1377" s="5"/>
      <c r="J1377" s="73"/>
      <c r="K1377" s="75" t="str">
        <f>IFERROR(__xludf.DUMMYFUNCTION("""COMPUTED_VALUE"""),"")</f>
        <v/>
      </c>
      <c r="L1377" s="75"/>
      <c r="M1377" s="46" t="s">
        <v>2002</v>
      </c>
    </row>
    <row r="1378">
      <c r="A1378" s="70">
        <f>IFERROR(__xludf.DUMMYFUNCTION("""COMPUTED_VALUE"""),8.58886022E9)</f>
        <v>8588860220</v>
      </c>
      <c r="B1378" s="46" t="str">
        <f>IFERROR(__xludf.DUMMYFUNCTION("""COMPUTED_VALUE"""),"Naresh garg")</f>
        <v>Naresh garg</v>
      </c>
      <c r="C1378" s="5" t="s">
        <v>2002</v>
      </c>
      <c r="D1378" s="5"/>
      <c r="E1378" s="5"/>
      <c r="F1378" s="5"/>
      <c r="G1378" s="5"/>
      <c r="H1378" s="5"/>
      <c r="I1378" s="5"/>
      <c r="J1378" s="73"/>
      <c r="K1378" s="75" t="str">
        <f>IFERROR(__xludf.DUMMYFUNCTION("""COMPUTED_VALUE"""),"")</f>
        <v/>
      </c>
      <c r="L1378" s="75"/>
      <c r="M1378" s="46" t="s">
        <v>2002</v>
      </c>
    </row>
    <row r="1379">
      <c r="A1379" s="70">
        <f>IFERROR(__xludf.DUMMYFUNCTION("""COMPUTED_VALUE"""),9.990001441E9)</f>
        <v>9990001441</v>
      </c>
      <c r="B1379" s="46" t="str">
        <f>IFERROR(__xludf.DUMMYFUNCTION("""COMPUTED_VALUE"""),"Vikas Chahal")</f>
        <v>Vikas Chahal</v>
      </c>
      <c r="C1379" s="5" t="s">
        <v>2002</v>
      </c>
      <c r="D1379" s="5"/>
      <c r="E1379" s="5"/>
      <c r="F1379" s="5"/>
      <c r="G1379" s="5"/>
      <c r="H1379" s="5"/>
      <c r="I1379" s="5"/>
      <c r="J1379" s="73"/>
      <c r="K1379" s="75" t="str">
        <f>IFERROR(__xludf.DUMMYFUNCTION("""COMPUTED_VALUE"""),"")</f>
        <v/>
      </c>
      <c r="L1379" s="75"/>
      <c r="M1379" s="46" t="s">
        <v>2002</v>
      </c>
    </row>
    <row r="1380">
      <c r="A1380" s="70">
        <f>IFERROR(__xludf.DUMMYFUNCTION("""COMPUTED_VALUE"""),9.990001442E9)</f>
        <v>9990001442</v>
      </c>
      <c r="B1380" s="46" t="str">
        <f>IFERROR(__xludf.DUMMYFUNCTION("""COMPUTED_VALUE"""),"sofi")</f>
        <v>sofi</v>
      </c>
      <c r="C1380" s="5" t="s">
        <v>2002</v>
      </c>
      <c r="D1380" s="5"/>
      <c r="E1380" s="5"/>
      <c r="F1380" s="5"/>
      <c r="G1380" s="5"/>
      <c r="H1380" s="5"/>
      <c r="I1380" s="5"/>
      <c r="J1380" s="73"/>
      <c r="K1380" s="75" t="str">
        <f>IFERROR(__xludf.DUMMYFUNCTION("""COMPUTED_VALUE"""),"")</f>
        <v/>
      </c>
      <c r="L1380" s="75"/>
      <c r="M1380" s="46" t="s">
        <v>2002</v>
      </c>
    </row>
    <row r="1381">
      <c r="A1381" s="70">
        <f>IFERROR(__xludf.DUMMYFUNCTION("""COMPUTED_VALUE"""),9.990008441E9)</f>
        <v>9990008441</v>
      </c>
      <c r="B1381" s="46" t="str">
        <f>IFERROR(__xludf.DUMMYFUNCTION("""COMPUTED_VALUE"""),"Veena")</f>
        <v>Veena</v>
      </c>
      <c r="C1381" s="5" t="s">
        <v>2002</v>
      </c>
      <c r="D1381" s="5"/>
      <c r="E1381" s="5"/>
      <c r="F1381" s="5"/>
      <c r="G1381" s="5"/>
      <c r="H1381" s="5"/>
      <c r="I1381" s="5"/>
      <c r="J1381" s="73"/>
      <c r="K1381" s="75" t="str">
        <f>IFERROR(__xludf.DUMMYFUNCTION("""COMPUTED_VALUE"""),"")</f>
        <v/>
      </c>
      <c r="L1381" s="75"/>
      <c r="M1381" s="46" t="s">
        <v>2002</v>
      </c>
    </row>
    <row r="1382">
      <c r="A1382" s="70">
        <f>IFERROR(__xludf.DUMMYFUNCTION("""COMPUTED_VALUE"""),9.899206142E9)</f>
        <v>9899206142</v>
      </c>
      <c r="B1382" s="46" t="str">
        <f>IFERROR(__xludf.DUMMYFUNCTION("""COMPUTED_VALUE"""),"Archana jain")</f>
        <v>Archana jain</v>
      </c>
      <c r="C1382" s="5" t="s">
        <v>2002</v>
      </c>
      <c r="D1382" s="5"/>
      <c r="E1382" s="5"/>
      <c r="F1382" s="5"/>
      <c r="G1382" s="5"/>
      <c r="H1382" s="5"/>
      <c r="I1382" s="5"/>
      <c r="J1382" s="73"/>
      <c r="K1382" s="75" t="str">
        <f>IFERROR(__xludf.DUMMYFUNCTION("""COMPUTED_VALUE"""),"")</f>
        <v/>
      </c>
      <c r="L1382" s="75"/>
      <c r="M1382" s="46" t="s">
        <v>2002</v>
      </c>
    </row>
    <row r="1383">
      <c r="A1383" s="70">
        <f>IFERROR(__xludf.DUMMYFUNCTION("""COMPUTED_VALUE"""),8.510861319E9)</f>
        <v>8510861319</v>
      </c>
      <c r="B1383" s="46" t="str">
        <f>IFERROR(__xludf.DUMMYFUNCTION("""COMPUTED_VALUE"""),"manish kumar")</f>
        <v>manish kumar</v>
      </c>
      <c r="C1383" s="5" t="s">
        <v>2002</v>
      </c>
      <c r="D1383" s="5"/>
      <c r="E1383" s="5"/>
      <c r="F1383" s="5"/>
      <c r="G1383" s="5"/>
      <c r="H1383" s="5"/>
      <c r="I1383" s="5"/>
      <c r="J1383" s="73"/>
      <c r="K1383" s="75" t="str">
        <f>IFERROR(__xludf.DUMMYFUNCTION("""COMPUTED_VALUE"""),"")</f>
        <v/>
      </c>
      <c r="L1383" s="75"/>
      <c r="M1383" s="46" t="s">
        <v>2002</v>
      </c>
    </row>
    <row r="1384">
      <c r="A1384" s="70">
        <f>IFERROR(__xludf.DUMMYFUNCTION("""COMPUTED_VALUE"""),8.800224562E9)</f>
        <v>8800224562</v>
      </c>
      <c r="B1384" s="46" t="str">
        <f>IFERROR(__xludf.DUMMYFUNCTION("""COMPUTED_VALUE"""),"durga Prasad ")</f>
        <v>durga Prasad </v>
      </c>
      <c r="C1384" s="5" t="s">
        <v>2002</v>
      </c>
      <c r="D1384" s="5"/>
      <c r="E1384" s="5"/>
      <c r="F1384" s="5"/>
      <c r="G1384" s="5"/>
      <c r="H1384" s="5"/>
      <c r="I1384" s="5"/>
      <c r="J1384" s="73"/>
      <c r="K1384" s="75" t="str">
        <f>IFERROR(__xludf.DUMMYFUNCTION("""COMPUTED_VALUE"""),"")</f>
        <v/>
      </c>
      <c r="L1384" s="75"/>
      <c r="M1384" s="46" t="s">
        <v>2002</v>
      </c>
    </row>
    <row r="1385">
      <c r="A1385" s="70">
        <f>IFERROR(__xludf.DUMMYFUNCTION("""COMPUTED_VALUE"""),8.920249661E9)</f>
        <v>8920249661</v>
      </c>
      <c r="B1385" s="46" t="str">
        <f>IFERROR(__xludf.DUMMYFUNCTION("""COMPUTED_VALUE"""),"Danish")</f>
        <v>Danish</v>
      </c>
      <c r="C1385" s="5" t="s">
        <v>2002</v>
      </c>
      <c r="D1385" s="5"/>
      <c r="E1385" s="5"/>
      <c r="F1385" s="5"/>
      <c r="G1385" s="5"/>
      <c r="H1385" s="5"/>
      <c r="I1385" s="5"/>
      <c r="J1385" s="73"/>
      <c r="K1385" s="75" t="str">
        <f>IFERROR(__xludf.DUMMYFUNCTION("""COMPUTED_VALUE"""),"")</f>
        <v/>
      </c>
      <c r="L1385" s="75"/>
      <c r="M1385" s="46" t="s">
        <v>2002</v>
      </c>
    </row>
    <row r="1386">
      <c r="A1386" s="70">
        <f>IFERROR(__xludf.DUMMYFUNCTION("""COMPUTED_VALUE"""),9.741235457E9)</f>
        <v>9741235457</v>
      </c>
      <c r="B1386" s="46" t="str">
        <f>IFERROR(__xludf.DUMMYFUNCTION("""COMPUTED_VALUE"""),"Radhika ")</f>
        <v>Radhika </v>
      </c>
      <c r="C1386" s="5" t="s">
        <v>2002</v>
      </c>
      <c r="D1386" s="5"/>
      <c r="E1386" s="5"/>
      <c r="F1386" s="5"/>
      <c r="G1386" s="5"/>
      <c r="H1386" s="5"/>
      <c r="I1386" s="5"/>
      <c r="J1386" s="73"/>
      <c r="K1386" s="75" t="str">
        <f>IFERROR(__xludf.DUMMYFUNCTION("""COMPUTED_VALUE"""),"")</f>
        <v/>
      </c>
      <c r="L1386" s="75"/>
      <c r="M1386" s="46" t="s">
        <v>2002</v>
      </c>
    </row>
    <row r="1387">
      <c r="A1387" s="70">
        <f>IFERROR(__xludf.DUMMYFUNCTION("""COMPUTED_VALUE"""),7.835837852E9)</f>
        <v>7835837852</v>
      </c>
      <c r="B1387" s="46" t="str">
        <f>IFERROR(__xludf.DUMMYFUNCTION("""COMPUTED_VALUE"""),"Yash Upadhyay ")</f>
        <v>Yash Upadhyay </v>
      </c>
      <c r="C1387" s="5" t="s">
        <v>2002</v>
      </c>
      <c r="D1387" s="5"/>
      <c r="E1387" s="5"/>
      <c r="F1387" s="5"/>
      <c r="G1387" s="5"/>
      <c r="H1387" s="5"/>
      <c r="I1387" s="5"/>
      <c r="J1387" s="73"/>
      <c r="K1387" s="75" t="str">
        <f>IFERROR(__xludf.DUMMYFUNCTION("""COMPUTED_VALUE"""),"")</f>
        <v/>
      </c>
      <c r="L1387" s="75"/>
      <c r="M1387" s="46" t="s">
        <v>2002</v>
      </c>
    </row>
    <row r="1388">
      <c r="A1388" s="70">
        <f>IFERROR(__xludf.DUMMYFUNCTION("""COMPUTED_VALUE"""),7.011671826E9)</f>
        <v>7011671826</v>
      </c>
      <c r="B1388" s="46" t="str">
        <f>IFERROR(__xludf.DUMMYFUNCTION("""COMPUTED_VALUE"""),"Asha sharma")</f>
        <v>Asha sharma</v>
      </c>
      <c r="C1388" s="5" t="s">
        <v>2002</v>
      </c>
      <c r="D1388" s="5"/>
      <c r="E1388" s="5"/>
      <c r="F1388" s="5"/>
      <c r="G1388" s="5"/>
      <c r="H1388" s="5"/>
      <c r="I1388" s="5"/>
      <c r="J1388" s="73"/>
      <c r="K1388" s="75" t="str">
        <f>IFERROR(__xludf.DUMMYFUNCTION("""COMPUTED_VALUE"""),"")</f>
        <v/>
      </c>
      <c r="L1388" s="75"/>
      <c r="M1388" s="46" t="s">
        <v>2002</v>
      </c>
    </row>
    <row r="1389">
      <c r="A1389" s="70">
        <f>IFERROR(__xludf.DUMMYFUNCTION("""COMPUTED_VALUE"""),9.540709013E9)</f>
        <v>9540709013</v>
      </c>
      <c r="B1389" s="46" t="str">
        <f>IFERROR(__xludf.DUMMYFUNCTION("""COMPUTED_VALUE"""),"Ashq")</f>
        <v>Ashq</v>
      </c>
      <c r="C1389" s="5" t="s">
        <v>2002</v>
      </c>
      <c r="D1389" s="5"/>
      <c r="E1389" s="5"/>
      <c r="F1389" s="5"/>
      <c r="G1389" s="5"/>
      <c r="H1389" s="5"/>
      <c r="I1389" s="5"/>
      <c r="J1389" s="73"/>
      <c r="K1389" s="75" t="str">
        <f>IFERROR(__xludf.DUMMYFUNCTION("""COMPUTED_VALUE"""),"")</f>
        <v/>
      </c>
      <c r="L1389" s="75"/>
      <c r="M1389" s="46" t="s">
        <v>2002</v>
      </c>
    </row>
    <row r="1390">
      <c r="A1390" s="70">
        <f>IFERROR(__xludf.DUMMYFUNCTION("""COMPUTED_VALUE"""),9.999240355E9)</f>
        <v>9999240355</v>
      </c>
      <c r="B1390" s="46" t="str">
        <f>IFERROR(__xludf.DUMMYFUNCTION("""COMPUTED_VALUE"""),"Nagama")</f>
        <v>Nagama</v>
      </c>
      <c r="C1390" s="5" t="s">
        <v>2002</v>
      </c>
      <c r="D1390" s="5"/>
      <c r="E1390" s="5"/>
      <c r="F1390" s="5"/>
      <c r="G1390" s="5"/>
      <c r="H1390" s="5"/>
      <c r="I1390" s="5"/>
      <c r="J1390" s="73"/>
      <c r="K1390" s="75" t="str">
        <f>IFERROR(__xludf.DUMMYFUNCTION("""COMPUTED_VALUE"""),"")</f>
        <v/>
      </c>
      <c r="L1390" s="75"/>
      <c r="M1390" s="46" t="s">
        <v>2002</v>
      </c>
    </row>
    <row r="1391">
      <c r="A1391" s="70">
        <f>IFERROR(__xludf.DUMMYFUNCTION("""COMPUTED_VALUE"""),8.130183355E9)</f>
        <v>8130183355</v>
      </c>
      <c r="B1391" s="46" t="str">
        <f>IFERROR(__xludf.DUMMYFUNCTION("""COMPUTED_VALUE"""),"sunita")</f>
        <v>sunita</v>
      </c>
      <c r="C1391" s="5" t="s">
        <v>2002</v>
      </c>
      <c r="D1391" s="5"/>
      <c r="E1391" s="5"/>
      <c r="F1391" s="5"/>
      <c r="G1391" s="5"/>
      <c r="H1391" s="5"/>
      <c r="I1391" s="5"/>
      <c r="J1391" s="73"/>
      <c r="K1391" s="75" t="str">
        <f>IFERROR(__xludf.DUMMYFUNCTION("""COMPUTED_VALUE"""),"")</f>
        <v/>
      </c>
      <c r="L1391" s="75"/>
      <c r="M1391" s="46" t="s">
        <v>2002</v>
      </c>
    </row>
    <row r="1392">
      <c r="A1392" s="70">
        <f>IFERROR(__xludf.DUMMYFUNCTION("""COMPUTED_VALUE"""),8.447581175E9)</f>
        <v>8447581175</v>
      </c>
      <c r="B1392" s="46" t="str">
        <f>IFERROR(__xludf.DUMMYFUNCTION("""COMPUTED_VALUE"""),"Renu")</f>
        <v>Renu</v>
      </c>
      <c r="C1392" s="5" t="s">
        <v>2002</v>
      </c>
      <c r="D1392" s="5"/>
      <c r="E1392" s="5"/>
      <c r="F1392" s="5"/>
      <c r="G1392" s="5"/>
      <c r="H1392" s="5"/>
      <c r="I1392" s="5"/>
      <c r="J1392" s="73"/>
      <c r="K1392" s="75" t="str">
        <f>IFERROR(__xludf.DUMMYFUNCTION("""COMPUTED_VALUE"""),"")</f>
        <v/>
      </c>
      <c r="L1392" s="75"/>
      <c r="M1392" s="46" t="s">
        <v>2002</v>
      </c>
    </row>
    <row r="1393">
      <c r="A1393" s="70">
        <f>IFERROR(__xludf.DUMMYFUNCTION("""COMPUTED_VALUE"""),9.810292363E9)</f>
        <v>9810292363</v>
      </c>
      <c r="B1393" s="46" t="str">
        <f>IFERROR(__xludf.DUMMYFUNCTION("""COMPUTED_VALUE"""),"Narender ji ")</f>
        <v>Narender ji </v>
      </c>
      <c r="C1393" s="5" t="s">
        <v>2002</v>
      </c>
      <c r="D1393" s="5"/>
      <c r="E1393" s="5"/>
      <c r="F1393" s="5"/>
      <c r="G1393" s="5"/>
      <c r="H1393" s="5"/>
      <c r="I1393" s="5"/>
      <c r="J1393" s="73"/>
      <c r="K1393" s="75" t="str">
        <f>IFERROR(__xludf.DUMMYFUNCTION("""COMPUTED_VALUE"""),"")</f>
        <v/>
      </c>
      <c r="L1393" s="75"/>
      <c r="M1393" s="46" t="s">
        <v>2002</v>
      </c>
    </row>
    <row r="1394">
      <c r="A1394" s="70">
        <f>IFERROR(__xludf.DUMMYFUNCTION("""COMPUTED_VALUE"""),9.99102245E9)</f>
        <v>9991022450</v>
      </c>
      <c r="B1394" s="46" t="str">
        <f>IFERROR(__xludf.DUMMYFUNCTION("""COMPUTED_VALUE"""),"Sunil ji ")</f>
        <v>Sunil ji </v>
      </c>
      <c r="C1394" s="5" t="s">
        <v>2002</v>
      </c>
      <c r="D1394" s="5"/>
      <c r="E1394" s="5"/>
      <c r="F1394" s="5"/>
      <c r="G1394" s="5"/>
      <c r="H1394" s="5"/>
      <c r="I1394" s="5"/>
      <c r="J1394" s="73"/>
      <c r="K1394" s="75" t="str">
        <f>IFERROR(__xludf.DUMMYFUNCTION("""COMPUTED_VALUE"""),"")</f>
        <v/>
      </c>
      <c r="L1394" s="75"/>
      <c r="M1394" s="46" t="s">
        <v>2002</v>
      </c>
    </row>
    <row r="1395">
      <c r="A1395" s="70">
        <f>IFERROR(__xludf.DUMMYFUNCTION("""COMPUTED_VALUE"""),8.92012816E9)</f>
        <v>8920128160</v>
      </c>
      <c r="B1395" s="46" t="str">
        <f>IFERROR(__xludf.DUMMYFUNCTION("""COMPUTED_VALUE"""),"Sunil Kuma")</f>
        <v>Sunil Kuma</v>
      </c>
      <c r="C1395" s="5" t="s">
        <v>2002</v>
      </c>
      <c r="D1395" s="5"/>
      <c r="E1395" s="5"/>
      <c r="F1395" s="5"/>
      <c r="G1395" s="5"/>
      <c r="H1395" s="5"/>
      <c r="I1395" s="5"/>
      <c r="J1395" s="73"/>
      <c r="K1395" s="75" t="str">
        <f>IFERROR(__xludf.DUMMYFUNCTION("""COMPUTED_VALUE"""),"")</f>
        <v/>
      </c>
      <c r="L1395" s="75"/>
      <c r="M1395" s="46" t="s">
        <v>2002</v>
      </c>
    </row>
    <row r="1396">
      <c r="A1396" s="70">
        <f>IFERROR(__xludf.DUMMYFUNCTION("""COMPUTED_VALUE"""),7.678339364E9)</f>
        <v>7678339364</v>
      </c>
      <c r="B1396" s="46" t="str">
        <f>IFERROR(__xludf.DUMMYFUNCTION("""COMPUTED_VALUE"""),"Sunita")</f>
        <v>Sunita</v>
      </c>
      <c r="C1396" s="5" t="s">
        <v>2002</v>
      </c>
      <c r="D1396" s="5"/>
      <c r="E1396" s="5"/>
      <c r="F1396" s="5"/>
      <c r="G1396" s="5"/>
      <c r="H1396" s="5"/>
      <c r="I1396" s="5"/>
      <c r="J1396" s="73"/>
      <c r="K1396" s="75" t="str">
        <f>IFERROR(__xludf.DUMMYFUNCTION("""COMPUTED_VALUE"""),"")</f>
        <v/>
      </c>
      <c r="L1396" s="75"/>
      <c r="M1396" s="46" t="s">
        <v>2002</v>
      </c>
    </row>
    <row r="1397">
      <c r="A1397" s="70">
        <f>IFERROR(__xludf.DUMMYFUNCTION("""COMPUTED_VALUE"""),9.21436978E9)</f>
        <v>9214369780</v>
      </c>
      <c r="B1397" s="46" t="str">
        <f>IFERROR(__xludf.DUMMYFUNCTION("""COMPUTED_VALUE"""),"lalit")</f>
        <v>lalit</v>
      </c>
      <c r="C1397" s="5" t="s">
        <v>2002</v>
      </c>
      <c r="D1397" s="5"/>
      <c r="E1397" s="5"/>
      <c r="F1397" s="5"/>
      <c r="G1397" s="5"/>
      <c r="H1397" s="5"/>
      <c r="I1397" s="5"/>
      <c r="J1397" s="73"/>
      <c r="K1397" s="75" t="str">
        <f>IFERROR(__xludf.DUMMYFUNCTION("""COMPUTED_VALUE"""),"")</f>
        <v/>
      </c>
      <c r="L1397" s="75"/>
      <c r="M1397" s="46" t="s">
        <v>2002</v>
      </c>
    </row>
    <row r="1398">
      <c r="A1398" s="70">
        <f>IFERROR(__xludf.DUMMYFUNCTION("""COMPUTED_VALUE"""),8.810545235E9)</f>
        <v>8810545235</v>
      </c>
      <c r="B1398" s="46" t="str">
        <f>IFERROR(__xludf.DUMMYFUNCTION("""COMPUTED_VALUE"""),"Anita")</f>
        <v>Anita</v>
      </c>
      <c r="C1398" s="5" t="s">
        <v>2002</v>
      </c>
      <c r="D1398" s="5"/>
      <c r="E1398" s="5"/>
      <c r="F1398" s="5"/>
      <c r="G1398" s="5"/>
      <c r="H1398" s="5"/>
      <c r="I1398" s="5"/>
      <c r="J1398" s="73"/>
      <c r="K1398" s="75" t="str">
        <f>IFERROR(__xludf.DUMMYFUNCTION("""COMPUTED_VALUE"""),"")</f>
        <v/>
      </c>
      <c r="L1398" s="75"/>
      <c r="M1398" s="46" t="s">
        <v>2002</v>
      </c>
    </row>
    <row r="1399">
      <c r="A1399" s="70">
        <f>IFERROR(__xludf.DUMMYFUNCTION("""COMPUTED_VALUE"""),6.395024487E9)</f>
        <v>6395024487</v>
      </c>
      <c r="B1399" s="46" t="str">
        <f>IFERROR(__xludf.DUMMYFUNCTION("""COMPUTED_VALUE"""),"Sarthak ")</f>
        <v>Sarthak </v>
      </c>
      <c r="C1399" s="5" t="s">
        <v>2002</v>
      </c>
      <c r="D1399" s="5"/>
      <c r="E1399" s="5"/>
      <c r="F1399" s="5"/>
      <c r="G1399" s="5"/>
      <c r="H1399" s="5"/>
      <c r="I1399" s="5"/>
      <c r="J1399" s="73"/>
      <c r="K1399" s="75" t="str">
        <f>IFERROR(__xludf.DUMMYFUNCTION("""COMPUTED_VALUE"""),"")</f>
        <v/>
      </c>
      <c r="L1399" s="75"/>
      <c r="M1399" s="46" t="s">
        <v>2002</v>
      </c>
    </row>
    <row r="1400">
      <c r="A1400" s="70">
        <f>IFERROR(__xludf.DUMMYFUNCTION("""COMPUTED_VALUE"""),8.384082024E9)</f>
        <v>8384082024</v>
      </c>
      <c r="B1400" s="46" t="str">
        <f>IFERROR(__xludf.DUMMYFUNCTION("""COMPUTED_VALUE"""),"Rishi")</f>
        <v>Rishi</v>
      </c>
      <c r="C1400" s="5" t="s">
        <v>2002</v>
      </c>
      <c r="D1400" s="5"/>
      <c r="E1400" s="5"/>
      <c r="F1400" s="5"/>
      <c r="G1400" s="5"/>
      <c r="H1400" s="5"/>
      <c r="I1400" s="5"/>
      <c r="J1400" s="73"/>
      <c r="K1400" s="75" t="str">
        <f>IFERROR(__xludf.DUMMYFUNCTION("""COMPUTED_VALUE"""),"")</f>
        <v/>
      </c>
      <c r="L1400" s="75"/>
      <c r="M1400" s="46" t="s">
        <v>2002</v>
      </c>
    </row>
    <row r="1401">
      <c r="A1401" s="70">
        <f>IFERROR(__xludf.DUMMYFUNCTION("""COMPUTED_VALUE"""),8.447181611E9)</f>
        <v>8447181611</v>
      </c>
      <c r="B1401" s="46" t="str">
        <f>IFERROR(__xludf.DUMMYFUNCTION("""COMPUTED_VALUE"""),"Seema rani")</f>
        <v>Seema rani</v>
      </c>
      <c r="C1401" s="5" t="s">
        <v>2002</v>
      </c>
      <c r="D1401" s="5"/>
      <c r="E1401" s="5"/>
      <c r="F1401" s="5"/>
      <c r="G1401" s="5"/>
      <c r="H1401" s="5"/>
      <c r="I1401" s="5"/>
      <c r="J1401" s="73"/>
      <c r="K1401" s="75" t="str">
        <f>IFERROR(__xludf.DUMMYFUNCTION("""COMPUTED_VALUE"""),"")</f>
        <v/>
      </c>
      <c r="L1401" s="75"/>
      <c r="M1401" s="46" t="s">
        <v>2002</v>
      </c>
    </row>
    <row r="1402">
      <c r="A1402" s="70">
        <f>IFERROR(__xludf.DUMMYFUNCTION("""COMPUTED_VALUE"""),8.920031297E9)</f>
        <v>8920031297</v>
      </c>
      <c r="B1402" s="46" t="str">
        <f>IFERROR(__xludf.DUMMYFUNCTION("""COMPUTED_VALUE"""),"Tabassum")</f>
        <v>Tabassum</v>
      </c>
      <c r="C1402" s="5" t="s">
        <v>2002</v>
      </c>
      <c r="D1402" s="5"/>
      <c r="E1402" s="5"/>
      <c r="F1402" s="5"/>
      <c r="G1402" s="5"/>
      <c r="H1402" s="5"/>
      <c r="I1402" s="5"/>
      <c r="J1402" s="73"/>
      <c r="K1402" s="75" t="str">
        <f>IFERROR(__xludf.DUMMYFUNCTION("""COMPUTED_VALUE"""),"")</f>
        <v/>
      </c>
      <c r="L1402" s="75"/>
      <c r="M1402" s="46" t="s">
        <v>2002</v>
      </c>
    </row>
    <row r="1403">
      <c r="A1403" s="70">
        <f>IFERROR(__xludf.DUMMYFUNCTION("""COMPUTED_VALUE"""),7.011317685E9)</f>
        <v>7011317685</v>
      </c>
      <c r="B1403" s="46" t="str">
        <f>IFERROR(__xludf.DUMMYFUNCTION("""COMPUTED_VALUE"""),"Nazia")</f>
        <v>Nazia</v>
      </c>
      <c r="C1403" s="5" t="s">
        <v>2002</v>
      </c>
      <c r="D1403" s="5"/>
      <c r="E1403" s="5"/>
      <c r="F1403" s="5"/>
      <c r="G1403" s="5"/>
      <c r="H1403" s="5"/>
      <c r="I1403" s="5"/>
      <c r="J1403" s="73"/>
      <c r="K1403" s="75" t="str">
        <f>IFERROR(__xludf.DUMMYFUNCTION("""COMPUTED_VALUE"""),"")</f>
        <v/>
      </c>
      <c r="L1403" s="75"/>
      <c r="M1403" s="46" t="s">
        <v>2002</v>
      </c>
    </row>
    <row r="1404">
      <c r="A1404" s="70">
        <f>IFERROR(__xludf.DUMMYFUNCTION("""COMPUTED_VALUE"""),9.971518201E9)</f>
        <v>9971518201</v>
      </c>
      <c r="B1404" s="46" t="str">
        <f>IFERROR(__xludf.DUMMYFUNCTION("""COMPUTED_VALUE"""),"Ankur")</f>
        <v>Ankur</v>
      </c>
      <c r="C1404" s="5" t="s">
        <v>2002</v>
      </c>
      <c r="D1404" s="5"/>
      <c r="E1404" s="5"/>
      <c r="F1404" s="5"/>
      <c r="G1404" s="5"/>
      <c r="H1404" s="5"/>
      <c r="I1404" s="5"/>
      <c r="J1404" s="73"/>
      <c r="K1404" s="75" t="str">
        <f>IFERROR(__xludf.DUMMYFUNCTION("""COMPUTED_VALUE"""),"")</f>
        <v/>
      </c>
      <c r="L1404" s="75"/>
      <c r="M1404" s="46" t="s">
        <v>2002</v>
      </c>
    </row>
    <row r="1405">
      <c r="A1405" s="70">
        <f>IFERROR(__xludf.DUMMYFUNCTION("""COMPUTED_VALUE"""),9.315306715E9)</f>
        <v>9315306715</v>
      </c>
      <c r="B1405" s="46" t="str">
        <f>IFERROR(__xludf.DUMMYFUNCTION("""COMPUTED_VALUE"""),"Naina")</f>
        <v>Naina</v>
      </c>
      <c r="C1405" s="5" t="s">
        <v>2002</v>
      </c>
      <c r="D1405" s="5"/>
      <c r="E1405" s="5"/>
      <c r="F1405" s="5"/>
      <c r="G1405" s="5"/>
      <c r="H1405" s="5"/>
      <c r="I1405" s="5"/>
      <c r="J1405" s="73"/>
      <c r="K1405" s="75" t="str">
        <f>IFERROR(__xludf.DUMMYFUNCTION("""COMPUTED_VALUE"""),"")</f>
        <v/>
      </c>
      <c r="L1405" s="75"/>
      <c r="M1405" s="46" t="s">
        <v>2002</v>
      </c>
    </row>
    <row r="1406">
      <c r="A1406" s="70">
        <f>IFERROR(__xludf.DUMMYFUNCTION("""COMPUTED_VALUE"""),9.650850911E9)</f>
        <v>9650850911</v>
      </c>
      <c r="B1406" s="46" t="str">
        <f>IFERROR(__xludf.DUMMYFUNCTION("""COMPUTED_VALUE"""),"Mukesh Jain")</f>
        <v>Mukesh Jain</v>
      </c>
      <c r="C1406" s="5" t="s">
        <v>2002</v>
      </c>
      <c r="D1406" s="5"/>
      <c r="E1406" s="5"/>
      <c r="F1406" s="5"/>
      <c r="G1406" s="5"/>
      <c r="H1406" s="5"/>
      <c r="I1406" s="5"/>
      <c r="J1406" s="73"/>
      <c r="K1406" s="75" t="str">
        <f>IFERROR(__xludf.DUMMYFUNCTION("""COMPUTED_VALUE"""),"")</f>
        <v/>
      </c>
      <c r="L1406" s="75"/>
      <c r="M1406" s="46" t="s">
        <v>2002</v>
      </c>
    </row>
    <row r="1407">
      <c r="A1407" s="70">
        <f>IFERROR(__xludf.DUMMYFUNCTION("""COMPUTED_VALUE"""),9.899356565E9)</f>
        <v>9899356565</v>
      </c>
      <c r="B1407" s="46" t="str">
        <f>IFERROR(__xludf.DUMMYFUNCTION("""COMPUTED_VALUE"""),"Nidhi")</f>
        <v>Nidhi</v>
      </c>
      <c r="C1407" s="5" t="s">
        <v>2002</v>
      </c>
      <c r="D1407" s="5"/>
      <c r="E1407" s="5"/>
      <c r="F1407" s="5"/>
      <c r="G1407" s="5"/>
      <c r="H1407" s="5"/>
      <c r="I1407" s="5"/>
      <c r="J1407" s="73"/>
      <c r="K1407" s="75" t="str">
        <f>IFERROR(__xludf.DUMMYFUNCTION("""COMPUTED_VALUE"""),"")</f>
        <v/>
      </c>
      <c r="L1407" s="75"/>
      <c r="M1407" s="46" t="s">
        <v>2002</v>
      </c>
    </row>
    <row r="1408">
      <c r="A1408" s="70">
        <f>IFERROR(__xludf.DUMMYFUNCTION("""COMPUTED_VALUE"""),9.89117536E9)</f>
        <v>9891175360</v>
      </c>
      <c r="B1408" s="46" t="str">
        <f>IFERROR(__xludf.DUMMYFUNCTION("""COMPUTED_VALUE"""),"Aishwarya ")</f>
        <v>Aishwarya </v>
      </c>
      <c r="C1408" s="5" t="s">
        <v>2002</v>
      </c>
      <c r="D1408" s="5"/>
      <c r="E1408" s="5"/>
      <c r="F1408" s="5"/>
      <c r="G1408" s="5"/>
      <c r="H1408" s="5"/>
      <c r="I1408" s="5"/>
      <c r="J1408" s="73"/>
      <c r="K1408" s="75" t="str">
        <f>IFERROR(__xludf.DUMMYFUNCTION("""COMPUTED_VALUE"""),"")</f>
        <v/>
      </c>
      <c r="L1408" s="75"/>
      <c r="M1408" s="46" t="s">
        <v>2002</v>
      </c>
    </row>
    <row r="1409">
      <c r="A1409" s="70">
        <f>IFERROR(__xludf.DUMMYFUNCTION("""COMPUTED_VALUE"""),9.625871071E9)</f>
        <v>9625871071</v>
      </c>
      <c r="B1409" s="46" t="str">
        <f>IFERROR(__xludf.DUMMYFUNCTION("""COMPUTED_VALUE"""),"Bobby ")</f>
        <v>Bobby </v>
      </c>
      <c r="C1409" s="5" t="s">
        <v>2002</v>
      </c>
      <c r="D1409" s="5"/>
      <c r="E1409" s="5"/>
      <c r="F1409" s="5"/>
      <c r="G1409" s="5"/>
      <c r="H1409" s="5"/>
      <c r="I1409" s="5"/>
      <c r="J1409" s="73"/>
      <c r="K1409" s="75" t="str">
        <f>IFERROR(__xludf.DUMMYFUNCTION("""COMPUTED_VALUE"""),"")</f>
        <v/>
      </c>
      <c r="L1409" s="75"/>
      <c r="M1409" s="46" t="s">
        <v>2002</v>
      </c>
    </row>
    <row r="1410">
      <c r="A1410" s="70">
        <f>IFERROR(__xludf.DUMMYFUNCTION("""COMPUTED_VALUE"""),8.375086586E9)</f>
        <v>8375086586</v>
      </c>
      <c r="B1410" s="46" t="str">
        <f>IFERROR(__xludf.DUMMYFUNCTION("""COMPUTED_VALUE"""),"Rk pandey")</f>
        <v>Rk pandey</v>
      </c>
      <c r="C1410" s="5" t="s">
        <v>2002</v>
      </c>
      <c r="D1410" s="5"/>
      <c r="E1410" s="5"/>
      <c r="F1410" s="5"/>
      <c r="G1410" s="5"/>
      <c r="H1410" s="5"/>
      <c r="I1410" s="5"/>
      <c r="J1410" s="73"/>
      <c r="K1410" s="75" t="str">
        <f>IFERROR(__xludf.DUMMYFUNCTION("""COMPUTED_VALUE"""),"")</f>
        <v/>
      </c>
      <c r="L1410" s="75"/>
      <c r="M1410" s="46" t="s">
        <v>2002</v>
      </c>
    </row>
    <row r="1411">
      <c r="A1411" s="70">
        <f>IFERROR(__xludf.DUMMYFUNCTION("""COMPUTED_VALUE"""),8.130819268E9)</f>
        <v>8130819268</v>
      </c>
      <c r="B1411" s="46" t="str">
        <f>IFERROR(__xludf.DUMMYFUNCTION("""COMPUTED_VALUE"""),"Raj Kumar ji ")</f>
        <v>Raj Kumar ji </v>
      </c>
      <c r="C1411" s="5" t="s">
        <v>2002</v>
      </c>
      <c r="D1411" s="5"/>
      <c r="E1411" s="5"/>
      <c r="F1411" s="5"/>
      <c r="G1411" s="5"/>
      <c r="H1411" s="5"/>
      <c r="I1411" s="5"/>
      <c r="J1411" s="73"/>
      <c r="K1411" s="75" t="str">
        <f>IFERROR(__xludf.DUMMYFUNCTION("""COMPUTED_VALUE"""),"")</f>
        <v/>
      </c>
      <c r="L1411" s="75"/>
      <c r="M1411" s="46" t="s">
        <v>2002</v>
      </c>
    </row>
    <row r="1412">
      <c r="A1412" s="70">
        <f>IFERROR(__xludf.DUMMYFUNCTION("""COMPUTED_VALUE"""),7.406770001E9)</f>
        <v>7406770001</v>
      </c>
      <c r="B1412" s="46" t="str">
        <f>IFERROR(__xludf.DUMMYFUNCTION("""COMPUTED_VALUE"""),"Dikshit Gupta")</f>
        <v>Dikshit Gupta</v>
      </c>
      <c r="C1412" s="5" t="s">
        <v>2002</v>
      </c>
      <c r="D1412" s="5"/>
      <c r="E1412" s="5"/>
      <c r="F1412" s="5"/>
      <c r="G1412" s="5"/>
      <c r="H1412" s="5"/>
      <c r="I1412" s="5"/>
      <c r="J1412" s="73"/>
      <c r="K1412" s="75" t="str">
        <f>IFERROR(__xludf.DUMMYFUNCTION("""COMPUTED_VALUE"""),"")</f>
        <v/>
      </c>
      <c r="L1412" s="75"/>
      <c r="M1412" s="46" t="s">
        <v>2002</v>
      </c>
    </row>
    <row r="1413">
      <c r="A1413" s="70">
        <f>IFERROR(__xludf.DUMMYFUNCTION("""COMPUTED_VALUE"""),7.838584066E9)</f>
        <v>7838584066</v>
      </c>
      <c r="B1413" s="46" t="str">
        <f>IFERROR(__xludf.DUMMYFUNCTION("""COMPUTED_VALUE"""),"Priyanka ")</f>
        <v>Priyanka </v>
      </c>
      <c r="C1413" s="5" t="s">
        <v>2002</v>
      </c>
      <c r="D1413" s="5"/>
      <c r="E1413" s="5"/>
      <c r="F1413" s="5"/>
      <c r="G1413" s="5"/>
      <c r="H1413" s="5"/>
      <c r="I1413" s="5"/>
      <c r="J1413" s="73"/>
      <c r="K1413" s="75" t="str">
        <f>IFERROR(__xludf.DUMMYFUNCTION("""COMPUTED_VALUE"""),"")</f>
        <v/>
      </c>
      <c r="L1413" s="75"/>
      <c r="M1413" s="46" t="s">
        <v>2002</v>
      </c>
    </row>
    <row r="1414">
      <c r="A1414" s="70">
        <f>IFERROR(__xludf.DUMMYFUNCTION("""COMPUTED_VALUE"""),9.911680695E9)</f>
        <v>9911680695</v>
      </c>
      <c r="B1414" s="46" t="str">
        <f>IFERROR(__xludf.DUMMYFUNCTION("""COMPUTED_VALUE"""),"Sandeep Singh ji ")</f>
        <v>Sandeep Singh ji </v>
      </c>
      <c r="C1414" s="5" t="s">
        <v>2002</v>
      </c>
      <c r="D1414" s="5"/>
      <c r="E1414" s="5"/>
      <c r="F1414" s="5"/>
      <c r="G1414" s="5"/>
      <c r="H1414" s="5"/>
      <c r="I1414" s="5"/>
      <c r="J1414" s="73"/>
      <c r="K1414" s="75" t="str">
        <f>IFERROR(__xludf.DUMMYFUNCTION("""COMPUTED_VALUE"""),"")</f>
        <v/>
      </c>
      <c r="L1414" s="75"/>
      <c r="M1414" s="46" t="s">
        <v>2002</v>
      </c>
    </row>
    <row r="1415">
      <c r="A1415" s="70">
        <f>IFERROR(__xludf.DUMMYFUNCTION("""COMPUTED_VALUE"""),9.250940985E9)</f>
        <v>9250940985</v>
      </c>
      <c r="B1415" s="46" t="str">
        <f>IFERROR(__xludf.DUMMYFUNCTION("""COMPUTED_VALUE"""),"Nitin Gupta ")</f>
        <v>Nitin Gupta </v>
      </c>
      <c r="C1415" s="5" t="s">
        <v>2002</v>
      </c>
      <c r="D1415" s="5"/>
      <c r="E1415" s="5"/>
      <c r="F1415" s="5"/>
      <c r="G1415" s="5"/>
      <c r="H1415" s="5"/>
      <c r="I1415" s="5"/>
      <c r="J1415" s="73"/>
      <c r="K1415" s="75" t="str">
        <f>IFERROR(__xludf.DUMMYFUNCTION("""COMPUTED_VALUE"""),"")</f>
        <v/>
      </c>
      <c r="L1415" s="75"/>
      <c r="M1415" s="46" t="s">
        <v>2002</v>
      </c>
    </row>
    <row r="1416">
      <c r="A1416" s="70">
        <f>IFERROR(__xludf.DUMMYFUNCTION("""COMPUTED_VALUE"""),9.891175666E9)</f>
        <v>9891175666</v>
      </c>
      <c r="B1416" s="46" t="str">
        <f>IFERROR(__xludf.DUMMYFUNCTION("""COMPUTED_VALUE"""),"Poonam ")</f>
        <v>Poonam </v>
      </c>
      <c r="C1416" s="5" t="s">
        <v>2002</v>
      </c>
      <c r="D1416" s="5"/>
      <c r="E1416" s="5"/>
      <c r="F1416" s="5"/>
      <c r="G1416" s="5"/>
      <c r="H1416" s="5"/>
      <c r="I1416" s="5"/>
      <c r="J1416" s="73"/>
      <c r="K1416" s="75" t="str">
        <f>IFERROR(__xludf.DUMMYFUNCTION("""COMPUTED_VALUE"""),"")</f>
        <v/>
      </c>
      <c r="L1416" s="75"/>
      <c r="M1416" s="46" t="s">
        <v>2002</v>
      </c>
    </row>
    <row r="1417">
      <c r="A1417" s="70">
        <f>IFERROR(__xludf.DUMMYFUNCTION("""COMPUTED_VALUE"""),9.560913841E9)</f>
        <v>9560913841</v>
      </c>
      <c r="B1417" s="46" t="str">
        <f>IFERROR(__xludf.DUMMYFUNCTION("""COMPUTED_VALUE"""),"Kishan Kumar")</f>
        <v>Kishan Kumar</v>
      </c>
      <c r="C1417" s="5" t="s">
        <v>2002</v>
      </c>
      <c r="D1417" s="5"/>
      <c r="E1417" s="5"/>
      <c r="F1417" s="5"/>
      <c r="G1417" s="5"/>
      <c r="H1417" s="5"/>
      <c r="I1417" s="5"/>
      <c r="J1417" s="73"/>
      <c r="K1417" s="75" t="str">
        <f>IFERROR(__xludf.DUMMYFUNCTION("""COMPUTED_VALUE"""),"")</f>
        <v/>
      </c>
      <c r="L1417" s="75"/>
      <c r="M1417" s="46" t="s">
        <v>2002</v>
      </c>
    </row>
    <row r="1418">
      <c r="A1418" s="70">
        <f>IFERROR(__xludf.DUMMYFUNCTION("""COMPUTED_VALUE"""),9.315506023E9)</f>
        <v>9315506023</v>
      </c>
      <c r="B1418" s="46" t="str">
        <f>IFERROR(__xludf.DUMMYFUNCTION("""COMPUTED_VALUE"""),"Utkarsh mehra")</f>
        <v>Utkarsh mehra</v>
      </c>
      <c r="C1418" s="5" t="s">
        <v>2002</v>
      </c>
      <c r="D1418" s="5"/>
      <c r="E1418" s="5"/>
      <c r="F1418" s="5"/>
      <c r="G1418" s="5"/>
      <c r="H1418" s="5"/>
      <c r="I1418" s="5"/>
      <c r="J1418" s="73"/>
      <c r="K1418" s="75" t="str">
        <f>IFERROR(__xludf.DUMMYFUNCTION("""COMPUTED_VALUE"""),"")</f>
        <v/>
      </c>
      <c r="L1418" s="75"/>
      <c r="M1418" s="46" t="s">
        <v>2002</v>
      </c>
    </row>
    <row r="1419">
      <c r="A1419" s="70">
        <f>IFERROR(__xludf.DUMMYFUNCTION("""COMPUTED_VALUE"""),9.990945214E9)</f>
        <v>9990945214</v>
      </c>
      <c r="B1419" s="46" t="str">
        <f>IFERROR(__xludf.DUMMYFUNCTION("""COMPUTED_VALUE"""),"Anju Jain")</f>
        <v>Anju Jain</v>
      </c>
      <c r="C1419" s="5" t="s">
        <v>2002</v>
      </c>
      <c r="D1419" s="5"/>
      <c r="E1419" s="5"/>
      <c r="F1419" s="5"/>
      <c r="G1419" s="5"/>
      <c r="H1419" s="5"/>
      <c r="I1419" s="5"/>
      <c r="J1419" s="73"/>
      <c r="K1419" s="75" t="str">
        <f>IFERROR(__xludf.DUMMYFUNCTION("""COMPUTED_VALUE"""),"")</f>
        <v/>
      </c>
      <c r="L1419" s="75"/>
      <c r="M1419" s="46" t="s">
        <v>2002</v>
      </c>
    </row>
    <row r="1420">
      <c r="A1420" s="70">
        <f>IFERROR(__xludf.DUMMYFUNCTION("""COMPUTED_VALUE"""),9.891093288E9)</f>
        <v>9891093288</v>
      </c>
      <c r="B1420" s="46" t="str">
        <f>IFERROR(__xludf.DUMMYFUNCTION("""COMPUTED_VALUE"""),"Anand")</f>
        <v>Anand</v>
      </c>
      <c r="C1420" s="5" t="s">
        <v>2002</v>
      </c>
      <c r="D1420" s="5"/>
      <c r="E1420" s="5"/>
      <c r="F1420" s="5"/>
      <c r="G1420" s="5"/>
      <c r="H1420" s="5"/>
      <c r="I1420" s="5"/>
      <c r="J1420" s="73"/>
      <c r="K1420" s="75" t="str">
        <f>IFERROR(__xludf.DUMMYFUNCTION("""COMPUTED_VALUE"""),"")</f>
        <v/>
      </c>
      <c r="L1420" s="75"/>
      <c r="M1420" s="46" t="s">
        <v>2002</v>
      </c>
    </row>
    <row r="1421">
      <c r="A1421" s="70">
        <f>IFERROR(__xludf.DUMMYFUNCTION("""COMPUTED_VALUE"""),7.30333065E9)</f>
        <v>7303330650</v>
      </c>
      <c r="B1421" s="46" t="str">
        <f>IFERROR(__xludf.DUMMYFUNCTION("""COMPUTED_VALUE"""),"Suhail")</f>
        <v>Suhail</v>
      </c>
      <c r="C1421" s="5" t="s">
        <v>2002</v>
      </c>
      <c r="D1421" s="5"/>
      <c r="E1421" s="5"/>
      <c r="F1421" s="5"/>
      <c r="G1421" s="5"/>
      <c r="H1421" s="5"/>
      <c r="I1421" s="5"/>
      <c r="J1421" s="73"/>
      <c r="K1421" s="75" t="str">
        <f>IFERROR(__xludf.DUMMYFUNCTION("""COMPUTED_VALUE"""),"")</f>
        <v/>
      </c>
      <c r="L1421" s="75"/>
      <c r="M1421" s="46" t="s">
        <v>2002</v>
      </c>
    </row>
    <row r="1422">
      <c r="A1422" s="70">
        <f>IFERROR(__xludf.DUMMYFUNCTION("""COMPUTED_VALUE"""),9.899356015E9)</f>
        <v>9899356015</v>
      </c>
      <c r="B1422" s="46" t="str">
        <f>IFERROR(__xludf.DUMMYFUNCTION("""COMPUTED_VALUE"""),"Kabir")</f>
        <v>Kabir</v>
      </c>
      <c r="C1422" s="5" t="s">
        <v>2002</v>
      </c>
      <c r="D1422" s="5"/>
      <c r="E1422" s="5"/>
      <c r="F1422" s="5"/>
      <c r="G1422" s="5"/>
      <c r="H1422" s="5"/>
      <c r="I1422" s="5"/>
      <c r="J1422" s="73"/>
      <c r="K1422" s="75" t="str">
        <f>IFERROR(__xludf.DUMMYFUNCTION("""COMPUTED_VALUE"""),"")</f>
        <v/>
      </c>
      <c r="L1422" s="75"/>
      <c r="M1422" s="46" t="s">
        <v>2002</v>
      </c>
    </row>
    <row r="1423">
      <c r="A1423" s="70">
        <f>IFERROR(__xludf.DUMMYFUNCTION("""COMPUTED_VALUE"""),7.451952904E9)</f>
        <v>7451952904</v>
      </c>
      <c r="B1423" s="46" t="str">
        <f>IFERROR(__xludf.DUMMYFUNCTION("""COMPUTED_VALUE"""),"Prakash Kumar")</f>
        <v>Prakash Kumar</v>
      </c>
      <c r="C1423" s="5" t="s">
        <v>2002</v>
      </c>
      <c r="D1423" s="5"/>
      <c r="E1423" s="5"/>
      <c r="F1423" s="5"/>
      <c r="G1423" s="5"/>
      <c r="H1423" s="5"/>
      <c r="I1423" s="5"/>
      <c r="J1423" s="73"/>
      <c r="K1423" s="75" t="str">
        <f>IFERROR(__xludf.DUMMYFUNCTION("""COMPUTED_VALUE"""),"")</f>
        <v/>
      </c>
      <c r="L1423" s="75"/>
      <c r="M1423" s="46" t="s">
        <v>2002</v>
      </c>
    </row>
    <row r="1424">
      <c r="A1424" s="70">
        <f>IFERROR(__xludf.DUMMYFUNCTION("""COMPUTED_VALUE"""),8.218631745E9)</f>
        <v>8218631745</v>
      </c>
      <c r="B1424" s="46" t="str">
        <f>IFERROR(__xludf.DUMMYFUNCTION("""COMPUTED_VALUE"""),"Sandeep")</f>
        <v>Sandeep</v>
      </c>
      <c r="C1424" s="5" t="s">
        <v>2002</v>
      </c>
      <c r="D1424" s="5"/>
      <c r="E1424" s="5"/>
      <c r="F1424" s="5"/>
      <c r="G1424" s="5"/>
      <c r="H1424" s="5"/>
      <c r="I1424" s="5"/>
      <c r="J1424" s="73"/>
      <c r="K1424" s="75" t="str">
        <f>IFERROR(__xludf.DUMMYFUNCTION("""COMPUTED_VALUE"""),"")</f>
        <v/>
      </c>
      <c r="L1424" s="75"/>
      <c r="M1424" s="46" t="s">
        <v>2002</v>
      </c>
    </row>
    <row r="1425">
      <c r="A1425" s="70">
        <f>IFERROR(__xludf.DUMMYFUNCTION("""COMPUTED_VALUE"""),9.643088041E9)</f>
        <v>9643088041</v>
      </c>
      <c r="B1425" s="46" t="str">
        <f>IFERROR(__xludf.DUMMYFUNCTION("""COMPUTED_VALUE"""),"Rinki")</f>
        <v>Rinki</v>
      </c>
      <c r="C1425" s="5" t="s">
        <v>2002</v>
      </c>
      <c r="D1425" s="5"/>
      <c r="E1425" s="5"/>
      <c r="F1425" s="5"/>
      <c r="G1425" s="5"/>
      <c r="H1425" s="5"/>
      <c r="I1425" s="5"/>
      <c r="J1425" s="73"/>
      <c r="K1425" s="75" t="str">
        <f>IFERROR(__xludf.DUMMYFUNCTION("""COMPUTED_VALUE"""),"")</f>
        <v/>
      </c>
      <c r="L1425" s="75"/>
      <c r="M1425" s="46" t="s">
        <v>2002</v>
      </c>
    </row>
    <row r="1426">
      <c r="A1426" s="70">
        <f>IFERROR(__xludf.DUMMYFUNCTION("""COMPUTED_VALUE"""),9.953753268E9)</f>
        <v>9953753268</v>
      </c>
      <c r="B1426" s="46" t="str">
        <f>IFERROR(__xludf.DUMMYFUNCTION("""COMPUTED_VALUE"""),"Sharda")</f>
        <v>Sharda</v>
      </c>
      <c r="C1426" s="5" t="s">
        <v>2002</v>
      </c>
      <c r="D1426" s="5"/>
      <c r="E1426" s="5"/>
      <c r="F1426" s="5"/>
      <c r="G1426" s="5"/>
      <c r="H1426" s="5"/>
      <c r="I1426" s="5"/>
      <c r="J1426" s="73"/>
      <c r="K1426" s="75" t="str">
        <f>IFERROR(__xludf.DUMMYFUNCTION("""COMPUTED_VALUE"""),"")</f>
        <v/>
      </c>
      <c r="L1426" s="75"/>
      <c r="M1426" s="46" t="s">
        <v>2002</v>
      </c>
    </row>
    <row r="1427">
      <c r="A1427" s="70">
        <f>IFERROR(__xludf.DUMMYFUNCTION("""COMPUTED_VALUE"""),7.065914305E9)</f>
        <v>7065914305</v>
      </c>
      <c r="B1427" s="46" t="str">
        <f>IFERROR(__xludf.DUMMYFUNCTION("""COMPUTED_VALUE"""),"Rajesh")</f>
        <v>Rajesh</v>
      </c>
      <c r="C1427" s="5" t="s">
        <v>2002</v>
      </c>
      <c r="D1427" s="5"/>
      <c r="E1427" s="5"/>
      <c r="F1427" s="5"/>
      <c r="G1427" s="5"/>
      <c r="H1427" s="5"/>
      <c r="I1427" s="5"/>
      <c r="J1427" s="73"/>
      <c r="K1427" s="75" t="str">
        <f>IFERROR(__xludf.DUMMYFUNCTION("""COMPUTED_VALUE"""),"")</f>
        <v/>
      </c>
      <c r="L1427" s="75"/>
      <c r="M1427" s="46" t="s">
        <v>2002</v>
      </c>
    </row>
    <row r="1428">
      <c r="A1428" s="70">
        <f>IFERROR(__xludf.DUMMYFUNCTION("""COMPUTED_VALUE"""),9.015857505E9)</f>
        <v>9015857505</v>
      </c>
      <c r="B1428" s="46" t="str">
        <f>IFERROR(__xludf.DUMMYFUNCTION("""COMPUTED_VALUE"""),"Ritik")</f>
        <v>Ritik</v>
      </c>
      <c r="C1428" s="5" t="s">
        <v>2002</v>
      </c>
      <c r="D1428" s="5"/>
      <c r="E1428" s="5"/>
      <c r="F1428" s="5"/>
      <c r="G1428" s="5"/>
      <c r="H1428" s="5"/>
      <c r="I1428" s="5"/>
      <c r="J1428" s="73"/>
      <c r="K1428" s="75" t="str">
        <f>IFERROR(__xludf.DUMMYFUNCTION("""COMPUTED_VALUE"""),"")</f>
        <v/>
      </c>
      <c r="L1428" s="75"/>
      <c r="M1428" s="46" t="s">
        <v>2002</v>
      </c>
    </row>
    <row r="1429">
      <c r="A1429" s="70">
        <f>IFERROR(__xludf.DUMMYFUNCTION("""COMPUTED_VALUE"""),8.077188143E9)</f>
        <v>8077188143</v>
      </c>
      <c r="B1429" s="46" t="str">
        <f>IFERROR(__xludf.DUMMYFUNCTION("""COMPUTED_VALUE"""),"Rashmi Gupta")</f>
        <v>Rashmi Gupta</v>
      </c>
      <c r="C1429" s="5" t="s">
        <v>2002</v>
      </c>
      <c r="D1429" s="5"/>
      <c r="E1429" s="5"/>
      <c r="F1429" s="5"/>
      <c r="G1429" s="5"/>
      <c r="H1429" s="5"/>
      <c r="I1429" s="5"/>
      <c r="J1429" s="73"/>
      <c r="K1429" s="75" t="str">
        <f>IFERROR(__xludf.DUMMYFUNCTION("""COMPUTED_VALUE"""),"")</f>
        <v/>
      </c>
      <c r="L1429" s="75"/>
      <c r="M1429" s="46" t="s">
        <v>2002</v>
      </c>
    </row>
    <row r="1430">
      <c r="A1430" s="70">
        <f>IFERROR(__xludf.DUMMYFUNCTION("""COMPUTED_VALUE"""),9.811279686E9)</f>
        <v>9811279686</v>
      </c>
      <c r="B1430" s="46" t="str">
        <f>IFERROR(__xludf.DUMMYFUNCTION("""COMPUTED_VALUE"""),"Sibodh Bhatnagar ")</f>
        <v>Sibodh Bhatnagar </v>
      </c>
      <c r="C1430" s="5" t="s">
        <v>2002</v>
      </c>
      <c r="D1430" s="5"/>
      <c r="E1430" s="5"/>
      <c r="F1430" s="5"/>
      <c r="G1430" s="5"/>
      <c r="H1430" s="5"/>
      <c r="I1430" s="5"/>
      <c r="J1430" s="73"/>
      <c r="K1430" s="75" t="str">
        <f>IFERROR(__xludf.DUMMYFUNCTION("""COMPUTED_VALUE"""),"")</f>
        <v/>
      </c>
      <c r="L1430" s="75"/>
      <c r="M1430" s="46" t="s">
        <v>2002</v>
      </c>
    </row>
    <row r="1431">
      <c r="A1431" s="70">
        <f>IFERROR(__xludf.DUMMYFUNCTION("""COMPUTED_VALUE"""),8.447016952E9)</f>
        <v>8447016952</v>
      </c>
      <c r="B1431" s="46" t="str">
        <f>IFERROR(__xludf.DUMMYFUNCTION("""COMPUTED_VALUE"""),"Sumit ")</f>
        <v>Sumit </v>
      </c>
      <c r="C1431" s="5" t="s">
        <v>2002</v>
      </c>
      <c r="D1431" s="5"/>
      <c r="E1431" s="5"/>
      <c r="F1431" s="5"/>
      <c r="G1431" s="5"/>
      <c r="H1431" s="5"/>
      <c r="I1431" s="5"/>
      <c r="J1431" s="73"/>
      <c r="K1431" s="75" t="str">
        <f>IFERROR(__xludf.DUMMYFUNCTION("""COMPUTED_VALUE"""),"")</f>
        <v/>
      </c>
      <c r="L1431" s="75"/>
      <c r="M1431" s="46" t="s">
        <v>2002</v>
      </c>
    </row>
    <row r="1432">
      <c r="A1432" s="70">
        <f>IFERROR(__xludf.DUMMYFUNCTION("""COMPUTED_VALUE"""),9.889797354E9)</f>
        <v>9889797354</v>
      </c>
      <c r="B1432" s="46" t="str">
        <f>IFERROR(__xludf.DUMMYFUNCTION("""COMPUTED_VALUE"""),"Subhash Shukla ")</f>
        <v>Subhash Shukla </v>
      </c>
      <c r="C1432" s="5" t="s">
        <v>2002</v>
      </c>
      <c r="D1432" s="5"/>
      <c r="E1432" s="5"/>
      <c r="F1432" s="5"/>
      <c r="G1432" s="5"/>
      <c r="H1432" s="5"/>
      <c r="I1432" s="5"/>
      <c r="J1432" s="73"/>
      <c r="K1432" s="75" t="str">
        <f>IFERROR(__xludf.DUMMYFUNCTION("""COMPUTED_VALUE"""),"")</f>
        <v/>
      </c>
      <c r="L1432" s="75"/>
      <c r="M1432" s="46" t="s">
        <v>2002</v>
      </c>
    </row>
    <row r="1433">
      <c r="A1433" s="70">
        <f>IFERROR(__xludf.DUMMYFUNCTION("""COMPUTED_VALUE"""),9.268744806E9)</f>
        <v>9268744806</v>
      </c>
      <c r="B1433" s="46" t="str">
        <f>IFERROR(__xludf.DUMMYFUNCTION("""COMPUTED_VALUE"""),"Krishan Prasad ")</f>
        <v>Krishan Prasad </v>
      </c>
      <c r="C1433" s="5" t="s">
        <v>2002</v>
      </c>
      <c r="D1433" s="5"/>
      <c r="E1433" s="5"/>
      <c r="F1433" s="5"/>
      <c r="G1433" s="5"/>
      <c r="H1433" s="5"/>
      <c r="I1433" s="5"/>
      <c r="J1433" s="73"/>
      <c r="K1433" s="75" t="str">
        <f>IFERROR(__xludf.DUMMYFUNCTION("""COMPUTED_VALUE"""),"")</f>
        <v/>
      </c>
      <c r="L1433" s="75"/>
      <c r="M1433" s="46" t="s">
        <v>2002</v>
      </c>
    </row>
    <row r="1434">
      <c r="A1434" s="70">
        <f>IFERROR(__xludf.DUMMYFUNCTION("""COMPUTED_VALUE"""),9.68000603E9)</f>
        <v>9680006030</v>
      </c>
      <c r="B1434" s="46" t="str">
        <f>IFERROR(__xludf.DUMMYFUNCTION("""COMPUTED_VALUE"""),"Adeeb")</f>
        <v>Adeeb</v>
      </c>
      <c r="C1434" s="5" t="s">
        <v>2002</v>
      </c>
      <c r="D1434" s="5"/>
      <c r="E1434" s="5"/>
      <c r="F1434" s="5"/>
      <c r="G1434" s="5"/>
      <c r="H1434" s="5"/>
      <c r="I1434" s="5"/>
      <c r="J1434" s="73"/>
      <c r="K1434" s="75" t="str">
        <f>IFERROR(__xludf.DUMMYFUNCTION("""COMPUTED_VALUE"""),"")</f>
        <v/>
      </c>
      <c r="L1434" s="75"/>
      <c r="M1434" s="46" t="s">
        <v>2002</v>
      </c>
    </row>
    <row r="1435">
      <c r="A1435" s="70">
        <f>IFERROR(__xludf.DUMMYFUNCTION("""COMPUTED_VALUE"""),9.354266303E9)</f>
        <v>9354266303</v>
      </c>
      <c r="B1435" s="46" t="str">
        <f>IFERROR(__xludf.DUMMYFUNCTION("""COMPUTED_VALUE"""),"Khushboo gupta")</f>
        <v>Khushboo gupta</v>
      </c>
      <c r="C1435" s="5" t="s">
        <v>2002</v>
      </c>
      <c r="D1435" s="5"/>
      <c r="E1435" s="5"/>
      <c r="F1435" s="5"/>
      <c r="G1435" s="5"/>
      <c r="H1435" s="5"/>
      <c r="I1435" s="5"/>
      <c r="J1435" s="73"/>
      <c r="K1435" s="75" t="str">
        <f>IFERROR(__xludf.DUMMYFUNCTION("""COMPUTED_VALUE"""),"")</f>
        <v/>
      </c>
      <c r="L1435" s="75"/>
      <c r="M1435" s="46" t="s">
        <v>2002</v>
      </c>
    </row>
    <row r="1436">
      <c r="A1436" s="70">
        <f>IFERROR(__xludf.DUMMYFUNCTION("""COMPUTED_VALUE"""),9.910822313E9)</f>
        <v>9910822313</v>
      </c>
      <c r="B1436" s="46" t="str">
        <f>IFERROR(__xludf.DUMMYFUNCTION("""COMPUTED_VALUE"""),"Ravi")</f>
        <v>Ravi</v>
      </c>
      <c r="C1436" s="5" t="s">
        <v>2002</v>
      </c>
      <c r="D1436" s="5"/>
      <c r="E1436" s="5"/>
      <c r="F1436" s="5"/>
      <c r="G1436" s="5"/>
      <c r="H1436" s="5"/>
      <c r="I1436" s="5"/>
      <c r="J1436" s="73"/>
      <c r="K1436" s="75" t="str">
        <f>IFERROR(__xludf.DUMMYFUNCTION("""COMPUTED_VALUE"""),"")</f>
        <v/>
      </c>
      <c r="L1436" s="75"/>
      <c r="M1436" s="46" t="s">
        <v>2002</v>
      </c>
    </row>
    <row r="1437">
      <c r="A1437" s="70">
        <f>IFERROR(__xludf.DUMMYFUNCTION("""COMPUTED_VALUE"""),8.171613405E9)</f>
        <v>8171613405</v>
      </c>
      <c r="B1437" s="46" t="str">
        <f>IFERROR(__xludf.DUMMYFUNCTION("""COMPUTED_VALUE"""),"jyoti")</f>
        <v>jyoti</v>
      </c>
      <c r="C1437" s="5" t="s">
        <v>2002</v>
      </c>
      <c r="D1437" s="5"/>
      <c r="E1437" s="5"/>
      <c r="F1437" s="5"/>
      <c r="G1437" s="5"/>
      <c r="H1437" s="5"/>
      <c r="I1437" s="5"/>
      <c r="J1437" s="73"/>
      <c r="K1437" s="75" t="str">
        <f>IFERROR(__xludf.DUMMYFUNCTION("""COMPUTED_VALUE"""),"")</f>
        <v/>
      </c>
      <c r="L1437" s="75"/>
      <c r="M1437" s="46" t="s">
        <v>2002</v>
      </c>
    </row>
    <row r="1438">
      <c r="A1438" s="70">
        <f>IFERROR(__xludf.DUMMYFUNCTION("""COMPUTED_VALUE"""),9.136053256E9)</f>
        <v>9136053256</v>
      </c>
      <c r="B1438" s="46" t="str">
        <f>IFERROR(__xludf.DUMMYFUNCTION("""COMPUTED_VALUE"""),"Kamal singh rathore")</f>
        <v>Kamal singh rathore</v>
      </c>
      <c r="C1438" s="5" t="s">
        <v>2002</v>
      </c>
      <c r="D1438" s="5"/>
      <c r="E1438" s="5"/>
      <c r="F1438" s="5"/>
      <c r="G1438" s="5"/>
      <c r="H1438" s="5"/>
      <c r="I1438" s="5"/>
      <c r="J1438" s="73"/>
      <c r="K1438" s="75" t="str">
        <f>IFERROR(__xludf.DUMMYFUNCTION("""COMPUTED_VALUE"""),"")</f>
        <v/>
      </c>
      <c r="L1438" s="75"/>
      <c r="M1438" s="46" t="s">
        <v>2002</v>
      </c>
    </row>
    <row r="1439">
      <c r="A1439" s="70">
        <f>IFERROR(__xludf.DUMMYFUNCTION("""COMPUTED_VALUE"""),8.920796992E9)</f>
        <v>8920796992</v>
      </c>
      <c r="B1439" s="46" t="str">
        <f>IFERROR(__xludf.DUMMYFUNCTION("""COMPUTED_VALUE"""),"Alisha")</f>
        <v>Alisha</v>
      </c>
      <c r="C1439" s="5" t="s">
        <v>2002</v>
      </c>
      <c r="D1439" s="5"/>
      <c r="E1439" s="5"/>
      <c r="F1439" s="5"/>
      <c r="G1439" s="5"/>
      <c r="H1439" s="5"/>
      <c r="I1439" s="5"/>
      <c r="J1439" s="73"/>
      <c r="K1439" s="75" t="str">
        <f>IFERROR(__xludf.DUMMYFUNCTION("""COMPUTED_VALUE"""),"")</f>
        <v/>
      </c>
      <c r="L1439" s="75"/>
      <c r="M1439" s="46" t="s">
        <v>2002</v>
      </c>
    </row>
    <row r="1440">
      <c r="A1440" s="70">
        <f>IFERROR(__xludf.DUMMYFUNCTION("""COMPUTED_VALUE"""),9.999144457E9)</f>
        <v>9999144457</v>
      </c>
      <c r="B1440" s="46" t="str">
        <f>IFERROR(__xludf.DUMMYFUNCTION("""COMPUTED_VALUE"""),"Sharaniya")</f>
        <v>Sharaniya</v>
      </c>
      <c r="C1440" s="5" t="s">
        <v>2002</v>
      </c>
      <c r="D1440" s="5"/>
      <c r="E1440" s="5"/>
      <c r="F1440" s="5"/>
      <c r="G1440" s="5"/>
      <c r="H1440" s="5"/>
      <c r="I1440" s="5"/>
      <c r="J1440" s="73"/>
      <c r="K1440" s="75" t="str">
        <f>IFERROR(__xludf.DUMMYFUNCTION("""COMPUTED_VALUE"""),"")</f>
        <v/>
      </c>
      <c r="L1440" s="75"/>
      <c r="M1440" s="46" t="s">
        <v>2002</v>
      </c>
    </row>
    <row r="1441">
      <c r="A1441" s="70">
        <f>IFERROR(__xludf.DUMMYFUNCTION("""COMPUTED_VALUE"""),9.654858268E9)</f>
        <v>9654858268</v>
      </c>
      <c r="B1441" s="46" t="str">
        <f>IFERROR(__xludf.DUMMYFUNCTION("""COMPUTED_VALUE"""),"Radhika ")</f>
        <v>Radhika </v>
      </c>
      <c r="C1441" s="5" t="s">
        <v>2002</v>
      </c>
      <c r="D1441" s="5"/>
      <c r="E1441" s="5"/>
      <c r="F1441" s="5"/>
      <c r="G1441" s="5"/>
      <c r="H1441" s="5"/>
      <c r="I1441" s="5"/>
      <c r="J1441" s="73"/>
      <c r="K1441" s="75" t="str">
        <f>IFERROR(__xludf.DUMMYFUNCTION("""COMPUTED_VALUE"""),"")</f>
        <v/>
      </c>
      <c r="L1441" s="75"/>
      <c r="M1441" s="46" t="s">
        <v>2002</v>
      </c>
    </row>
    <row r="1442">
      <c r="A1442" s="70">
        <f>IFERROR(__xludf.DUMMYFUNCTION("""COMPUTED_VALUE"""),9.971655934E9)</f>
        <v>9971655934</v>
      </c>
      <c r="B1442" s="46" t="str">
        <f>IFERROR(__xludf.DUMMYFUNCTION("""COMPUTED_VALUE"""),"Rajat gupta")</f>
        <v>Rajat gupta</v>
      </c>
      <c r="C1442" s="5" t="s">
        <v>2002</v>
      </c>
      <c r="D1442" s="5"/>
      <c r="E1442" s="5"/>
      <c r="F1442" s="5"/>
      <c r="G1442" s="5"/>
      <c r="H1442" s="5"/>
      <c r="I1442" s="5"/>
      <c r="J1442" s="73"/>
      <c r="K1442" s="75" t="str">
        <f>IFERROR(__xludf.DUMMYFUNCTION("""COMPUTED_VALUE"""),"")</f>
        <v/>
      </c>
      <c r="L1442" s="75"/>
      <c r="M1442" s="46" t="s">
        <v>2002</v>
      </c>
    </row>
    <row r="1443">
      <c r="A1443" s="70">
        <f>IFERROR(__xludf.DUMMYFUNCTION("""COMPUTED_VALUE"""),9.86878787E9)</f>
        <v>9868787870</v>
      </c>
      <c r="B1443" s="46" t="str">
        <f>IFERROR(__xludf.DUMMYFUNCTION("""COMPUTED_VALUE"""),"Abhishek tyagi")</f>
        <v>Abhishek tyagi</v>
      </c>
      <c r="C1443" s="5" t="s">
        <v>2002</v>
      </c>
      <c r="D1443" s="5"/>
      <c r="E1443" s="5"/>
      <c r="F1443" s="5"/>
      <c r="G1443" s="5"/>
      <c r="H1443" s="5"/>
      <c r="I1443" s="5"/>
      <c r="J1443" s="73"/>
      <c r="K1443" s="75" t="str">
        <f>IFERROR(__xludf.DUMMYFUNCTION("""COMPUTED_VALUE"""),"")</f>
        <v/>
      </c>
      <c r="L1443" s="75"/>
      <c r="M1443" s="46" t="s">
        <v>2002</v>
      </c>
    </row>
    <row r="1444">
      <c r="A1444" s="70">
        <f>IFERROR(__xludf.DUMMYFUNCTION("""COMPUTED_VALUE"""),9.873749607E9)</f>
        <v>9873749607</v>
      </c>
      <c r="B1444" s="46" t="str">
        <f>IFERROR(__xludf.DUMMYFUNCTION("""COMPUTED_VALUE"""),"Laxmi ")</f>
        <v>Laxmi </v>
      </c>
      <c r="C1444" s="5" t="s">
        <v>2002</v>
      </c>
      <c r="D1444" s="5"/>
      <c r="E1444" s="5"/>
      <c r="F1444" s="5"/>
      <c r="G1444" s="5"/>
      <c r="H1444" s="5"/>
      <c r="I1444" s="5"/>
      <c r="J1444" s="73"/>
      <c r="K1444" s="75" t="str">
        <f>IFERROR(__xludf.DUMMYFUNCTION("""COMPUTED_VALUE"""),"")</f>
        <v/>
      </c>
      <c r="L1444" s="75"/>
      <c r="M1444" s="46" t="s">
        <v>2002</v>
      </c>
    </row>
    <row r="1445">
      <c r="A1445" s="70">
        <f>IFERROR(__xludf.DUMMYFUNCTION("""COMPUTED_VALUE"""),9.871969581E9)</f>
        <v>9871969581</v>
      </c>
      <c r="B1445" s="46" t="str">
        <f>IFERROR(__xludf.DUMMYFUNCTION("""COMPUTED_VALUE"""),"Hari singh")</f>
        <v>Hari singh</v>
      </c>
      <c r="C1445" s="5" t="s">
        <v>2002</v>
      </c>
      <c r="D1445" s="5"/>
      <c r="E1445" s="5"/>
      <c r="F1445" s="5"/>
      <c r="G1445" s="5"/>
      <c r="H1445" s="5"/>
      <c r="I1445" s="5"/>
      <c r="J1445" s="73"/>
      <c r="K1445" s="75" t="str">
        <f>IFERROR(__xludf.DUMMYFUNCTION("""COMPUTED_VALUE"""),"")</f>
        <v/>
      </c>
      <c r="L1445" s="75"/>
      <c r="M1445" s="46" t="s">
        <v>2002</v>
      </c>
    </row>
    <row r="1446">
      <c r="A1446" s="70">
        <f>IFERROR(__xludf.DUMMYFUNCTION("""COMPUTED_VALUE"""),9.911415882E9)</f>
        <v>9911415882</v>
      </c>
      <c r="B1446" s="46" t="str">
        <f>IFERROR(__xludf.DUMMYFUNCTION("""COMPUTED_VALUE"""),"Dr.khushnoor Alam PT")</f>
        <v>Dr.khushnoor Alam PT</v>
      </c>
      <c r="C1446" s="5" t="s">
        <v>2002</v>
      </c>
      <c r="D1446" s="5"/>
      <c r="E1446" s="5"/>
      <c r="F1446" s="5"/>
      <c r="G1446" s="5"/>
      <c r="H1446" s="5"/>
      <c r="I1446" s="5"/>
      <c r="J1446" s="73"/>
      <c r="K1446" s="75" t="str">
        <f>IFERROR(__xludf.DUMMYFUNCTION("""COMPUTED_VALUE"""),"")</f>
        <v/>
      </c>
      <c r="L1446" s="75"/>
      <c r="M1446" s="46" t="s">
        <v>2002</v>
      </c>
    </row>
    <row r="1447">
      <c r="A1447" s="70">
        <f>IFERROR(__xludf.DUMMYFUNCTION("""COMPUTED_VALUE"""),9.87101012E9)</f>
        <v>9871010120</v>
      </c>
      <c r="B1447" s="46" t="str">
        <f>IFERROR(__xludf.DUMMYFUNCTION("""COMPUTED_VALUE"""),"Ashok singhal")</f>
        <v>Ashok singhal</v>
      </c>
      <c r="C1447" s="5" t="s">
        <v>2002</v>
      </c>
      <c r="D1447" s="5"/>
      <c r="E1447" s="5"/>
      <c r="F1447" s="5"/>
      <c r="G1447" s="5"/>
      <c r="H1447" s="5"/>
      <c r="I1447" s="5"/>
      <c r="J1447" s="73"/>
      <c r="K1447" s="75" t="str">
        <f>IFERROR(__xludf.DUMMYFUNCTION("""COMPUTED_VALUE"""),"")</f>
        <v/>
      </c>
      <c r="L1447" s="75"/>
      <c r="M1447" s="46" t="s">
        <v>2002</v>
      </c>
    </row>
    <row r="1448">
      <c r="A1448" s="70">
        <f>IFERROR(__xludf.DUMMYFUNCTION("""COMPUTED_VALUE"""),9.899991666E9)</f>
        <v>9899991666</v>
      </c>
      <c r="B1448" s="46" t="str">
        <f>IFERROR(__xludf.DUMMYFUNCTION("""COMPUTED_VALUE"""),"Manush tyagi")</f>
        <v>Manush tyagi</v>
      </c>
      <c r="C1448" s="5" t="s">
        <v>2002</v>
      </c>
      <c r="D1448" s="5"/>
      <c r="E1448" s="5"/>
      <c r="F1448" s="5"/>
      <c r="G1448" s="5"/>
      <c r="H1448" s="5"/>
      <c r="I1448" s="5"/>
      <c r="J1448" s="73"/>
      <c r="K1448" s="75" t="str">
        <f>IFERROR(__xludf.DUMMYFUNCTION("""COMPUTED_VALUE"""),"")</f>
        <v/>
      </c>
      <c r="L1448" s="75"/>
      <c r="M1448" s="46" t="s">
        <v>2002</v>
      </c>
    </row>
    <row r="1449">
      <c r="A1449" s="70">
        <f>IFERROR(__xludf.DUMMYFUNCTION("""COMPUTED_VALUE"""),8.004655555E9)</f>
        <v>8004655555</v>
      </c>
      <c r="B1449" s="46" t="str">
        <f>IFERROR(__xludf.DUMMYFUNCTION("""COMPUTED_VALUE"""),"Brij bhushan rajput")</f>
        <v>Brij bhushan rajput</v>
      </c>
      <c r="C1449" s="5" t="s">
        <v>2002</v>
      </c>
      <c r="D1449" s="5"/>
      <c r="E1449" s="5"/>
      <c r="F1449" s="5"/>
      <c r="G1449" s="5"/>
      <c r="H1449" s="5"/>
      <c r="I1449" s="5"/>
      <c r="J1449" s="73"/>
      <c r="K1449" s="75" t="str">
        <f>IFERROR(__xludf.DUMMYFUNCTION("""COMPUTED_VALUE"""),"")</f>
        <v/>
      </c>
      <c r="L1449" s="75"/>
      <c r="M1449" s="46" t="s">
        <v>2002</v>
      </c>
    </row>
    <row r="1450">
      <c r="A1450" s="70">
        <f>IFERROR(__xludf.DUMMYFUNCTION("""COMPUTED_VALUE"""),9.891576099E9)</f>
        <v>9891576099</v>
      </c>
      <c r="B1450" s="46" t="str">
        <f>IFERROR(__xludf.DUMMYFUNCTION("""COMPUTED_VALUE"""),"Rajesh Kumar Prasad ")</f>
        <v>Rajesh Kumar Prasad </v>
      </c>
      <c r="C1450" s="5" t="s">
        <v>2002</v>
      </c>
      <c r="D1450" s="5"/>
      <c r="E1450" s="5"/>
      <c r="F1450" s="5"/>
      <c r="G1450" s="5"/>
      <c r="H1450" s="5"/>
      <c r="I1450" s="5"/>
      <c r="J1450" s="73"/>
      <c r="K1450" s="75" t="str">
        <f>IFERROR(__xludf.DUMMYFUNCTION("""COMPUTED_VALUE"""),"")</f>
        <v/>
      </c>
      <c r="L1450" s="75"/>
      <c r="M1450" s="46" t="s">
        <v>2002</v>
      </c>
    </row>
    <row r="1451">
      <c r="A1451" s="70">
        <f>IFERROR(__xludf.DUMMYFUNCTION("""COMPUTED_VALUE"""),9.212691224E9)</f>
        <v>9212691224</v>
      </c>
      <c r="B1451" s="46" t="str">
        <f>IFERROR(__xludf.DUMMYFUNCTION("""COMPUTED_VALUE"""),"Mukesh Kumar varshney")</f>
        <v>Mukesh Kumar varshney</v>
      </c>
      <c r="C1451" s="5" t="s">
        <v>2002</v>
      </c>
      <c r="D1451" s="5"/>
      <c r="E1451" s="5"/>
      <c r="F1451" s="5"/>
      <c r="G1451" s="5"/>
      <c r="H1451" s="5"/>
      <c r="I1451" s="5"/>
      <c r="J1451" s="73"/>
      <c r="K1451" s="75" t="str">
        <f>IFERROR(__xludf.DUMMYFUNCTION("""COMPUTED_VALUE"""),"")</f>
        <v/>
      </c>
      <c r="L1451" s="75"/>
      <c r="M1451" s="46" t="s">
        <v>2002</v>
      </c>
    </row>
    <row r="1452">
      <c r="A1452" s="70">
        <f>IFERROR(__xludf.DUMMYFUNCTION("""COMPUTED_VALUE"""),9.931260165E9)</f>
        <v>9931260165</v>
      </c>
      <c r="B1452" s="46" t="str">
        <f>IFERROR(__xludf.DUMMYFUNCTION("""COMPUTED_VALUE"""),"Aayush Aggrawal")</f>
        <v>Aayush Aggrawal</v>
      </c>
      <c r="C1452" s="5" t="s">
        <v>2002</v>
      </c>
      <c r="D1452" s="5"/>
      <c r="E1452" s="5"/>
      <c r="F1452" s="5"/>
      <c r="G1452" s="5"/>
      <c r="H1452" s="5"/>
      <c r="I1452" s="5"/>
      <c r="J1452" s="73"/>
      <c r="K1452" s="75" t="str">
        <f>IFERROR(__xludf.DUMMYFUNCTION("""COMPUTED_VALUE"""),"")</f>
        <v/>
      </c>
      <c r="L1452" s="75"/>
      <c r="M1452" s="46" t="s">
        <v>2002</v>
      </c>
    </row>
    <row r="1453">
      <c r="A1453" s="70">
        <f>IFERROR(__xludf.DUMMYFUNCTION("""COMPUTED_VALUE"""),8.447569752E9)</f>
        <v>8447569752</v>
      </c>
      <c r="B1453" s="46" t="str">
        <f>IFERROR(__xludf.DUMMYFUNCTION("""COMPUTED_VALUE"""),"Nipun")</f>
        <v>Nipun</v>
      </c>
      <c r="C1453" s="5" t="s">
        <v>2002</v>
      </c>
      <c r="D1453" s="5"/>
      <c r="E1453" s="5"/>
      <c r="F1453" s="5"/>
      <c r="G1453" s="5"/>
      <c r="H1453" s="5"/>
      <c r="I1453" s="5"/>
      <c r="J1453" s="73"/>
      <c r="K1453" s="75" t="str">
        <f>IFERROR(__xludf.DUMMYFUNCTION("""COMPUTED_VALUE"""),"")</f>
        <v/>
      </c>
      <c r="L1453" s="75"/>
      <c r="M1453" s="46" t="s">
        <v>2002</v>
      </c>
    </row>
    <row r="1454">
      <c r="A1454" s="70">
        <f>IFERROR(__xludf.DUMMYFUNCTION("""COMPUTED_VALUE"""),9.899387733E9)</f>
        <v>9899387733</v>
      </c>
      <c r="B1454" s="46" t="str">
        <f>IFERROR(__xludf.DUMMYFUNCTION("""COMPUTED_VALUE"""),"Anuj verma")</f>
        <v>Anuj verma</v>
      </c>
      <c r="C1454" s="5" t="s">
        <v>2002</v>
      </c>
      <c r="D1454" s="5"/>
      <c r="E1454" s="5"/>
      <c r="F1454" s="5"/>
      <c r="G1454" s="5"/>
      <c r="H1454" s="5"/>
      <c r="I1454" s="5"/>
      <c r="J1454" s="73"/>
      <c r="K1454" s="75" t="str">
        <f>IFERROR(__xludf.DUMMYFUNCTION("""COMPUTED_VALUE"""),"")</f>
        <v/>
      </c>
      <c r="L1454" s="75"/>
      <c r="M1454" s="46" t="s">
        <v>2002</v>
      </c>
    </row>
    <row r="1455">
      <c r="A1455" s="70">
        <f>IFERROR(__xludf.DUMMYFUNCTION("""COMPUTED_VALUE"""),9.829598357E9)</f>
        <v>9829598357</v>
      </c>
      <c r="B1455" s="46" t="str">
        <f>IFERROR(__xludf.DUMMYFUNCTION("""COMPUTED_VALUE"""),"Shweta ")</f>
        <v>Shweta </v>
      </c>
      <c r="C1455" s="5" t="s">
        <v>2002</v>
      </c>
      <c r="D1455" s="5"/>
      <c r="E1455" s="5"/>
      <c r="F1455" s="5"/>
      <c r="G1455" s="5"/>
      <c r="H1455" s="5"/>
      <c r="I1455" s="5"/>
      <c r="J1455" s="73"/>
      <c r="K1455" s="75" t="str">
        <f>IFERROR(__xludf.DUMMYFUNCTION("""COMPUTED_VALUE"""),"")</f>
        <v/>
      </c>
      <c r="L1455" s="75"/>
      <c r="M1455" s="46" t="s">
        <v>2002</v>
      </c>
    </row>
    <row r="1456">
      <c r="A1456" s="70">
        <f>IFERROR(__xludf.DUMMYFUNCTION("""COMPUTED_VALUE"""),8.383892097E9)</f>
        <v>8383892097</v>
      </c>
      <c r="B1456" s="46" t="str">
        <f>IFERROR(__xludf.DUMMYFUNCTION("""COMPUTED_VALUE"""),"Pinki tapa")</f>
        <v>Pinki tapa</v>
      </c>
      <c r="C1456" s="5" t="s">
        <v>2002</v>
      </c>
      <c r="D1456" s="5"/>
      <c r="E1456" s="5"/>
      <c r="F1456" s="5"/>
      <c r="G1456" s="5"/>
      <c r="H1456" s="5"/>
      <c r="I1456" s="5"/>
      <c r="J1456" s="73"/>
      <c r="K1456" s="75" t="str">
        <f>IFERROR(__xludf.DUMMYFUNCTION("""COMPUTED_VALUE"""),"")</f>
        <v/>
      </c>
      <c r="L1456" s="75"/>
      <c r="M1456" s="46" t="s">
        <v>2002</v>
      </c>
    </row>
    <row r="1457">
      <c r="A1457" s="70">
        <f>IFERROR(__xludf.DUMMYFUNCTION("""COMPUTED_VALUE"""),8.700571292E9)</f>
        <v>8700571292</v>
      </c>
      <c r="B1457" s="46" t="str">
        <f>IFERROR(__xludf.DUMMYFUNCTION("""COMPUTED_VALUE"""),"Ashutosh pratap")</f>
        <v>Ashutosh pratap</v>
      </c>
      <c r="C1457" s="5" t="s">
        <v>2002</v>
      </c>
      <c r="D1457" s="5"/>
      <c r="E1457" s="5"/>
      <c r="F1457" s="5"/>
      <c r="G1457" s="5"/>
      <c r="H1457" s="5"/>
      <c r="I1457" s="5"/>
      <c r="J1457" s="73"/>
      <c r="K1457" s="75" t="str">
        <f>IFERROR(__xludf.DUMMYFUNCTION("""COMPUTED_VALUE"""),"")</f>
        <v/>
      </c>
      <c r="L1457" s="75"/>
      <c r="M1457" s="46" t="s">
        <v>2002</v>
      </c>
    </row>
    <row r="1458">
      <c r="A1458" s="70">
        <f>IFERROR(__xludf.DUMMYFUNCTION("""COMPUTED_VALUE"""),9.711924615E9)</f>
        <v>9711924615</v>
      </c>
      <c r="B1458" s="46" t="str">
        <f>IFERROR(__xludf.DUMMYFUNCTION("""COMPUTED_VALUE"""),"Teena")</f>
        <v>Teena</v>
      </c>
      <c r="C1458" s="5" t="s">
        <v>2002</v>
      </c>
      <c r="D1458" s="5"/>
      <c r="E1458" s="5"/>
      <c r="F1458" s="5"/>
      <c r="G1458" s="5"/>
      <c r="H1458" s="5"/>
      <c r="I1458" s="5"/>
      <c r="J1458" s="73"/>
      <c r="K1458" s="75" t="str">
        <f>IFERROR(__xludf.DUMMYFUNCTION("""COMPUTED_VALUE"""),"")</f>
        <v/>
      </c>
      <c r="L1458" s="75"/>
      <c r="M1458" s="46" t="s">
        <v>2002</v>
      </c>
    </row>
    <row r="1459">
      <c r="A1459" s="70">
        <f>IFERROR(__xludf.DUMMYFUNCTION("""COMPUTED_VALUE"""),9.971475902E9)</f>
        <v>9971475902</v>
      </c>
      <c r="B1459" s="46" t="str">
        <f>IFERROR(__xludf.DUMMYFUNCTION("""COMPUTED_VALUE"""),"Adin ")</f>
        <v>Adin </v>
      </c>
      <c r="C1459" s="5" t="s">
        <v>2002</v>
      </c>
      <c r="D1459" s="5"/>
      <c r="E1459" s="5"/>
      <c r="F1459" s="5"/>
      <c r="G1459" s="5"/>
      <c r="H1459" s="5"/>
      <c r="I1459" s="5"/>
      <c r="J1459" s="73"/>
      <c r="K1459" s="75" t="str">
        <f>IFERROR(__xludf.DUMMYFUNCTION("""COMPUTED_VALUE"""),"")</f>
        <v/>
      </c>
      <c r="L1459" s="75"/>
      <c r="M1459" s="46" t="s">
        <v>2002</v>
      </c>
    </row>
    <row r="1460">
      <c r="A1460" s="70">
        <f>IFERROR(__xludf.DUMMYFUNCTION("""COMPUTED_VALUE"""),8.826287066E9)</f>
        <v>8826287066</v>
      </c>
      <c r="B1460" s="46" t="str">
        <f>IFERROR(__xludf.DUMMYFUNCTION("""COMPUTED_VALUE"""),"Siddharth")</f>
        <v>Siddharth</v>
      </c>
      <c r="C1460" s="5" t="s">
        <v>2002</v>
      </c>
      <c r="D1460" s="5"/>
      <c r="E1460" s="5"/>
      <c r="F1460" s="5"/>
      <c r="G1460" s="5"/>
      <c r="H1460" s="5"/>
      <c r="I1460" s="5"/>
      <c r="J1460" s="73"/>
      <c r="K1460" s="75" t="str">
        <f>IFERROR(__xludf.DUMMYFUNCTION("""COMPUTED_VALUE"""),"")</f>
        <v/>
      </c>
      <c r="L1460" s="75"/>
      <c r="M1460" s="46" t="s">
        <v>2002</v>
      </c>
    </row>
    <row r="1461">
      <c r="A1461" s="70">
        <f>IFERROR(__xludf.DUMMYFUNCTION("""COMPUTED_VALUE"""),9.355092149E9)</f>
        <v>9355092149</v>
      </c>
      <c r="B1461" s="46" t="str">
        <f>IFERROR(__xludf.DUMMYFUNCTION("""COMPUTED_VALUE"""),"Ghanshyam ")</f>
        <v>Ghanshyam </v>
      </c>
      <c r="C1461" s="5" t="s">
        <v>2002</v>
      </c>
      <c r="D1461" s="5"/>
      <c r="E1461" s="5"/>
      <c r="F1461" s="5"/>
      <c r="G1461" s="5"/>
      <c r="H1461" s="5"/>
      <c r="I1461" s="5"/>
      <c r="J1461" s="73"/>
      <c r="K1461" s="75" t="str">
        <f>IFERROR(__xludf.DUMMYFUNCTION("""COMPUTED_VALUE"""),"")</f>
        <v/>
      </c>
      <c r="L1461" s="75"/>
      <c r="M1461" s="46" t="s">
        <v>2002</v>
      </c>
    </row>
    <row r="1462">
      <c r="A1462" s="70">
        <f>IFERROR(__xludf.DUMMYFUNCTION("""COMPUTED_VALUE"""),7.982522588E9)</f>
        <v>7982522588</v>
      </c>
      <c r="B1462" s="46" t="str">
        <f>IFERROR(__xludf.DUMMYFUNCTION("""COMPUTED_VALUE"""),"Krishna ")</f>
        <v>Krishna </v>
      </c>
      <c r="C1462" s="5" t="s">
        <v>2002</v>
      </c>
      <c r="D1462" s="5"/>
      <c r="E1462" s="5"/>
      <c r="F1462" s="5"/>
      <c r="G1462" s="5"/>
      <c r="H1462" s="5"/>
      <c r="I1462" s="5"/>
      <c r="J1462" s="73"/>
      <c r="K1462" s="75" t="str">
        <f>IFERROR(__xludf.DUMMYFUNCTION("""COMPUTED_VALUE"""),"")</f>
        <v/>
      </c>
      <c r="L1462" s="75"/>
      <c r="M1462" s="46" t="s">
        <v>2002</v>
      </c>
    </row>
    <row r="1463">
      <c r="A1463" s="70">
        <f>IFERROR(__xludf.DUMMYFUNCTION("""COMPUTED_VALUE"""),9.811433384E9)</f>
        <v>9811433384</v>
      </c>
      <c r="B1463" s="46" t="str">
        <f>IFERROR(__xludf.DUMMYFUNCTION("""COMPUTED_VALUE"""),"Yash kumar")</f>
        <v>Yash kumar</v>
      </c>
      <c r="C1463" s="5" t="s">
        <v>2002</v>
      </c>
      <c r="D1463" s="5"/>
      <c r="E1463" s="5"/>
      <c r="F1463" s="5"/>
      <c r="G1463" s="5"/>
      <c r="H1463" s="5"/>
      <c r="I1463" s="5"/>
      <c r="J1463" s="73"/>
      <c r="K1463" s="75" t="str">
        <f>IFERROR(__xludf.DUMMYFUNCTION("""COMPUTED_VALUE"""),"")</f>
        <v/>
      </c>
      <c r="L1463" s="75"/>
      <c r="M1463" s="46" t="s">
        <v>2002</v>
      </c>
    </row>
    <row r="1464">
      <c r="A1464" s="70">
        <f>IFERROR(__xludf.DUMMYFUNCTION("""COMPUTED_VALUE"""),9.911778988E9)</f>
        <v>9911778988</v>
      </c>
      <c r="B1464" s="46" t="str">
        <f>IFERROR(__xludf.DUMMYFUNCTION("""COMPUTED_VALUE"""),"Rishabh ")</f>
        <v>Rishabh </v>
      </c>
      <c r="C1464" s="5" t="s">
        <v>2002</v>
      </c>
      <c r="D1464" s="5"/>
      <c r="E1464" s="5"/>
      <c r="F1464" s="5"/>
      <c r="G1464" s="5"/>
      <c r="H1464" s="5"/>
      <c r="I1464" s="5"/>
      <c r="J1464" s="73"/>
      <c r="K1464" s="75" t="str">
        <f>IFERROR(__xludf.DUMMYFUNCTION("""COMPUTED_VALUE"""),"")</f>
        <v/>
      </c>
      <c r="L1464" s="75"/>
      <c r="M1464" s="46" t="s">
        <v>2002</v>
      </c>
    </row>
    <row r="1465">
      <c r="A1465" s="70">
        <f>IFERROR(__xludf.DUMMYFUNCTION("""COMPUTED_VALUE"""),9.968385274E9)</f>
        <v>9968385274</v>
      </c>
      <c r="B1465" s="46" t="str">
        <f>IFERROR(__xludf.DUMMYFUNCTION("""COMPUTED_VALUE"""),"Laxmi")</f>
        <v>Laxmi</v>
      </c>
      <c r="C1465" s="5" t="s">
        <v>2002</v>
      </c>
      <c r="D1465" s="5"/>
      <c r="E1465" s="5"/>
      <c r="F1465" s="5"/>
      <c r="G1465" s="5"/>
      <c r="H1465" s="5"/>
      <c r="I1465" s="5"/>
      <c r="J1465" s="73"/>
      <c r="K1465" s="75" t="str">
        <f>IFERROR(__xludf.DUMMYFUNCTION("""COMPUTED_VALUE"""),"")</f>
        <v/>
      </c>
      <c r="L1465" s="75"/>
      <c r="M1465" s="46" t="s">
        <v>2002</v>
      </c>
    </row>
    <row r="1466">
      <c r="A1466" s="70">
        <f>IFERROR(__xludf.DUMMYFUNCTION("""COMPUTED_VALUE"""),9.899105407E9)</f>
        <v>9899105407</v>
      </c>
      <c r="B1466" s="46" t="str">
        <f>IFERROR(__xludf.DUMMYFUNCTION("""COMPUTED_VALUE"""),"Jyoti")</f>
        <v>Jyoti</v>
      </c>
      <c r="C1466" s="5" t="s">
        <v>2002</v>
      </c>
      <c r="D1466" s="5"/>
      <c r="E1466" s="5"/>
      <c r="F1466" s="5"/>
      <c r="G1466" s="5"/>
      <c r="H1466" s="5"/>
      <c r="I1466" s="5"/>
      <c r="J1466" s="73"/>
      <c r="K1466" s="75" t="str">
        <f>IFERROR(__xludf.DUMMYFUNCTION("""COMPUTED_VALUE"""),"")</f>
        <v/>
      </c>
      <c r="L1466" s="75"/>
      <c r="M1466" s="46" t="s">
        <v>2002</v>
      </c>
    </row>
    <row r="1467">
      <c r="A1467" s="70">
        <f>IFERROR(__xludf.DUMMYFUNCTION("""COMPUTED_VALUE"""),9.311189826E9)</f>
        <v>9311189826</v>
      </c>
      <c r="B1467" s="46" t="str">
        <f>IFERROR(__xludf.DUMMYFUNCTION("""COMPUTED_VALUE"""),"Rakesh ")</f>
        <v>Rakesh </v>
      </c>
      <c r="C1467" s="5" t="s">
        <v>2002</v>
      </c>
      <c r="D1467" s="5"/>
      <c r="E1467" s="5"/>
      <c r="F1467" s="5"/>
      <c r="G1467" s="5"/>
      <c r="H1467" s="5"/>
      <c r="I1467" s="5"/>
      <c r="J1467" s="73"/>
      <c r="K1467" s="75" t="str">
        <f>IFERROR(__xludf.DUMMYFUNCTION("""COMPUTED_VALUE"""),"")</f>
        <v/>
      </c>
      <c r="L1467" s="75"/>
      <c r="M1467" s="46" t="s">
        <v>2002</v>
      </c>
    </row>
    <row r="1468">
      <c r="A1468" s="70">
        <f>IFERROR(__xludf.DUMMYFUNCTION("""COMPUTED_VALUE"""),9.157508532E9)</f>
        <v>9157508532</v>
      </c>
      <c r="B1468" s="46" t="str">
        <f>IFERROR(__xludf.DUMMYFUNCTION("""COMPUTED_VALUE"""),"Anvesha Gupta")</f>
        <v>Anvesha Gupta</v>
      </c>
      <c r="C1468" s="5" t="s">
        <v>2002</v>
      </c>
      <c r="D1468" s="5"/>
      <c r="E1468" s="5"/>
      <c r="F1468" s="5"/>
      <c r="G1468" s="5"/>
      <c r="H1468" s="5"/>
      <c r="I1468" s="5"/>
      <c r="J1468" s="73"/>
      <c r="K1468" s="75" t="str">
        <f>IFERROR(__xludf.DUMMYFUNCTION("""COMPUTED_VALUE"""),"")</f>
        <v/>
      </c>
      <c r="L1468" s="75"/>
      <c r="M1468" s="46" t="s">
        <v>2002</v>
      </c>
    </row>
    <row r="1469">
      <c r="A1469" s="70">
        <f>IFERROR(__xludf.DUMMYFUNCTION("""COMPUTED_VALUE"""),9.354445455E9)</f>
        <v>9354445455</v>
      </c>
      <c r="B1469" s="46" t="str">
        <f>IFERROR(__xludf.DUMMYFUNCTION("""COMPUTED_VALUE"""),"Preeti Rani")</f>
        <v>Preeti Rani</v>
      </c>
      <c r="C1469" s="5" t="s">
        <v>2002</v>
      </c>
      <c r="D1469" s="5"/>
      <c r="E1469" s="5"/>
      <c r="F1469" s="5"/>
      <c r="G1469" s="5"/>
      <c r="H1469" s="5"/>
      <c r="I1469" s="5"/>
      <c r="J1469" s="73"/>
      <c r="K1469" s="75" t="str">
        <f>IFERROR(__xludf.DUMMYFUNCTION("""COMPUTED_VALUE"""),"")</f>
        <v/>
      </c>
      <c r="L1469" s="75"/>
      <c r="M1469" s="46" t="s">
        <v>2002</v>
      </c>
    </row>
    <row r="1470">
      <c r="A1470" s="70">
        <f>IFERROR(__xludf.DUMMYFUNCTION("""COMPUTED_VALUE"""),9.54088803E9)</f>
        <v>9540888030</v>
      </c>
      <c r="B1470" s="46" t="str">
        <f>IFERROR(__xludf.DUMMYFUNCTION("""COMPUTED_VALUE"""),"Bandana ")</f>
        <v>Bandana </v>
      </c>
      <c r="C1470" s="5" t="s">
        <v>2002</v>
      </c>
      <c r="D1470" s="5"/>
      <c r="E1470" s="5"/>
      <c r="F1470" s="5"/>
      <c r="G1470" s="5"/>
      <c r="H1470" s="5"/>
      <c r="I1470" s="5"/>
      <c r="J1470" s="73"/>
      <c r="K1470" s="75" t="str">
        <f>IFERROR(__xludf.DUMMYFUNCTION("""COMPUTED_VALUE"""),"")</f>
        <v/>
      </c>
      <c r="L1470" s="75"/>
      <c r="M1470" s="46" t="s">
        <v>2002</v>
      </c>
    </row>
    <row r="1471">
      <c r="A1471" s="70">
        <f>IFERROR(__xludf.DUMMYFUNCTION("""COMPUTED_VALUE"""),9.430331256E9)</f>
        <v>9430331256</v>
      </c>
      <c r="B1471" s="46" t="str">
        <f>IFERROR(__xludf.DUMMYFUNCTION("""COMPUTED_VALUE"""),"Ravi Gupta")</f>
        <v>Ravi Gupta</v>
      </c>
      <c r="C1471" s="5" t="s">
        <v>2002</v>
      </c>
      <c r="D1471" s="5"/>
      <c r="E1471" s="5"/>
      <c r="F1471" s="5"/>
      <c r="G1471" s="5"/>
      <c r="H1471" s="5"/>
      <c r="I1471" s="5"/>
      <c r="J1471" s="73"/>
      <c r="K1471" s="75" t="str">
        <f>IFERROR(__xludf.DUMMYFUNCTION("""COMPUTED_VALUE"""),"")</f>
        <v/>
      </c>
      <c r="L1471" s="75"/>
      <c r="M1471" s="46" t="s">
        <v>2002</v>
      </c>
    </row>
    <row r="1472">
      <c r="A1472" s="70">
        <f>IFERROR(__xludf.DUMMYFUNCTION("""COMPUTED_VALUE"""),9.999360204E9)</f>
        <v>9999360204</v>
      </c>
      <c r="B1472" s="46" t="str">
        <f>IFERROR(__xludf.DUMMYFUNCTION("""COMPUTED_VALUE"""),"Vimal")</f>
        <v>Vimal</v>
      </c>
      <c r="C1472" s="5" t="s">
        <v>2002</v>
      </c>
      <c r="D1472" s="5"/>
      <c r="E1472" s="5"/>
      <c r="F1472" s="5"/>
      <c r="G1472" s="5"/>
      <c r="H1472" s="5"/>
      <c r="I1472" s="5"/>
      <c r="J1472" s="73"/>
      <c r="K1472" s="75" t="str">
        <f>IFERROR(__xludf.DUMMYFUNCTION("""COMPUTED_VALUE"""),"")</f>
        <v/>
      </c>
      <c r="L1472" s="75"/>
      <c r="M1472" s="46" t="s">
        <v>2002</v>
      </c>
    </row>
    <row r="1473">
      <c r="A1473" s="70">
        <f>IFERROR(__xludf.DUMMYFUNCTION("""COMPUTED_VALUE"""),8.595241741E9)</f>
        <v>8595241741</v>
      </c>
      <c r="B1473" s="46" t="str">
        <f>IFERROR(__xludf.DUMMYFUNCTION("""COMPUTED_VALUE"""),"Himani ")</f>
        <v>Himani </v>
      </c>
      <c r="C1473" s="5" t="s">
        <v>2002</v>
      </c>
      <c r="D1473" s="5"/>
      <c r="E1473" s="5"/>
      <c r="F1473" s="5"/>
      <c r="G1473" s="5"/>
      <c r="H1473" s="5"/>
      <c r="I1473" s="5"/>
      <c r="J1473" s="73"/>
      <c r="K1473" s="75" t="str">
        <f>IFERROR(__xludf.DUMMYFUNCTION("""COMPUTED_VALUE"""),"")</f>
        <v/>
      </c>
      <c r="L1473" s="75"/>
      <c r="M1473" s="46" t="s">
        <v>2002</v>
      </c>
    </row>
    <row r="1474">
      <c r="A1474" s="70">
        <f>IFERROR(__xludf.DUMMYFUNCTION("""COMPUTED_VALUE"""),9.540697597E9)</f>
        <v>9540697597</v>
      </c>
      <c r="B1474" s="46" t="str">
        <f>IFERROR(__xludf.DUMMYFUNCTION("""COMPUTED_VALUE"""),"Kiran ")</f>
        <v>Kiran </v>
      </c>
      <c r="C1474" s="5" t="s">
        <v>2002</v>
      </c>
      <c r="D1474" s="5"/>
      <c r="E1474" s="5"/>
      <c r="F1474" s="5"/>
      <c r="G1474" s="5"/>
      <c r="H1474" s="5"/>
      <c r="I1474" s="5"/>
      <c r="J1474" s="73"/>
      <c r="K1474" s="75" t="str">
        <f>IFERROR(__xludf.DUMMYFUNCTION("""COMPUTED_VALUE"""),"")</f>
        <v/>
      </c>
      <c r="L1474" s="75"/>
      <c r="M1474" s="46" t="s">
        <v>2002</v>
      </c>
    </row>
    <row r="1475">
      <c r="A1475" s="70">
        <f>IFERROR(__xludf.DUMMYFUNCTION("""COMPUTED_VALUE"""),9.71808476E9)</f>
        <v>9718084760</v>
      </c>
      <c r="B1475" s="46" t="str">
        <f>IFERROR(__xludf.DUMMYFUNCTION("""COMPUTED_VALUE"""),"Piyush")</f>
        <v>Piyush</v>
      </c>
      <c r="C1475" s="5" t="s">
        <v>2002</v>
      </c>
      <c r="D1475" s="5"/>
      <c r="E1475" s="5"/>
      <c r="F1475" s="5"/>
      <c r="G1475" s="5"/>
      <c r="H1475" s="5"/>
      <c r="I1475" s="5"/>
      <c r="J1475" s="73"/>
      <c r="K1475" s="75" t="str">
        <f>IFERROR(__xludf.DUMMYFUNCTION("""COMPUTED_VALUE"""),"")</f>
        <v/>
      </c>
      <c r="L1475" s="75"/>
      <c r="M1475" s="46" t="s">
        <v>2002</v>
      </c>
    </row>
    <row r="1476">
      <c r="A1476" s="70">
        <f>IFERROR(__xludf.DUMMYFUNCTION("""COMPUTED_VALUE"""),9.643001645E9)</f>
        <v>9643001645</v>
      </c>
      <c r="B1476" s="46" t="str">
        <f>IFERROR(__xludf.DUMMYFUNCTION("""COMPUTED_VALUE"""),"prerna")</f>
        <v>prerna</v>
      </c>
      <c r="C1476" s="5" t="s">
        <v>2002</v>
      </c>
      <c r="D1476" s="5"/>
      <c r="E1476" s="5"/>
      <c r="F1476" s="5"/>
      <c r="G1476" s="5"/>
      <c r="H1476" s="5"/>
      <c r="I1476" s="5"/>
      <c r="J1476" s="73"/>
      <c r="K1476" s="75" t="str">
        <f>IFERROR(__xludf.DUMMYFUNCTION("""COMPUTED_VALUE"""),"")</f>
        <v/>
      </c>
      <c r="L1476" s="75"/>
      <c r="M1476" s="46" t="s">
        <v>2002</v>
      </c>
    </row>
    <row r="1477">
      <c r="A1477" s="70">
        <f>IFERROR(__xludf.DUMMYFUNCTION("""COMPUTED_VALUE"""),9.870484553E9)</f>
        <v>9870484553</v>
      </c>
      <c r="B1477" s="46" t="str">
        <f>IFERROR(__xludf.DUMMYFUNCTION("""COMPUTED_VALUE"""),"Piyush ")</f>
        <v>Piyush </v>
      </c>
      <c r="C1477" s="5" t="s">
        <v>2002</v>
      </c>
      <c r="D1477" s="5"/>
      <c r="E1477" s="5"/>
      <c r="F1477" s="5"/>
      <c r="G1477" s="5"/>
      <c r="H1477" s="5"/>
      <c r="I1477" s="5"/>
      <c r="J1477" s="73"/>
      <c r="K1477" s="75" t="str">
        <f>IFERROR(__xludf.DUMMYFUNCTION("""COMPUTED_VALUE"""),"")</f>
        <v/>
      </c>
      <c r="L1477" s="75"/>
      <c r="M1477" s="46" t="s">
        <v>2002</v>
      </c>
    </row>
    <row r="1478">
      <c r="A1478" s="70">
        <f>IFERROR(__xludf.DUMMYFUNCTION("""COMPUTED_VALUE"""),7.042512737E9)</f>
        <v>7042512737</v>
      </c>
      <c r="B1478" s="46" t="str">
        <f>IFERROR(__xludf.DUMMYFUNCTION("""COMPUTED_VALUE"""),"Ayush")</f>
        <v>Ayush</v>
      </c>
      <c r="C1478" s="5" t="s">
        <v>2002</v>
      </c>
      <c r="D1478" s="5"/>
      <c r="E1478" s="5"/>
      <c r="F1478" s="5"/>
      <c r="G1478" s="5"/>
      <c r="H1478" s="5"/>
      <c r="I1478" s="5"/>
      <c r="J1478" s="73"/>
      <c r="K1478" s="75" t="str">
        <f>IFERROR(__xludf.DUMMYFUNCTION("""COMPUTED_VALUE"""),"")</f>
        <v/>
      </c>
      <c r="L1478" s="75"/>
      <c r="M1478" s="46" t="s">
        <v>2002</v>
      </c>
    </row>
    <row r="1479">
      <c r="A1479" s="70">
        <f>IFERROR(__xludf.DUMMYFUNCTION("""COMPUTED_VALUE"""),9.654764065E9)</f>
        <v>9654764065</v>
      </c>
      <c r="B1479" s="46" t="str">
        <f>IFERROR(__xludf.DUMMYFUNCTION("""COMPUTED_VALUE"""),"Raghuvender mishra")</f>
        <v>Raghuvender mishra</v>
      </c>
      <c r="C1479" s="5" t="s">
        <v>2002</v>
      </c>
      <c r="D1479" s="5"/>
      <c r="E1479" s="5"/>
      <c r="F1479" s="5"/>
      <c r="G1479" s="5"/>
      <c r="H1479" s="5"/>
      <c r="I1479" s="5"/>
      <c r="J1479" s="73"/>
      <c r="K1479" s="75" t="str">
        <f>IFERROR(__xludf.DUMMYFUNCTION("""COMPUTED_VALUE"""),"")</f>
        <v/>
      </c>
      <c r="L1479" s="75"/>
      <c r="M1479" s="46" t="s">
        <v>2002</v>
      </c>
    </row>
    <row r="1480">
      <c r="A1480" s="70">
        <f>IFERROR(__xludf.DUMMYFUNCTION("""COMPUTED_VALUE"""),9.953221888E9)</f>
        <v>9953221888</v>
      </c>
      <c r="B1480" s="46" t="str">
        <f>IFERROR(__xludf.DUMMYFUNCTION("""COMPUTED_VALUE"""),"Sushil")</f>
        <v>Sushil</v>
      </c>
      <c r="C1480" s="5" t="s">
        <v>2002</v>
      </c>
      <c r="D1480" s="5"/>
      <c r="E1480" s="5"/>
      <c r="F1480" s="5"/>
      <c r="G1480" s="5"/>
      <c r="H1480" s="5"/>
      <c r="I1480" s="5"/>
      <c r="J1480" s="73"/>
      <c r="K1480" s="75" t="str">
        <f>IFERROR(__xludf.DUMMYFUNCTION("""COMPUTED_VALUE"""),"")</f>
        <v/>
      </c>
      <c r="L1480" s="75"/>
      <c r="M1480" s="46" t="s">
        <v>2002</v>
      </c>
    </row>
    <row r="1481">
      <c r="A1481" s="70">
        <f>IFERROR(__xludf.DUMMYFUNCTION("""COMPUTED_VALUE"""),9.582518428E9)</f>
        <v>9582518428</v>
      </c>
      <c r="B1481" s="46" t="str">
        <f>IFERROR(__xludf.DUMMYFUNCTION("""COMPUTED_VALUE"""),"Vandana")</f>
        <v>Vandana</v>
      </c>
      <c r="C1481" s="5" t="s">
        <v>2002</v>
      </c>
      <c r="D1481" s="5"/>
      <c r="E1481" s="5"/>
      <c r="F1481" s="5"/>
      <c r="G1481" s="5"/>
      <c r="H1481" s="5"/>
      <c r="I1481" s="5"/>
      <c r="J1481" s="73"/>
      <c r="K1481" s="75" t="str">
        <f>IFERROR(__xludf.DUMMYFUNCTION("""COMPUTED_VALUE"""),"")</f>
        <v/>
      </c>
      <c r="L1481" s="75"/>
      <c r="M1481" s="46" t="s">
        <v>2002</v>
      </c>
    </row>
    <row r="1482">
      <c r="A1482" s="70">
        <f>IFERROR(__xludf.DUMMYFUNCTION("""COMPUTED_VALUE"""),7.600439676E9)</f>
        <v>7600439676</v>
      </c>
      <c r="B1482" s="46" t="str">
        <f>IFERROR(__xludf.DUMMYFUNCTION("""COMPUTED_VALUE"""),"Abhinav")</f>
        <v>Abhinav</v>
      </c>
      <c r="C1482" s="5" t="s">
        <v>2002</v>
      </c>
      <c r="D1482" s="5"/>
      <c r="E1482" s="5"/>
      <c r="F1482" s="5"/>
      <c r="G1482" s="5"/>
      <c r="H1482" s="5"/>
      <c r="I1482" s="5"/>
      <c r="J1482" s="73"/>
      <c r="K1482" s="75" t="str">
        <f>IFERROR(__xludf.DUMMYFUNCTION("""COMPUTED_VALUE"""),"")</f>
        <v/>
      </c>
      <c r="L1482" s="75"/>
      <c r="M1482" s="46" t="s">
        <v>2002</v>
      </c>
    </row>
    <row r="1483">
      <c r="A1483" s="70">
        <f>IFERROR(__xludf.DUMMYFUNCTION("""COMPUTED_VALUE"""),9.968397453E9)</f>
        <v>9968397453</v>
      </c>
      <c r="B1483" s="46" t="str">
        <f>IFERROR(__xludf.DUMMYFUNCTION("""COMPUTED_VALUE"""),"Sonu")</f>
        <v>Sonu</v>
      </c>
      <c r="C1483" s="5" t="s">
        <v>2002</v>
      </c>
      <c r="D1483" s="5"/>
      <c r="E1483" s="5"/>
      <c r="F1483" s="5"/>
      <c r="G1483" s="5"/>
      <c r="H1483" s="5"/>
      <c r="I1483" s="5"/>
      <c r="J1483" s="73"/>
      <c r="K1483" s="75" t="str">
        <f>IFERROR(__xludf.DUMMYFUNCTION("""COMPUTED_VALUE"""),"")</f>
        <v/>
      </c>
      <c r="L1483" s="75"/>
      <c r="M1483" s="46" t="s">
        <v>2002</v>
      </c>
    </row>
    <row r="1484">
      <c r="A1484" s="70">
        <f>IFERROR(__xludf.DUMMYFUNCTION("""COMPUTED_VALUE"""),7.988646656E9)</f>
        <v>7988646656</v>
      </c>
      <c r="B1484" s="46" t="str">
        <f>IFERROR(__xludf.DUMMYFUNCTION("""COMPUTED_VALUE"""),"Lalit Kumar Verma ")</f>
        <v>Lalit Kumar Verma </v>
      </c>
      <c r="C1484" s="5" t="s">
        <v>2002</v>
      </c>
      <c r="D1484" s="5"/>
      <c r="E1484" s="5"/>
      <c r="F1484" s="5"/>
      <c r="G1484" s="5"/>
      <c r="H1484" s="5"/>
      <c r="I1484" s="5"/>
      <c r="J1484" s="73"/>
      <c r="K1484" s="75" t="str">
        <f>IFERROR(__xludf.DUMMYFUNCTION("""COMPUTED_VALUE"""),"")</f>
        <v/>
      </c>
      <c r="L1484" s="75"/>
      <c r="M1484" s="46" t="s">
        <v>2002</v>
      </c>
    </row>
    <row r="1485">
      <c r="A1485" s="70">
        <f>IFERROR(__xludf.DUMMYFUNCTION("""COMPUTED_VALUE"""),7.017387612E9)</f>
        <v>7017387612</v>
      </c>
      <c r="B1485" s="46" t="str">
        <f>IFERROR(__xludf.DUMMYFUNCTION("""COMPUTED_VALUE"""),"Santosh Kumar Sharma ")</f>
        <v>Santosh Kumar Sharma </v>
      </c>
      <c r="C1485" s="5" t="s">
        <v>2002</v>
      </c>
      <c r="D1485" s="5"/>
      <c r="E1485" s="5"/>
      <c r="F1485" s="5"/>
      <c r="G1485" s="5"/>
      <c r="H1485" s="5"/>
      <c r="I1485" s="5"/>
      <c r="J1485" s="73"/>
      <c r="K1485" s="75" t="str">
        <f>IFERROR(__xludf.DUMMYFUNCTION("""COMPUTED_VALUE"""),"")</f>
        <v/>
      </c>
      <c r="L1485" s="75"/>
      <c r="M1485" s="46" t="s">
        <v>2002</v>
      </c>
    </row>
    <row r="1486">
      <c r="A1486" s="70">
        <f>IFERROR(__xludf.DUMMYFUNCTION("""COMPUTED_VALUE"""),9.811088872E9)</f>
        <v>9811088872</v>
      </c>
      <c r="B1486" s="46" t="str">
        <f>IFERROR(__xludf.DUMMYFUNCTION("""COMPUTED_VALUE"""),"Gupta Ji")</f>
        <v>Gupta Ji</v>
      </c>
      <c r="C1486" s="5" t="s">
        <v>2002</v>
      </c>
      <c r="D1486" s="5"/>
      <c r="E1486" s="5"/>
      <c r="F1486" s="5"/>
      <c r="G1486" s="5"/>
      <c r="H1486" s="5"/>
      <c r="I1486" s="5"/>
      <c r="J1486" s="73"/>
      <c r="K1486" s="75" t="str">
        <f>IFERROR(__xludf.DUMMYFUNCTION("""COMPUTED_VALUE"""),"")</f>
        <v/>
      </c>
      <c r="L1486" s="75"/>
      <c r="M1486" s="46" t="s">
        <v>2002</v>
      </c>
    </row>
    <row r="1487">
      <c r="A1487" s="70">
        <f>IFERROR(__xludf.DUMMYFUNCTION("""COMPUTED_VALUE"""),9.919919819E9)</f>
        <v>9919919819</v>
      </c>
      <c r="B1487" s="46" t="str">
        <f>IFERROR(__xludf.DUMMYFUNCTION("""COMPUTED_VALUE"""),"Varinder Gupta")</f>
        <v>Varinder Gupta</v>
      </c>
      <c r="C1487" s="5" t="s">
        <v>2002</v>
      </c>
      <c r="D1487" s="5"/>
      <c r="E1487" s="5"/>
      <c r="F1487" s="5"/>
      <c r="G1487" s="5"/>
      <c r="H1487" s="5"/>
      <c r="I1487" s="5"/>
      <c r="J1487" s="73"/>
      <c r="K1487" s="75" t="str">
        <f>IFERROR(__xludf.DUMMYFUNCTION("""COMPUTED_VALUE"""),"")</f>
        <v/>
      </c>
      <c r="L1487" s="75"/>
      <c r="M1487" s="46" t="s">
        <v>2002</v>
      </c>
    </row>
    <row r="1488">
      <c r="A1488" s="70">
        <f>IFERROR(__xludf.DUMMYFUNCTION("""COMPUTED_VALUE"""),8.178051346E9)</f>
        <v>8178051346</v>
      </c>
      <c r="B1488" s="46" t="str">
        <f>IFERROR(__xludf.DUMMYFUNCTION("""COMPUTED_VALUE"""),"Ramesh")</f>
        <v>Ramesh</v>
      </c>
      <c r="C1488" s="5" t="s">
        <v>2002</v>
      </c>
      <c r="D1488" s="5"/>
      <c r="E1488" s="5"/>
      <c r="F1488" s="5"/>
      <c r="G1488" s="5"/>
      <c r="H1488" s="5"/>
      <c r="I1488" s="5"/>
      <c r="J1488" s="73"/>
      <c r="K1488" s="75" t="str">
        <f>IFERROR(__xludf.DUMMYFUNCTION("""COMPUTED_VALUE"""),"")</f>
        <v/>
      </c>
      <c r="L1488" s="75"/>
      <c r="M1488" s="46" t="s">
        <v>2002</v>
      </c>
    </row>
    <row r="1489">
      <c r="A1489" s="70">
        <f>IFERROR(__xludf.DUMMYFUNCTION("""COMPUTED_VALUE"""),9.818990071E9)</f>
        <v>9818990071</v>
      </c>
      <c r="B1489" s="46" t="str">
        <f>IFERROR(__xludf.DUMMYFUNCTION("""COMPUTED_VALUE"""),"Praveen ")</f>
        <v>Praveen </v>
      </c>
      <c r="C1489" s="5" t="s">
        <v>2002</v>
      </c>
      <c r="D1489" s="5"/>
      <c r="E1489" s="5"/>
      <c r="F1489" s="5"/>
      <c r="G1489" s="5"/>
      <c r="H1489" s="5"/>
      <c r="I1489" s="5"/>
      <c r="J1489" s="73"/>
      <c r="K1489" s="75" t="str">
        <f>IFERROR(__xludf.DUMMYFUNCTION("""COMPUTED_VALUE"""),"")</f>
        <v/>
      </c>
      <c r="L1489" s="75"/>
      <c r="M1489" s="46" t="s">
        <v>2002</v>
      </c>
    </row>
    <row r="1490">
      <c r="A1490" s="70">
        <f>IFERROR(__xludf.DUMMYFUNCTION("""COMPUTED_VALUE"""),9.81897672E9)</f>
        <v>9818976720</v>
      </c>
      <c r="B1490" s="46" t="str">
        <f>IFERROR(__xludf.DUMMYFUNCTION("""COMPUTED_VALUE"""),"Anju")</f>
        <v>Anju</v>
      </c>
      <c r="C1490" s="5" t="s">
        <v>2002</v>
      </c>
      <c r="D1490" s="5"/>
      <c r="E1490" s="5"/>
      <c r="F1490" s="5"/>
      <c r="G1490" s="5"/>
      <c r="H1490" s="5"/>
      <c r="I1490" s="5"/>
      <c r="J1490" s="73"/>
      <c r="K1490" s="75" t="str">
        <f>IFERROR(__xludf.DUMMYFUNCTION("""COMPUTED_VALUE"""),"")</f>
        <v/>
      </c>
      <c r="L1490" s="75"/>
      <c r="M1490" s="46" t="s">
        <v>2002</v>
      </c>
    </row>
    <row r="1491">
      <c r="A1491" s="70">
        <f>IFERROR(__xludf.DUMMYFUNCTION("""COMPUTED_VALUE"""),9.899115181E9)</f>
        <v>9899115181</v>
      </c>
      <c r="B1491" s="46" t="str">
        <f>IFERROR(__xludf.DUMMYFUNCTION("""COMPUTED_VALUE"""),"Mehtab Alam")</f>
        <v>Mehtab Alam</v>
      </c>
      <c r="C1491" s="5" t="s">
        <v>2002</v>
      </c>
      <c r="D1491" s="5"/>
      <c r="E1491" s="5"/>
      <c r="F1491" s="5"/>
      <c r="G1491" s="5"/>
      <c r="H1491" s="5"/>
      <c r="I1491" s="5"/>
      <c r="J1491" s="73"/>
      <c r="K1491" s="75" t="str">
        <f>IFERROR(__xludf.DUMMYFUNCTION("""COMPUTED_VALUE"""),"")</f>
        <v/>
      </c>
      <c r="L1491" s="75"/>
      <c r="M1491" s="46" t="s">
        <v>2002</v>
      </c>
    </row>
    <row r="1492">
      <c r="A1492" s="70">
        <f>IFERROR(__xludf.DUMMYFUNCTION("""COMPUTED_VALUE"""),9.311091412E9)</f>
        <v>9311091412</v>
      </c>
      <c r="B1492" s="46" t="str">
        <f>IFERROR(__xludf.DUMMYFUNCTION("""COMPUTED_VALUE"""),"Shahid ")</f>
        <v>Shahid </v>
      </c>
      <c r="C1492" s="5" t="s">
        <v>2002</v>
      </c>
      <c r="D1492" s="5"/>
      <c r="E1492" s="5"/>
      <c r="F1492" s="5"/>
      <c r="G1492" s="5"/>
      <c r="H1492" s="5"/>
      <c r="I1492" s="5"/>
      <c r="J1492" s="73"/>
      <c r="K1492" s="75" t="str">
        <f>IFERROR(__xludf.DUMMYFUNCTION("""COMPUTED_VALUE"""),"")</f>
        <v/>
      </c>
      <c r="L1492" s="75"/>
      <c r="M1492" s="46" t="s">
        <v>2002</v>
      </c>
    </row>
    <row r="1493">
      <c r="A1493" s="70">
        <f>IFERROR(__xludf.DUMMYFUNCTION("""COMPUTED_VALUE"""),9.81109422E9)</f>
        <v>9811094220</v>
      </c>
      <c r="B1493" s="46" t="str">
        <f>IFERROR(__xludf.DUMMYFUNCTION("""COMPUTED_VALUE"""),"Poonam")</f>
        <v>Poonam</v>
      </c>
      <c r="C1493" s="5" t="s">
        <v>2002</v>
      </c>
      <c r="D1493" s="5"/>
      <c r="E1493" s="5"/>
      <c r="F1493" s="5"/>
      <c r="G1493" s="5"/>
      <c r="H1493" s="5"/>
      <c r="I1493" s="5"/>
      <c r="J1493" s="73"/>
      <c r="K1493" s="75" t="str">
        <f>IFERROR(__xludf.DUMMYFUNCTION("""COMPUTED_VALUE"""),"")</f>
        <v/>
      </c>
      <c r="L1493" s="75"/>
      <c r="M1493" s="46" t="s">
        <v>2002</v>
      </c>
    </row>
    <row r="1494">
      <c r="A1494" s="70">
        <f>IFERROR(__xludf.DUMMYFUNCTION("""COMPUTED_VALUE"""),9.315012431E9)</f>
        <v>9315012431</v>
      </c>
      <c r="B1494" s="46" t="str">
        <f>IFERROR(__xludf.DUMMYFUNCTION("""COMPUTED_VALUE"""),"Ashi")</f>
        <v>Ashi</v>
      </c>
      <c r="C1494" s="5" t="s">
        <v>2002</v>
      </c>
      <c r="D1494" s="5"/>
      <c r="E1494" s="5"/>
      <c r="F1494" s="5"/>
      <c r="G1494" s="5"/>
      <c r="H1494" s="5"/>
      <c r="I1494" s="5"/>
      <c r="J1494" s="73"/>
      <c r="K1494" s="75" t="str">
        <f>IFERROR(__xludf.DUMMYFUNCTION("""COMPUTED_VALUE"""),"")</f>
        <v/>
      </c>
      <c r="L1494" s="75"/>
      <c r="M1494" s="46" t="s">
        <v>2002</v>
      </c>
    </row>
    <row r="1495">
      <c r="A1495" s="70">
        <f>IFERROR(__xludf.DUMMYFUNCTION("""COMPUTED_VALUE"""),9.929020605E9)</f>
        <v>9929020605</v>
      </c>
      <c r="B1495" s="46" t="str">
        <f>IFERROR(__xludf.DUMMYFUNCTION("""COMPUTED_VALUE"""),"Barkha Gupta")</f>
        <v>Barkha Gupta</v>
      </c>
      <c r="C1495" s="5" t="s">
        <v>2002</v>
      </c>
      <c r="D1495" s="5"/>
      <c r="E1495" s="5"/>
      <c r="F1495" s="5"/>
      <c r="G1495" s="5"/>
      <c r="H1495" s="5"/>
      <c r="I1495" s="5"/>
      <c r="J1495" s="73"/>
      <c r="K1495" s="75" t="str">
        <f>IFERROR(__xludf.DUMMYFUNCTION("""COMPUTED_VALUE"""),"")</f>
        <v/>
      </c>
      <c r="L1495" s="75"/>
      <c r="M1495" s="46" t="s">
        <v>2002</v>
      </c>
    </row>
    <row r="1496">
      <c r="A1496" s="70">
        <f>IFERROR(__xludf.DUMMYFUNCTION("""COMPUTED_VALUE"""),9.289123505E9)</f>
        <v>9289123505</v>
      </c>
      <c r="B1496" s="46" t="str">
        <f>IFERROR(__xludf.DUMMYFUNCTION("""COMPUTED_VALUE"""),"Santosh gupta")</f>
        <v>Santosh gupta</v>
      </c>
      <c r="C1496" s="5" t="s">
        <v>2002</v>
      </c>
      <c r="D1496" s="5"/>
      <c r="E1496" s="5"/>
      <c r="F1496" s="5"/>
      <c r="G1496" s="5"/>
      <c r="H1496" s="5"/>
      <c r="I1496" s="5"/>
      <c r="J1496" s="73"/>
      <c r="K1496" s="75" t="str">
        <f>IFERROR(__xludf.DUMMYFUNCTION("""COMPUTED_VALUE"""),"")</f>
        <v/>
      </c>
      <c r="L1496" s="75"/>
      <c r="M1496" s="46" t="s">
        <v>2002</v>
      </c>
    </row>
    <row r="1497">
      <c r="A1497" s="70">
        <f>IFERROR(__xludf.DUMMYFUNCTION("""COMPUTED_VALUE"""),9.015593048E9)</f>
        <v>9015593048</v>
      </c>
      <c r="B1497" s="46" t="str">
        <f>IFERROR(__xludf.DUMMYFUNCTION("""COMPUTED_VALUE"""),"Devender ")</f>
        <v>Devender </v>
      </c>
      <c r="C1497" s="5" t="s">
        <v>2002</v>
      </c>
      <c r="D1497" s="5"/>
      <c r="E1497" s="5"/>
      <c r="F1497" s="5"/>
      <c r="G1497" s="5"/>
      <c r="H1497" s="5"/>
      <c r="I1497" s="5"/>
      <c r="J1497" s="73"/>
      <c r="K1497" s="75" t="str">
        <f>IFERROR(__xludf.DUMMYFUNCTION("""COMPUTED_VALUE"""),"")</f>
        <v/>
      </c>
      <c r="L1497" s="75"/>
      <c r="M1497" s="46" t="s">
        <v>2002</v>
      </c>
    </row>
    <row r="1498">
      <c r="A1498" s="70">
        <f>IFERROR(__xludf.DUMMYFUNCTION("""COMPUTED_VALUE"""),9.599310295E9)</f>
        <v>9599310295</v>
      </c>
      <c r="B1498" s="46" t="str">
        <f>IFERROR(__xludf.DUMMYFUNCTION("""COMPUTED_VALUE"""),"Sudarshna")</f>
        <v>Sudarshna</v>
      </c>
      <c r="C1498" s="5" t="s">
        <v>2002</v>
      </c>
      <c r="D1498" s="5"/>
      <c r="E1498" s="5"/>
      <c r="F1498" s="5"/>
      <c r="G1498" s="5"/>
      <c r="H1498" s="5"/>
      <c r="I1498" s="5"/>
      <c r="J1498" s="73"/>
      <c r="K1498" s="75" t="str">
        <f>IFERROR(__xludf.DUMMYFUNCTION("""COMPUTED_VALUE"""),"")</f>
        <v/>
      </c>
      <c r="L1498" s="75"/>
      <c r="M1498" s="46" t="s">
        <v>2002</v>
      </c>
    </row>
    <row r="1499">
      <c r="A1499" s="70">
        <f>IFERROR(__xludf.DUMMYFUNCTION("""COMPUTED_VALUE"""),9.008182463E9)</f>
        <v>9008182463</v>
      </c>
      <c r="B1499" s="46" t="str">
        <f>IFERROR(__xludf.DUMMYFUNCTION("""COMPUTED_VALUE"""),"Irshad")</f>
        <v>Irshad</v>
      </c>
      <c r="C1499" s="5" t="s">
        <v>2002</v>
      </c>
      <c r="D1499" s="5"/>
      <c r="E1499" s="5"/>
      <c r="F1499" s="5"/>
      <c r="G1499" s="5"/>
      <c r="H1499" s="5"/>
      <c r="I1499" s="5"/>
      <c r="J1499" s="73"/>
      <c r="K1499" s="75" t="str">
        <f>IFERROR(__xludf.DUMMYFUNCTION("""COMPUTED_VALUE"""),"")</f>
        <v/>
      </c>
      <c r="L1499" s="75"/>
      <c r="M1499" s="46" t="s">
        <v>2002</v>
      </c>
    </row>
    <row r="1500">
      <c r="A1500" s="70">
        <f>IFERROR(__xludf.DUMMYFUNCTION("""COMPUTED_VALUE"""),9.818100754E9)</f>
        <v>9818100754</v>
      </c>
      <c r="B1500" s="46" t="str">
        <f>IFERROR(__xludf.DUMMYFUNCTION("""COMPUTED_VALUE"""),"sanjay Kumar")</f>
        <v>sanjay Kumar</v>
      </c>
      <c r="C1500" s="5" t="s">
        <v>2002</v>
      </c>
      <c r="D1500" s="5"/>
      <c r="E1500" s="5"/>
      <c r="F1500" s="5"/>
      <c r="G1500" s="5"/>
      <c r="H1500" s="5"/>
      <c r="I1500" s="5"/>
      <c r="J1500" s="73"/>
      <c r="K1500" s="75" t="str">
        <f>IFERROR(__xludf.DUMMYFUNCTION("""COMPUTED_VALUE"""),"")</f>
        <v/>
      </c>
      <c r="L1500" s="75"/>
      <c r="M1500" s="46" t="s">
        <v>2002</v>
      </c>
    </row>
    <row r="1501">
      <c r="A1501" s="70">
        <f>IFERROR(__xludf.DUMMYFUNCTION("""COMPUTED_VALUE"""),9.999209552E9)</f>
        <v>9999209552</v>
      </c>
      <c r="B1501" s="46" t="str">
        <f>IFERROR(__xludf.DUMMYFUNCTION("""COMPUTED_VALUE"""),"Mukesh")</f>
        <v>Mukesh</v>
      </c>
      <c r="C1501" s="5" t="s">
        <v>2002</v>
      </c>
      <c r="D1501" s="5"/>
      <c r="E1501" s="5"/>
      <c r="F1501" s="5"/>
      <c r="G1501" s="5"/>
      <c r="H1501" s="5"/>
      <c r="I1501" s="5"/>
      <c r="J1501" s="73"/>
      <c r="K1501" s="75" t="str">
        <f>IFERROR(__xludf.DUMMYFUNCTION("""COMPUTED_VALUE"""),"")</f>
        <v/>
      </c>
      <c r="L1501" s="75"/>
      <c r="M1501" s="46" t="s">
        <v>2002</v>
      </c>
    </row>
    <row r="1502">
      <c r="A1502" s="70">
        <f>IFERROR(__xludf.DUMMYFUNCTION("""COMPUTED_VALUE"""),8.86106739E9)</f>
        <v>8861067390</v>
      </c>
      <c r="B1502" s="46" t="str">
        <f>IFERROR(__xludf.DUMMYFUNCTION("""COMPUTED_VALUE"""),"Anuj")</f>
        <v>Anuj</v>
      </c>
      <c r="C1502" s="5" t="s">
        <v>2002</v>
      </c>
      <c r="D1502" s="5"/>
      <c r="E1502" s="5"/>
      <c r="F1502" s="5"/>
      <c r="G1502" s="5"/>
      <c r="H1502" s="5"/>
      <c r="I1502" s="5"/>
      <c r="J1502" s="73"/>
      <c r="K1502" s="75" t="str">
        <f>IFERROR(__xludf.DUMMYFUNCTION("""COMPUTED_VALUE"""),"")</f>
        <v/>
      </c>
      <c r="L1502" s="75"/>
      <c r="M1502" s="46" t="s">
        <v>2002</v>
      </c>
    </row>
    <row r="1503">
      <c r="A1503" s="70">
        <f>IFERROR(__xludf.DUMMYFUNCTION("""COMPUTED_VALUE"""),9.368074051E9)</f>
        <v>9368074051</v>
      </c>
      <c r="B1503" s="46" t="str">
        <f>IFERROR(__xludf.DUMMYFUNCTION("""COMPUTED_VALUE"""),"Vinay")</f>
        <v>Vinay</v>
      </c>
      <c r="C1503" s="5" t="s">
        <v>2002</v>
      </c>
      <c r="D1503" s="5"/>
      <c r="E1503" s="5"/>
      <c r="F1503" s="5"/>
      <c r="G1503" s="5"/>
      <c r="H1503" s="5"/>
      <c r="I1503" s="5"/>
      <c r="J1503" s="73"/>
      <c r="K1503" s="75" t="str">
        <f>IFERROR(__xludf.DUMMYFUNCTION("""COMPUTED_VALUE"""),"")</f>
        <v/>
      </c>
      <c r="L1503" s="75"/>
      <c r="M1503" s="46" t="s">
        <v>2002</v>
      </c>
    </row>
    <row r="1504">
      <c r="A1504" s="70">
        <f>IFERROR(__xludf.DUMMYFUNCTION("""COMPUTED_VALUE"""),7.042107044E9)</f>
        <v>7042107044</v>
      </c>
      <c r="B1504" s="46" t="str">
        <f>IFERROR(__xludf.DUMMYFUNCTION("""COMPUTED_VALUE"""),"Poonam")</f>
        <v>Poonam</v>
      </c>
      <c r="C1504" s="5" t="s">
        <v>2002</v>
      </c>
      <c r="D1504" s="5"/>
      <c r="E1504" s="5"/>
      <c r="F1504" s="5"/>
      <c r="G1504" s="5"/>
      <c r="H1504" s="5"/>
      <c r="I1504" s="5"/>
      <c r="J1504" s="73"/>
      <c r="K1504" s="75" t="str">
        <f>IFERROR(__xludf.DUMMYFUNCTION("""COMPUTED_VALUE"""),"")</f>
        <v/>
      </c>
      <c r="L1504" s="75"/>
      <c r="M1504" s="46" t="s">
        <v>2002</v>
      </c>
    </row>
    <row r="1505">
      <c r="A1505" s="70">
        <f>IFERROR(__xludf.DUMMYFUNCTION("""COMPUTED_VALUE"""),9.81855742E9)</f>
        <v>9818557420</v>
      </c>
      <c r="B1505" s="46" t="str">
        <f>IFERROR(__xludf.DUMMYFUNCTION("""COMPUTED_VALUE"""),"Sumit")</f>
        <v>Sumit</v>
      </c>
      <c r="C1505" s="5" t="s">
        <v>2002</v>
      </c>
      <c r="D1505" s="5"/>
      <c r="E1505" s="5"/>
      <c r="F1505" s="5"/>
      <c r="G1505" s="5"/>
      <c r="H1505" s="5"/>
      <c r="I1505" s="5"/>
      <c r="J1505" s="73"/>
      <c r="K1505" s="75" t="str">
        <f>IFERROR(__xludf.DUMMYFUNCTION("""COMPUTED_VALUE"""),"")</f>
        <v/>
      </c>
      <c r="L1505" s="75"/>
      <c r="M1505" s="46" t="s">
        <v>2002</v>
      </c>
    </row>
    <row r="1506">
      <c r="A1506" s="70">
        <f>IFERROR(__xludf.DUMMYFUNCTION("""COMPUTED_VALUE"""),9.289072884E9)</f>
        <v>9289072884</v>
      </c>
      <c r="B1506" s="46" t="str">
        <f>IFERROR(__xludf.DUMMYFUNCTION("""COMPUTED_VALUE"""),"Sheetal")</f>
        <v>Sheetal</v>
      </c>
      <c r="C1506" s="5" t="s">
        <v>2002</v>
      </c>
      <c r="D1506" s="5"/>
      <c r="E1506" s="5"/>
      <c r="F1506" s="5"/>
      <c r="G1506" s="5"/>
      <c r="H1506" s="5"/>
      <c r="I1506" s="5"/>
      <c r="J1506" s="73"/>
      <c r="K1506" s="75" t="str">
        <f>IFERROR(__xludf.DUMMYFUNCTION("""COMPUTED_VALUE"""),"")</f>
        <v/>
      </c>
      <c r="L1506" s="75"/>
      <c r="M1506" s="46" t="s">
        <v>2002</v>
      </c>
    </row>
    <row r="1507">
      <c r="A1507" s="70">
        <f>IFERROR(__xludf.DUMMYFUNCTION("""COMPUTED_VALUE"""),9.211015518E9)</f>
        <v>9211015518</v>
      </c>
      <c r="B1507" s="46" t="str">
        <f>IFERROR(__xludf.DUMMYFUNCTION("""COMPUTED_VALUE"""),"Uma jain")</f>
        <v>Uma jain</v>
      </c>
      <c r="C1507" s="5" t="s">
        <v>2002</v>
      </c>
      <c r="D1507" s="5"/>
      <c r="E1507" s="5"/>
      <c r="F1507" s="5"/>
      <c r="G1507" s="5"/>
      <c r="H1507" s="5"/>
      <c r="I1507" s="5"/>
      <c r="J1507" s="73"/>
      <c r="K1507" s="75" t="str">
        <f>IFERROR(__xludf.DUMMYFUNCTION("""COMPUTED_VALUE"""),"")</f>
        <v/>
      </c>
      <c r="L1507" s="75"/>
      <c r="M1507" s="46" t="s">
        <v>2002</v>
      </c>
    </row>
    <row r="1508">
      <c r="A1508" s="70">
        <f>IFERROR(__xludf.DUMMYFUNCTION("""COMPUTED_VALUE"""),8.745000456E9)</f>
        <v>8745000456</v>
      </c>
      <c r="B1508" s="46" t="str">
        <f>IFERROR(__xludf.DUMMYFUNCTION("""COMPUTED_VALUE"""),"Alka Jain")</f>
        <v>Alka Jain</v>
      </c>
      <c r="C1508" s="5" t="s">
        <v>2002</v>
      </c>
      <c r="D1508" s="5"/>
      <c r="E1508" s="5"/>
      <c r="F1508" s="5"/>
      <c r="G1508" s="5"/>
      <c r="H1508" s="5"/>
      <c r="I1508" s="5"/>
      <c r="J1508" s="73"/>
      <c r="K1508" s="75" t="str">
        <f>IFERROR(__xludf.DUMMYFUNCTION("""COMPUTED_VALUE"""),"")</f>
        <v/>
      </c>
      <c r="L1508" s="75"/>
      <c r="M1508" s="46" t="s">
        <v>2002</v>
      </c>
    </row>
    <row r="1509">
      <c r="A1509" s="70">
        <f>IFERROR(__xludf.DUMMYFUNCTION("""COMPUTED_VALUE"""),8.586821399E9)</f>
        <v>8586821399</v>
      </c>
      <c r="B1509" s="46" t="str">
        <f>IFERROR(__xludf.DUMMYFUNCTION("""COMPUTED_VALUE"""),"Archana ")</f>
        <v>Archana </v>
      </c>
      <c r="C1509" s="5" t="s">
        <v>2002</v>
      </c>
      <c r="D1509" s="5"/>
      <c r="E1509" s="5"/>
      <c r="F1509" s="5"/>
      <c r="G1509" s="5"/>
      <c r="H1509" s="5"/>
      <c r="I1509" s="5"/>
      <c r="J1509" s="73"/>
      <c r="K1509" s="75" t="str">
        <f>IFERROR(__xludf.DUMMYFUNCTION("""COMPUTED_VALUE"""),"")</f>
        <v/>
      </c>
      <c r="L1509" s="75"/>
      <c r="M1509" s="46" t="s">
        <v>2002</v>
      </c>
    </row>
    <row r="1510">
      <c r="A1510" s="70">
        <f>IFERROR(__xludf.DUMMYFUNCTION("""COMPUTED_VALUE"""),9.81124108E9)</f>
        <v>9811241080</v>
      </c>
      <c r="B1510" s="46" t="str">
        <f>IFERROR(__xludf.DUMMYFUNCTION("""COMPUTED_VALUE"""),"Shikha")</f>
        <v>Shikha</v>
      </c>
      <c r="C1510" s="5" t="s">
        <v>2002</v>
      </c>
      <c r="D1510" s="5"/>
      <c r="E1510" s="5"/>
      <c r="F1510" s="5"/>
      <c r="G1510" s="5"/>
      <c r="H1510" s="5"/>
      <c r="I1510" s="5"/>
      <c r="J1510" s="73"/>
      <c r="K1510" s="75" t="str">
        <f>IFERROR(__xludf.DUMMYFUNCTION("""COMPUTED_VALUE"""),"")</f>
        <v/>
      </c>
      <c r="L1510" s="75"/>
      <c r="M1510" s="46" t="s">
        <v>2002</v>
      </c>
    </row>
    <row r="1511">
      <c r="A1511" s="70">
        <f>IFERROR(__xludf.DUMMYFUNCTION("""COMPUTED_VALUE"""),7.400055455E9)</f>
        <v>7400055455</v>
      </c>
      <c r="B1511" s="46" t="str">
        <f>IFERROR(__xludf.DUMMYFUNCTION("""COMPUTED_VALUE"""),"Himanshu arora")</f>
        <v>Himanshu arora</v>
      </c>
      <c r="C1511" s="5" t="s">
        <v>2002</v>
      </c>
      <c r="D1511" s="5"/>
      <c r="E1511" s="5"/>
      <c r="F1511" s="5"/>
      <c r="G1511" s="5"/>
      <c r="H1511" s="5"/>
      <c r="I1511" s="5"/>
      <c r="J1511" s="73"/>
      <c r="K1511" s="75" t="str">
        <f>IFERROR(__xludf.DUMMYFUNCTION("""COMPUTED_VALUE"""),"")</f>
        <v/>
      </c>
      <c r="L1511" s="75"/>
      <c r="M1511" s="46" t="s">
        <v>2002</v>
      </c>
    </row>
    <row r="1512">
      <c r="A1512" s="70">
        <f>IFERROR(__xludf.DUMMYFUNCTION("""COMPUTED_VALUE"""),9.910835432E9)</f>
        <v>9910835432</v>
      </c>
      <c r="B1512" s="46" t="str">
        <f>IFERROR(__xludf.DUMMYFUNCTION("""COMPUTED_VALUE"""),"Rimmi")</f>
        <v>Rimmi</v>
      </c>
      <c r="C1512" s="5" t="s">
        <v>2002</v>
      </c>
      <c r="D1512" s="5"/>
      <c r="E1512" s="5"/>
      <c r="F1512" s="5"/>
      <c r="G1512" s="5"/>
      <c r="H1512" s="5"/>
      <c r="I1512" s="5"/>
      <c r="J1512" s="73"/>
      <c r="K1512" s="75" t="str">
        <f>IFERROR(__xludf.DUMMYFUNCTION("""COMPUTED_VALUE"""),"")</f>
        <v/>
      </c>
      <c r="L1512" s="75"/>
      <c r="M1512" s="46" t="s">
        <v>2002</v>
      </c>
    </row>
    <row r="1513">
      <c r="A1513" s="70">
        <f>IFERROR(__xludf.DUMMYFUNCTION("""COMPUTED_VALUE"""),9.452147983E9)</f>
        <v>9452147983</v>
      </c>
      <c r="B1513" s="46" t="str">
        <f>IFERROR(__xludf.DUMMYFUNCTION("""COMPUTED_VALUE"""),"Poonam rastogi ")</f>
        <v>Poonam rastogi </v>
      </c>
      <c r="C1513" s="5" t="s">
        <v>2002</v>
      </c>
      <c r="D1513" s="5"/>
      <c r="E1513" s="5"/>
      <c r="F1513" s="5"/>
      <c r="G1513" s="5"/>
      <c r="H1513" s="5"/>
      <c r="I1513" s="5"/>
      <c r="J1513" s="73"/>
      <c r="K1513" s="75" t="str">
        <f>IFERROR(__xludf.DUMMYFUNCTION("""COMPUTED_VALUE"""),"")</f>
        <v/>
      </c>
      <c r="L1513" s="75"/>
      <c r="M1513" s="46" t="s">
        <v>2002</v>
      </c>
    </row>
    <row r="1514">
      <c r="A1514" s="70">
        <f>IFERROR(__xludf.DUMMYFUNCTION("""COMPUTED_VALUE"""),9.990114995E9)</f>
        <v>9990114995</v>
      </c>
      <c r="B1514" s="46" t="str">
        <f>IFERROR(__xludf.DUMMYFUNCTION("""COMPUTED_VALUE"""),"Madhu")</f>
        <v>Madhu</v>
      </c>
      <c r="C1514" s="5" t="s">
        <v>2002</v>
      </c>
      <c r="D1514" s="5"/>
      <c r="E1514" s="5"/>
      <c r="F1514" s="5"/>
      <c r="G1514" s="5"/>
      <c r="H1514" s="5"/>
      <c r="I1514" s="5"/>
      <c r="J1514" s="73"/>
      <c r="K1514" s="75" t="str">
        <f>IFERROR(__xludf.DUMMYFUNCTION("""COMPUTED_VALUE"""),"")</f>
        <v/>
      </c>
      <c r="L1514" s="75"/>
      <c r="M1514" s="46" t="s">
        <v>2002</v>
      </c>
    </row>
    <row r="1515">
      <c r="A1515" s="70">
        <f>IFERROR(__xludf.DUMMYFUNCTION("""COMPUTED_VALUE"""),8.368631932E9)</f>
        <v>8368631932</v>
      </c>
      <c r="B1515" s="46" t="str">
        <f>IFERROR(__xludf.DUMMYFUNCTION("""COMPUTED_VALUE"""),"Kuber gupta")</f>
        <v>Kuber gupta</v>
      </c>
      <c r="C1515" s="5" t="s">
        <v>2002</v>
      </c>
      <c r="D1515" s="5"/>
      <c r="E1515" s="5"/>
      <c r="F1515" s="5"/>
      <c r="G1515" s="5"/>
      <c r="H1515" s="5"/>
      <c r="I1515" s="5"/>
      <c r="J1515" s="73"/>
      <c r="K1515" s="75" t="str">
        <f>IFERROR(__xludf.DUMMYFUNCTION("""COMPUTED_VALUE"""),"")</f>
        <v/>
      </c>
      <c r="L1515" s="75"/>
      <c r="M1515" s="46" t="s">
        <v>2002</v>
      </c>
    </row>
    <row r="1516">
      <c r="A1516" s="70">
        <f>IFERROR(__xludf.DUMMYFUNCTION("""COMPUTED_VALUE"""),9.450361751E9)</f>
        <v>9450361751</v>
      </c>
      <c r="B1516" s="46" t="str">
        <f>IFERROR(__xludf.DUMMYFUNCTION("""COMPUTED_VALUE"""),"Rajiv rastogi ")</f>
        <v>Rajiv rastogi </v>
      </c>
      <c r="C1516" s="5" t="s">
        <v>2002</v>
      </c>
      <c r="D1516" s="5"/>
      <c r="E1516" s="5"/>
      <c r="F1516" s="5"/>
      <c r="G1516" s="5"/>
      <c r="H1516" s="5"/>
      <c r="I1516" s="5"/>
      <c r="J1516" s="73"/>
      <c r="K1516" s="75" t="str">
        <f>IFERROR(__xludf.DUMMYFUNCTION("""COMPUTED_VALUE"""),"")</f>
        <v/>
      </c>
      <c r="L1516" s="75"/>
      <c r="M1516" s="46" t="s">
        <v>2002</v>
      </c>
    </row>
    <row r="1517">
      <c r="A1517" s="70">
        <f>IFERROR(__xludf.DUMMYFUNCTION("""COMPUTED_VALUE"""),9.5829322E9)</f>
        <v>9582932200</v>
      </c>
      <c r="B1517" s="46" t="str">
        <f>IFERROR(__xludf.DUMMYFUNCTION("""COMPUTED_VALUE"""),"Sneha")</f>
        <v>Sneha</v>
      </c>
      <c r="C1517" s="5" t="s">
        <v>2002</v>
      </c>
      <c r="D1517" s="5"/>
      <c r="E1517" s="5"/>
      <c r="F1517" s="5"/>
      <c r="G1517" s="5"/>
      <c r="H1517" s="5"/>
      <c r="I1517" s="5"/>
      <c r="J1517" s="73"/>
      <c r="K1517" s="75" t="str">
        <f>IFERROR(__xludf.DUMMYFUNCTION("""COMPUTED_VALUE"""),"")</f>
        <v/>
      </c>
      <c r="L1517" s="75"/>
      <c r="M1517" s="46" t="s">
        <v>2002</v>
      </c>
    </row>
    <row r="1518">
      <c r="A1518" s="70">
        <f>IFERROR(__xludf.DUMMYFUNCTION("""COMPUTED_VALUE"""),9.213140444E9)</f>
        <v>9213140444</v>
      </c>
      <c r="B1518" s="46" t="str">
        <f>IFERROR(__xludf.DUMMYFUNCTION("""COMPUTED_VALUE"""),"Diksha")</f>
        <v>Diksha</v>
      </c>
      <c r="C1518" s="5" t="s">
        <v>2002</v>
      </c>
      <c r="D1518" s="5"/>
      <c r="E1518" s="5"/>
      <c r="F1518" s="5"/>
      <c r="G1518" s="5"/>
      <c r="H1518" s="5"/>
      <c r="I1518" s="5"/>
      <c r="J1518" s="73"/>
      <c r="K1518" s="75" t="str">
        <f>IFERROR(__xludf.DUMMYFUNCTION("""COMPUTED_VALUE"""),"")</f>
        <v/>
      </c>
      <c r="L1518" s="75"/>
      <c r="M1518" s="46" t="s">
        <v>2002</v>
      </c>
    </row>
    <row r="1519">
      <c r="A1519" s="70">
        <f>IFERROR(__xludf.DUMMYFUNCTION("""COMPUTED_VALUE"""),8.882886386E9)</f>
        <v>8882886386</v>
      </c>
      <c r="B1519" s="46" t="str">
        <f>IFERROR(__xludf.DUMMYFUNCTION("""COMPUTED_VALUE"""),"Ekta")</f>
        <v>Ekta</v>
      </c>
      <c r="C1519" s="5" t="s">
        <v>2002</v>
      </c>
      <c r="D1519" s="5"/>
      <c r="E1519" s="5"/>
      <c r="F1519" s="5"/>
      <c r="G1519" s="5"/>
      <c r="H1519" s="5"/>
      <c r="I1519" s="5"/>
      <c r="J1519" s="73"/>
      <c r="K1519" s="75" t="str">
        <f>IFERROR(__xludf.DUMMYFUNCTION("""COMPUTED_VALUE"""),"")</f>
        <v/>
      </c>
      <c r="L1519" s="75"/>
      <c r="M1519" s="46" t="s">
        <v>2002</v>
      </c>
    </row>
    <row r="1520">
      <c r="A1520" s="70">
        <f>IFERROR(__xludf.DUMMYFUNCTION("""COMPUTED_VALUE"""),9.582604063E9)</f>
        <v>9582604063</v>
      </c>
      <c r="B1520" s="46" t="str">
        <f>IFERROR(__xludf.DUMMYFUNCTION("""COMPUTED_VALUE"""),"Anirudh Tiwari")</f>
        <v>Anirudh Tiwari</v>
      </c>
      <c r="C1520" s="5" t="s">
        <v>2002</v>
      </c>
      <c r="D1520" s="5"/>
      <c r="E1520" s="5"/>
      <c r="F1520" s="5"/>
      <c r="G1520" s="5"/>
      <c r="H1520" s="5"/>
      <c r="I1520" s="5"/>
      <c r="J1520" s="73"/>
      <c r="K1520" s="75" t="str">
        <f>IFERROR(__xludf.DUMMYFUNCTION("""COMPUTED_VALUE"""),"")</f>
        <v/>
      </c>
      <c r="L1520" s="75"/>
      <c r="M1520" s="46" t="s">
        <v>2002</v>
      </c>
    </row>
    <row r="1521">
      <c r="A1521" s="70">
        <f>IFERROR(__xludf.DUMMYFUNCTION("""COMPUTED_VALUE"""),9.86844001E9)</f>
        <v>9868440010</v>
      </c>
      <c r="B1521" s="46" t="str">
        <f>IFERROR(__xludf.DUMMYFUNCTION("""COMPUTED_VALUE"""),"Ak vij")</f>
        <v>Ak vij</v>
      </c>
      <c r="C1521" s="5" t="s">
        <v>2002</v>
      </c>
      <c r="D1521" s="5"/>
      <c r="E1521" s="5"/>
      <c r="F1521" s="5"/>
      <c r="G1521" s="5"/>
      <c r="H1521" s="5"/>
      <c r="I1521" s="5"/>
      <c r="J1521" s="73"/>
      <c r="K1521" s="75" t="str">
        <f>IFERROR(__xludf.DUMMYFUNCTION("""COMPUTED_VALUE"""),"")</f>
        <v/>
      </c>
      <c r="L1521" s="75"/>
      <c r="M1521" s="46" t="s">
        <v>2002</v>
      </c>
    </row>
    <row r="1522">
      <c r="A1522" s="70">
        <f>IFERROR(__xludf.DUMMYFUNCTION("""COMPUTED_VALUE"""),9.873282856E9)</f>
        <v>9873282856</v>
      </c>
      <c r="B1522" s="46" t="str">
        <f>IFERROR(__xludf.DUMMYFUNCTION("""COMPUTED_VALUE"""),"S m zaidi")</f>
        <v>S m zaidi</v>
      </c>
      <c r="C1522" s="5" t="s">
        <v>2002</v>
      </c>
      <c r="D1522" s="5"/>
      <c r="E1522" s="5"/>
      <c r="F1522" s="5"/>
      <c r="G1522" s="5"/>
      <c r="H1522" s="5"/>
      <c r="I1522" s="5"/>
      <c r="J1522" s="73"/>
      <c r="K1522" s="75" t="str">
        <f>IFERROR(__xludf.DUMMYFUNCTION("""COMPUTED_VALUE"""),"")</f>
        <v/>
      </c>
      <c r="L1522" s="75"/>
      <c r="M1522" s="46" t="s">
        <v>2002</v>
      </c>
    </row>
    <row r="1523">
      <c r="A1523" s="70">
        <f>IFERROR(__xludf.DUMMYFUNCTION("""COMPUTED_VALUE"""),9.810784755E9)</f>
        <v>9810784755</v>
      </c>
      <c r="B1523" s="46" t="str">
        <f>IFERROR(__xludf.DUMMYFUNCTION("""COMPUTED_VALUE"""),"Shalu Gupta ")</f>
        <v>Shalu Gupta </v>
      </c>
      <c r="C1523" s="5" t="s">
        <v>2002</v>
      </c>
      <c r="D1523" s="5"/>
      <c r="E1523" s="5"/>
      <c r="F1523" s="5"/>
      <c r="G1523" s="5"/>
      <c r="H1523" s="5"/>
      <c r="I1523" s="5"/>
      <c r="J1523" s="73"/>
      <c r="K1523" s="75" t="str">
        <f>IFERROR(__xludf.DUMMYFUNCTION("""COMPUTED_VALUE"""),"")</f>
        <v/>
      </c>
      <c r="L1523" s="75"/>
      <c r="M1523" s="46" t="s">
        <v>2002</v>
      </c>
    </row>
    <row r="1524">
      <c r="A1524" s="70">
        <f>IFERROR(__xludf.DUMMYFUNCTION("""COMPUTED_VALUE"""),9.810233837E9)</f>
        <v>9810233837</v>
      </c>
      <c r="B1524" s="46" t="str">
        <f>IFERROR(__xludf.DUMMYFUNCTION("""COMPUTED_VALUE"""),"Kohinoor ")</f>
        <v>Kohinoor </v>
      </c>
      <c r="C1524" s="5" t="s">
        <v>2002</v>
      </c>
      <c r="D1524" s="5"/>
      <c r="E1524" s="5"/>
      <c r="F1524" s="5"/>
      <c r="G1524" s="5"/>
      <c r="H1524" s="5"/>
      <c r="I1524" s="5"/>
      <c r="J1524" s="73"/>
      <c r="K1524" s="75" t="str">
        <f>IFERROR(__xludf.DUMMYFUNCTION("""COMPUTED_VALUE"""),"")</f>
        <v/>
      </c>
      <c r="L1524" s="75"/>
      <c r="M1524" s="46" t="s">
        <v>2002</v>
      </c>
    </row>
    <row r="1525">
      <c r="A1525" s="70">
        <f>IFERROR(__xludf.DUMMYFUNCTION("""COMPUTED_VALUE"""),9.87311333E9)</f>
        <v>9873113330</v>
      </c>
      <c r="B1525" s="46" t="str">
        <f>IFERROR(__xludf.DUMMYFUNCTION("""COMPUTED_VALUE"""),"Sandeep Jain")</f>
        <v>Sandeep Jain</v>
      </c>
      <c r="C1525" s="5" t="s">
        <v>2002</v>
      </c>
      <c r="D1525" s="5"/>
      <c r="E1525" s="5"/>
      <c r="F1525" s="5"/>
      <c r="G1525" s="5"/>
      <c r="H1525" s="5"/>
      <c r="I1525" s="5"/>
      <c r="J1525" s="73"/>
      <c r="K1525" s="75" t="str">
        <f>IFERROR(__xludf.DUMMYFUNCTION("""COMPUTED_VALUE"""),"")</f>
        <v/>
      </c>
      <c r="L1525" s="75"/>
      <c r="M1525" s="46" t="s">
        <v>2002</v>
      </c>
    </row>
    <row r="1526">
      <c r="A1526" s="70">
        <f>IFERROR(__xludf.DUMMYFUNCTION("""COMPUTED_VALUE"""),9.9582715E9)</f>
        <v>9958271500</v>
      </c>
      <c r="B1526" s="46" t="str">
        <f>IFERROR(__xludf.DUMMYFUNCTION("""COMPUTED_VALUE"""),"Pawan Kumar")</f>
        <v>Pawan Kumar</v>
      </c>
      <c r="C1526" s="5" t="s">
        <v>2002</v>
      </c>
      <c r="D1526" s="5"/>
      <c r="E1526" s="5"/>
      <c r="F1526" s="5"/>
      <c r="G1526" s="5"/>
      <c r="H1526" s="5"/>
      <c r="I1526" s="5"/>
      <c r="J1526" s="73"/>
      <c r="K1526" s="75" t="str">
        <f>IFERROR(__xludf.DUMMYFUNCTION("""COMPUTED_VALUE"""),"")</f>
        <v/>
      </c>
      <c r="L1526" s="75"/>
      <c r="M1526" s="46" t="s">
        <v>2002</v>
      </c>
    </row>
    <row r="1527">
      <c r="A1527" s="70">
        <f>IFERROR(__xludf.DUMMYFUNCTION("""COMPUTED_VALUE"""),9.871001452E9)</f>
        <v>9871001452</v>
      </c>
      <c r="B1527" s="46" t="str">
        <f>IFERROR(__xludf.DUMMYFUNCTION("""COMPUTED_VALUE"""),"Atul")</f>
        <v>Atul</v>
      </c>
      <c r="C1527" s="5" t="s">
        <v>2002</v>
      </c>
      <c r="D1527" s="5"/>
      <c r="E1527" s="5"/>
      <c r="F1527" s="5"/>
      <c r="G1527" s="5"/>
      <c r="H1527" s="5"/>
      <c r="I1527" s="5"/>
      <c r="J1527" s="73"/>
      <c r="K1527" s="75" t="str">
        <f>IFERROR(__xludf.DUMMYFUNCTION("""COMPUTED_VALUE"""),"")</f>
        <v/>
      </c>
      <c r="L1527" s="75"/>
      <c r="M1527" s="46" t="s">
        <v>2002</v>
      </c>
    </row>
    <row r="1528">
      <c r="A1528" s="70">
        <f>IFERROR(__xludf.DUMMYFUNCTION("""COMPUTED_VALUE"""),8.800687106E9)</f>
        <v>8800687106</v>
      </c>
      <c r="B1528" s="46" t="str">
        <f>IFERROR(__xludf.DUMMYFUNCTION("""COMPUTED_VALUE"""),"Sanya")</f>
        <v>Sanya</v>
      </c>
      <c r="C1528" s="5" t="s">
        <v>2002</v>
      </c>
      <c r="D1528" s="5"/>
      <c r="E1528" s="5"/>
      <c r="F1528" s="5"/>
      <c r="G1528" s="5"/>
      <c r="H1528" s="5"/>
      <c r="I1528" s="5"/>
      <c r="J1528" s="73"/>
      <c r="K1528" s="75" t="str">
        <f>IFERROR(__xludf.DUMMYFUNCTION("""COMPUTED_VALUE"""),"")</f>
        <v/>
      </c>
      <c r="L1528" s="75"/>
      <c r="M1528" s="46" t="s">
        <v>2002</v>
      </c>
    </row>
    <row r="1529">
      <c r="A1529" s="70">
        <f>IFERROR(__xludf.DUMMYFUNCTION("""COMPUTED_VALUE"""),7.078167187E9)</f>
        <v>7078167187</v>
      </c>
      <c r="B1529" s="46" t="str">
        <f>IFERROR(__xludf.DUMMYFUNCTION("""COMPUTED_VALUE"""),"Nivedita Singh")</f>
        <v>Nivedita Singh</v>
      </c>
      <c r="C1529" s="5" t="s">
        <v>2002</v>
      </c>
      <c r="D1529" s="5"/>
      <c r="E1529" s="5"/>
      <c r="F1529" s="5"/>
      <c r="G1529" s="5"/>
      <c r="H1529" s="5"/>
      <c r="I1529" s="5"/>
      <c r="J1529" s="73"/>
      <c r="K1529" s="75" t="str">
        <f>IFERROR(__xludf.DUMMYFUNCTION("""COMPUTED_VALUE"""),"")</f>
        <v/>
      </c>
      <c r="L1529" s="75"/>
      <c r="M1529" s="46" t="s">
        <v>2002</v>
      </c>
    </row>
    <row r="1530">
      <c r="A1530" s="70">
        <f>IFERROR(__xludf.DUMMYFUNCTION("""COMPUTED_VALUE"""),9.821619733E9)</f>
        <v>9821619733</v>
      </c>
      <c r="B1530" s="46" t="str">
        <f>IFERROR(__xludf.DUMMYFUNCTION("""COMPUTED_VALUE"""),"Sana")</f>
        <v>Sana</v>
      </c>
      <c r="C1530" s="5" t="s">
        <v>2002</v>
      </c>
      <c r="D1530" s="5"/>
      <c r="E1530" s="5"/>
      <c r="F1530" s="5"/>
      <c r="G1530" s="5"/>
      <c r="H1530" s="5"/>
      <c r="I1530" s="5"/>
      <c r="J1530" s="73"/>
      <c r="K1530" s="75" t="str">
        <f>IFERROR(__xludf.DUMMYFUNCTION("""COMPUTED_VALUE"""),"")</f>
        <v/>
      </c>
      <c r="L1530" s="75"/>
      <c r="M1530" s="46" t="s">
        <v>2002</v>
      </c>
    </row>
    <row r="1531">
      <c r="A1531" s="70">
        <f>IFERROR(__xludf.DUMMYFUNCTION("""COMPUTED_VALUE"""),9.310206232E9)</f>
        <v>9310206232</v>
      </c>
      <c r="B1531" s="46" t="str">
        <f>IFERROR(__xludf.DUMMYFUNCTION("""COMPUTED_VALUE"""),"junaid")</f>
        <v>junaid</v>
      </c>
      <c r="C1531" s="5" t="s">
        <v>2002</v>
      </c>
      <c r="D1531" s="5"/>
      <c r="E1531" s="5"/>
      <c r="F1531" s="5"/>
      <c r="G1531" s="5"/>
      <c r="H1531" s="5"/>
      <c r="I1531" s="5"/>
      <c r="J1531" s="73"/>
      <c r="K1531" s="75" t="str">
        <f>IFERROR(__xludf.DUMMYFUNCTION("""COMPUTED_VALUE"""),"")</f>
        <v/>
      </c>
      <c r="L1531" s="75"/>
      <c r="M1531" s="46" t="s">
        <v>2002</v>
      </c>
    </row>
    <row r="1532">
      <c r="A1532" s="70">
        <f>IFERROR(__xludf.DUMMYFUNCTION("""COMPUTED_VALUE"""),9.413303502E9)</f>
        <v>9413303502</v>
      </c>
      <c r="B1532" s="46" t="str">
        <f>IFERROR(__xludf.DUMMYFUNCTION("""COMPUTED_VALUE"""),"Ravi Bhardwaj ")</f>
        <v>Ravi Bhardwaj </v>
      </c>
      <c r="C1532" s="5" t="s">
        <v>2002</v>
      </c>
      <c r="D1532" s="5"/>
      <c r="E1532" s="5"/>
      <c r="F1532" s="5"/>
      <c r="G1532" s="5"/>
      <c r="H1532" s="5"/>
      <c r="I1532" s="5"/>
      <c r="J1532" s="73"/>
      <c r="K1532" s="75" t="str">
        <f>IFERROR(__xludf.DUMMYFUNCTION("""COMPUTED_VALUE"""),"")</f>
        <v/>
      </c>
      <c r="L1532" s="75"/>
      <c r="M1532" s="46" t="s">
        <v>2002</v>
      </c>
    </row>
    <row r="1533">
      <c r="A1533" s="70">
        <f>IFERROR(__xludf.DUMMYFUNCTION("""COMPUTED_VALUE"""),8.745000081E9)</f>
        <v>8745000081</v>
      </c>
      <c r="B1533" s="46" t="str">
        <f>IFERROR(__xludf.DUMMYFUNCTION("""COMPUTED_VALUE"""),"Sushant")</f>
        <v>Sushant</v>
      </c>
      <c r="C1533" s="5" t="s">
        <v>2002</v>
      </c>
      <c r="D1533" s="5"/>
      <c r="E1533" s="5"/>
      <c r="F1533" s="5"/>
      <c r="G1533" s="5"/>
      <c r="H1533" s="5"/>
      <c r="I1533" s="5"/>
      <c r="J1533" s="73"/>
      <c r="K1533" s="75" t="str">
        <f>IFERROR(__xludf.DUMMYFUNCTION("""COMPUTED_VALUE"""),"")</f>
        <v/>
      </c>
      <c r="L1533" s="75"/>
      <c r="M1533" s="46" t="s">
        <v>2002</v>
      </c>
    </row>
    <row r="1534">
      <c r="A1534" s="70">
        <f>IFERROR(__xludf.DUMMYFUNCTION("""COMPUTED_VALUE"""),9.81062895E9)</f>
        <v>9810628950</v>
      </c>
      <c r="B1534" s="46" t="str">
        <f>IFERROR(__xludf.DUMMYFUNCTION("""COMPUTED_VALUE"""),"Pradeep Mittal")</f>
        <v>Pradeep Mittal</v>
      </c>
      <c r="C1534" s="5" t="s">
        <v>2002</v>
      </c>
      <c r="D1534" s="5"/>
      <c r="E1534" s="5"/>
      <c r="F1534" s="5"/>
      <c r="G1534" s="5"/>
      <c r="H1534" s="5"/>
      <c r="I1534" s="5"/>
      <c r="J1534" s="73"/>
      <c r="K1534" s="75" t="str">
        <f>IFERROR(__xludf.DUMMYFUNCTION("""COMPUTED_VALUE"""),"")</f>
        <v/>
      </c>
      <c r="L1534" s="75"/>
      <c r="M1534" s="46" t="s">
        <v>2002</v>
      </c>
    </row>
    <row r="1535">
      <c r="A1535" s="70">
        <f>IFERROR(__xludf.DUMMYFUNCTION("""COMPUTED_VALUE"""),8.44740694E9)</f>
        <v>8447406940</v>
      </c>
      <c r="B1535" s="46" t="str">
        <f>IFERROR(__xludf.DUMMYFUNCTION("""COMPUTED_VALUE"""),"Akanksha Aggarwal ")</f>
        <v>Akanksha Aggarwal </v>
      </c>
      <c r="C1535" s="5" t="s">
        <v>2002</v>
      </c>
      <c r="D1535" s="5"/>
      <c r="E1535" s="5"/>
      <c r="F1535" s="5"/>
      <c r="G1535" s="5"/>
      <c r="H1535" s="5"/>
      <c r="I1535" s="5"/>
      <c r="J1535" s="73"/>
      <c r="K1535" s="75" t="str">
        <f>IFERROR(__xludf.DUMMYFUNCTION("""COMPUTED_VALUE"""),"")</f>
        <v/>
      </c>
      <c r="L1535" s="75"/>
      <c r="M1535" s="46" t="s">
        <v>2002</v>
      </c>
    </row>
    <row r="1536">
      <c r="A1536" s="70">
        <f>IFERROR(__xludf.DUMMYFUNCTION("""COMPUTED_VALUE"""),9.871317684E9)</f>
        <v>9871317684</v>
      </c>
      <c r="B1536" s="46" t="str">
        <f>IFERROR(__xludf.DUMMYFUNCTION("""COMPUTED_VALUE"""),"Deepa")</f>
        <v>Deepa</v>
      </c>
      <c r="C1536" s="5" t="s">
        <v>2002</v>
      </c>
      <c r="D1536" s="5"/>
      <c r="E1536" s="5"/>
      <c r="F1536" s="5"/>
      <c r="G1536" s="5"/>
      <c r="H1536" s="5"/>
      <c r="I1536" s="5"/>
      <c r="J1536" s="73"/>
      <c r="K1536" s="75" t="str">
        <f>IFERROR(__xludf.DUMMYFUNCTION("""COMPUTED_VALUE"""),"")</f>
        <v/>
      </c>
      <c r="L1536" s="75"/>
      <c r="M1536" s="46" t="s">
        <v>2002</v>
      </c>
    </row>
    <row r="1537">
      <c r="A1537" s="70">
        <f>IFERROR(__xludf.DUMMYFUNCTION("""COMPUTED_VALUE"""),9.718920872E9)</f>
        <v>9718920872</v>
      </c>
      <c r="B1537" s="46" t="str">
        <f>IFERROR(__xludf.DUMMYFUNCTION("""COMPUTED_VALUE"""),"Nisha")</f>
        <v>Nisha</v>
      </c>
      <c r="C1537" s="5" t="s">
        <v>2002</v>
      </c>
      <c r="D1537" s="5"/>
      <c r="E1537" s="5"/>
      <c r="F1537" s="5"/>
      <c r="G1537" s="5"/>
      <c r="H1537" s="5"/>
      <c r="I1537" s="5"/>
      <c r="J1537" s="73"/>
      <c r="K1537" s="75" t="str">
        <f>IFERROR(__xludf.DUMMYFUNCTION("""COMPUTED_VALUE"""),"")</f>
        <v/>
      </c>
      <c r="L1537" s="75"/>
      <c r="M1537" s="46" t="s">
        <v>2002</v>
      </c>
    </row>
    <row r="1538">
      <c r="A1538" s="70">
        <f>IFERROR(__xludf.DUMMYFUNCTION("""COMPUTED_VALUE"""),9.953130766E9)</f>
        <v>9953130766</v>
      </c>
      <c r="B1538" s="46" t="str">
        <f>IFERROR(__xludf.DUMMYFUNCTION("""COMPUTED_VALUE"""),"rucha")</f>
        <v>rucha</v>
      </c>
      <c r="C1538" s="5" t="s">
        <v>2002</v>
      </c>
      <c r="D1538" s="5"/>
      <c r="E1538" s="5"/>
      <c r="F1538" s="5"/>
      <c r="G1538" s="5"/>
      <c r="H1538" s="5"/>
      <c r="I1538" s="5"/>
      <c r="J1538" s="73"/>
      <c r="K1538" s="75" t="str">
        <f>IFERROR(__xludf.DUMMYFUNCTION("""COMPUTED_VALUE"""),"")</f>
        <v/>
      </c>
      <c r="L1538" s="75"/>
      <c r="M1538" s="46" t="s">
        <v>2002</v>
      </c>
    </row>
    <row r="1539">
      <c r="A1539" s="70">
        <f>IFERROR(__xludf.DUMMYFUNCTION("""COMPUTED_VALUE"""),9.899606045E9)</f>
        <v>9899606045</v>
      </c>
      <c r="B1539" s="46" t="str">
        <f>IFERROR(__xludf.DUMMYFUNCTION("""COMPUTED_VALUE"""),"Savita")</f>
        <v>Savita</v>
      </c>
      <c r="C1539" s="5" t="s">
        <v>2002</v>
      </c>
      <c r="D1539" s="5"/>
      <c r="E1539" s="5"/>
      <c r="F1539" s="5"/>
      <c r="G1539" s="5"/>
      <c r="H1539" s="5"/>
      <c r="I1539" s="5"/>
      <c r="J1539" s="73"/>
      <c r="K1539" s="75" t="str">
        <f>IFERROR(__xludf.DUMMYFUNCTION("""COMPUTED_VALUE"""),"")</f>
        <v/>
      </c>
      <c r="L1539" s="75"/>
      <c r="M1539" s="46" t="s">
        <v>2002</v>
      </c>
    </row>
    <row r="1540">
      <c r="A1540" s="70">
        <f>IFERROR(__xludf.DUMMYFUNCTION("""COMPUTED_VALUE"""),9.350894952E9)</f>
        <v>9350894952</v>
      </c>
      <c r="B1540" s="46" t="str">
        <f>IFERROR(__xludf.DUMMYFUNCTION("""COMPUTED_VALUE"""),"Rakesh maira")</f>
        <v>Rakesh maira</v>
      </c>
      <c r="C1540" s="5" t="s">
        <v>2002</v>
      </c>
      <c r="D1540" s="5"/>
      <c r="E1540" s="5"/>
      <c r="F1540" s="5"/>
      <c r="G1540" s="5"/>
      <c r="H1540" s="5"/>
      <c r="I1540" s="5"/>
      <c r="J1540" s="73"/>
      <c r="K1540" s="75" t="str">
        <f>IFERROR(__xludf.DUMMYFUNCTION("""COMPUTED_VALUE"""),"")</f>
        <v/>
      </c>
      <c r="L1540" s="75"/>
      <c r="M1540" s="46" t="s">
        <v>2002</v>
      </c>
    </row>
    <row r="1541">
      <c r="A1541" s="70">
        <f>IFERROR(__xludf.DUMMYFUNCTION("""COMPUTED_VALUE"""),8.209613964E9)</f>
        <v>8209613964</v>
      </c>
      <c r="B1541" s="46" t="str">
        <f>IFERROR(__xludf.DUMMYFUNCTION("""COMPUTED_VALUE"""),"Sapna")</f>
        <v>Sapna</v>
      </c>
      <c r="C1541" s="5" t="s">
        <v>2002</v>
      </c>
      <c r="D1541" s="5"/>
      <c r="E1541" s="5"/>
      <c r="F1541" s="5"/>
      <c r="G1541" s="5"/>
      <c r="H1541" s="5"/>
      <c r="I1541" s="5"/>
      <c r="J1541" s="73"/>
      <c r="K1541" s="75" t="str">
        <f>IFERROR(__xludf.DUMMYFUNCTION("""COMPUTED_VALUE"""),"")</f>
        <v/>
      </c>
      <c r="L1541" s="75"/>
      <c r="M1541" s="46" t="s">
        <v>2002</v>
      </c>
    </row>
    <row r="1542">
      <c r="A1542" s="70">
        <f>IFERROR(__xludf.DUMMYFUNCTION("""COMPUTED_VALUE"""),9.755511248E9)</f>
        <v>9755511248</v>
      </c>
      <c r="B1542" s="46" t="str">
        <f>IFERROR(__xludf.DUMMYFUNCTION("""COMPUTED_VALUE"""),"Arvind Agarwal")</f>
        <v>Arvind Agarwal</v>
      </c>
      <c r="C1542" s="5" t="s">
        <v>2002</v>
      </c>
      <c r="D1542" s="5"/>
      <c r="E1542" s="5"/>
      <c r="F1542" s="5"/>
      <c r="G1542" s="5"/>
      <c r="H1542" s="5"/>
      <c r="I1542" s="5"/>
      <c r="J1542" s="73"/>
      <c r="K1542" s="75" t="str">
        <f>IFERROR(__xludf.DUMMYFUNCTION("""COMPUTED_VALUE"""),"")</f>
        <v/>
      </c>
      <c r="L1542" s="75"/>
      <c r="M1542" s="46" t="s">
        <v>2002</v>
      </c>
    </row>
    <row r="1543">
      <c r="A1543" s="70">
        <f>IFERROR(__xludf.DUMMYFUNCTION("""COMPUTED_VALUE"""),9.810198602E9)</f>
        <v>9810198602</v>
      </c>
      <c r="B1543" s="46" t="str">
        <f>IFERROR(__xludf.DUMMYFUNCTION("""COMPUTED_VALUE"""),"Dharmesh")</f>
        <v>Dharmesh</v>
      </c>
      <c r="C1543" s="5" t="s">
        <v>2002</v>
      </c>
      <c r="D1543" s="5"/>
      <c r="E1543" s="5"/>
      <c r="F1543" s="5"/>
      <c r="G1543" s="5"/>
      <c r="H1543" s="5"/>
      <c r="I1543" s="5"/>
      <c r="J1543" s="73"/>
      <c r="K1543" s="75" t="str">
        <f>IFERROR(__xludf.DUMMYFUNCTION("""COMPUTED_VALUE"""),"")</f>
        <v/>
      </c>
      <c r="L1543" s="75"/>
      <c r="M1543" s="46" t="s">
        <v>2002</v>
      </c>
    </row>
    <row r="1544">
      <c r="A1544" s="70">
        <f>IFERROR(__xludf.DUMMYFUNCTION("""COMPUTED_VALUE"""),7.669993921E9)</f>
        <v>7669993921</v>
      </c>
      <c r="B1544" s="46" t="str">
        <f>IFERROR(__xludf.DUMMYFUNCTION("""COMPUTED_VALUE"""),"Rashmi")</f>
        <v>Rashmi</v>
      </c>
      <c r="C1544" s="5" t="s">
        <v>2002</v>
      </c>
      <c r="D1544" s="5"/>
      <c r="E1544" s="5"/>
      <c r="F1544" s="5"/>
      <c r="G1544" s="5"/>
      <c r="H1544" s="5"/>
      <c r="I1544" s="5"/>
      <c r="J1544" s="73"/>
      <c r="K1544" s="75" t="str">
        <f>IFERROR(__xludf.DUMMYFUNCTION("""COMPUTED_VALUE"""),"")</f>
        <v/>
      </c>
      <c r="L1544" s="75"/>
      <c r="M1544" s="46" t="s">
        <v>2002</v>
      </c>
    </row>
    <row r="1545">
      <c r="A1545" s="70">
        <f>IFERROR(__xludf.DUMMYFUNCTION("""COMPUTED_VALUE"""),7.827657624E9)</f>
        <v>7827657624</v>
      </c>
      <c r="B1545" s="46" t="str">
        <f>IFERROR(__xludf.DUMMYFUNCTION("""COMPUTED_VALUE"""),"Shashi ")</f>
        <v>Shashi </v>
      </c>
      <c r="C1545" s="5" t="s">
        <v>2002</v>
      </c>
      <c r="D1545" s="5"/>
      <c r="E1545" s="5"/>
      <c r="F1545" s="5"/>
      <c r="G1545" s="5"/>
      <c r="H1545" s="5"/>
      <c r="I1545" s="5"/>
      <c r="J1545" s="73"/>
      <c r="K1545" s="75" t="str">
        <f>IFERROR(__xludf.DUMMYFUNCTION("""COMPUTED_VALUE"""),"")</f>
        <v/>
      </c>
      <c r="L1545" s="75"/>
      <c r="M1545" s="46" t="s">
        <v>2002</v>
      </c>
    </row>
    <row r="1546">
      <c r="A1546" s="70">
        <f>IFERROR(__xludf.DUMMYFUNCTION("""COMPUTED_VALUE"""),7.982281122E9)</f>
        <v>7982281122</v>
      </c>
      <c r="B1546" s="46" t="str">
        <f>IFERROR(__xludf.DUMMYFUNCTION("""COMPUTED_VALUE"""),"Rakesh ")</f>
        <v>Rakesh </v>
      </c>
      <c r="C1546" s="5" t="s">
        <v>2002</v>
      </c>
      <c r="D1546" s="5"/>
      <c r="E1546" s="5"/>
      <c r="F1546" s="5"/>
      <c r="G1546" s="5"/>
      <c r="H1546" s="5"/>
      <c r="I1546" s="5"/>
      <c r="J1546" s="73"/>
      <c r="K1546" s="75" t="str">
        <f>IFERROR(__xludf.DUMMYFUNCTION("""COMPUTED_VALUE"""),"")</f>
        <v/>
      </c>
      <c r="L1546" s="75"/>
      <c r="M1546" s="46" t="s">
        <v>2002</v>
      </c>
    </row>
    <row r="1547">
      <c r="A1547" s="70">
        <f>IFERROR(__xludf.DUMMYFUNCTION("""COMPUTED_VALUE"""),8.178421518E9)</f>
        <v>8178421518</v>
      </c>
      <c r="B1547" s="46" t="str">
        <f>IFERROR(__xludf.DUMMYFUNCTION("""COMPUTED_VALUE"""),"Vinod ")</f>
        <v>Vinod </v>
      </c>
      <c r="C1547" s="5" t="s">
        <v>2002</v>
      </c>
      <c r="D1547" s="5"/>
      <c r="E1547" s="5"/>
      <c r="F1547" s="5"/>
      <c r="G1547" s="5"/>
      <c r="H1547" s="5"/>
      <c r="I1547" s="5"/>
      <c r="J1547" s="73"/>
      <c r="K1547" s="75" t="str">
        <f>IFERROR(__xludf.DUMMYFUNCTION("""COMPUTED_VALUE"""),"")</f>
        <v/>
      </c>
      <c r="L1547" s="75"/>
      <c r="M1547" s="46" t="s">
        <v>2002</v>
      </c>
    </row>
    <row r="1548">
      <c r="A1548" s="70">
        <f>IFERROR(__xludf.DUMMYFUNCTION("""COMPUTED_VALUE"""),9.31288009E9)</f>
        <v>9312880090</v>
      </c>
      <c r="B1548" s="46" t="str">
        <f>IFERROR(__xludf.DUMMYFUNCTION("""COMPUTED_VALUE"""),"Manoj jain")</f>
        <v>Manoj jain</v>
      </c>
      <c r="C1548" s="5" t="s">
        <v>2002</v>
      </c>
      <c r="D1548" s="5"/>
      <c r="E1548" s="5"/>
      <c r="F1548" s="5"/>
      <c r="G1548" s="5"/>
      <c r="H1548" s="5"/>
      <c r="I1548" s="5"/>
      <c r="J1548" s="73"/>
      <c r="K1548" s="75" t="str">
        <f>IFERROR(__xludf.DUMMYFUNCTION("""COMPUTED_VALUE"""),"")</f>
        <v/>
      </c>
      <c r="L1548" s="75"/>
      <c r="M1548" s="46" t="s">
        <v>2002</v>
      </c>
    </row>
    <row r="1549">
      <c r="A1549" s="70">
        <f>IFERROR(__xludf.DUMMYFUNCTION("""COMPUTED_VALUE"""),8.557001311E9)</f>
        <v>8557001311</v>
      </c>
      <c r="B1549" s="46" t="str">
        <f>IFERROR(__xludf.DUMMYFUNCTION("""COMPUTED_VALUE"""),"Ritu")</f>
        <v>Ritu</v>
      </c>
      <c r="C1549" s="5" t="s">
        <v>2002</v>
      </c>
      <c r="D1549" s="5"/>
      <c r="E1549" s="5"/>
      <c r="F1549" s="5"/>
      <c r="G1549" s="5"/>
      <c r="H1549" s="5"/>
      <c r="I1549" s="5"/>
      <c r="J1549" s="73"/>
      <c r="K1549" s="75" t="str">
        <f>IFERROR(__xludf.DUMMYFUNCTION("""COMPUTED_VALUE"""),"")</f>
        <v/>
      </c>
      <c r="L1549" s="75"/>
      <c r="M1549" s="46" t="s">
        <v>2002</v>
      </c>
    </row>
    <row r="1550">
      <c r="A1550" s="70">
        <f>IFERROR(__xludf.DUMMYFUNCTION("""COMPUTED_VALUE"""),9.810230004E9)</f>
        <v>9810230004</v>
      </c>
      <c r="B1550" s="46" t="str">
        <f>IFERROR(__xludf.DUMMYFUNCTION("""COMPUTED_VALUE"""),"Pardeep kumar")</f>
        <v>Pardeep kumar</v>
      </c>
      <c r="C1550" s="5" t="s">
        <v>2002</v>
      </c>
      <c r="D1550" s="5"/>
      <c r="E1550" s="5"/>
      <c r="F1550" s="5"/>
      <c r="G1550" s="5"/>
      <c r="H1550" s="5"/>
      <c r="I1550" s="5"/>
      <c r="J1550" s="73"/>
      <c r="K1550" s="75" t="str">
        <f>IFERROR(__xludf.DUMMYFUNCTION("""COMPUTED_VALUE"""),"")</f>
        <v/>
      </c>
      <c r="L1550" s="75"/>
      <c r="M1550" s="46" t="s">
        <v>2002</v>
      </c>
    </row>
    <row r="1551">
      <c r="A1551" s="70">
        <f>IFERROR(__xludf.DUMMYFUNCTION("""COMPUTED_VALUE"""),9.990299038E9)</f>
        <v>9990299038</v>
      </c>
      <c r="B1551" s="46" t="str">
        <f>IFERROR(__xludf.DUMMYFUNCTION("""COMPUTED_VALUE"""),"Anjali")</f>
        <v>Anjali</v>
      </c>
      <c r="C1551" s="5" t="s">
        <v>2002</v>
      </c>
      <c r="D1551" s="5"/>
      <c r="E1551" s="5"/>
      <c r="F1551" s="5"/>
      <c r="G1551" s="5"/>
      <c r="H1551" s="5"/>
      <c r="I1551" s="5"/>
      <c r="J1551" s="73"/>
      <c r="K1551" s="75" t="str">
        <f>IFERROR(__xludf.DUMMYFUNCTION("""COMPUTED_VALUE"""),"")</f>
        <v/>
      </c>
      <c r="L1551" s="75"/>
      <c r="M1551" s="46" t="s">
        <v>2002</v>
      </c>
    </row>
    <row r="1552">
      <c r="A1552" s="70">
        <f>IFERROR(__xludf.DUMMYFUNCTION("""COMPUTED_VALUE"""),9.650346035E9)</f>
        <v>9650346035</v>
      </c>
      <c r="B1552" s="46" t="str">
        <f>IFERROR(__xludf.DUMMYFUNCTION("""COMPUTED_VALUE"""),"Megha")</f>
        <v>Megha</v>
      </c>
      <c r="C1552" s="5" t="s">
        <v>2002</v>
      </c>
      <c r="D1552" s="5"/>
      <c r="E1552" s="5"/>
      <c r="F1552" s="5"/>
      <c r="G1552" s="5"/>
      <c r="H1552" s="5"/>
      <c r="I1552" s="5"/>
      <c r="J1552" s="73"/>
      <c r="K1552" s="75" t="str">
        <f>IFERROR(__xludf.DUMMYFUNCTION("""COMPUTED_VALUE"""),"")</f>
        <v/>
      </c>
      <c r="L1552" s="75"/>
      <c r="M1552" s="46" t="s">
        <v>2002</v>
      </c>
    </row>
    <row r="1553">
      <c r="A1553" s="70">
        <f>IFERROR(__xludf.DUMMYFUNCTION("""COMPUTED_VALUE"""),7.732998256E9)</f>
        <v>7732998256</v>
      </c>
      <c r="B1553" s="46" t="str">
        <f>IFERROR(__xludf.DUMMYFUNCTION("""COMPUTED_VALUE"""),"Faiz")</f>
        <v>Faiz</v>
      </c>
      <c r="C1553" s="5" t="s">
        <v>2002</v>
      </c>
      <c r="D1553" s="5"/>
      <c r="E1553" s="5"/>
      <c r="F1553" s="5"/>
      <c r="G1553" s="5"/>
      <c r="H1553" s="5"/>
      <c r="I1553" s="5"/>
      <c r="J1553" s="73"/>
      <c r="K1553" s="75" t="str">
        <f>IFERROR(__xludf.DUMMYFUNCTION("""COMPUTED_VALUE"""),"")</f>
        <v/>
      </c>
      <c r="L1553" s="75"/>
      <c r="M1553" s="46" t="s">
        <v>2002</v>
      </c>
    </row>
    <row r="1554">
      <c r="A1554" s="70">
        <f>IFERROR(__xludf.DUMMYFUNCTION("""COMPUTED_VALUE"""),8.178225347E9)</f>
        <v>8178225347</v>
      </c>
      <c r="B1554" s="46" t="str">
        <f>IFERROR(__xludf.DUMMYFUNCTION("""COMPUTED_VALUE"""),"Harleen")</f>
        <v>Harleen</v>
      </c>
      <c r="C1554" s="5" t="s">
        <v>2002</v>
      </c>
      <c r="D1554" s="5"/>
      <c r="E1554" s="5"/>
      <c r="F1554" s="5"/>
      <c r="G1554" s="5"/>
      <c r="H1554" s="5"/>
      <c r="I1554" s="5"/>
      <c r="J1554" s="73"/>
      <c r="K1554" s="75" t="str">
        <f>IFERROR(__xludf.DUMMYFUNCTION("""COMPUTED_VALUE"""),"")</f>
        <v/>
      </c>
      <c r="L1554" s="75"/>
      <c r="M1554" s="46" t="s">
        <v>2002</v>
      </c>
    </row>
    <row r="1555">
      <c r="A1555" s="70"/>
      <c r="B1555" s="46"/>
      <c r="C1555" s="5" t="s">
        <v>2002</v>
      </c>
      <c r="D1555" s="5"/>
      <c r="E1555" s="5"/>
      <c r="F1555" s="5"/>
      <c r="G1555" s="5"/>
      <c r="H1555" s="5"/>
      <c r="I1555" s="5"/>
      <c r="J1555" s="73"/>
      <c r="K1555" s="75" t="str">
        <f>IFERROR(__xludf.DUMMYFUNCTION("""COMPUTED_VALUE"""),"")</f>
        <v/>
      </c>
      <c r="L1555" s="75"/>
      <c r="M1555" s="46" t="s">
        <v>2002</v>
      </c>
    </row>
    <row r="1556">
      <c r="A1556" s="70"/>
      <c r="B1556" s="46"/>
      <c r="C1556" s="5" t="s">
        <v>2002</v>
      </c>
      <c r="D1556" s="5"/>
      <c r="E1556" s="5"/>
      <c r="F1556" s="5"/>
      <c r="G1556" s="5"/>
      <c r="H1556" s="5"/>
      <c r="I1556" s="5"/>
      <c r="J1556" s="73"/>
      <c r="K1556" s="75" t="str">
        <f>IFERROR(__xludf.DUMMYFUNCTION("""COMPUTED_VALUE"""),"")</f>
        <v/>
      </c>
      <c r="L1556" s="75"/>
      <c r="M1556" s="46" t="s">
        <v>2002</v>
      </c>
    </row>
    <row r="1557">
      <c r="A1557" s="70"/>
      <c r="B1557" s="46"/>
      <c r="C1557" s="5" t="s">
        <v>2002</v>
      </c>
      <c r="D1557" s="5"/>
      <c r="E1557" s="5"/>
      <c r="F1557" s="5"/>
      <c r="G1557" s="5"/>
      <c r="H1557" s="5"/>
      <c r="I1557" s="5"/>
      <c r="J1557" s="73"/>
      <c r="K1557" s="75" t="str">
        <f>IFERROR(__xludf.DUMMYFUNCTION("""COMPUTED_VALUE"""),"")</f>
        <v/>
      </c>
      <c r="L1557" s="75"/>
      <c r="M1557" s="46" t="s">
        <v>2002</v>
      </c>
    </row>
    <row r="1558">
      <c r="A1558" s="70"/>
      <c r="B1558" s="46"/>
      <c r="C1558" s="5" t="s">
        <v>2002</v>
      </c>
      <c r="D1558" s="5"/>
      <c r="E1558" s="5"/>
      <c r="F1558" s="5"/>
      <c r="G1558" s="5"/>
      <c r="H1558" s="5"/>
      <c r="I1558" s="5"/>
      <c r="J1558" s="73"/>
      <c r="K1558" s="75" t="str">
        <f>IFERROR(__xludf.DUMMYFUNCTION("""COMPUTED_VALUE"""),"")</f>
        <v/>
      </c>
      <c r="L1558" s="75"/>
      <c r="M1558" s="46" t="s">
        <v>2002</v>
      </c>
    </row>
    <row r="1559">
      <c r="A1559" s="70"/>
      <c r="B1559" s="46"/>
      <c r="C1559" s="5" t="s">
        <v>2002</v>
      </c>
      <c r="D1559" s="5"/>
      <c r="E1559" s="5"/>
      <c r="F1559" s="5"/>
      <c r="G1559" s="5"/>
      <c r="H1559" s="5"/>
      <c r="I1559" s="5"/>
      <c r="J1559" s="73"/>
      <c r="K1559" s="75" t="str">
        <f>IFERROR(__xludf.DUMMYFUNCTION("""COMPUTED_VALUE"""),"")</f>
        <v/>
      </c>
      <c r="L1559" s="75"/>
      <c r="M1559" s="46" t="s">
        <v>2002</v>
      </c>
    </row>
    <row r="1560">
      <c r="A1560" s="70"/>
      <c r="B1560" s="46"/>
      <c r="C1560" s="5" t="s">
        <v>2002</v>
      </c>
      <c r="D1560" s="5"/>
      <c r="E1560" s="5"/>
      <c r="F1560" s="5"/>
      <c r="G1560" s="5"/>
      <c r="H1560" s="5"/>
      <c r="I1560" s="5"/>
      <c r="J1560" s="73"/>
      <c r="K1560" s="75" t="str">
        <f>IFERROR(__xludf.DUMMYFUNCTION("""COMPUTED_VALUE"""),"")</f>
        <v/>
      </c>
      <c r="L1560" s="75"/>
      <c r="M1560" s="46" t="s">
        <v>2002</v>
      </c>
    </row>
    <row r="1561">
      <c r="A1561" s="70"/>
      <c r="B1561" s="46"/>
      <c r="C1561" s="5" t="s">
        <v>2002</v>
      </c>
      <c r="D1561" s="5"/>
      <c r="E1561" s="5"/>
      <c r="F1561" s="5"/>
      <c r="G1561" s="5"/>
      <c r="H1561" s="5"/>
      <c r="I1561" s="5"/>
      <c r="J1561" s="73"/>
      <c r="K1561" s="75" t="str">
        <f>IFERROR(__xludf.DUMMYFUNCTION("""COMPUTED_VALUE"""),"")</f>
        <v/>
      </c>
      <c r="L1561" s="75"/>
      <c r="M1561" s="46" t="s">
        <v>2002</v>
      </c>
    </row>
    <row r="1562">
      <c r="A1562" s="70"/>
      <c r="B1562" s="46"/>
      <c r="C1562" s="5" t="s">
        <v>2002</v>
      </c>
      <c r="D1562" s="5"/>
      <c r="E1562" s="5"/>
      <c r="F1562" s="5"/>
      <c r="G1562" s="5"/>
      <c r="H1562" s="5"/>
      <c r="I1562" s="5"/>
      <c r="J1562" s="73"/>
      <c r="K1562" s="75" t="str">
        <f>IFERROR(__xludf.DUMMYFUNCTION("""COMPUTED_VALUE"""),"")</f>
        <v/>
      </c>
      <c r="L1562" s="75"/>
      <c r="M1562" s="46" t="s">
        <v>2002</v>
      </c>
    </row>
    <row r="1563">
      <c r="A1563" s="70"/>
      <c r="B1563" s="46"/>
      <c r="C1563" s="5" t="s">
        <v>2002</v>
      </c>
      <c r="D1563" s="5"/>
      <c r="E1563" s="5"/>
      <c r="F1563" s="5"/>
      <c r="G1563" s="5"/>
      <c r="H1563" s="5"/>
      <c r="I1563" s="5"/>
      <c r="J1563" s="73"/>
      <c r="K1563" s="75" t="str">
        <f>IFERROR(__xludf.DUMMYFUNCTION("""COMPUTED_VALUE"""),"")</f>
        <v/>
      </c>
      <c r="L1563" s="75"/>
      <c r="M1563" s="46" t="s">
        <v>2002</v>
      </c>
    </row>
    <row r="1564">
      <c r="A1564" s="70"/>
      <c r="B1564" s="46"/>
      <c r="C1564" s="5" t="s">
        <v>2002</v>
      </c>
      <c r="D1564" s="5"/>
      <c r="E1564" s="5"/>
      <c r="F1564" s="5"/>
      <c r="G1564" s="5"/>
      <c r="H1564" s="5"/>
      <c r="I1564" s="5"/>
      <c r="J1564" s="73"/>
      <c r="K1564" s="75" t="str">
        <f>IFERROR(__xludf.DUMMYFUNCTION("""COMPUTED_VALUE"""),"")</f>
        <v/>
      </c>
      <c r="L1564" s="75"/>
      <c r="M1564" s="46" t="s">
        <v>2002</v>
      </c>
    </row>
    <row r="1565">
      <c r="A1565" s="70"/>
      <c r="B1565" s="46"/>
      <c r="C1565" s="5" t="s">
        <v>2002</v>
      </c>
      <c r="D1565" s="5"/>
      <c r="E1565" s="5"/>
      <c r="F1565" s="5"/>
      <c r="G1565" s="5"/>
      <c r="H1565" s="5"/>
      <c r="I1565" s="5"/>
      <c r="J1565" s="73"/>
      <c r="K1565" s="75" t="str">
        <f>IFERROR(__xludf.DUMMYFUNCTION("""COMPUTED_VALUE"""),"")</f>
        <v/>
      </c>
      <c r="L1565" s="75"/>
      <c r="M1565" s="46" t="s">
        <v>2002</v>
      </c>
    </row>
    <row r="1566">
      <c r="A1566" s="70"/>
      <c r="B1566" s="46"/>
      <c r="C1566" s="5" t="s">
        <v>2002</v>
      </c>
      <c r="D1566" s="5"/>
      <c r="E1566" s="5"/>
      <c r="F1566" s="5"/>
      <c r="G1566" s="5"/>
      <c r="H1566" s="5"/>
      <c r="I1566" s="5"/>
      <c r="J1566" s="73"/>
      <c r="K1566" s="75" t="str">
        <f>IFERROR(__xludf.DUMMYFUNCTION("""COMPUTED_VALUE"""),"")</f>
        <v/>
      </c>
      <c r="L1566" s="75"/>
      <c r="M1566" s="46" t="s">
        <v>2002</v>
      </c>
    </row>
    <row r="1567">
      <c r="A1567" s="70"/>
      <c r="B1567" s="46"/>
      <c r="C1567" s="5" t="s">
        <v>2002</v>
      </c>
      <c r="D1567" s="5"/>
      <c r="E1567" s="5"/>
      <c r="F1567" s="5"/>
      <c r="G1567" s="5"/>
      <c r="H1567" s="5"/>
      <c r="I1567" s="5"/>
      <c r="J1567" s="73"/>
      <c r="K1567" s="75" t="str">
        <f>IFERROR(__xludf.DUMMYFUNCTION("""COMPUTED_VALUE"""),"")</f>
        <v/>
      </c>
      <c r="L1567" s="75"/>
      <c r="M1567" s="46" t="s">
        <v>2002</v>
      </c>
    </row>
    <row r="1568">
      <c r="A1568" s="70"/>
      <c r="B1568" s="46"/>
      <c r="C1568" s="5" t="s">
        <v>2002</v>
      </c>
      <c r="D1568" s="5"/>
      <c r="E1568" s="5"/>
      <c r="F1568" s="5"/>
      <c r="G1568" s="5"/>
      <c r="H1568" s="5"/>
      <c r="I1568" s="5"/>
      <c r="J1568" s="73"/>
      <c r="K1568" s="75" t="str">
        <f>IFERROR(__xludf.DUMMYFUNCTION("""COMPUTED_VALUE"""),"")</f>
        <v/>
      </c>
      <c r="L1568" s="75"/>
      <c r="M1568" s="46" t="s">
        <v>2002</v>
      </c>
    </row>
    <row r="1569">
      <c r="A1569" s="70"/>
      <c r="B1569" s="46"/>
      <c r="C1569" s="5" t="s">
        <v>2002</v>
      </c>
      <c r="D1569" s="5"/>
      <c r="E1569" s="5"/>
      <c r="F1569" s="5"/>
      <c r="G1569" s="5"/>
      <c r="H1569" s="5"/>
      <c r="I1569" s="5"/>
      <c r="J1569" s="73"/>
      <c r="K1569" s="75" t="str">
        <f>IFERROR(__xludf.DUMMYFUNCTION("""COMPUTED_VALUE"""),"")</f>
        <v/>
      </c>
      <c r="L1569" s="75"/>
      <c r="M1569" s="46" t="s">
        <v>2002</v>
      </c>
    </row>
    <row r="1570">
      <c r="A1570" s="70"/>
      <c r="B1570" s="46"/>
      <c r="C1570" s="5" t="s">
        <v>2002</v>
      </c>
      <c r="D1570" s="5"/>
      <c r="E1570" s="5"/>
      <c r="F1570" s="5"/>
      <c r="G1570" s="5"/>
      <c r="H1570" s="5"/>
      <c r="I1570" s="5"/>
      <c r="J1570" s="73"/>
      <c r="K1570" s="75" t="str">
        <f>IFERROR(__xludf.DUMMYFUNCTION("""COMPUTED_VALUE"""),"")</f>
        <v/>
      </c>
      <c r="L1570" s="75"/>
      <c r="M1570" s="46" t="s">
        <v>2002</v>
      </c>
    </row>
    <row r="1571">
      <c r="A1571" s="70"/>
      <c r="B1571" s="46"/>
      <c r="C1571" s="5" t="s">
        <v>2002</v>
      </c>
      <c r="D1571" s="5"/>
      <c r="E1571" s="5"/>
      <c r="F1571" s="5"/>
      <c r="G1571" s="5"/>
      <c r="H1571" s="5"/>
      <c r="I1571" s="5"/>
      <c r="J1571" s="73"/>
      <c r="K1571" s="75" t="str">
        <f>IFERROR(__xludf.DUMMYFUNCTION("""COMPUTED_VALUE"""),"")</f>
        <v/>
      </c>
      <c r="L1571" s="75"/>
      <c r="M1571" s="46" t="s">
        <v>2002</v>
      </c>
    </row>
    <row r="1572">
      <c r="A1572" s="70"/>
      <c r="B1572" s="46"/>
      <c r="C1572" s="5" t="s">
        <v>2002</v>
      </c>
      <c r="D1572" s="5"/>
      <c r="E1572" s="5"/>
      <c r="F1572" s="5"/>
      <c r="G1572" s="5"/>
      <c r="H1572" s="5"/>
      <c r="I1572" s="5"/>
      <c r="J1572" s="73"/>
      <c r="K1572" s="75" t="str">
        <f>IFERROR(__xludf.DUMMYFUNCTION("""COMPUTED_VALUE"""),"")</f>
        <v/>
      </c>
      <c r="L1572" s="75"/>
      <c r="M1572" s="46" t="s">
        <v>2002</v>
      </c>
    </row>
    <row r="1573">
      <c r="A1573" s="70"/>
      <c r="B1573" s="46"/>
      <c r="C1573" s="5" t="s">
        <v>2002</v>
      </c>
      <c r="D1573" s="5"/>
      <c r="E1573" s="5"/>
      <c r="F1573" s="5"/>
      <c r="G1573" s="5"/>
      <c r="H1573" s="5"/>
      <c r="I1573" s="5"/>
      <c r="J1573" s="73"/>
      <c r="K1573" s="75" t="str">
        <f>IFERROR(__xludf.DUMMYFUNCTION("""COMPUTED_VALUE"""),"")</f>
        <v/>
      </c>
      <c r="L1573" s="75"/>
      <c r="M1573" s="46" t="s">
        <v>2002</v>
      </c>
    </row>
    <row r="1574">
      <c r="A1574" s="70"/>
      <c r="B1574" s="46"/>
      <c r="C1574" s="5" t="s">
        <v>2002</v>
      </c>
      <c r="D1574" s="5"/>
      <c r="E1574" s="5"/>
      <c r="F1574" s="5"/>
      <c r="G1574" s="5"/>
      <c r="H1574" s="5"/>
      <c r="I1574" s="5"/>
      <c r="J1574" s="73"/>
      <c r="K1574" s="75" t="str">
        <f>IFERROR(__xludf.DUMMYFUNCTION("""COMPUTED_VALUE"""),"")</f>
        <v/>
      </c>
      <c r="L1574" s="75"/>
      <c r="M1574" s="46" t="s">
        <v>2002</v>
      </c>
    </row>
    <row r="1575">
      <c r="A1575" s="70"/>
      <c r="B1575" s="46"/>
      <c r="C1575" s="5" t="s">
        <v>2002</v>
      </c>
      <c r="D1575" s="5"/>
      <c r="E1575" s="5"/>
      <c r="F1575" s="5"/>
      <c r="G1575" s="5"/>
      <c r="H1575" s="5"/>
      <c r="I1575" s="5"/>
      <c r="J1575" s="73"/>
      <c r="K1575" s="75" t="str">
        <f>IFERROR(__xludf.DUMMYFUNCTION("""COMPUTED_VALUE"""),"")</f>
        <v/>
      </c>
      <c r="L1575" s="75"/>
      <c r="M1575" s="46" t="s">
        <v>2002</v>
      </c>
    </row>
    <row r="1576">
      <c r="A1576" s="70"/>
      <c r="B1576" s="46"/>
      <c r="C1576" s="5" t="s">
        <v>2002</v>
      </c>
      <c r="D1576" s="5"/>
      <c r="E1576" s="5"/>
      <c r="F1576" s="5"/>
      <c r="G1576" s="5"/>
      <c r="H1576" s="5"/>
      <c r="I1576" s="5"/>
      <c r="J1576" s="73"/>
      <c r="K1576" s="75" t="str">
        <f>IFERROR(__xludf.DUMMYFUNCTION("""COMPUTED_VALUE"""),"")</f>
        <v/>
      </c>
      <c r="L1576" s="75"/>
      <c r="M1576" s="46" t="s">
        <v>2002</v>
      </c>
    </row>
    <row r="1577">
      <c r="A1577" s="70"/>
      <c r="B1577" s="46"/>
      <c r="C1577" s="5" t="s">
        <v>2002</v>
      </c>
      <c r="D1577" s="5"/>
      <c r="E1577" s="5"/>
      <c r="F1577" s="5"/>
      <c r="G1577" s="5"/>
      <c r="H1577" s="5"/>
      <c r="I1577" s="5"/>
      <c r="J1577" s="73"/>
      <c r="K1577" s="75" t="str">
        <f>IFERROR(__xludf.DUMMYFUNCTION("""COMPUTED_VALUE"""),"")</f>
        <v/>
      </c>
      <c r="L1577" s="75"/>
      <c r="M1577" s="46" t="s">
        <v>2002</v>
      </c>
    </row>
    <row r="1578">
      <c r="A1578" s="70"/>
      <c r="B1578" s="46"/>
      <c r="C1578" s="5" t="s">
        <v>2002</v>
      </c>
      <c r="D1578" s="5"/>
      <c r="E1578" s="5"/>
      <c r="F1578" s="5"/>
      <c r="G1578" s="5"/>
      <c r="H1578" s="5"/>
      <c r="I1578" s="5"/>
      <c r="J1578" s="73"/>
      <c r="K1578" s="75" t="str">
        <f>IFERROR(__xludf.DUMMYFUNCTION("""COMPUTED_VALUE"""),"")</f>
        <v/>
      </c>
      <c r="L1578" s="75"/>
      <c r="M1578" s="46" t="s">
        <v>2002</v>
      </c>
    </row>
    <row r="1579">
      <c r="A1579" s="70"/>
      <c r="B1579" s="46"/>
      <c r="C1579" s="5" t="s">
        <v>2002</v>
      </c>
      <c r="D1579" s="5"/>
      <c r="E1579" s="5"/>
      <c r="F1579" s="5"/>
      <c r="G1579" s="5"/>
      <c r="H1579" s="5"/>
      <c r="I1579" s="5"/>
      <c r="J1579" s="73"/>
      <c r="K1579" s="75" t="str">
        <f>IFERROR(__xludf.DUMMYFUNCTION("""COMPUTED_VALUE"""),"")</f>
        <v/>
      </c>
      <c r="L1579" s="75"/>
      <c r="M1579" s="46" t="s">
        <v>2002</v>
      </c>
    </row>
    <row r="1580">
      <c r="A1580" s="70"/>
      <c r="B1580" s="46"/>
      <c r="C1580" s="5" t="s">
        <v>2002</v>
      </c>
      <c r="D1580" s="5"/>
      <c r="E1580" s="5"/>
      <c r="F1580" s="5"/>
      <c r="G1580" s="5"/>
      <c r="H1580" s="5"/>
      <c r="I1580" s="5"/>
      <c r="J1580" s="73"/>
      <c r="K1580" s="75" t="str">
        <f>IFERROR(__xludf.DUMMYFUNCTION("""COMPUTED_VALUE"""),"")</f>
        <v/>
      </c>
      <c r="L1580" s="75"/>
      <c r="M1580" s="46" t="s">
        <v>2002</v>
      </c>
    </row>
    <row r="1581">
      <c r="A1581" s="70"/>
      <c r="B1581" s="46"/>
      <c r="C1581" s="5" t="s">
        <v>2002</v>
      </c>
      <c r="D1581" s="5"/>
      <c r="E1581" s="5"/>
      <c r="F1581" s="5"/>
      <c r="G1581" s="5"/>
      <c r="H1581" s="5"/>
      <c r="I1581" s="5"/>
      <c r="J1581" s="73"/>
      <c r="K1581" s="75" t="str">
        <f>IFERROR(__xludf.DUMMYFUNCTION("""COMPUTED_VALUE"""),"")</f>
        <v/>
      </c>
      <c r="L1581" s="75"/>
      <c r="M1581" s="46" t="s">
        <v>2002</v>
      </c>
    </row>
    <row r="1582">
      <c r="A1582" s="70"/>
      <c r="B1582" s="46"/>
      <c r="C1582" s="5" t="s">
        <v>2002</v>
      </c>
      <c r="D1582" s="5"/>
      <c r="E1582" s="5"/>
      <c r="F1582" s="5"/>
      <c r="G1582" s="5"/>
      <c r="H1582" s="5"/>
      <c r="I1582" s="5"/>
      <c r="J1582" s="73"/>
      <c r="K1582" s="75" t="str">
        <f>IFERROR(__xludf.DUMMYFUNCTION("""COMPUTED_VALUE"""),"")</f>
        <v/>
      </c>
      <c r="L1582" s="75"/>
      <c r="M1582" s="46" t="s">
        <v>2002</v>
      </c>
    </row>
    <row r="1583">
      <c r="A1583" s="70"/>
      <c r="B1583" s="46"/>
      <c r="C1583" s="5" t="s">
        <v>2002</v>
      </c>
      <c r="D1583" s="5"/>
      <c r="E1583" s="5"/>
      <c r="F1583" s="5"/>
      <c r="G1583" s="5"/>
      <c r="H1583" s="5"/>
      <c r="I1583" s="5"/>
      <c r="J1583" s="73"/>
      <c r="K1583" s="75" t="str">
        <f>IFERROR(__xludf.DUMMYFUNCTION("""COMPUTED_VALUE"""),"")</f>
        <v/>
      </c>
      <c r="L1583" s="75"/>
      <c r="M1583" s="46" t="s">
        <v>2002</v>
      </c>
    </row>
    <row r="1584">
      <c r="A1584" s="70"/>
      <c r="B1584" s="46"/>
      <c r="C1584" s="5" t="s">
        <v>2002</v>
      </c>
      <c r="D1584" s="5"/>
      <c r="E1584" s="5"/>
      <c r="F1584" s="5"/>
      <c r="G1584" s="5"/>
      <c r="H1584" s="5"/>
      <c r="I1584" s="5"/>
      <c r="J1584" s="73"/>
      <c r="K1584" s="75" t="str">
        <f>IFERROR(__xludf.DUMMYFUNCTION("""COMPUTED_VALUE"""),"")</f>
        <v/>
      </c>
      <c r="L1584" s="75"/>
      <c r="M1584" s="46" t="s">
        <v>2002</v>
      </c>
    </row>
    <row r="1585">
      <c r="A1585" s="70"/>
      <c r="B1585" s="46"/>
      <c r="C1585" s="5" t="s">
        <v>2002</v>
      </c>
      <c r="D1585" s="5"/>
      <c r="E1585" s="5"/>
      <c r="F1585" s="5"/>
      <c r="G1585" s="5"/>
      <c r="H1585" s="5"/>
      <c r="I1585" s="5"/>
      <c r="J1585" s="73"/>
      <c r="K1585" s="75" t="str">
        <f>IFERROR(__xludf.DUMMYFUNCTION("""COMPUTED_VALUE"""),"")</f>
        <v/>
      </c>
      <c r="L1585" s="75"/>
      <c r="M1585" s="46" t="s">
        <v>2002</v>
      </c>
    </row>
    <row r="1586">
      <c r="A1586" s="70"/>
      <c r="B1586" s="46"/>
      <c r="C1586" s="5" t="s">
        <v>2002</v>
      </c>
      <c r="D1586" s="5"/>
      <c r="E1586" s="5"/>
      <c r="F1586" s="5"/>
      <c r="G1586" s="5"/>
      <c r="H1586" s="5"/>
      <c r="I1586" s="5"/>
      <c r="J1586" s="73"/>
      <c r="K1586" s="75" t="str">
        <f>IFERROR(__xludf.DUMMYFUNCTION("""COMPUTED_VALUE"""),"")</f>
        <v/>
      </c>
      <c r="L1586" s="75"/>
      <c r="M1586" s="46" t="s">
        <v>2002</v>
      </c>
    </row>
    <row r="1587">
      <c r="A1587" s="70"/>
      <c r="B1587" s="46"/>
      <c r="C1587" s="5" t="s">
        <v>2002</v>
      </c>
      <c r="D1587" s="5"/>
      <c r="E1587" s="5"/>
      <c r="F1587" s="5"/>
      <c r="G1587" s="5"/>
      <c r="H1587" s="5"/>
      <c r="I1587" s="5"/>
      <c r="J1587" s="73"/>
      <c r="K1587" s="75" t="str">
        <f>IFERROR(__xludf.DUMMYFUNCTION("""COMPUTED_VALUE"""),"")</f>
        <v/>
      </c>
      <c r="L1587" s="75"/>
      <c r="M1587" s="46" t="s">
        <v>2002</v>
      </c>
    </row>
    <row r="1588">
      <c r="A1588" s="70"/>
      <c r="B1588" s="46"/>
      <c r="C1588" s="5" t="s">
        <v>2002</v>
      </c>
      <c r="D1588" s="5"/>
      <c r="E1588" s="5"/>
      <c r="F1588" s="5"/>
      <c r="G1588" s="5"/>
      <c r="H1588" s="5"/>
      <c r="I1588" s="5"/>
      <c r="J1588" s="73"/>
      <c r="K1588" s="75" t="str">
        <f>IFERROR(__xludf.DUMMYFUNCTION("""COMPUTED_VALUE"""),"")</f>
        <v/>
      </c>
      <c r="L1588" s="75"/>
      <c r="M1588" s="46" t="s">
        <v>2002</v>
      </c>
    </row>
    <row r="1589">
      <c r="A1589" s="70"/>
      <c r="B1589" s="46"/>
      <c r="C1589" s="5" t="s">
        <v>2002</v>
      </c>
      <c r="D1589" s="5"/>
      <c r="E1589" s="5"/>
      <c r="F1589" s="5"/>
      <c r="G1589" s="5"/>
      <c r="H1589" s="5"/>
      <c r="I1589" s="5"/>
      <c r="J1589" s="73"/>
      <c r="K1589" s="75" t="str">
        <f>IFERROR(__xludf.DUMMYFUNCTION("""COMPUTED_VALUE"""),"")</f>
        <v/>
      </c>
      <c r="L1589" s="75"/>
      <c r="M1589" s="46" t="s">
        <v>2002</v>
      </c>
    </row>
    <row r="1590">
      <c r="A1590" s="70"/>
      <c r="B1590" s="46"/>
      <c r="C1590" s="5" t="s">
        <v>2002</v>
      </c>
      <c r="D1590" s="5"/>
      <c r="E1590" s="5"/>
      <c r="F1590" s="5"/>
      <c r="G1590" s="5"/>
      <c r="H1590" s="5"/>
      <c r="I1590" s="5"/>
      <c r="J1590" s="73"/>
      <c r="K1590" s="75" t="str">
        <f>IFERROR(__xludf.DUMMYFUNCTION("""COMPUTED_VALUE"""),"")</f>
        <v/>
      </c>
      <c r="L1590" s="75"/>
      <c r="M1590" s="46" t="s">
        <v>2002</v>
      </c>
    </row>
    <row r="1591">
      <c r="A1591" s="70"/>
      <c r="B1591" s="46"/>
      <c r="C1591" s="5" t="s">
        <v>2002</v>
      </c>
      <c r="D1591" s="5"/>
      <c r="E1591" s="5"/>
      <c r="F1591" s="5"/>
      <c r="G1591" s="5"/>
      <c r="H1591" s="5"/>
      <c r="I1591" s="5"/>
      <c r="J1591" s="73"/>
      <c r="K1591" s="75" t="str">
        <f>IFERROR(__xludf.DUMMYFUNCTION("""COMPUTED_VALUE"""),"")</f>
        <v/>
      </c>
      <c r="L1591" s="75"/>
      <c r="M1591" s="46" t="s">
        <v>2002</v>
      </c>
    </row>
    <row r="1592">
      <c r="A1592" s="70"/>
      <c r="B1592" s="46"/>
      <c r="C1592" s="5" t="s">
        <v>2002</v>
      </c>
      <c r="D1592" s="5"/>
      <c r="E1592" s="5"/>
      <c r="F1592" s="5"/>
      <c r="G1592" s="5"/>
      <c r="H1592" s="5"/>
      <c r="I1592" s="5"/>
      <c r="J1592" s="73"/>
      <c r="K1592" s="75" t="str">
        <f>IFERROR(__xludf.DUMMYFUNCTION("""COMPUTED_VALUE"""),"")</f>
        <v/>
      </c>
      <c r="L1592" s="75"/>
      <c r="M1592" s="46" t="s">
        <v>2002</v>
      </c>
    </row>
    <row r="1593">
      <c r="A1593" s="70"/>
      <c r="B1593" s="46"/>
      <c r="C1593" s="5" t="s">
        <v>2002</v>
      </c>
      <c r="D1593" s="5"/>
      <c r="E1593" s="5"/>
      <c r="F1593" s="5"/>
      <c r="G1593" s="5"/>
      <c r="H1593" s="5"/>
      <c r="I1593" s="5"/>
      <c r="J1593" s="73"/>
      <c r="K1593" s="75" t="str">
        <f>IFERROR(__xludf.DUMMYFUNCTION("""COMPUTED_VALUE"""),"")</f>
        <v/>
      </c>
      <c r="L1593" s="75"/>
      <c r="M1593" s="46" t="s">
        <v>2002</v>
      </c>
    </row>
    <row r="1594">
      <c r="A1594" s="70"/>
      <c r="B1594" s="46"/>
      <c r="C1594" s="5" t="s">
        <v>2002</v>
      </c>
      <c r="D1594" s="5"/>
      <c r="E1594" s="5"/>
      <c r="F1594" s="5"/>
      <c r="G1594" s="5"/>
      <c r="H1594" s="5"/>
      <c r="I1594" s="5"/>
      <c r="J1594" s="73"/>
      <c r="K1594" s="75" t="str">
        <f>IFERROR(__xludf.DUMMYFUNCTION("""COMPUTED_VALUE"""),"")</f>
        <v/>
      </c>
      <c r="L1594" s="75"/>
      <c r="M1594" s="46" t="s">
        <v>2002</v>
      </c>
    </row>
    <row r="1595">
      <c r="A1595" s="70"/>
      <c r="B1595" s="46"/>
      <c r="C1595" s="5" t="s">
        <v>2002</v>
      </c>
      <c r="D1595" s="5"/>
      <c r="E1595" s="5"/>
      <c r="F1595" s="5"/>
      <c r="G1595" s="5"/>
      <c r="H1595" s="5"/>
      <c r="I1595" s="5"/>
      <c r="J1595" s="73"/>
      <c r="K1595" s="75" t="str">
        <f>IFERROR(__xludf.DUMMYFUNCTION("""COMPUTED_VALUE"""),"")</f>
        <v/>
      </c>
      <c r="L1595" s="75"/>
      <c r="M1595" s="46" t="s">
        <v>2002</v>
      </c>
    </row>
    <row r="1596">
      <c r="A1596" s="70"/>
      <c r="B1596" s="46"/>
      <c r="C1596" s="5" t="s">
        <v>2002</v>
      </c>
      <c r="D1596" s="5"/>
      <c r="E1596" s="5"/>
      <c r="F1596" s="5"/>
      <c r="G1596" s="5"/>
      <c r="H1596" s="5"/>
      <c r="I1596" s="5"/>
      <c r="J1596" s="73"/>
      <c r="K1596" s="75" t="str">
        <f>IFERROR(__xludf.DUMMYFUNCTION("""COMPUTED_VALUE"""),"")</f>
        <v/>
      </c>
      <c r="L1596" s="75"/>
      <c r="M1596" s="46" t="s">
        <v>2002</v>
      </c>
    </row>
    <row r="1597">
      <c r="A1597" s="70"/>
      <c r="B1597" s="46"/>
      <c r="C1597" s="5" t="s">
        <v>2002</v>
      </c>
      <c r="D1597" s="5"/>
      <c r="E1597" s="5"/>
      <c r="F1597" s="5"/>
      <c r="G1597" s="5"/>
      <c r="H1597" s="5"/>
      <c r="I1597" s="5"/>
      <c r="J1597" s="73"/>
      <c r="K1597" s="75" t="str">
        <f>IFERROR(__xludf.DUMMYFUNCTION("""COMPUTED_VALUE"""),"")</f>
        <v/>
      </c>
      <c r="L1597" s="75"/>
      <c r="M1597" s="46" t="s">
        <v>2002</v>
      </c>
    </row>
    <row r="1598">
      <c r="A1598" s="70"/>
      <c r="B1598" s="46"/>
      <c r="C1598" s="5" t="s">
        <v>2002</v>
      </c>
      <c r="D1598" s="5"/>
      <c r="E1598" s="5"/>
      <c r="F1598" s="5"/>
      <c r="G1598" s="5"/>
      <c r="H1598" s="5"/>
      <c r="I1598" s="5"/>
      <c r="J1598" s="73"/>
      <c r="K1598" s="75" t="str">
        <f>IFERROR(__xludf.DUMMYFUNCTION("""COMPUTED_VALUE"""),"")</f>
        <v/>
      </c>
      <c r="L1598" s="75"/>
      <c r="M1598" s="46" t="s">
        <v>2002</v>
      </c>
    </row>
    <row r="1599">
      <c r="A1599" s="70"/>
      <c r="B1599" s="46"/>
      <c r="C1599" s="5" t="s">
        <v>2002</v>
      </c>
      <c r="D1599" s="5"/>
      <c r="E1599" s="5"/>
      <c r="F1599" s="5"/>
      <c r="G1599" s="5"/>
      <c r="H1599" s="5"/>
      <c r="I1599" s="5"/>
      <c r="J1599" s="73"/>
      <c r="K1599" s="75" t="str">
        <f>IFERROR(__xludf.DUMMYFUNCTION("""COMPUTED_VALUE"""),"")</f>
        <v/>
      </c>
      <c r="L1599" s="75"/>
      <c r="M1599" s="46" t="s">
        <v>2002</v>
      </c>
    </row>
    <row r="1600">
      <c r="A1600" s="70"/>
      <c r="B1600" s="46"/>
      <c r="C1600" s="5" t="s">
        <v>2002</v>
      </c>
      <c r="D1600" s="5"/>
      <c r="E1600" s="5"/>
      <c r="F1600" s="5"/>
      <c r="G1600" s="5"/>
      <c r="H1600" s="5"/>
      <c r="I1600" s="5"/>
      <c r="J1600" s="73"/>
      <c r="K1600" s="75" t="str">
        <f>IFERROR(__xludf.DUMMYFUNCTION("""COMPUTED_VALUE"""),"")</f>
        <v/>
      </c>
      <c r="L1600" s="75"/>
      <c r="M1600" s="46" t="s">
        <v>2002</v>
      </c>
    </row>
    <row r="1601">
      <c r="A1601" s="70"/>
      <c r="B1601" s="46"/>
      <c r="C1601" s="5" t="s">
        <v>2002</v>
      </c>
      <c r="D1601" s="5"/>
      <c r="E1601" s="5"/>
      <c r="F1601" s="5"/>
      <c r="G1601" s="5"/>
      <c r="H1601" s="5"/>
      <c r="I1601" s="5"/>
      <c r="J1601" s="73"/>
      <c r="K1601" s="75" t="str">
        <f>IFERROR(__xludf.DUMMYFUNCTION("""COMPUTED_VALUE"""),"")</f>
        <v/>
      </c>
      <c r="L1601" s="75"/>
      <c r="M1601" s="46" t="s">
        <v>2002</v>
      </c>
    </row>
    <row r="1602">
      <c r="A1602" s="70"/>
      <c r="B1602" s="46"/>
      <c r="C1602" s="5" t="s">
        <v>2002</v>
      </c>
      <c r="D1602" s="5"/>
      <c r="E1602" s="5"/>
      <c r="F1602" s="5"/>
      <c r="G1602" s="5"/>
      <c r="H1602" s="5"/>
      <c r="I1602" s="5"/>
      <c r="J1602" s="73"/>
      <c r="K1602" s="75" t="str">
        <f>IFERROR(__xludf.DUMMYFUNCTION("""COMPUTED_VALUE"""),"")</f>
        <v/>
      </c>
      <c r="L1602" s="75"/>
      <c r="M1602" s="46" t="s">
        <v>2002</v>
      </c>
    </row>
    <row r="1603">
      <c r="A1603" s="70"/>
      <c r="B1603" s="46"/>
      <c r="C1603" s="5" t="s">
        <v>2002</v>
      </c>
      <c r="D1603" s="5"/>
      <c r="E1603" s="5"/>
      <c r="F1603" s="5"/>
      <c r="G1603" s="5"/>
      <c r="H1603" s="5"/>
      <c r="I1603" s="5"/>
      <c r="J1603" s="73"/>
      <c r="K1603" s="75" t="str">
        <f>IFERROR(__xludf.DUMMYFUNCTION("""COMPUTED_VALUE"""),"")</f>
        <v/>
      </c>
      <c r="L1603" s="75"/>
      <c r="M1603" s="46" t="s">
        <v>2002</v>
      </c>
    </row>
    <row r="1604">
      <c r="A1604" s="70"/>
      <c r="B1604" s="46"/>
      <c r="C1604" s="5" t="s">
        <v>2002</v>
      </c>
      <c r="D1604" s="5"/>
      <c r="E1604" s="5"/>
      <c r="F1604" s="5"/>
      <c r="G1604" s="5"/>
      <c r="H1604" s="5"/>
      <c r="I1604" s="5"/>
      <c r="J1604" s="73"/>
      <c r="K1604" s="75" t="str">
        <f>IFERROR(__xludf.DUMMYFUNCTION("""COMPUTED_VALUE"""),"")</f>
        <v/>
      </c>
      <c r="L1604" s="75"/>
      <c r="M1604" s="46" t="s">
        <v>2002</v>
      </c>
    </row>
    <row r="1605">
      <c r="A1605" s="70"/>
      <c r="B1605" s="46"/>
      <c r="C1605" s="5" t="s">
        <v>2002</v>
      </c>
      <c r="D1605" s="5"/>
      <c r="E1605" s="5"/>
      <c r="F1605" s="5"/>
      <c r="G1605" s="5"/>
      <c r="H1605" s="5"/>
      <c r="I1605" s="5"/>
      <c r="J1605" s="73"/>
      <c r="K1605" s="75" t="str">
        <f>IFERROR(__xludf.DUMMYFUNCTION("""COMPUTED_VALUE"""),"")</f>
        <v/>
      </c>
      <c r="L1605" s="75"/>
      <c r="M1605" s="46" t="s">
        <v>2002</v>
      </c>
    </row>
    <row r="1606">
      <c r="A1606" s="70"/>
      <c r="B1606" s="46"/>
      <c r="C1606" s="5" t="s">
        <v>2002</v>
      </c>
      <c r="D1606" s="5"/>
      <c r="E1606" s="5"/>
      <c r="F1606" s="5"/>
      <c r="G1606" s="5"/>
      <c r="H1606" s="5"/>
      <c r="I1606" s="5"/>
      <c r="J1606" s="73"/>
      <c r="K1606" s="75" t="str">
        <f>IFERROR(__xludf.DUMMYFUNCTION("""COMPUTED_VALUE"""),"")</f>
        <v/>
      </c>
      <c r="L1606" s="75"/>
      <c r="M1606" s="46" t="s">
        <v>2002</v>
      </c>
    </row>
    <row r="1607">
      <c r="A1607" s="70"/>
      <c r="B1607" s="46"/>
      <c r="C1607" s="5" t="s">
        <v>2002</v>
      </c>
      <c r="D1607" s="5"/>
      <c r="E1607" s="5"/>
      <c r="F1607" s="5"/>
      <c r="G1607" s="5"/>
      <c r="H1607" s="5"/>
      <c r="I1607" s="5"/>
      <c r="J1607" s="73"/>
      <c r="K1607" s="75" t="str">
        <f>IFERROR(__xludf.DUMMYFUNCTION("""COMPUTED_VALUE"""),"")</f>
        <v/>
      </c>
      <c r="L1607" s="75"/>
      <c r="M1607" s="46" t="s">
        <v>2002</v>
      </c>
    </row>
    <row r="1608">
      <c r="A1608" s="70"/>
      <c r="B1608" s="46"/>
      <c r="C1608" s="5" t="s">
        <v>2002</v>
      </c>
      <c r="D1608" s="5"/>
      <c r="E1608" s="5"/>
      <c r="F1608" s="5"/>
      <c r="G1608" s="5"/>
      <c r="H1608" s="5"/>
      <c r="I1608" s="5"/>
      <c r="J1608" s="73"/>
      <c r="K1608" s="75" t="str">
        <f>IFERROR(__xludf.DUMMYFUNCTION("""COMPUTED_VALUE"""),"")</f>
        <v/>
      </c>
      <c r="L1608" s="75"/>
      <c r="M1608" s="46" t="s">
        <v>2002</v>
      </c>
    </row>
    <row r="1609">
      <c r="A1609" s="70"/>
      <c r="B1609" s="46"/>
      <c r="C1609" s="5" t="s">
        <v>2002</v>
      </c>
      <c r="D1609" s="5"/>
      <c r="E1609" s="5"/>
      <c r="F1609" s="5"/>
      <c r="G1609" s="5"/>
      <c r="H1609" s="5"/>
      <c r="I1609" s="5"/>
      <c r="J1609" s="73"/>
      <c r="K1609" s="75" t="str">
        <f>IFERROR(__xludf.DUMMYFUNCTION("""COMPUTED_VALUE"""),"")</f>
        <v/>
      </c>
      <c r="L1609" s="75"/>
      <c r="M1609" s="46" t="s">
        <v>2002</v>
      </c>
    </row>
    <row r="1610">
      <c r="A1610" s="70"/>
      <c r="B1610" s="46"/>
      <c r="C1610" s="5" t="s">
        <v>2002</v>
      </c>
      <c r="D1610" s="5"/>
      <c r="E1610" s="5"/>
      <c r="F1610" s="5"/>
      <c r="G1610" s="5"/>
      <c r="H1610" s="5"/>
      <c r="I1610" s="5"/>
      <c r="J1610" s="73"/>
      <c r="K1610" s="75" t="str">
        <f>IFERROR(__xludf.DUMMYFUNCTION("""COMPUTED_VALUE"""),"")</f>
        <v/>
      </c>
      <c r="L1610" s="75"/>
      <c r="M1610" s="46" t="s">
        <v>2002</v>
      </c>
    </row>
    <row r="1611">
      <c r="A1611" s="70"/>
      <c r="B1611" s="46"/>
      <c r="C1611" s="5" t="s">
        <v>2002</v>
      </c>
      <c r="D1611" s="5"/>
      <c r="E1611" s="5"/>
      <c r="F1611" s="5"/>
      <c r="G1611" s="5"/>
      <c r="H1611" s="5"/>
      <c r="I1611" s="5"/>
      <c r="J1611" s="73"/>
      <c r="K1611" s="75" t="str">
        <f>IFERROR(__xludf.DUMMYFUNCTION("""COMPUTED_VALUE"""),"")</f>
        <v/>
      </c>
      <c r="L1611" s="75"/>
      <c r="M1611" s="46" t="s">
        <v>2002</v>
      </c>
    </row>
    <row r="1612">
      <c r="A1612" s="70"/>
      <c r="B1612" s="46"/>
      <c r="C1612" s="5" t="s">
        <v>2002</v>
      </c>
      <c r="D1612" s="5"/>
      <c r="E1612" s="5"/>
      <c r="F1612" s="5"/>
      <c r="G1612" s="5"/>
      <c r="H1612" s="5"/>
      <c r="I1612" s="5"/>
      <c r="J1612" s="73"/>
      <c r="K1612" s="75" t="str">
        <f>IFERROR(__xludf.DUMMYFUNCTION("""COMPUTED_VALUE"""),"")</f>
        <v/>
      </c>
      <c r="L1612" s="75"/>
      <c r="M1612" s="46" t="s">
        <v>2002</v>
      </c>
    </row>
    <row r="1613">
      <c r="A1613" s="70"/>
      <c r="B1613" s="46"/>
      <c r="C1613" s="5" t="s">
        <v>2002</v>
      </c>
      <c r="D1613" s="5"/>
      <c r="E1613" s="5"/>
      <c r="F1613" s="5"/>
      <c r="G1613" s="5"/>
      <c r="H1613" s="5"/>
      <c r="I1613" s="5"/>
      <c r="J1613" s="73"/>
      <c r="K1613" s="75" t="str">
        <f>IFERROR(__xludf.DUMMYFUNCTION("""COMPUTED_VALUE"""),"")</f>
        <v/>
      </c>
      <c r="L1613" s="75"/>
      <c r="M1613" s="46" t="s">
        <v>2002</v>
      </c>
    </row>
    <row r="1614">
      <c r="A1614" s="70"/>
      <c r="B1614" s="46"/>
      <c r="C1614" s="5" t="s">
        <v>2002</v>
      </c>
      <c r="D1614" s="5"/>
      <c r="E1614" s="5"/>
      <c r="F1614" s="5"/>
      <c r="G1614" s="5"/>
      <c r="H1614" s="5"/>
      <c r="I1614" s="5"/>
      <c r="J1614" s="73"/>
      <c r="K1614" s="75" t="str">
        <f>IFERROR(__xludf.DUMMYFUNCTION("""COMPUTED_VALUE"""),"")</f>
        <v/>
      </c>
      <c r="L1614" s="75"/>
      <c r="M1614" s="46" t="s">
        <v>2002</v>
      </c>
    </row>
    <row r="1615">
      <c r="A1615" s="70"/>
      <c r="B1615" s="46"/>
      <c r="C1615" s="5" t="s">
        <v>2002</v>
      </c>
      <c r="D1615" s="5"/>
      <c r="E1615" s="5"/>
      <c r="F1615" s="5"/>
      <c r="G1615" s="5"/>
      <c r="H1615" s="5"/>
      <c r="I1615" s="5"/>
      <c r="J1615" s="73"/>
      <c r="K1615" s="75" t="str">
        <f>IFERROR(__xludf.DUMMYFUNCTION("""COMPUTED_VALUE"""),"")</f>
        <v/>
      </c>
      <c r="L1615" s="75"/>
      <c r="M1615" s="46" t="s">
        <v>2002</v>
      </c>
    </row>
    <row r="1616">
      <c r="A1616" s="70"/>
      <c r="B1616" s="46"/>
      <c r="C1616" s="5" t="s">
        <v>2002</v>
      </c>
      <c r="D1616" s="5"/>
      <c r="E1616" s="5"/>
      <c r="F1616" s="5"/>
      <c r="G1616" s="5"/>
      <c r="H1616" s="5"/>
      <c r="I1616" s="5"/>
      <c r="J1616" s="73"/>
      <c r="K1616" s="75" t="str">
        <f>IFERROR(__xludf.DUMMYFUNCTION("""COMPUTED_VALUE"""),"")</f>
        <v/>
      </c>
      <c r="L1616" s="75"/>
      <c r="M1616" s="46" t="s">
        <v>2002</v>
      </c>
    </row>
    <row r="1617">
      <c r="A1617" s="70"/>
      <c r="B1617" s="46"/>
      <c r="C1617" s="5" t="s">
        <v>2002</v>
      </c>
      <c r="D1617" s="5"/>
      <c r="E1617" s="5"/>
      <c r="F1617" s="5"/>
      <c r="G1617" s="5"/>
      <c r="H1617" s="5"/>
      <c r="I1617" s="5"/>
      <c r="J1617" s="73"/>
      <c r="K1617" s="75" t="str">
        <f>IFERROR(__xludf.DUMMYFUNCTION("""COMPUTED_VALUE"""),"")</f>
        <v/>
      </c>
      <c r="L1617" s="75"/>
      <c r="M1617" s="46" t="s">
        <v>2002</v>
      </c>
    </row>
    <row r="1618">
      <c r="A1618" s="70"/>
      <c r="B1618" s="46"/>
      <c r="C1618" s="5" t="s">
        <v>2002</v>
      </c>
      <c r="D1618" s="5"/>
      <c r="E1618" s="5"/>
      <c r="F1618" s="5"/>
      <c r="G1618" s="5"/>
      <c r="H1618" s="5"/>
      <c r="I1618" s="5"/>
      <c r="J1618" s="73"/>
      <c r="K1618" s="75" t="str">
        <f>IFERROR(__xludf.DUMMYFUNCTION("""COMPUTED_VALUE"""),"")</f>
        <v/>
      </c>
      <c r="L1618" s="75"/>
      <c r="M1618" s="46" t="s">
        <v>2002</v>
      </c>
    </row>
    <row r="1619">
      <c r="A1619" s="70"/>
      <c r="B1619" s="46"/>
      <c r="C1619" s="5" t="s">
        <v>2002</v>
      </c>
      <c r="D1619" s="5"/>
      <c r="E1619" s="5"/>
      <c r="F1619" s="5"/>
      <c r="G1619" s="5"/>
      <c r="H1619" s="5"/>
      <c r="I1619" s="5"/>
      <c r="J1619" s="73"/>
      <c r="K1619" s="75" t="str">
        <f>IFERROR(__xludf.DUMMYFUNCTION("""COMPUTED_VALUE"""),"")</f>
        <v/>
      </c>
      <c r="L1619" s="75"/>
      <c r="M1619" s="46" t="s">
        <v>2002</v>
      </c>
    </row>
    <row r="1620">
      <c r="A1620" s="70"/>
      <c r="B1620" s="46"/>
      <c r="C1620" s="5" t="s">
        <v>2002</v>
      </c>
      <c r="D1620" s="5"/>
      <c r="E1620" s="5"/>
      <c r="F1620" s="5"/>
      <c r="G1620" s="5"/>
      <c r="H1620" s="5"/>
      <c r="I1620" s="5"/>
      <c r="J1620" s="73"/>
      <c r="K1620" s="75" t="str">
        <f>IFERROR(__xludf.DUMMYFUNCTION("""COMPUTED_VALUE"""),"")</f>
        <v/>
      </c>
      <c r="L1620" s="75"/>
      <c r="M1620" s="46" t="s">
        <v>2002</v>
      </c>
    </row>
    <row r="1621">
      <c r="A1621" s="70"/>
      <c r="B1621" s="46"/>
      <c r="C1621" s="5" t="s">
        <v>2002</v>
      </c>
      <c r="D1621" s="5"/>
      <c r="E1621" s="5"/>
      <c r="F1621" s="5"/>
      <c r="G1621" s="5"/>
      <c r="H1621" s="5"/>
      <c r="I1621" s="5"/>
      <c r="J1621" s="73"/>
      <c r="K1621" s="75" t="str">
        <f>IFERROR(__xludf.DUMMYFUNCTION("""COMPUTED_VALUE"""),"")</f>
        <v/>
      </c>
      <c r="L1621" s="75"/>
      <c r="M1621" s="46" t="s">
        <v>2002</v>
      </c>
    </row>
    <row r="1622">
      <c r="A1622" s="70"/>
      <c r="B1622" s="46"/>
      <c r="C1622" s="5" t="s">
        <v>2002</v>
      </c>
      <c r="D1622" s="5"/>
      <c r="E1622" s="5"/>
      <c r="F1622" s="5"/>
      <c r="G1622" s="5"/>
      <c r="H1622" s="5"/>
      <c r="I1622" s="5"/>
      <c r="J1622" s="73"/>
      <c r="K1622" s="75" t="str">
        <f>IFERROR(__xludf.DUMMYFUNCTION("""COMPUTED_VALUE"""),"")</f>
        <v/>
      </c>
      <c r="L1622" s="75"/>
      <c r="M1622" s="46" t="s">
        <v>2002</v>
      </c>
    </row>
    <row r="1623">
      <c r="A1623" s="70"/>
      <c r="B1623" s="46"/>
      <c r="C1623" s="5" t="s">
        <v>2002</v>
      </c>
      <c r="D1623" s="5"/>
      <c r="E1623" s="5"/>
      <c r="F1623" s="5"/>
      <c r="G1623" s="5"/>
      <c r="H1623" s="5"/>
      <c r="I1623" s="5"/>
      <c r="J1623" s="73"/>
      <c r="K1623" s="75" t="str">
        <f>IFERROR(__xludf.DUMMYFUNCTION("""COMPUTED_VALUE"""),"")</f>
        <v/>
      </c>
      <c r="L1623" s="75"/>
      <c r="M1623" s="46" t="s">
        <v>2002</v>
      </c>
    </row>
    <row r="1624">
      <c r="A1624" s="70"/>
      <c r="B1624" s="46"/>
      <c r="C1624" s="5" t="s">
        <v>2002</v>
      </c>
      <c r="D1624" s="5"/>
      <c r="E1624" s="5"/>
      <c r="F1624" s="5"/>
      <c r="G1624" s="5"/>
      <c r="H1624" s="5"/>
      <c r="I1624" s="5"/>
      <c r="J1624" s="73"/>
      <c r="K1624" s="75" t="str">
        <f>IFERROR(__xludf.DUMMYFUNCTION("""COMPUTED_VALUE"""),"")</f>
        <v/>
      </c>
      <c r="L1624" s="75"/>
      <c r="M1624" s="46" t="s">
        <v>2002</v>
      </c>
    </row>
    <row r="1625">
      <c r="A1625" s="70"/>
      <c r="B1625" s="46"/>
      <c r="C1625" s="5" t="s">
        <v>2002</v>
      </c>
      <c r="D1625" s="5"/>
      <c r="E1625" s="5"/>
      <c r="F1625" s="5"/>
      <c r="G1625" s="5"/>
      <c r="H1625" s="5"/>
      <c r="I1625" s="5"/>
      <c r="J1625" s="73"/>
      <c r="K1625" s="75" t="str">
        <f>IFERROR(__xludf.DUMMYFUNCTION("""COMPUTED_VALUE"""),"")</f>
        <v/>
      </c>
      <c r="L1625" s="75"/>
      <c r="M1625" s="46" t="s">
        <v>2002</v>
      </c>
    </row>
    <row r="1626">
      <c r="A1626" s="70"/>
      <c r="B1626" s="46"/>
      <c r="C1626" s="5" t="s">
        <v>2002</v>
      </c>
      <c r="D1626" s="5"/>
      <c r="E1626" s="5"/>
      <c r="F1626" s="5"/>
      <c r="G1626" s="5"/>
      <c r="H1626" s="5"/>
      <c r="I1626" s="5"/>
      <c r="J1626" s="73"/>
      <c r="K1626" s="75" t="str">
        <f>IFERROR(__xludf.DUMMYFUNCTION("""COMPUTED_VALUE"""),"")</f>
        <v/>
      </c>
      <c r="L1626" s="75"/>
      <c r="M1626" s="46" t="s">
        <v>2002</v>
      </c>
    </row>
    <row r="1627">
      <c r="A1627" s="70"/>
      <c r="B1627" s="46"/>
      <c r="C1627" s="5" t="s">
        <v>2002</v>
      </c>
      <c r="D1627" s="5"/>
      <c r="E1627" s="5"/>
      <c r="F1627" s="5"/>
      <c r="G1627" s="5"/>
      <c r="H1627" s="5"/>
      <c r="I1627" s="5"/>
      <c r="J1627" s="73"/>
      <c r="K1627" s="75" t="str">
        <f>IFERROR(__xludf.DUMMYFUNCTION("""COMPUTED_VALUE"""),"")</f>
        <v/>
      </c>
      <c r="L1627" s="75"/>
      <c r="M1627" s="46" t="s">
        <v>2002</v>
      </c>
    </row>
    <row r="1628">
      <c r="A1628" s="70"/>
      <c r="B1628" s="46"/>
      <c r="C1628" s="5" t="s">
        <v>2002</v>
      </c>
      <c r="D1628" s="5"/>
      <c r="E1628" s="5"/>
      <c r="F1628" s="5"/>
      <c r="G1628" s="5"/>
      <c r="H1628" s="5"/>
      <c r="I1628" s="5"/>
      <c r="J1628" s="73"/>
      <c r="K1628" s="75" t="str">
        <f>IFERROR(__xludf.DUMMYFUNCTION("""COMPUTED_VALUE"""),"")</f>
        <v/>
      </c>
      <c r="L1628" s="75"/>
      <c r="M1628" s="46" t="s">
        <v>2002</v>
      </c>
    </row>
    <row r="1629">
      <c r="A1629" s="70"/>
      <c r="B1629" s="46"/>
      <c r="C1629" s="5" t="s">
        <v>2002</v>
      </c>
      <c r="D1629" s="5"/>
      <c r="E1629" s="5"/>
      <c r="F1629" s="5"/>
      <c r="G1629" s="5"/>
      <c r="H1629" s="5"/>
      <c r="I1629" s="5"/>
      <c r="J1629" s="73"/>
      <c r="K1629" s="75" t="str">
        <f>IFERROR(__xludf.DUMMYFUNCTION("""COMPUTED_VALUE"""),"")</f>
        <v/>
      </c>
      <c r="L1629" s="75"/>
      <c r="M1629" s="46" t="s">
        <v>2002</v>
      </c>
    </row>
    <row r="1630">
      <c r="A1630" s="70"/>
      <c r="B1630" s="46"/>
      <c r="C1630" s="5" t="s">
        <v>2002</v>
      </c>
      <c r="D1630" s="5"/>
      <c r="E1630" s="5"/>
      <c r="F1630" s="5"/>
      <c r="G1630" s="5"/>
      <c r="H1630" s="5"/>
      <c r="I1630" s="5"/>
      <c r="J1630" s="73"/>
      <c r="K1630" s="75" t="str">
        <f>IFERROR(__xludf.DUMMYFUNCTION("""COMPUTED_VALUE"""),"")</f>
        <v/>
      </c>
      <c r="L1630" s="75"/>
      <c r="M1630" s="46" t="s">
        <v>2002</v>
      </c>
    </row>
    <row r="1631">
      <c r="A1631" s="70"/>
      <c r="B1631" s="46"/>
      <c r="C1631" s="5" t="s">
        <v>2002</v>
      </c>
      <c r="D1631" s="5"/>
      <c r="E1631" s="5"/>
      <c r="F1631" s="5"/>
      <c r="G1631" s="5"/>
      <c r="H1631" s="5"/>
      <c r="I1631" s="5"/>
      <c r="J1631" s="73"/>
      <c r="K1631" s="75" t="str">
        <f>IFERROR(__xludf.DUMMYFUNCTION("""COMPUTED_VALUE"""),"")</f>
        <v/>
      </c>
      <c r="L1631" s="75"/>
      <c r="M1631" s="46" t="s">
        <v>2002</v>
      </c>
    </row>
    <row r="1632">
      <c r="A1632" s="70"/>
      <c r="B1632" s="46"/>
      <c r="C1632" s="5" t="s">
        <v>2002</v>
      </c>
      <c r="D1632" s="5"/>
      <c r="E1632" s="5"/>
      <c r="F1632" s="5"/>
      <c r="G1632" s="5"/>
      <c r="H1632" s="5"/>
      <c r="I1632" s="5"/>
      <c r="J1632" s="73"/>
      <c r="K1632" s="75" t="str">
        <f>IFERROR(__xludf.DUMMYFUNCTION("""COMPUTED_VALUE"""),"")</f>
        <v/>
      </c>
      <c r="L1632" s="75"/>
      <c r="M1632" s="46" t="s">
        <v>2002</v>
      </c>
    </row>
    <row r="1633">
      <c r="A1633" s="70"/>
      <c r="B1633" s="46"/>
      <c r="C1633" s="5" t="s">
        <v>2002</v>
      </c>
      <c r="D1633" s="5"/>
      <c r="E1633" s="5"/>
      <c r="F1633" s="5"/>
      <c r="G1633" s="5"/>
      <c r="H1633" s="5"/>
      <c r="I1633" s="5"/>
      <c r="J1633" s="73"/>
      <c r="K1633" s="75" t="str">
        <f>IFERROR(__xludf.DUMMYFUNCTION("""COMPUTED_VALUE"""),"")</f>
        <v/>
      </c>
      <c r="L1633" s="75"/>
      <c r="M1633" s="46" t="s">
        <v>2002</v>
      </c>
    </row>
    <row r="1634">
      <c r="A1634" s="70"/>
      <c r="B1634" s="46"/>
      <c r="C1634" s="5" t="s">
        <v>2002</v>
      </c>
      <c r="D1634" s="5"/>
      <c r="E1634" s="5"/>
      <c r="F1634" s="5"/>
      <c r="G1634" s="5"/>
      <c r="H1634" s="5"/>
      <c r="I1634" s="5"/>
      <c r="J1634" s="73"/>
      <c r="K1634" s="75" t="str">
        <f>IFERROR(__xludf.DUMMYFUNCTION("""COMPUTED_VALUE"""),"")</f>
        <v/>
      </c>
      <c r="L1634" s="75"/>
      <c r="M1634" s="46" t="s">
        <v>2002</v>
      </c>
    </row>
    <row r="1635">
      <c r="A1635" s="70"/>
      <c r="B1635" s="46"/>
      <c r="C1635" s="5" t="s">
        <v>2002</v>
      </c>
      <c r="D1635" s="5"/>
      <c r="E1635" s="5"/>
      <c r="F1635" s="5"/>
      <c r="G1635" s="5"/>
      <c r="H1635" s="5"/>
      <c r="I1635" s="5"/>
      <c r="J1635" s="73"/>
      <c r="K1635" s="75" t="str">
        <f>IFERROR(__xludf.DUMMYFUNCTION("""COMPUTED_VALUE"""),"")</f>
        <v/>
      </c>
      <c r="L1635" s="75"/>
      <c r="M1635" s="46" t="s">
        <v>2002</v>
      </c>
    </row>
    <row r="1636">
      <c r="A1636" s="70"/>
      <c r="B1636" s="46"/>
      <c r="C1636" s="5" t="s">
        <v>2002</v>
      </c>
      <c r="D1636" s="5"/>
      <c r="E1636" s="5"/>
      <c r="F1636" s="5"/>
      <c r="G1636" s="5"/>
      <c r="H1636" s="5"/>
      <c r="I1636" s="5"/>
      <c r="J1636" s="73"/>
      <c r="K1636" s="75" t="str">
        <f>IFERROR(__xludf.DUMMYFUNCTION("""COMPUTED_VALUE"""),"")</f>
        <v/>
      </c>
      <c r="L1636" s="75"/>
      <c r="M1636" s="46" t="s">
        <v>2002</v>
      </c>
    </row>
    <row r="1637">
      <c r="A1637" s="70"/>
      <c r="B1637" s="46"/>
      <c r="C1637" s="5" t="s">
        <v>2002</v>
      </c>
      <c r="D1637" s="5"/>
      <c r="E1637" s="5"/>
      <c r="F1637" s="5"/>
      <c r="G1637" s="5"/>
      <c r="H1637" s="5"/>
      <c r="I1637" s="5"/>
      <c r="J1637" s="73"/>
      <c r="K1637" s="75" t="str">
        <f>IFERROR(__xludf.DUMMYFUNCTION("""COMPUTED_VALUE"""),"")</f>
        <v/>
      </c>
      <c r="L1637" s="75"/>
      <c r="M1637" s="46" t="s">
        <v>2002</v>
      </c>
    </row>
    <row r="1638">
      <c r="A1638" s="70"/>
      <c r="B1638" s="46"/>
      <c r="C1638" s="5" t="s">
        <v>2002</v>
      </c>
      <c r="D1638" s="5"/>
      <c r="E1638" s="5"/>
      <c r="F1638" s="5"/>
      <c r="G1638" s="5"/>
      <c r="H1638" s="5"/>
      <c r="I1638" s="5"/>
      <c r="J1638" s="73"/>
      <c r="K1638" s="75" t="str">
        <f>IFERROR(__xludf.DUMMYFUNCTION("""COMPUTED_VALUE"""),"")</f>
        <v/>
      </c>
      <c r="L1638" s="75"/>
      <c r="M1638" s="46" t="s">
        <v>2002</v>
      </c>
    </row>
    <row r="1639">
      <c r="A1639" s="70"/>
      <c r="B1639" s="46"/>
      <c r="C1639" s="5" t="s">
        <v>2002</v>
      </c>
      <c r="D1639" s="5"/>
      <c r="E1639" s="5"/>
      <c r="F1639" s="5"/>
      <c r="G1639" s="5"/>
      <c r="H1639" s="5"/>
      <c r="I1639" s="5"/>
      <c r="J1639" s="73"/>
      <c r="K1639" s="75" t="str">
        <f>IFERROR(__xludf.DUMMYFUNCTION("""COMPUTED_VALUE"""),"")</f>
        <v/>
      </c>
      <c r="L1639" s="75"/>
      <c r="M1639" s="46" t="s">
        <v>2002</v>
      </c>
    </row>
    <row r="1640">
      <c r="A1640" s="70"/>
      <c r="B1640" s="46"/>
      <c r="C1640" s="5" t="s">
        <v>2002</v>
      </c>
      <c r="D1640" s="5"/>
      <c r="E1640" s="5"/>
      <c r="F1640" s="5"/>
      <c r="G1640" s="5"/>
      <c r="H1640" s="5"/>
      <c r="I1640" s="5"/>
      <c r="J1640" s="73"/>
      <c r="K1640" s="75" t="str">
        <f>IFERROR(__xludf.DUMMYFUNCTION("""COMPUTED_VALUE"""),"")</f>
        <v/>
      </c>
      <c r="L1640" s="75"/>
      <c r="M1640" s="46" t="s">
        <v>2002</v>
      </c>
    </row>
    <row r="1641">
      <c r="A1641" s="70"/>
      <c r="B1641" s="46"/>
      <c r="C1641" s="5" t="s">
        <v>2002</v>
      </c>
      <c r="D1641" s="5"/>
      <c r="E1641" s="5"/>
      <c r="F1641" s="5"/>
      <c r="G1641" s="5"/>
      <c r="H1641" s="5"/>
      <c r="I1641" s="5"/>
      <c r="J1641" s="73"/>
      <c r="K1641" s="75" t="str">
        <f>IFERROR(__xludf.DUMMYFUNCTION("""COMPUTED_VALUE"""),"")</f>
        <v/>
      </c>
      <c r="L1641" s="75"/>
      <c r="M1641" s="46" t="s">
        <v>2002</v>
      </c>
    </row>
    <row r="1642">
      <c r="A1642" s="70"/>
      <c r="B1642" s="46"/>
      <c r="C1642" s="5" t="s">
        <v>2002</v>
      </c>
      <c r="D1642" s="5"/>
      <c r="E1642" s="5"/>
      <c r="F1642" s="5"/>
      <c r="G1642" s="5"/>
      <c r="H1642" s="5"/>
      <c r="I1642" s="5"/>
      <c r="J1642" s="73"/>
      <c r="K1642" s="75" t="str">
        <f>IFERROR(__xludf.DUMMYFUNCTION("""COMPUTED_VALUE"""),"")</f>
        <v/>
      </c>
      <c r="L1642" s="75"/>
      <c r="M1642" s="46" t="s">
        <v>2002</v>
      </c>
    </row>
    <row r="1643">
      <c r="A1643" s="70"/>
      <c r="B1643" s="46"/>
      <c r="C1643" s="5" t="s">
        <v>2002</v>
      </c>
      <c r="D1643" s="5"/>
      <c r="E1643" s="5"/>
      <c r="F1643" s="5"/>
      <c r="G1643" s="5"/>
      <c r="H1643" s="5"/>
      <c r="I1643" s="5"/>
      <c r="J1643" s="73"/>
      <c r="K1643" s="75" t="str">
        <f>IFERROR(__xludf.DUMMYFUNCTION("""COMPUTED_VALUE"""),"")</f>
        <v/>
      </c>
      <c r="L1643" s="75"/>
      <c r="M1643" s="46" t="s">
        <v>2002</v>
      </c>
    </row>
    <row r="1644">
      <c r="A1644" s="70"/>
      <c r="B1644" s="46"/>
      <c r="C1644" s="5" t="s">
        <v>2002</v>
      </c>
      <c r="D1644" s="5"/>
      <c r="E1644" s="5"/>
      <c r="F1644" s="5"/>
      <c r="G1644" s="5"/>
      <c r="H1644" s="5"/>
      <c r="I1644" s="5"/>
      <c r="J1644" s="73"/>
      <c r="K1644" s="75" t="str">
        <f>IFERROR(__xludf.DUMMYFUNCTION("""COMPUTED_VALUE"""),"")</f>
        <v/>
      </c>
      <c r="L1644" s="75"/>
      <c r="M1644" s="46" t="s">
        <v>2002</v>
      </c>
    </row>
    <row r="1645">
      <c r="A1645" s="70"/>
      <c r="B1645" s="46"/>
      <c r="C1645" s="5" t="s">
        <v>2002</v>
      </c>
      <c r="D1645" s="5"/>
      <c r="E1645" s="5"/>
      <c r="F1645" s="5"/>
      <c r="G1645" s="5"/>
      <c r="H1645" s="5"/>
      <c r="I1645" s="5"/>
      <c r="J1645" s="73"/>
      <c r="K1645" s="75" t="str">
        <f>IFERROR(__xludf.DUMMYFUNCTION("""COMPUTED_VALUE"""),"")</f>
        <v/>
      </c>
      <c r="L1645" s="75"/>
      <c r="M1645" s="46" t="s">
        <v>2002</v>
      </c>
    </row>
    <row r="1646">
      <c r="A1646" s="70"/>
      <c r="B1646" s="46"/>
      <c r="C1646" s="5" t="s">
        <v>2002</v>
      </c>
      <c r="D1646" s="5"/>
      <c r="E1646" s="5"/>
      <c r="F1646" s="5"/>
      <c r="G1646" s="5"/>
      <c r="H1646" s="5"/>
      <c r="I1646" s="5"/>
      <c r="J1646" s="73"/>
      <c r="K1646" s="75" t="str">
        <f>IFERROR(__xludf.DUMMYFUNCTION("""COMPUTED_VALUE"""),"")</f>
        <v/>
      </c>
      <c r="L1646" s="75"/>
      <c r="M1646" s="46" t="s">
        <v>2002</v>
      </c>
    </row>
    <row r="1647">
      <c r="A1647" s="70"/>
      <c r="B1647" s="46"/>
      <c r="C1647" s="5" t="s">
        <v>2002</v>
      </c>
      <c r="D1647" s="5"/>
      <c r="E1647" s="5"/>
      <c r="F1647" s="5"/>
      <c r="G1647" s="5"/>
      <c r="H1647" s="5"/>
      <c r="I1647" s="5"/>
      <c r="J1647" s="73"/>
      <c r="K1647" s="75" t="str">
        <f>IFERROR(__xludf.DUMMYFUNCTION("""COMPUTED_VALUE"""),"")</f>
        <v/>
      </c>
      <c r="L1647" s="75"/>
      <c r="M1647" s="46" t="s">
        <v>2002</v>
      </c>
    </row>
    <row r="1648">
      <c r="A1648" s="70"/>
      <c r="B1648" s="46"/>
      <c r="C1648" s="5" t="s">
        <v>2002</v>
      </c>
      <c r="D1648" s="5"/>
      <c r="E1648" s="5"/>
      <c r="F1648" s="5"/>
      <c r="G1648" s="5"/>
      <c r="H1648" s="5"/>
      <c r="I1648" s="5"/>
      <c r="J1648" s="73"/>
      <c r="K1648" s="75" t="str">
        <f>IFERROR(__xludf.DUMMYFUNCTION("""COMPUTED_VALUE"""),"")</f>
        <v/>
      </c>
      <c r="L1648" s="75"/>
      <c r="M1648" s="46" t="s">
        <v>2002</v>
      </c>
    </row>
    <row r="1649">
      <c r="A1649" s="70"/>
      <c r="B1649" s="46"/>
      <c r="C1649" s="5" t="s">
        <v>2002</v>
      </c>
      <c r="D1649" s="5"/>
      <c r="E1649" s="5"/>
      <c r="F1649" s="5"/>
      <c r="G1649" s="5"/>
      <c r="H1649" s="5"/>
      <c r="I1649" s="5"/>
      <c r="J1649" s="73"/>
      <c r="K1649" s="75" t="str">
        <f>IFERROR(__xludf.DUMMYFUNCTION("""COMPUTED_VALUE"""),"")</f>
        <v/>
      </c>
      <c r="L1649" s="75"/>
      <c r="M1649" s="46" t="s">
        <v>2002</v>
      </c>
    </row>
    <row r="1650">
      <c r="A1650" s="70"/>
      <c r="B1650" s="46"/>
      <c r="C1650" s="5" t="s">
        <v>2002</v>
      </c>
      <c r="D1650" s="5"/>
      <c r="E1650" s="5"/>
      <c r="F1650" s="5"/>
      <c r="G1650" s="5"/>
      <c r="H1650" s="5"/>
      <c r="I1650" s="5"/>
      <c r="J1650" s="73"/>
      <c r="K1650" s="75" t="str">
        <f>IFERROR(__xludf.DUMMYFUNCTION("""COMPUTED_VALUE"""),"")</f>
        <v/>
      </c>
      <c r="L1650" s="75"/>
      <c r="M1650" s="46" t="s">
        <v>2002</v>
      </c>
    </row>
    <row r="1651">
      <c r="A1651" s="70"/>
      <c r="B1651" s="46"/>
      <c r="C1651" s="5" t="s">
        <v>2002</v>
      </c>
      <c r="D1651" s="5"/>
      <c r="E1651" s="5"/>
      <c r="F1651" s="5"/>
      <c r="G1651" s="5"/>
      <c r="H1651" s="5"/>
      <c r="I1651" s="5"/>
      <c r="J1651" s="73"/>
      <c r="K1651" s="75" t="str">
        <f>IFERROR(__xludf.DUMMYFUNCTION("""COMPUTED_VALUE"""),"")</f>
        <v/>
      </c>
      <c r="L1651" s="75"/>
      <c r="M1651" s="46" t="s">
        <v>2002</v>
      </c>
    </row>
    <row r="1652">
      <c r="A1652" s="70"/>
      <c r="B1652" s="46"/>
      <c r="C1652" s="5" t="s">
        <v>2002</v>
      </c>
      <c r="D1652" s="5"/>
      <c r="E1652" s="5"/>
      <c r="F1652" s="5"/>
      <c r="G1652" s="5"/>
      <c r="H1652" s="5"/>
      <c r="I1652" s="5"/>
      <c r="J1652" s="73"/>
      <c r="K1652" s="75" t="str">
        <f>IFERROR(__xludf.DUMMYFUNCTION("""COMPUTED_VALUE"""),"")</f>
        <v/>
      </c>
      <c r="L1652" s="75"/>
      <c r="M1652" s="46" t="s">
        <v>2002</v>
      </c>
    </row>
    <row r="1653">
      <c r="A1653" s="70"/>
      <c r="B1653" s="46"/>
      <c r="C1653" s="5" t="s">
        <v>2002</v>
      </c>
      <c r="D1653" s="5"/>
      <c r="E1653" s="5"/>
      <c r="F1653" s="5"/>
      <c r="G1653" s="5"/>
      <c r="H1653" s="5"/>
      <c r="I1653" s="5"/>
      <c r="J1653" s="73"/>
      <c r="K1653" s="75" t="str">
        <f>IFERROR(__xludf.DUMMYFUNCTION("""COMPUTED_VALUE"""),"")</f>
        <v/>
      </c>
      <c r="L1653" s="75"/>
      <c r="M1653" s="46" t="s">
        <v>2002</v>
      </c>
    </row>
    <row r="1654">
      <c r="A1654" s="70"/>
      <c r="B1654" s="46"/>
      <c r="C1654" s="5" t="s">
        <v>2002</v>
      </c>
      <c r="D1654" s="5"/>
      <c r="E1654" s="5"/>
      <c r="F1654" s="5"/>
      <c r="G1654" s="5"/>
      <c r="H1654" s="5"/>
      <c r="I1654" s="5"/>
      <c r="J1654" s="73"/>
      <c r="K1654" s="75" t="str">
        <f>IFERROR(__xludf.DUMMYFUNCTION("""COMPUTED_VALUE"""),"")</f>
        <v/>
      </c>
      <c r="L1654" s="75"/>
      <c r="M1654" s="46" t="s">
        <v>2002</v>
      </c>
    </row>
    <row r="1655">
      <c r="A1655" s="70"/>
      <c r="C1655" s="5" t="s">
        <v>2002</v>
      </c>
      <c r="D1655" s="5"/>
      <c r="E1655" s="5"/>
      <c r="F1655" s="5"/>
      <c r="G1655" s="5"/>
      <c r="H1655" s="5"/>
      <c r="I1655" s="5"/>
      <c r="J1655" s="73"/>
      <c r="K1655" s="75" t="str">
        <f>IFERROR(__xludf.DUMMYFUNCTION("""COMPUTED_VALUE"""),"")</f>
        <v/>
      </c>
      <c r="L1655" s="75"/>
      <c r="M1655" s="46" t="s">
        <v>2002</v>
      </c>
    </row>
    <row r="1656">
      <c r="A1656" s="70"/>
      <c r="C1656" s="5" t="s">
        <v>2002</v>
      </c>
      <c r="D1656" s="5"/>
      <c r="E1656" s="5"/>
      <c r="F1656" s="5"/>
      <c r="G1656" s="5"/>
      <c r="H1656" s="5"/>
      <c r="I1656" s="5"/>
      <c r="J1656" s="73"/>
      <c r="K1656" s="75" t="str">
        <f>IFERROR(__xludf.DUMMYFUNCTION("""COMPUTED_VALUE"""),"")</f>
        <v/>
      </c>
      <c r="L1656" s="75"/>
      <c r="M1656" s="46" t="s">
        <v>2002</v>
      </c>
    </row>
    <row r="1657">
      <c r="A1657" s="70"/>
      <c r="C1657" s="5" t="s">
        <v>2002</v>
      </c>
      <c r="D1657" s="5"/>
      <c r="E1657" s="5"/>
      <c r="F1657" s="5"/>
      <c r="G1657" s="5"/>
      <c r="H1657" s="5"/>
      <c r="I1657" s="5"/>
      <c r="J1657" s="73"/>
      <c r="K1657" s="75" t="str">
        <f>IFERROR(__xludf.DUMMYFUNCTION("""COMPUTED_VALUE"""),"")</f>
        <v/>
      </c>
      <c r="L1657" s="75"/>
      <c r="M1657" s="46" t="s">
        <v>2002</v>
      </c>
    </row>
    <row r="1658">
      <c r="A1658" s="70"/>
      <c r="C1658" s="5" t="s">
        <v>2002</v>
      </c>
      <c r="D1658" s="5"/>
      <c r="E1658" s="5"/>
      <c r="F1658" s="5"/>
      <c r="G1658" s="5"/>
      <c r="H1658" s="5"/>
      <c r="I1658" s="5"/>
      <c r="J1658" s="73"/>
      <c r="K1658" s="75" t="str">
        <f>IFERROR(__xludf.DUMMYFUNCTION("""COMPUTED_VALUE"""),"")</f>
        <v/>
      </c>
      <c r="L1658" s="75"/>
      <c r="M1658" s="46" t="s">
        <v>2002</v>
      </c>
    </row>
    <row r="1659">
      <c r="A1659" s="70"/>
      <c r="C1659" s="5" t="s">
        <v>2002</v>
      </c>
      <c r="D1659" s="5"/>
      <c r="E1659" s="5"/>
      <c r="F1659" s="5"/>
      <c r="G1659" s="5"/>
      <c r="H1659" s="5"/>
      <c r="I1659" s="5"/>
      <c r="J1659" s="73"/>
      <c r="K1659" s="75" t="str">
        <f>IFERROR(__xludf.DUMMYFUNCTION("""COMPUTED_VALUE"""),"")</f>
        <v/>
      </c>
      <c r="L1659" s="75"/>
      <c r="M1659" s="46" t="s">
        <v>2002</v>
      </c>
    </row>
    <row r="1660">
      <c r="A1660" s="70"/>
      <c r="C1660" s="5" t="s">
        <v>2002</v>
      </c>
      <c r="D1660" s="5"/>
      <c r="E1660" s="5"/>
      <c r="F1660" s="5"/>
      <c r="G1660" s="5"/>
      <c r="H1660" s="5"/>
      <c r="I1660" s="5"/>
      <c r="J1660" s="73"/>
      <c r="K1660" s="75" t="str">
        <f>IFERROR(__xludf.DUMMYFUNCTION("""COMPUTED_VALUE"""),"")</f>
        <v/>
      </c>
      <c r="L1660" s="75"/>
      <c r="M1660" s="46" t="s">
        <v>2002</v>
      </c>
    </row>
    <row r="1661">
      <c r="A1661" s="70"/>
      <c r="C1661" s="5" t="s">
        <v>2002</v>
      </c>
      <c r="D1661" s="5"/>
      <c r="E1661" s="5"/>
      <c r="F1661" s="5"/>
      <c r="G1661" s="5"/>
      <c r="H1661" s="5"/>
      <c r="I1661" s="5"/>
      <c r="J1661" s="73"/>
      <c r="K1661" s="75" t="str">
        <f>IFERROR(__xludf.DUMMYFUNCTION("""COMPUTED_VALUE"""),"")</f>
        <v/>
      </c>
      <c r="L1661" s="75"/>
      <c r="M1661" s="46" t="s">
        <v>2002</v>
      </c>
    </row>
    <row r="1662">
      <c r="A1662" s="70"/>
      <c r="C1662" s="5" t="s">
        <v>2002</v>
      </c>
      <c r="D1662" s="5"/>
      <c r="E1662" s="5"/>
      <c r="F1662" s="5"/>
      <c r="G1662" s="5"/>
      <c r="H1662" s="5"/>
      <c r="I1662" s="5"/>
      <c r="J1662" s="73"/>
      <c r="K1662" s="75" t="str">
        <f>IFERROR(__xludf.DUMMYFUNCTION("""COMPUTED_VALUE"""),"")</f>
        <v/>
      </c>
      <c r="L1662" s="75"/>
      <c r="M1662" s="46" t="s">
        <v>2002</v>
      </c>
    </row>
    <row r="1663">
      <c r="A1663" s="70"/>
      <c r="C1663" s="5" t="s">
        <v>2002</v>
      </c>
      <c r="D1663" s="5"/>
      <c r="E1663" s="5"/>
      <c r="F1663" s="5"/>
      <c r="G1663" s="5"/>
      <c r="H1663" s="5"/>
      <c r="I1663" s="5"/>
      <c r="J1663" s="73"/>
      <c r="K1663" s="75" t="str">
        <f>IFERROR(__xludf.DUMMYFUNCTION("""COMPUTED_VALUE"""),"")</f>
        <v/>
      </c>
      <c r="L1663" s="75"/>
      <c r="M1663" s="46" t="s">
        <v>2002</v>
      </c>
    </row>
    <row r="1664">
      <c r="A1664" s="70"/>
      <c r="C1664" s="5" t="s">
        <v>2002</v>
      </c>
      <c r="D1664" s="5"/>
      <c r="E1664" s="5"/>
      <c r="F1664" s="5"/>
      <c r="G1664" s="5"/>
      <c r="H1664" s="5"/>
      <c r="I1664" s="5"/>
      <c r="J1664" s="73"/>
      <c r="K1664" s="75" t="str">
        <f>IFERROR(__xludf.DUMMYFUNCTION("""COMPUTED_VALUE"""),"")</f>
        <v/>
      </c>
      <c r="L1664" s="75"/>
      <c r="M1664" s="46" t="s">
        <v>2002</v>
      </c>
    </row>
    <row r="1665">
      <c r="A1665" s="70"/>
      <c r="C1665" s="5" t="s">
        <v>2002</v>
      </c>
      <c r="D1665" s="5"/>
      <c r="E1665" s="5"/>
      <c r="F1665" s="5"/>
      <c r="G1665" s="5"/>
      <c r="H1665" s="5"/>
      <c r="I1665" s="5"/>
      <c r="J1665" s="73"/>
      <c r="K1665" s="75" t="str">
        <f>IFERROR(__xludf.DUMMYFUNCTION("""COMPUTED_VALUE"""),"")</f>
        <v/>
      </c>
      <c r="L1665" s="75"/>
      <c r="M1665" s="46" t="s">
        <v>2002</v>
      </c>
    </row>
    <row r="1666">
      <c r="A1666" s="70"/>
      <c r="C1666" s="5" t="s">
        <v>2002</v>
      </c>
      <c r="D1666" s="5"/>
      <c r="E1666" s="5"/>
      <c r="F1666" s="5"/>
      <c r="G1666" s="5"/>
      <c r="H1666" s="5"/>
      <c r="I1666" s="5"/>
      <c r="J1666" s="73"/>
      <c r="K1666" s="75" t="str">
        <f>IFERROR(__xludf.DUMMYFUNCTION("""COMPUTED_VALUE"""),"")</f>
        <v/>
      </c>
      <c r="L1666" s="75"/>
      <c r="M1666" s="46" t="s">
        <v>2002</v>
      </c>
    </row>
    <row r="1667">
      <c r="A1667" s="70"/>
      <c r="C1667" s="5" t="s">
        <v>2002</v>
      </c>
      <c r="D1667" s="5"/>
      <c r="E1667" s="5"/>
      <c r="F1667" s="5"/>
      <c r="G1667" s="5"/>
      <c r="H1667" s="5"/>
      <c r="I1667" s="5"/>
      <c r="J1667" s="73"/>
      <c r="K1667" s="75" t="str">
        <f>IFERROR(__xludf.DUMMYFUNCTION("""COMPUTED_VALUE"""),"")</f>
        <v/>
      </c>
      <c r="L1667" s="75"/>
      <c r="M1667" s="46" t="s">
        <v>2002</v>
      </c>
    </row>
    <row r="1668">
      <c r="A1668" s="70"/>
      <c r="C1668" s="5" t="s">
        <v>2002</v>
      </c>
      <c r="D1668" s="5"/>
      <c r="E1668" s="5"/>
      <c r="F1668" s="5"/>
      <c r="G1668" s="5"/>
      <c r="H1668" s="5"/>
      <c r="I1668" s="5"/>
      <c r="J1668" s="73"/>
      <c r="K1668" s="75" t="str">
        <f>IFERROR(__xludf.DUMMYFUNCTION("""COMPUTED_VALUE"""),"")</f>
        <v/>
      </c>
      <c r="L1668" s="75"/>
      <c r="M1668" s="46" t="s">
        <v>2002</v>
      </c>
    </row>
    <row r="1669">
      <c r="A1669" s="70"/>
      <c r="C1669" s="5" t="s">
        <v>2002</v>
      </c>
      <c r="D1669" s="5"/>
      <c r="E1669" s="5"/>
      <c r="F1669" s="5"/>
      <c r="G1669" s="5"/>
      <c r="H1669" s="5"/>
      <c r="I1669" s="5"/>
      <c r="J1669" s="73"/>
      <c r="K1669" s="75" t="str">
        <f>IFERROR(__xludf.DUMMYFUNCTION("""COMPUTED_VALUE"""),"")</f>
        <v/>
      </c>
      <c r="L1669" s="75"/>
      <c r="M1669" s="46" t="s">
        <v>2002</v>
      </c>
    </row>
    <row r="1670">
      <c r="A1670" s="70"/>
      <c r="C1670" s="5" t="s">
        <v>2002</v>
      </c>
      <c r="D1670" s="5"/>
      <c r="E1670" s="5"/>
      <c r="F1670" s="5"/>
      <c r="G1670" s="5"/>
      <c r="H1670" s="5"/>
      <c r="I1670" s="5"/>
      <c r="J1670" s="73"/>
      <c r="K1670" s="75" t="str">
        <f>IFERROR(__xludf.DUMMYFUNCTION("""COMPUTED_VALUE"""),"")</f>
        <v/>
      </c>
      <c r="L1670" s="75"/>
      <c r="M1670" s="46" t="s">
        <v>2002</v>
      </c>
    </row>
    <row r="1671">
      <c r="A1671" s="70"/>
      <c r="C1671" s="5" t="s">
        <v>2002</v>
      </c>
      <c r="D1671" s="5"/>
      <c r="E1671" s="5"/>
      <c r="F1671" s="5"/>
      <c r="G1671" s="5"/>
      <c r="H1671" s="5"/>
      <c r="I1671" s="5"/>
      <c r="J1671" s="73"/>
      <c r="K1671" s="75" t="str">
        <f>IFERROR(__xludf.DUMMYFUNCTION("""COMPUTED_VALUE"""),"")</f>
        <v/>
      </c>
      <c r="L1671" s="75"/>
      <c r="M1671" s="46" t="s">
        <v>2002</v>
      </c>
    </row>
    <row r="1672">
      <c r="A1672" s="70"/>
      <c r="C1672" s="5" t="s">
        <v>2002</v>
      </c>
      <c r="D1672" s="5"/>
      <c r="E1672" s="5"/>
      <c r="F1672" s="5"/>
      <c r="G1672" s="5"/>
      <c r="H1672" s="5"/>
      <c r="I1672" s="5"/>
      <c r="J1672" s="73"/>
      <c r="K1672" s="75" t="str">
        <f>IFERROR(__xludf.DUMMYFUNCTION("""COMPUTED_VALUE"""),"")</f>
        <v/>
      </c>
      <c r="L1672" s="75"/>
      <c r="M1672" s="46" t="s">
        <v>2002</v>
      </c>
    </row>
    <row r="1673">
      <c r="A1673" s="70"/>
      <c r="C1673" s="5" t="s">
        <v>2002</v>
      </c>
      <c r="D1673" s="5"/>
      <c r="E1673" s="5"/>
      <c r="F1673" s="5"/>
      <c r="G1673" s="5"/>
      <c r="H1673" s="5"/>
      <c r="I1673" s="5"/>
      <c r="J1673" s="73"/>
      <c r="K1673" s="75" t="str">
        <f>IFERROR(__xludf.DUMMYFUNCTION("""COMPUTED_VALUE"""),"")</f>
        <v/>
      </c>
      <c r="L1673" s="75"/>
      <c r="M1673" s="46" t="s">
        <v>2002</v>
      </c>
    </row>
    <row r="1674">
      <c r="A1674" s="70"/>
      <c r="C1674" s="5" t="s">
        <v>2002</v>
      </c>
      <c r="D1674" s="5"/>
      <c r="E1674" s="5"/>
      <c r="F1674" s="5"/>
      <c r="G1674" s="5"/>
      <c r="H1674" s="5"/>
      <c r="I1674" s="5"/>
      <c r="J1674" s="73"/>
      <c r="K1674" s="75" t="str">
        <f>IFERROR(__xludf.DUMMYFUNCTION("""COMPUTED_VALUE"""),"")</f>
        <v/>
      </c>
      <c r="L1674" s="75"/>
      <c r="M1674" s="46" t="s">
        <v>2002</v>
      </c>
    </row>
    <row r="1675">
      <c r="A1675" s="70"/>
      <c r="C1675" s="5" t="s">
        <v>2002</v>
      </c>
      <c r="D1675" s="5"/>
      <c r="E1675" s="5"/>
      <c r="F1675" s="5"/>
      <c r="G1675" s="5"/>
      <c r="H1675" s="5"/>
      <c r="I1675" s="5"/>
      <c r="J1675" s="73"/>
      <c r="K1675" s="75" t="str">
        <f>IFERROR(__xludf.DUMMYFUNCTION("""COMPUTED_VALUE"""),"")</f>
        <v/>
      </c>
      <c r="L1675" s="75"/>
      <c r="M1675" s="46" t="s">
        <v>2002</v>
      </c>
    </row>
    <row r="1676">
      <c r="A1676" s="70"/>
      <c r="C1676" s="5" t="s">
        <v>2002</v>
      </c>
      <c r="D1676" s="5"/>
      <c r="E1676" s="5"/>
      <c r="F1676" s="5"/>
      <c r="G1676" s="5"/>
      <c r="H1676" s="5"/>
      <c r="I1676" s="5"/>
      <c r="J1676" s="73"/>
      <c r="K1676" s="75" t="str">
        <f>IFERROR(__xludf.DUMMYFUNCTION("""COMPUTED_VALUE"""),"")</f>
        <v/>
      </c>
      <c r="L1676" s="75"/>
      <c r="M1676" s="46" t="s">
        <v>2002</v>
      </c>
    </row>
    <row r="1677">
      <c r="A1677" s="70"/>
      <c r="C1677" s="5" t="s">
        <v>2002</v>
      </c>
      <c r="D1677" s="5"/>
      <c r="E1677" s="5"/>
      <c r="F1677" s="5"/>
      <c r="G1677" s="5"/>
      <c r="H1677" s="5"/>
      <c r="I1677" s="5"/>
      <c r="J1677" s="73"/>
      <c r="K1677" s="75" t="str">
        <f>IFERROR(__xludf.DUMMYFUNCTION("""COMPUTED_VALUE"""),"")</f>
        <v/>
      </c>
      <c r="L1677" s="75"/>
      <c r="M1677" s="46" t="s">
        <v>2002</v>
      </c>
    </row>
    <row r="1678">
      <c r="A1678" s="70"/>
      <c r="C1678" s="5" t="s">
        <v>2002</v>
      </c>
      <c r="D1678" s="5"/>
      <c r="E1678" s="5"/>
      <c r="F1678" s="5"/>
      <c r="G1678" s="5"/>
      <c r="H1678" s="5"/>
      <c r="I1678" s="5"/>
      <c r="J1678" s="73"/>
      <c r="K1678" s="75" t="str">
        <f>IFERROR(__xludf.DUMMYFUNCTION("""COMPUTED_VALUE"""),"")</f>
        <v/>
      </c>
      <c r="L1678" s="75"/>
      <c r="M1678" s="46" t="s">
        <v>2002</v>
      </c>
    </row>
    <row r="1679">
      <c r="A1679" s="70"/>
      <c r="C1679" s="5" t="s">
        <v>2002</v>
      </c>
      <c r="D1679" s="5"/>
      <c r="E1679" s="5"/>
      <c r="F1679" s="5"/>
      <c r="G1679" s="5"/>
      <c r="H1679" s="5"/>
      <c r="I1679" s="5"/>
      <c r="J1679" s="73"/>
      <c r="K1679" s="75" t="str">
        <f>IFERROR(__xludf.DUMMYFUNCTION("""COMPUTED_VALUE"""),"")</f>
        <v/>
      </c>
      <c r="L1679" s="75"/>
      <c r="M1679" s="46" t="s">
        <v>2002</v>
      </c>
    </row>
    <row r="1680">
      <c r="A1680" s="70"/>
      <c r="C1680" s="5" t="s">
        <v>2002</v>
      </c>
      <c r="D1680" s="5"/>
      <c r="E1680" s="5"/>
      <c r="F1680" s="5"/>
      <c r="G1680" s="5"/>
      <c r="H1680" s="5"/>
      <c r="I1680" s="5"/>
      <c r="J1680" s="73"/>
      <c r="K1680" s="75" t="str">
        <f>IFERROR(__xludf.DUMMYFUNCTION("""COMPUTED_VALUE"""),"")</f>
        <v/>
      </c>
      <c r="L1680" s="75"/>
      <c r="M1680" s="46" t="s">
        <v>2002</v>
      </c>
    </row>
    <row r="1681">
      <c r="A1681" s="70"/>
      <c r="C1681" s="5" t="s">
        <v>2002</v>
      </c>
      <c r="D1681" s="5"/>
      <c r="E1681" s="5"/>
      <c r="F1681" s="5"/>
      <c r="G1681" s="5"/>
      <c r="H1681" s="5"/>
      <c r="I1681" s="5"/>
      <c r="J1681" s="73"/>
      <c r="K1681" s="75" t="str">
        <f>IFERROR(__xludf.DUMMYFUNCTION("""COMPUTED_VALUE"""),"")</f>
        <v/>
      </c>
      <c r="L1681" s="75"/>
      <c r="M1681" s="46" t="s">
        <v>2002</v>
      </c>
    </row>
    <row r="1682">
      <c r="A1682" s="70"/>
      <c r="C1682" s="5" t="s">
        <v>2002</v>
      </c>
      <c r="D1682" s="5"/>
      <c r="E1682" s="5"/>
      <c r="F1682" s="5"/>
      <c r="G1682" s="5"/>
      <c r="H1682" s="5"/>
      <c r="I1682" s="5"/>
      <c r="J1682" s="73"/>
      <c r="K1682" s="75" t="str">
        <f>IFERROR(__xludf.DUMMYFUNCTION("""COMPUTED_VALUE"""),"")</f>
        <v/>
      </c>
      <c r="L1682" s="75"/>
      <c r="M1682" s="46" t="s">
        <v>2002</v>
      </c>
    </row>
    <row r="1683">
      <c r="A1683" s="70"/>
      <c r="C1683" s="5" t="s">
        <v>2002</v>
      </c>
      <c r="D1683" s="5"/>
      <c r="E1683" s="5"/>
      <c r="F1683" s="5"/>
      <c r="G1683" s="5"/>
      <c r="H1683" s="5"/>
      <c r="I1683" s="5"/>
      <c r="J1683" s="73"/>
      <c r="K1683" s="75" t="str">
        <f>IFERROR(__xludf.DUMMYFUNCTION("""COMPUTED_VALUE"""),"")</f>
        <v/>
      </c>
      <c r="L1683" s="75"/>
      <c r="M1683" s="46" t="s">
        <v>2002</v>
      </c>
    </row>
    <row r="1684">
      <c r="A1684" s="70"/>
      <c r="C1684" s="5" t="s">
        <v>2002</v>
      </c>
      <c r="D1684" s="5"/>
      <c r="E1684" s="5"/>
      <c r="F1684" s="5"/>
      <c r="G1684" s="5"/>
      <c r="H1684" s="5"/>
      <c r="I1684" s="5"/>
      <c r="J1684" s="73"/>
      <c r="K1684" s="75" t="str">
        <f>IFERROR(__xludf.DUMMYFUNCTION("""COMPUTED_VALUE"""),"")</f>
        <v/>
      </c>
      <c r="L1684" s="75"/>
      <c r="M1684" s="46" t="s">
        <v>2002</v>
      </c>
    </row>
    <row r="1685">
      <c r="A1685" s="70"/>
      <c r="C1685" s="5" t="s">
        <v>2002</v>
      </c>
      <c r="D1685" s="5"/>
      <c r="E1685" s="5"/>
      <c r="F1685" s="5"/>
      <c r="G1685" s="5"/>
      <c r="H1685" s="5"/>
      <c r="I1685" s="5"/>
      <c r="J1685" s="73"/>
      <c r="K1685" s="75" t="str">
        <f>IFERROR(__xludf.DUMMYFUNCTION("""COMPUTED_VALUE"""),"")</f>
        <v/>
      </c>
      <c r="L1685" s="75"/>
      <c r="M1685" s="46" t="s">
        <v>2002</v>
      </c>
    </row>
    <row r="1686">
      <c r="A1686" s="70"/>
      <c r="C1686" s="5" t="s">
        <v>2002</v>
      </c>
      <c r="D1686" s="5"/>
      <c r="E1686" s="5"/>
      <c r="F1686" s="5"/>
      <c r="G1686" s="5"/>
      <c r="H1686" s="5"/>
      <c r="I1686" s="5"/>
      <c r="J1686" s="73"/>
      <c r="K1686" s="75" t="str">
        <f>IFERROR(__xludf.DUMMYFUNCTION("""COMPUTED_VALUE"""),"")</f>
        <v/>
      </c>
      <c r="L1686" s="75"/>
      <c r="M1686" s="46" t="s">
        <v>2002</v>
      </c>
    </row>
    <row r="1687">
      <c r="A1687" s="70"/>
      <c r="C1687" s="5" t="s">
        <v>2002</v>
      </c>
      <c r="D1687" s="5"/>
      <c r="E1687" s="5"/>
      <c r="F1687" s="5"/>
      <c r="G1687" s="5"/>
      <c r="H1687" s="5"/>
      <c r="I1687" s="5"/>
      <c r="J1687" s="73"/>
      <c r="K1687" s="75" t="str">
        <f>IFERROR(__xludf.DUMMYFUNCTION("""COMPUTED_VALUE"""),"")</f>
        <v/>
      </c>
      <c r="L1687" s="75"/>
      <c r="M1687" s="46" t="s">
        <v>2002</v>
      </c>
    </row>
    <row r="1688">
      <c r="A1688" s="70"/>
      <c r="C1688" s="5" t="s">
        <v>2002</v>
      </c>
      <c r="D1688" s="5"/>
      <c r="E1688" s="5"/>
      <c r="F1688" s="5"/>
      <c r="G1688" s="5"/>
      <c r="H1688" s="5"/>
      <c r="I1688" s="5"/>
      <c r="J1688" s="73"/>
      <c r="K1688" s="75" t="str">
        <f>IFERROR(__xludf.DUMMYFUNCTION("""COMPUTED_VALUE"""),"")</f>
        <v/>
      </c>
      <c r="L1688" s="75"/>
      <c r="M1688" s="46" t="s">
        <v>2002</v>
      </c>
    </row>
    <row r="1689">
      <c r="A1689" s="70"/>
      <c r="C1689" s="5" t="s">
        <v>2002</v>
      </c>
      <c r="D1689" s="5"/>
      <c r="E1689" s="5"/>
      <c r="F1689" s="5"/>
      <c r="G1689" s="5"/>
      <c r="H1689" s="5"/>
      <c r="I1689" s="5"/>
      <c r="J1689" s="73"/>
      <c r="K1689" s="75" t="str">
        <f>IFERROR(__xludf.DUMMYFUNCTION("""COMPUTED_VALUE"""),"")</f>
        <v/>
      </c>
      <c r="L1689" s="75"/>
      <c r="M1689" s="46" t="s">
        <v>2002</v>
      </c>
    </row>
    <row r="1690">
      <c r="A1690" s="70"/>
      <c r="C1690" s="5" t="s">
        <v>2002</v>
      </c>
      <c r="D1690" s="5"/>
      <c r="E1690" s="5"/>
      <c r="F1690" s="5"/>
      <c r="G1690" s="5"/>
      <c r="H1690" s="5"/>
      <c r="I1690" s="5"/>
      <c r="J1690" s="73"/>
      <c r="K1690" s="75" t="str">
        <f>IFERROR(__xludf.DUMMYFUNCTION("""COMPUTED_VALUE"""),"")</f>
        <v/>
      </c>
      <c r="L1690" s="75"/>
      <c r="M1690" s="46" t="s">
        <v>2002</v>
      </c>
    </row>
    <row r="1691">
      <c r="A1691" s="70"/>
      <c r="C1691" s="5" t="s">
        <v>2002</v>
      </c>
      <c r="D1691" s="5"/>
      <c r="E1691" s="5"/>
      <c r="F1691" s="5"/>
      <c r="G1691" s="5"/>
      <c r="H1691" s="5"/>
      <c r="I1691" s="5"/>
      <c r="J1691" s="73"/>
      <c r="K1691" s="75" t="str">
        <f>IFERROR(__xludf.DUMMYFUNCTION("""COMPUTED_VALUE"""),"")</f>
        <v/>
      </c>
      <c r="L1691" s="75"/>
      <c r="M1691" s="46" t="s">
        <v>2002</v>
      </c>
    </row>
    <row r="1692">
      <c r="A1692" s="70"/>
      <c r="C1692" s="5" t="s">
        <v>2002</v>
      </c>
      <c r="D1692" s="5"/>
      <c r="E1692" s="5"/>
      <c r="F1692" s="5"/>
      <c r="G1692" s="5"/>
      <c r="H1692" s="5"/>
      <c r="I1692" s="5"/>
      <c r="J1692" s="73"/>
      <c r="K1692" s="75" t="str">
        <f>IFERROR(__xludf.DUMMYFUNCTION("""COMPUTED_VALUE"""),"")</f>
        <v/>
      </c>
      <c r="L1692" s="75"/>
      <c r="M1692" s="46" t="s">
        <v>2002</v>
      </c>
    </row>
    <row r="1693">
      <c r="A1693" s="70"/>
      <c r="C1693" s="5" t="s">
        <v>2002</v>
      </c>
      <c r="D1693" s="5"/>
      <c r="E1693" s="5"/>
      <c r="F1693" s="5"/>
      <c r="G1693" s="5"/>
      <c r="H1693" s="5"/>
      <c r="I1693" s="5"/>
      <c r="J1693" s="73"/>
      <c r="K1693" s="75" t="str">
        <f>IFERROR(__xludf.DUMMYFUNCTION("""COMPUTED_VALUE"""),"")</f>
        <v/>
      </c>
      <c r="L1693" s="75"/>
      <c r="M1693" s="46" t="s">
        <v>2002</v>
      </c>
    </row>
    <row r="1694">
      <c r="A1694" s="70"/>
      <c r="C1694" s="5" t="s">
        <v>2002</v>
      </c>
      <c r="D1694" s="5"/>
      <c r="E1694" s="5"/>
      <c r="F1694" s="5"/>
      <c r="G1694" s="5"/>
      <c r="H1694" s="5"/>
      <c r="I1694" s="5"/>
      <c r="J1694" s="73"/>
      <c r="K1694" s="75" t="str">
        <f>IFERROR(__xludf.DUMMYFUNCTION("""COMPUTED_VALUE"""),"")</f>
        <v/>
      </c>
      <c r="L1694" s="75"/>
      <c r="M1694" s="46" t="s">
        <v>2002</v>
      </c>
    </row>
    <row r="1695">
      <c r="A1695" s="70"/>
      <c r="C1695" s="5" t="s">
        <v>2002</v>
      </c>
      <c r="D1695" s="5"/>
      <c r="E1695" s="5"/>
      <c r="F1695" s="5"/>
      <c r="G1695" s="5"/>
      <c r="H1695" s="5"/>
      <c r="I1695" s="5"/>
      <c r="J1695" s="73"/>
      <c r="K1695" s="75" t="str">
        <f>IFERROR(__xludf.DUMMYFUNCTION("""COMPUTED_VALUE"""),"")</f>
        <v/>
      </c>
      <c r="L1695" s="75"/>
      <c r="M1695" s="46" t="s">
        <v>2002</v>
      </c>
    </row>
    <row r="1696">
      <c r="A1696" s="70"/>
      <c r="C1696" s="5" t="s">
        <v>2002</v>
      </c>
      <c r="D1696" s="5"/>
      <c r="E1696" s="5"/>
      <c r="F1696" s="5"/>
      <c r="G1696" s="5"/>
      <c r="H1696" s="5"/>
      <c r="I1696" s="5"/>
      <c r="J1696" s="73"/>
      <c r="K1696" s="75" t="str">
        <f>IFERROR(__xludf.DUMMYFUNCTION("""COMPUTED_VALUE"""),"")</f>
        <v/>
      </c>
      <c r="L1696" s="75"/>
      <c r="M1696" s="46" t="s">
        <v>2002</v>
      </c>
    </row>
    <row r="1697">
      <c r="A1697" s="70"/>
      <c r="C1697" s="5" t="s">
        <v>2002</v>
      </c>
      <c r="D1697" s="5"/>
      <c r="E1697" s="5"/>
      <c r="F1697" s="5"/>
      <c r="G1697" s="5"/>
      <c r="H1697" s="5"/>
      <c r="I1697" s="5"/>
      <c r="J1697" s="73"/>
      <c r="K1697" s="75" t="str">
        <f>IFERROR(__xludf.DUMMYFUNCTION("""COMPUTED_VALUE"""),"")</f>
        <v/>
      </c>
      <c r="L1697" s="75"/>
      <c r="M1697" s="46" t="s">
        <v>2002</v>
      </c>
    </row>
    <row r="1698">
      <c r="A1698" s="70"/>
      <c r="C1698" s="5" t="s">
        <v>2002</v>
      </c>
      <c r="D1698" s="5"/>
      <c r="E1698" s="5"/>
      <c r="F1698" s="5"/>
      <c r="G1698" s="5"/>
      <c r="H1698" s="5"/>
      <c r="I1698" s="5"/>
      <c r="J1698" s="73"/>
      <c r="K1698" s="75" t="str">
        <f>IFERROR(__xludf.DUMMYFUNCTION("""COMPUTED_VALUE"""),"")</f>
        <v/>
      </c>
      <c r="L1698" s="75"/>
      <c r="M1698" s="46" t="s">
        <v>2002</v>
      </c>
    </row>
    <row r="1699">
      <c r="A1699" s="70"/>
      <c r="C1699" s="5" t="s">
        <v>2002</v>
      </c>
      <c r="D1699" s="5"/>
      <c r="E1699" s="5"/>
      <c r="F1699" s="5"/>
      <c r="G1699" s="5"/>
      <c r="H1699" s="5"/>
      <c r="I1699" s="5"/>
      <c r="J1699" s="73"/>
      <c r="K1699" s="75" t="str">
        <f>IFERROR(__xludf.DUMMYFUNCTION("""COMPUTED_VALUE"""),"")</f>
        <v/>
      </c>
      <c r="L1699" s="75"/>
      <c r="M1699" s="46" t="s">
        <v>2002</v>
      </c>
    </row>
    <row r="1700">
      <c r="A1700" s="70"/>
      <c r="C1700" s="5" t="s">
        <v>2002</v>
      </c>
      <c r="D1700" s="5"/>
      <c r="E1700" s="5"/>
      <c r="F1700" s="5"/>
      <c r="G1700" s="5"/>
      <c r="H1700" s="5"/>
      <c r="I1700" s="5"/>
      <c r="J1700" s="73"/>
      <c r="K1700" s="75" t="str">
        <f>IFERROR(__xludf.DUMMYFUNCTION("""COMPUTED_VALUE"""),"")</f>
        <v/>
      </c>
      <c r="L1700" s="75"/>
      <c r="M1700" s="46" t="s">
        <v>2002</v>
      </c>
    </row>
    <row r="1701">
      <c r="A1701" s="70"/>
      <c r="C1701" s="5" t="s">
        <v>2002</v>
      </c>
      <c r="D1701" s="5"/>
      <c r="E1701" s="5"/>
      <c r="F1701" s="5"/>
      <c r="G1701" s="5"/>
      <c r="H1701" s="5"/>
      <c r="I1701" s="5"/>
      <c r="J1701" s="73"/>
      <c r="K1701" s="75" t="str">
        <f>IFERROR(__xludf.DUMMYFUNCTION("""COMPUTED_VALUE"""),"")</f>
        <v/>
      </c>
      <c r="L1701" s="75"/>
      <c r="M1701" s="46" t="s">
        <v>2002</v>
      </c>
    </row>
    <row r="1702">
      <c r="A1702" s="70"/>
      <c r="C1702" s="5" t="s">
        <v>2002</v>
      </c>
      <c r="D1702" s="5"/>
      <c r="E1702" s="5"/>
      <c r="F1702" s="5"/>
      <c r="G1702" s="5"/>
      <c r="H1702" s="5"/>
      <c r="I1702" s="5"/>
      <c r="J1702" s="73"/>
      <c r="K1702" s="75" t="str">
        <f>IFERROR(__xludf.DUMMYFUNCTION("""COMPUTED_VALUE"""),"")</f>
        <v/>
      </c>
      <c r="L1702" s="75"/>
      <c r="M1702" s="46" t="s">
        <v>2002</v>
      </c>
    </row>
    <row r="1703">
      <c r="A1703" s="70"/>
      <c r="C1703" s="5" t="s">
        <v>2002</v>
      </c>
      <c r="D1703" s="5"/>
      <c r="E1703" s="5"/>
      <c r="F1703" s="5"/>
      <c r="G1703" s="5"/>
      <c r="H1703" s="5"/>
      <c r="I1703" s="5"/>
      <c r="J1703" s="73"/>
      <c r="K1703" s="75" t="str">
        <f>IFERROR(__xludf.DUMMYFUNCTION("""COMPUTED_VALUE"""),"")</f>
        <v/>
      </c>
      <c r="L1703" s="75"/>
      <c r="M1703" s="46" t="s">
        <v>2002</v>
      </c>
    </row>
    <row r="1704">
      <c r="A1704" s="70"/>
      <c r="C1704" s="5" t="s">
        <v>2002</v>
      </c>
      <c r="D1704" s="5"/>
      <c r="E1704" s="5"/>
      <c r="F1704" s="5"/>
      <c r="G1704" s="5"/>
      <c r="H1704" s="5"/>
      <c r="I1704" s="5"/>
      <c r="J1704" s="73"/>
      <c r="K1704" s="75" t="str">
        <f>IFERROR(__xludf.DUMMYFUNCTION("""COMPUTED_VALUE"""),"")</f>
        <v/>
      </c>
      <c r="L1704" s="75"/>
      <c r="M1704" s="46" t="s">
        <v>2002</v>
      </c>
    </row>
    <row r="1705">
      <c r="A1705" s="70"/>
      <c r="C1705" s="5" t="s">
        <v>2002</v>
      </c>
      <c r="D1705" s="5"/>
      <c r="E1705" s="5"/>
      <c r="F1705" s="5"/>
      <c r="G1705" s="5"/>
      <c r="H1705" s="5"/>
      <c r="I1705" s="5"/>
      <c r="J1705" s="73"/>
      <c r="K1705" s="75" t="str">
        <f>IFERROR(__xludf.DUMMYFUNCTION("""COMPUTED_VALUE"""),"")</f>
        <v/>
      </c>
      <c r="L1705" s="75"/>
      <c r="M1705" s="46" t="s">
        <v>2002</v>
      </c>
    </row>
    <row r="1706">
      <c r="A1706" s="70"/>
      <c r="C1706" s="5" t="s">
        <v>2002</v>
      </c>
      <c r="D1706" s="5"/>
      <c r="E1706" s="5"/>
      <c r="F1706" s="5"/>
      <c r="G1706" s="5"/>
      <c r="H1706" s="5"/>
      <c r="I1706" s="5"/>
      <c r="J1706" s="73"/>
      <c r="K1706" s="75" t="str">
        <f>IFERROR(__xludf.DUMMYFUNCTION("""COMPUTED_VALUE"""),"")</f>
        <v/>
      </c>
      <c r="L1706" s="75"/>
      <c r="M1706" s="46" t="s">
        <v>2002</v>
      </c>
    </row>
    <row r="1707">
      <c r="A1707" s="70"/>
      <c r="C1707" s="5" t="s">
        <v>2002</v>
      </c>
      <c r="D1707" s="5"/>
      <c r="E1707" s="5"/>
      <c r="F1707" s="5"/>
      <c r="G1707" s="5"/>
      <c r="H1707" s="5"/>
      <c r="I1707" s="5"/>
      <c r="J1707" s="73"/>
      <c r="K1707" s="75" t="str">
        <f>IFERROR(__xludf.DUMMYFUNCTION("""COMPUTED_VALUE"""),"")</f>
        <v/>
      </c>
      <c r="L1707" s="75"/>
      <c r="M1707" s="46" t="s">
        <v>2002</v>
      </c>
    </row>
    <row r="1708">
      <c r="A1708" s="70"/>
      <c r="C1708" s="5" t="s">
        <v>2002</v>
      </c>
      <c r="D1708" s="5"/>
      <c r="E1708" s="5"/>
      <c r="F1708" s="5"/>
      <c r="G1708" s="5"/>
      <c r="H1708" s="5"/>
      <c r="I1708" s="5"/>
      <c r="J1708" s="73"/>
      <c r="K1708" s="75" t="str">
        <f>IFERROR(__xludf.DUMMYFUNCTION("""COMPUTED_VALUE"""),"")</f>
        <v/>
      </c>
      <c r="L1708" s="75"/>
      <c r="M1708" s="46" t="s">
        <v>2002</v>
      </c>
    </row>
    <row r="1709">
      <c r="A1709" s="70"/>
      <c r="C1709" s="5" t="s">
        <v>2002</v>
      </c>
      <c r="D1709" s="5"/>
      <c r="E1709" s="5"/>
      <c r="F1709" s="5"/>
      <c r="G1709" s="5"/>
      <c r="H1709" s="5"/>
      <c r="I1709" s="5"/>
      <c r="J1709" s="73"/>
      <c r="K1709" s="75" t="str">
        <f>IFERROR(__xludf.DUMMYFUNCTION("""COMPUTED_VALUE"""),"")</f>
        <v/>
      </c>
      <c r="L1709" s="75"/>
      <c r="M1709" s="46" t="s">
        <v>2002</v>
      </c>
    </row>
    <row r="1710">
      <c r="A1710" s="70"/>
      <c r="C1710" s="5" t="s">
        <v>2002</v>
      </c>
      <c r="D1710" s="5"/>
      <c r="E1710" s="5"/>
      <c r="F1710" s="5"/>
      <c r="G1710" s="5"/>
      <c r="H1710" s="5"/>
      <c r="I1710" s="5"/>
      <c r="J1710" s="73"/>
      <c r="K1710" s="75" t="str">
        <f>IFERROR(__xludf.DUMMYFUNCTION("""COMPUTED_VALUE"""),"")</f>
        <v/>
      </c>
      <c r="L1710" s="75"/>
      <c r="M1710" s="46" t="s">
        <v>2002</v>
      </c>
    </row>
    <row r="1711">
      <c r="A1711" s="70"/>
      <c r="C1711" s="5" t="s">
        <v>2002</v>
      </c>
      <c r="D1711" s="5"/>
      <c r="E1711" s="5"/>
      <c r="F1711" s="5"/>
      <c r="G1711" s="5"/>
      <c r="H1711" s="5"/>
      <c r="I1711" s="5"/>
      <c r="J1711" s="73"/>
      <c r="K1711" s="75" t="str">
        <f>IFERROR(__xludf.DUMMYFUNCTION("""COMPUTED_VALUE"""),"")</f>
        <v/>
      </c>
      <c r="L1711" s="75"/>
      <c r="M1711" s="46" t="s">
        <v>2002</v>
      </c>
    </row>
    <row r="1712">
      <c r="A1712" s="70"/>
      <c r="C1712" s="5" t="s">
        <v>2002</v>
      </c>
      <c r="D1712" s="5"/>
      <c r="E1712" s="5"/>
      <c r="F1712" s="5"/>
      <c r="G1712" s="5"/>
      <c r="H1712" s="5"/>
      <c r="I1712" s="5"/>
      <c r="J1712" s="73"/>
      <c r="K1712" s="75" t="str">
        <f>IFERROR(__xludf.DUMMYFUNCTION("""COMPUTED_VALUE"""),"")</f>
        <v/>
      </c>
      <c r="L1712" s="75"/>
      <c r="M1712" s="46" t="s">
        <v>2002</v>
      </c>
    </row>
    <row r="1713">
      <c r="A1713" s="70"/>
      <c r="C1713" s="5" t="s">
        <v>2002</v>
      </c>
      <c r="D1713" s="5"/>
      <c r="E1713" s="5"/>
      <c r="F1713" s="5"/>
      <c r="G1713" s="5"/>
      <c r="H1713" s="5"/>
      <c r="I1713" s="5"/>
      <c r="J1713" s="73"/>
      <c r="K1713" s="75" t="str">
        <f>IFERROR(__xludf.DUMMYFUNCTION("""COMPUTED_VALUE"""),"")</f>
        <v/>
      </c>
      <c r="L1713" s="75"/>
      <c r="M1713" s="46" t="s">
        <v>2002</v>
      </c>
    </row>
    <row r="1714">
      <c r="A1714" s="70"/>
      <c r="C1714" s="5" t="s">
        <v>2002</v>
      </c>
      <c r="D1714" s="5"/>
      <c r="E1714" s="5"/>
      <c r="F1714" s="5"/>
      <c r="G1714" s="5"/>
      <c r="H1714" s="5"/>
      <c r="I1714" s="5"/>
      <c r="J1714" s="73"/>
      <c r="K1714" s="75" t="str">
        <f>IFERROR(__xludf.DUMMYFUNCTION("""COMPUTED_VALUE"""),"")</f>
        <v/>
      </c>
      <c r="L1714" s="75"/>
      <c r="M1714" s="46" t="s">
        <v>2002</v>
      </c>
    </row>
    <row r="1715">
      <c r="A1715" s="70"/>
      <c r="C1715" s="5" t="s">
        <v>2002</v>
      </c>
      <c r="D1715" s="5"/>
      <c r="E1715" s="5"/>
      <c r="F1715" s="5"/>
      <c r="G1715" s="5"/>
      <c r="H1715" s="5"/>
      <c r="I1715" s="5"/>
      <c r="J1715" s="73"/>
      <c r="K1715" s="75" t="str">
        <f>IFERROR(__xludf.DUMMYFUNCTION("""COMPUTED_VALUE"""),"")</f>
        <v/>
      </c>
      <c r="L1715" s="75"/>
      <c r="M1715" s="46" t="s">
        <v>2002</v>
      </c>
    </row>
    <row r="1716">
      <c r="A1716" s="70"/>
      <c r="C1716" s="5" t="s">
        <v>2002</v>
      </c>
      <c r="D1716" s="5"/>
      <c r="E1716" s="5"/>
      <c r="F1716" s="5"/>
      <c r="G1716" s="5"/>
      <c r="H1716" s="5"/>
      <c r="I1716" s="5"/>
      <c r="J1716" s="73"/>
      <c r="K1716" s="75" t="str">
        <f>IFERROR(__xludf.DUMMYFUNCTION("""COMPUTED_VALUE"""),"")</f>
        <v/>
      </c>
      <c r="L1716" s="75"/>
      <c r="M1716" s="46" t="s">
        <v>2002</v>
      </c>
    </row>
    <row r="1717">
      <c r="A1717" s="70"/>
      <c r="C1717" s="5" t="s">
        <v>2002</v>
      </c>
      <c r="D1717" s="5"/>
      <c r="E1717" s="5"/>
      <c r="F1717" s="5"/>
      <c r="G1717" s="5"/>
      <c r="H1717" s="5"/>
      <c r="I1717" s="5"/>
      <c r="J1717" s="73"/>
      <c r="K1717" s="75" t="str">
        <f>IFERROR(__xludf.DUMMYFUNCTION("""COMPUTED_VALUE"""),"")</f>
        <v/>
      </c>
      <c r="L1717" s="75"/>
      <c r="M1717" s="46" t="s">
        <v>2002</v>
      </c>
    </row>
    <row r="1718">
      <c r="A1718" s="70"/>
      <c r="C1718" s="5" t="s">
        <v>2002</v>
      </c>
      <c r="D1718" s="5"/>
      <c r="E1718" s="5"/>
      <c r="F1718" s="5"/>
      <c r="G1718" s="5"/>
      <c r="H1718" s="5"/>
      <c r="I1718" s="5"/>
      <c r="J1718" s="73"/>
      <c r="K1718" s="75" t="str">
        <f>IFERROR(__xludf.DUMMYFUNCTION("""COMPUTED_VALUE"""),"")</f>
        <v/>
      </c>
      <c r="L1718" s="75"/>
      <c r="M1718" s="46" t="s">
        <v>2002</v>
      </c>
    </row>
    <row r="1719">
      <c r="A1719" s="70"/>
      <c r="C1719" s="5" t="s">
        <v>2002</v>
      </c>
      <c r="D1719" s="5"/>
      <c r="E1719" s="5"/>
      <c r="F1719" s="5"/>
      <c r="G1719" s="5"/>
      <c r="H1719" s="5"/>
      <c r="I1719" s="5"/>
      <c r="J1719" s="73"/>
      <c r="K1719" s="75" t="str">
        <f>IFERROR(__xludf.DUMMYFUNCTION("""COMPUTED_VALUE"""),"")</f>
        <v/>
      </c>
      <c r="L1719" s="75"/>
      <c r="M1719" s="46" t="s">
        <v>2002</v>
      </c>
    </row>
    <row r="1720">
      <c r="A1720" s="70"/>
      <c r="C1720" s="5" t="s">
        <v>2002</v>
      </c>
      <c r="D1720" s="5"/>
      <c r="E1720" s="5"/>
      <c r="F1720" s="5"/>
      <c r="G1720" s="5"/>
      <c r="H1720" s="5"/>
      <c r="I1720" s="5"/>
      <c r="J1720" s="73"/>
      <c r="K1720" s="75" t="str">
        <f>IFERROR(__xludf.DUMMYFUNCTION("""COMPUTED_VALUE"""),"")</f>
        <v/>
      </c>
      <c r="L1720" s="75"/>
      <c r="M1720" s="46" t="s">
        <v>2002</v>
      </c>
    </row>
    <row r="1721">
      <c r="A1721" s="70"/>
      <c r="C1721" s="5" t="s">
        <v>2002</v>
      </c>
      <c r="D1721" s="5"/>
      <c r="E1721" s="5"/>
      <c r="F1721" s="5"/>
      <c r="G1721" s="5"/>
      <c r="H1721" s="5"/>
      <c r="I1721" s="5"/>
      <c r="J1721" s="73"/>
      <c r="K1721" s="75" t="str">
        <f>IFERROR(__xludf.DUMMYFUNCTION("""COMPUTED_VALUE"""),"")</f>
        <v/>
      </c>
      <c r="L1721" s="75"/>
      <c r="M1721" s="46" t="s">
        <v>2002</v>
      </c>
    </row>
    <row r="1722">
      <c r="A1722" s="70"/>
      <c r="C1722" s="5" t="s">
        <v>2002</v>
      </c>
      <c r="D1722" s="5"/>
      <c r="E1722" s="5"/>
      <c r="F1722" s="5"/>
      <c r="G1722" s="5"/>
      <c r="H1722" s="5"/>
      <c r="I1722" s="5"/>
      <c r="J1722" s="73"/>
      <c r="K1722" s="75" t="str">
        <f>IFERROR(__xludf.DUMMYFUNCTION("""COMPUTED_VALUE"""),"")</f>
        <v/>
      </c>
      <c r="L1722" s="75"/>
      <c r="M1722" s="46" t="s">
        <v>2002</v>
      </c>
    </row>
    <row r="1723">
      <c r="A1723" s="70"/>
      <c r="C1723" s="5" t="s">
        <v>2002</v>
      </c>
      <c r="D1723" s="5"/>
      <c r="E1723" s="5"/>
      <c r="F1723" s="5"/>
      <c r="G1723" s="5"/>
      <c r="H1723" s="5"/>
      <c r="I1723" s="5"/>
      <c r="J1723" s="73"/>
      <c r="K1723" s="75" t="str">
        <f>IFERROR(__xludf.DUMMYFUNCTION("""COMPUTED_VALUE"""),"")</f>
        <v/>
      </c>
      <c r="L1723" s="75"/>
      <c r="M1723" s="46" t="s">
        <v>2002</v>
      </c>
    </row>
    <row r="1724">
      <c r="A1724" s="70"/>
      <c r="C1724" s="5" t="s">
        <v>2002</v>
      </c>
      <c r="D1724" s="5"/>
      <c r="E1724" s="5"/>
      <c r="F1724" s="5"/>
      <c r="G1724" s="5"/>
      <c r="H1724" s="5"/>
      <c r="I1724" s="5"/>
      <c r="J1724" s="73"/>
      <c r="K1724" s="75" t="str">
        <f>IFERROR(__xludf.DUMMYFUNCTION("""COMPUTED_VALUE"""),"")</f>
        <v/>
      </c>
      <c r="L1724" s="75"/>
      <c r="M1724" s="46" t="s">
        <v>2002</v>
      </c>
    </row>
    <row r="1725">
      <c r="A1725" s="70"/>
      <c r="C1725" s="5" t="s">
        <v>2002</v>
      </c>
      <c r="D1725" s="5"/>
      <c r="E1725" s="5"/>
      <c r="F1725" s="5"/>
      <c r="G1725" s="5"/>
      <c r="H1725" s="5"/>
      <c r="I1725" s="5"/>
      <c r="J1725" s="73"/>
      <c r="K1725" s="75" t="str">
        <f>IFERROR(__xludf.DUMMYFUNCTION("""COMPUTED_VALUE"""),"")</f>
        <v/>
      </c>
      <c r="L1725" s="75"/>
      <c r="M1725" s="46" t="s">
        <v>2002</v>
      </c>
    </row>
    <row r="1726">
      <c r="A1726" s="70"/>
      <c r="C1726" s="5" t="s">
        <v>2002</v>
      </c>
      <c r="D1726" s="5"/>
      <c r="E1726" s="5"/>
      <c r="F1726" s="5"/>
      <c r="G1726" s="5"/>
      <c r="H1726" s="5"/>
      <c r="I1726" s="5"/>
      <c r="J1726" s="73"/>
      <c r="K1726" s="75" t="str">
        <f>IFERROR(__xludf.DUMMYFUNCTION("""COMPUTED_VALUE"""),"")</f>
        <v/>
      </c>
      <c r="L1726" s="75"/>
      <c r="M1726" s="46" t="s">
        <v>2002</v>
      </c>
    </row>
    <row r="1727">
      <c r="A1727" s="70"/>
      <c r="C1727" s="5" t="s">
        <v>2002</v>
      </c>
      <c r="D1727" s="5"/>
      <c r="E1727" s="5"/>
      <c r="F1727" s="5"/>
      <c r="G1727" s="5"/>
      <c r="H1727" s="5"/>
      <c r="I1727" s="5"/>
      <c r="J1727" s="73"/>
      <c r="K1727" s="75" t="str">
        <f>IFERROR(__xludf.DUMMYFUNCTION("""COMPUTED_VALUE"""),"")</f>
        <v/>
      </c>
      <c r="L1727" s="75"/>
      <c r="M1727" s="46" t="s">
        <v>2002</v>
      </c>
    </row>
    <row r="1728">
      <c r="A1728" s="70"/>
      <c r="C1728" s="5" t="s">
        <v>2002</v>
      </c>
      <c r="D1728" s="5"/>
      <c r="E1728" s="5"/>
      <c r="F1728" s="5"/>
      <c r="G1728" s="5"/>
      <c r="H1728" s="5"/>
      <c r="I1728" s="5"/>
      <c r="J1728" s="73"/>
      <c r="K1728" s="75" t="str">
        <f>IFERROR(__xludf.DUMMYFUNCTION("""COMPUTED_VALUE"""),"")</f>
        <v/>
      </c>
      <c r="L1728" s="75"/>
      <c r="M1728" s="46" t="s">
        <v>2002</v>
      </c>
    </row>
    <row r="1729">
      <c r="A1729" s="70"/>
      <c r="C1729" s="5" t="s">
        <v>2002</v>
      </c>
      <c r="D1729" s="5"/>
      <c r="E1729" s="5"/>
      <c r="F1729" s="5"/>
      <c r="G1729" s="5"/>
      <c r="H1729" s="5"/>
      <c r="I1729" s="5"/>
      <c r="J1729" s="73"/>
      <c r="K1729" s="75" t="str">
        <f>IFERROR(__xludf.DUMMYFUNCTION("""COMPUTED_VALUE"""),"")</f>
        <v/>
      </c>
      <c r="L1729" s="75"/>
      <c r="M1729" s="46" t="s">
        <v>2002</v>
      </c>
    </row>
    <row r="1730">
      <c r="A1730" s="70"/>
      <c r="C1730" s="5" t="s">
        <v>2002</v>
      </c>
      <c r="D1730" s="5"/>
      <c r="E1730" s="5"/>
      <c r="F1730" s="5"/>
      <c r="G1730" s="5"/>
      <c r="H1730" s="5"/>
      <c r="I1730" s="5"/>
      <c r="J1730" s="73"/>
      <c r="K1730" s="75" t="str">
        <f>IFERROR(__xludf.DUMMYFUNCTION("""COMPUTED_VALUE"""),"")</f>
        <v/>
      </c>
      <c r="L1730" s="75"/>
      <c r="M1730" s="46" t="s">
        <v>2002</v>
      </c>
    </row>
    <row r="1731">
      <c r="A1731" s="70"/>
      <c r="C1731" s="5" t="s">
        <v>2002</v>
      </c>
      <c r="D1731" s="5"/>
      <c r="E1731" s="5"/>
      <c r="F1731" s="5"/>
      <c r="G1731" s="5"/>
      <c r="H1731" s="5"/>
      <c r="I1731" s="5"/>
      <c r="J1731" s="73"/>
      <c r="K1731" s="75" t="str">
        <f>IFERROR(__xludf.DUMMYFUNCTION("""COMPUTED_VALUE"""),"")</f>
        <v/>
      </c>
      <c r="L1731" s="75"/>
      <c r="M1731" s="46" t="s">
        <v>2002</v>
      </c>
    </row>
    <row r="1732">
      <c r="A1732" s="70"/>
      <c r="C1732" s="5" t="s">
        <v>2002</v>
      </c>
      <c r="D1732" s="5"/>
      <c r="E1732" s="5"/>
      <c r="F1732" s="5"/>
      <c r="G1732" s="5"/>
      <c r="H1732" s="5"/>
      <c r="I1732" s="5"/>
      <c r="J1732" s="73"/>
      <c r="K1732" s="75" t="str">
        <f>IFERROR(__xludf.DUMMYFUNCTION("""COMPUTED_VALUE"""),"")</f>
        <v/>
      </c>
      <c r="L1732" s="75"/>
      <c r="M1732" s="46" t="s">
        <v>2002</v>
      </c>
    </row>
    <row r="1733">
      <c r="A1733" s="70"/>
      <c r="C1733" s="5" t="s">
        <v>2002</v>
      </c>
      <c r="D1733" s="5"/>
      <c r="E1733" s="5"/>
      <c r="F1733" s="5"/>
      <c r="G1733" s="5"/>
      <c r="H1733" s="5"/>
      <c r="I1733" s="5"/>
      <c r="J1733" s="73"/>
      <c r="K1733" s="75" t="str">
        <f>IFERROR(__xludf.DUMMYFUNCTION("""COMPUTED_VALUE"""),"")</f>
        <v/>
      </c>
      <c r="L1733" s="75"/>
      <c r="M1733" s="46" t="s">
        <v>2002</v>
      </c>
    </row>
    <row r="1734">
      <c r="A1734" s="70"/>
      <c r="C1734" s="5" t="s">
        <v>2002</v>
      </c>
      <c r="D1734" s="5"/>
      <c r="E1734" s="5"/>
      <c r="F1734" s="5"/>
      <c r="G1734" s="5"/>
      <c r="H1734" s="5"/>
      <c r="I1734" s="5"/>
      <c r="J1734" s="73"/>
      <c r="K1734" s="75" t="str">
        <f>IFERROR(__xludf.DUMMYFUNCTION("""COMPUTED_VALUE"""),"")</f>
        <v/>
      </c>
      <c r="L1734" s="75"/>
      <c r="M1734" s="46" t="s">
        <v>2002</v>
      </c>
    </row>
    <row r="1735">
      <c r="A1735" s="70"/>
      <c r="C1735" s="5" t="s">
        <v>2002</v>
      </c>
      <c r="D1735" s="5"/>
      <c r="E1735" s="5"/>
      <c r="F1735" s="5"/>
      <c r="G1735" s="5"/>
      <c r="H1735" s="5"/>
      <c r="I1735" s="5"/>
      <c r="J1735" s="73"/>
      <c r="K1735" s="75" t="str">
        <f>IFERROR(__xludf.DUMMYFUNCTION("""COMPUTED_VALUE"""),"")</f>
        <v/>
      </c>
      <c r="L1735" s="75"/>
      <c r="M1735" s="46" t="s">
        <v>2002</v>
      </c>
    </row>
    <row r="1736">
      <c r="A1736" s="70"/>
      <c r="C1736" s="5" t="s">
        <v>2002</v>
      </c>
      <c r="D1736" s="5"/>
      <c r="E1736" s="5"/>
      <c r="F1736" s="5"/>
      <c r="G1736" s="5"/>
      <c r="H1736" s="5"/>
      <c r="I1736" s="5"/>
      <c r="J1736" s="73"/>
      <c r="K1736" s="75" t="str">
        <f>IFERROR(__xludf.DUMMYFUNCTION("""COMPUTED_VALUE"""),"")</f>
        <v/>
      </c>
      <c r="L1736" s="75"/>
      <c r="M1736" s="46" t="s">
        <v>2002</v>
      </c>
    </row>
    <row r="1737">
      <c r="A1737" s="70"/>
      <c r="C1737" s="5" t="s">
        <v>2002</v>
      </c>
      <c r="D1737" s="5"/>
      <c r="E1737" s="5"/>
      <c r="F1737" s="5"/>
      <c r="G1737" s="5"/>
      <c r="H1737" s="5"/>
      <c r="I1737" s="5"/>
      <c r="J1737" s="73"/>
      <c r="K1737" s="75" t="str">
        <f>IFERROR(__xludf.DUMMYFUNCTION("""COMPUTED_VALUE"""),"")</f>
        <v/>
      </c>
      <c r="L1737" s="75"/>
      <c r="M1737" s="46" t="s">
        <v>2002</v>
      </c>
    </row>
    <row r="1738">
      <c r="A1738" s="70"/>
      <c r="C1738" s="5" t="s">
        <v>2002</v>
      </c>
      <c r="D1738" s="5"/>
      <c r="E1738" s="5"/>
      <c r="F1738" s="5"/>
      <c r="G1738" s="5"/>
      <c r="H1738" s="5"/>
      <c r="I1738" s="5"/>
      <c r="J1738" s="73"/>
      <c r="K1738" s="75" t="str">
        <f>IFERROR(__xludf.DUMMYFUNCTION("""COMPUTED_VALUE"""),"")</f>
        <v/>
      </c>
      <c r="L1738" s="75"/>
      <c r="M1738" s="46" t="s">
        <v>2002</v>
      </c>
    </row>
    <row r="1739">
      <c r="A1739" s="70"/>
      <c r="C1739" s="5" t="s">
        <v>2002</v>
      </c>
      <c r="D1739" s="5"/>
      <c r="E1739" s="5"/>
      <c r="F1739" s="5"/>
      <c r="G1739" s="5"/>
      <c r="H1739" s="5"/>
      <c r="I1739" s="5"/>
      <c r="J1739" s="73"/>
      <c r="K1739" s="75" t="str">
        <f>IFERROR(__xludf.DUMMYFUNCTION("""COMPUTED_VALUE"""),"")</f>
        <v/>
      </c>
      <c r="L1739" s="75"/>
      <c r="M1739" s="46" t="s">
        <v>2002</v>
      </c>
    </row>
    <row r="1740">
      <c r="A1740" s="70"/>
      <c r="C1740" s="5" t="s">
        <v>2002</v>
      </c>
      <c r="D1740" s="5"/>
      <c r="E1740" s="5"/>
      <c r="F1740" s="5"/>
      <c r="G1740" s="5"/>
      <c r="H1740" s="5"/>
      <c r="I1740" s="5"/>
      <c r="J1740" s="73"/>
      <c r="K1740" s="75" t="str">
        <f>IFERROR(__xludf.DUMMYFUNCTION("""COMPUTED_VALUE"""),"")</f>
        <v/>
      </c>
      <c r="L1740" s="75"/>
      <c r="M1740" s="46" t="s">
        <v>2002</v>
      </c>
    </row>
    <row r="1741">
      <c r="A1741" s="70"/>
      <c r="C1741" s="5" t="s">
        <v>2002</v>
      </c>
      <c r="D1741" s="5"/>
      <c r="E1741" s="5"/>
      <c r="F1741" s="5"/>
      <c r="G1741" s="5"/>
      <c r="H1741" s="5"/>
      <c r="I1741" s="5"/>
      <c r="J1741" s="73"/>
      <c r="K1741" s="75" t="str">
        <f>IFERROR(__xludf.DUMMYFUNCTION("""COMPUTED_VALUE"""),"")</f>
        <v/>
      </c>
      <c r="L1741" s="75"/>
      <c r="M1741" s="46" t="s">
        <v>2002</v>
      </c>
    </row>
    <row r="1742">
      <c r="A1742" s="70"/>
      <c r="C1742" s="5" t="s">
        <v>2002</v>
      </c>
      <c r="D1742" s="5"/>
      <c r="E1742" s="5"/>
      <c r="F1742" s="5"/>
      <c r="G1742" s="5"/>
      <c r="H1742" s="5"/>
      <c r="I1742" s="5"/>
      <c r="J1742" s="73"/>
      <c r="K1742" s="75" t="str">
        <f>IFERROR(__xludf.DUMMYFUNCTION("""COMPUTED_VALUE"""),"")</f>
        <v/>
      </c>
      <c r="L1742" s="75"/>
      <c r="M1742" s="46" t="s">
        <v>2002</v>
      </c>
    </row>
    <row r="1743">
      <c r="A1743" s="70"/>
      <c r="C1743" s="5" t="s">
        <v>2002</v>
      </c>
      <c r="D1743" s="5"/>
      <c r="E1743" s="5"/>
      <c r="F1743" s="5"/>
      <c r="G1743" s="5"/>
      <c r="H1743" s="5"/>
      <c r="I1743" s="5"/>
      <c r="J1743" s="73"/>
      <c r="K1743" s="75" t="str">
        <f>IFERROR(__xludf.DUMMYFUNCTION("""COMPUTED_VALUE"""),"")</f>
        <v/>
      </c>
      <c r="L1743" s="75"/>
      <c r="M1743" s="46" t="s">
        <v>2002</v>
      </c>
    </row>
    <row r="1744">
      <c r="A1744" s="70"/>
      <c r="C1744" s="5" t="s">
        <v>2002</v>
      </c>
      <c r="D1744" s="5"/>
      <c r="E1744" s="5"/>
      <c r="F1744" s="5"/>
      <c r="G1744" s="5"/>
      <c r="H1744" s="5"/>
      <c r="I1744" s="5"/>
      <c r="J1744" s="73"/>
      <c r="K1744" s="75" t="str">
        <f>IFERROR(__xludf.DUMMYFUNCTION("""COMPUTED_VALUE"""),"")</f>
        <v/>
      </c>
      <c r="L1744" s="75"/>
      <c r="M1744" s="46" t="s">
        <v>2002</v>
      </c>
    </row>
    <row r="1745">
      <c r="A1745" s="70"/>
      <c r="C1745" s="5" t="s">
        <v>2002</v>
      </c>
      <c r="D1745" s="5"/>
      <c r="E1745" s="5"/>
      <c r="F1745" s="5"/>
      <c r="G1745" s="5"/>
      <c r="H1745" s="5"/>
      <c r="I1745" s="5"/>
      <c r="J1745" s="73"/>
      <c r="K1745" s="75" t="str">
        <f>IFERROR(__xludf.DUMMYFUNCTION("""COMPUTED_VALUE"""),"")</f>
        <v/>
      </c>
      <c r="L1745" s="75"/>
      <c r="M1745" s="46" t="s">
        <v>2002</v>
      </c>
    </row>
    <row r="1746">
      <c r="A1746" s="70"/>
      <c r="C1746" s="5" t="s">
        <v>2002</v>
      </c>
      <c r="D1746" s="5"/>
      <c r="E1746" s="5"/>
      <c r="F1746" s="5"/>
      <c r="G1746" s="5"/>
      <c r="H1746" s="5"/>
      <c r="I1746" s="5"/>
      <c r="J1746" s="73"/>
      <c r="K1746" s="75" t="str">
        <f>IFERROR(__xludf.DUMMYFUNCTION("""COMPUTED_VALUE"""),"")</f>
        <v/>
      </c>
      <c r="L1746" s="75"/>
      <c r="M1746" s="46" t="s">
        <v>2002</v>
      </c>
    </row>
    <row r="1747">
      <c r="A1747" s="70"/>
      <c r="C1747" s="5" t="s">
        <v>2002</v>
      </c>
      <c r="D1747" s="5"/>
      <c r="E1747" s="5"/>
      <c r="F1747" s="5"/>
      <c r="G1747" s="5"/>
      <c r="H1747" s="5"/>
      <c r="I1747" s="5"/>
      <c r="J1747" s="73"/>
      <c r="K1747" s="75" t="str">
        <f>IFERROR(__xludf.DUMMYFUNCTION("""COMPUTED_VALUE"""),"")</f>
        <v/>
      </c>
      <c r="L1747" s="75"/>
      <c r="M1747" s="46" t="s">
        <v>2002</v>
      </c>
    </row>
    <row r="1748">
      <c r="A1748" s="70"/>
      <c r="C1748" s="5" t="s">
        <v>2002</v>
      </c>
      <c r="D1748" s="5"/>
      <c r="E1748" s="5"/>
      <c r="F1748" s="5"/>
      <c r="G1748" s="5"/>
      <c r="H1748" s="5"/>
      <c r="I1748" s="5"/>
      <c r="J1748" s="73"/>
      <c r="K1748" s="75" t="str">
        <f>IFERROR(__xludf.DUMMYFUNCTION("""COMPUTED_VALUE"""),"")</f>
        <v/>
      </c>
      <c r="L1748" s="75"/>
      <c r="M1748" s="46" t="s">
        <v>2002</v>
      </c>
    </row>
    <row r="1749">
      <c r="A1749" s="70"/>
      <c r="C1749" s="5" t="s">
        <v>2002</v>
      </c>
      <c r="D1749" s="5"/>
      <c r="E1749" s="5"/>
      <c r="F1749" s="5"/>
      <c r="G1749" s="5"/>
      <c r="H1749" s="5"/>
      <c r="I1749" s="5"/>
      <c r="J1749" s="73"/>
      <c r="K1749" s="75" t="str">
        <f>IFERROR(__xludf.DUMMYFUNCTION("""COMPUTED_VALUE"""),"")</f>
        <v/>
      </c>
      <c r="L1749" s="75"/>
      <c r="M1749" s="46" t="s">
        <v>2002</v>
      </c>
    </row>
    <row r="1750">
      <c r="A1750" s="70"/>
      <c r="C1750" s="5" t="s">
        <v>2002</v>
      </c>
      <c r="D1750" s="5"/>
      <c r="E1750" s="5"/>
      <c r="F1750" s="5"/>
      <c r="G1750" s="5"/>
      <c r="H1750" s="5"/>
      <c r="I1750" s="5"/>
      <c r="J1750" s="73"/>
      <c r="K1750" s="75" t="str">
        <f>IFERROR(__xludf.DUMMYFUNCTION("""COMPUTED_VALUE"""),"")</f>
        <v/>
      </c>
      <c r="L1750" s="75"/>
      <c r="M1750" s="46" t="s">
        <v>2002</v>
      </c>
    </row>
    <row r="1751">
      <c r="A1751" s="70"/>
      <c r="C1751" s="5" t="s">
        <v>2002</v>
      </c>
      <c r="D1751" s="5"/>
      <c r="E1751" s="5"/>
      <c r="F1751" s="5"/>
      <c r="G1751" s="5"/>
      <c r="H1751" s="5"/>
      <c r="I1751" s="5"/>
      <c r="J1751" s="73"/>
      <c r="K1751" s="75" t="str">
        <f>IFERROR(__xludf.DUMMYFUNCTION("""COMPUTED_VALUE"""),"")</f>
        <v/>
      </c>
      <c r="L1751" s="75"/>
      <c r="M1751" s="46" t="s">
        <v>2002</v>
      </c>
    </row>
    <row r="1752">
      <c r="A1752" s="70"/>
      <c r="C1752" s="5" t="s">
        <v>2002</v>
      </c>
      <c r="D1752" s="5"/>
      <c r="E1752" s="5"/>
      <c r="F1752" s="5"/>
      <c r="G1752" s="5"/>
      <c r="H1752" s="5"/>
      <c r="I1752" s="5"/>
      <c r="J1752" s="73"/>
      <c r="K1752" s="75" t="str">
        <f>IFERROR(__xludf.DUMMYFUNCTION("""COMPUTED_VALUE"""),"")</f>
        <v/>
      </c>
      <c r="L1752" s="75"/>
      <c r="M1752" s="46" t="s">
        <v>2002</v>
      </c>
    </row>
    <row r="1753">
      <c r="A1753" s="70"/>
      <c r="C1753" s="5" t="s">
        <v>2002</v>
      </c>
      <c r="D1753" s="5"/>
      <c r="E1753" s="5"/>
      <c r="F1753" s="5"/>
      <c r="G1753" s="5"/>
      <c r="H1753" s="5"/>
      <c r="I1753" s="5"/>
      <c r="J1753" s="73"/>
      <c r="K1753" s="75" t="str">
        <f>IFERROR(__xludf.DUMMYFUNCTION("""COMPUTED_VALUE"""),"")</f>
        <v/>
      </c>
      <c r="L1753" s="75"/>
      <c r="M1753" s="46" t="s">
        <v>2002</v>
      </c>
    </row>
    <row r="1754">
      <c r="A1754" s="70"/>
      <c r="C1754" s="5" t="s">
        <v>2002</v>
      </c>
      <c r="D1754" s="5"/>
      <c r="E1754" s="5"/>
      <c r="F1754" s="5"/>
      <c r="G1754" s="5"/>
      <c r="H1754" s="5"/>
      <c r="I1754" s="5"/>
      <c r="J1754" s="73"/>
      <c r="K1754" s="75" t="str">
        <f>IFERROR(__xludf.DUMMYFUNCTION("""COMPUTED_VALUE"""),"")</f>
        <v/>
      </c>
      <c r="L1754" s="75"/>
      <c r="M1754" s="46" t="s">
        <v>2002</v>
      </c>
    </row>
    <row r="1755">
      <c r="A1755" s="70"/>
      <c r="C1755" s="5" t="s">
        <v>2002</v>
      </c>
      <c r="D1755" s="5"/>
      <c r="E1755" s="5"/>
      <c r="F1755" s="5"/>
      <c r="G1755" s="5"/>
      <c r="H1755" s="5"/>
      <c r="I1755" s="5"/>
      <c r="J1755" s="73"/>
      <c r="K1755" s="75" t="str">
        <f>IFERROR(__xludf.DUMMYFUNCTION("""COMPUTED_VALUE"""),"")</f>
        <v/>
      </c>
      <c r="L1755" s="75"/>
      <c r="M1755" s="46" t="s">
        <v>2002</v>
      </c>
    </row>
    <row r="1756">
      <c r="A1756" s="70"/>
      <c r="C1756" s="5" t="s">
        <v>2002</v>
      </c>
      <c r="D1756" s="5"/>
      <c r="E1756" s="5"/>
      <c r="F1756" s="5"/>
      <c r="G1756" s="5"/>
      <c r="H1756" s="5"/>
      <c r="I1756" s="5"/>
      <c r="J1756" s="73"/>
      <c r="K1756" s="75" t="str">
        <f>IFERROR(__xludf.DUMMYFUNCTION("""COMPUTED_VALUE"""),"")</f>
        <v/>
      </c>
      <c r="L1756" s="75"/>
      <c r="M1756" s="46" t="s">
        <v>2002</v>
      </c>
    </row>
    <row r="1757">
      <c r="A1757" s="70"/>
      <c r="C1757" s="5" t="s">
        <v>2002</v>
      </c>
      <c r="D1757" s="5"/>
      <c r="E1757" s="5"/>
      <c r="F1757" s="5"/>
      <c r="G1757" s="5"/>
      <c r="H1757" s="5"/>
      <c r="I1757" s="5"/>
      <c r="J1757" s="73"/>
      <c r="K1757" s="75" t="str">
        <f>IFERROR(__xludf.DUMMYFUNCTION("""COMPUTED_VALUE"""),"")</f>
        <v/>
      </c>
      <c r="L1757" s="75"/>
      <c r="M1757" s="46" t="s">
        <v>2002</v>
      </c>
    </row>
    <row r="1758">
      <c r="A1758" s="70"/>
      <c r="C1758" s="5" t="s">
        <v>2002</v>
      </c>
      <c r="D1758" s="5"/>
      <c r="E1758" s="5"/>
      <c r="F1758" s="5"/>
      <c r="G1758" s="5"/>
      <c r="H1758" s="5"/>
      <c r="I1758" s="5"/>
      <c r="J1758" s="73"/>
      <c r="K1758" s="75" t="str">
        <f>IFERROR(__xludf.DUMMYFUNCTION("""COMPUTED_VALUE"""),"")</f>
        <v/>
      </c>
      <c r="L1758" s="75"/>
      <c r="M1758" s="46" t="s">
        <v>2002</v>
      </c>
    </row>
    <row r="1759">
      <c r="A1759" s="70"/>
      <c r="C1759" s="5" t="s">
        <v>2002</v>
      </c>
      <c r="D1759" s="5"/>
      <c r="E1759" s="5"/>
      <c r="F1759" s="5"/>
      <c r="G1759" s="5"/>
      <c r="H1759" s="5"/>
      <c r="I1759" s="5"/>
      <c r="J1759" s="73"/>
      <c r="K1759" s="75" t="str">
        <f>IFERROR(__xludf.DUMMYFUNCTION("""COMPUTED_VALUE"""),"")</f>
        <v/>
      </c>
      <c r="L1759" s="75"/>
      <c r="M1759" s="46" t="s">
        <v>2002</v>
      </c>
    </row>
    <row r="1760">
      <c r="A1760" s="70"/>
      <c r="C1760" s="5" t="s">
        <v>2002</v>
      </c>
      <c r="D1760" s="5"/>
      <c r="E1760" s="5"/>
      <c r="F1760" s="5"/>
      <c r="G1760" s="5"/>
      <c r="H1760" s="5"/>
      <c r="I1760" s="5"/>
      <c r="J1760" s="73"/>
      <c r="K1760" s="75" t="str">
        <f>IFERROR(__xludf.DUMMYFUNCTION("""COMPUTED_VALUE"""),"")</f>
        <v/>
      </c>
      <c r="L1760" s="75"/>
      <c r="M1760" s="46" t="s">
        <v>2002</v>
      </c>
    </row>
    <row r="1761">
      <c r="A1761" s="70"/>
      <c r="C1761" s="5" t="s">
        <v>2002</v>
      </c>
      <c r="D1761" s="5"/>
      <c r="E1761" s="5"/>
      <c r="F1761" s="5"/>
      <c r="G1761" s="5"/>
      <c r="H1761" s="5"/>
      <c r="I1761" s="5"/>
      <c r="J1761" s="73"/>
      <c r="K1761" s="75" t="str">
        <f>IFERROR(__xludf.DUMMYFUNCTION("""COMPUTED_VALUE"""),"")</f>
        <v/>
      </c>
      <c r="L1761" s="75"/>
      <c r="M1761" s="46" t="s">
        <v>2002</v>
      </c>
    </row>
    <row r="1762">
      <c r="A1762" s="70"/>
      <c r="C1762" s="5" t="s">
        <v>2002</v>
      </c>
      <c r="D1762" s="5"/>
      <c r="E1762" s="5"/>
      <c r="F1762" s="5"/>
      <c r="G1762" s="5"/>
      <c r="H1762" s="5"/>
      <c r="I1762" s="5"/>
      <c r="J1762" s="73"/>
      <c r="K1762" s="75" t="str">
        <f>IFERROR(__xludf.DUMMYFUNCTION("""COMPUTED_VALUE"""),"")</f>
        <v/>
      </c>
      <c r="L1762" s="75"/>
      <c r="M1762" s="46" t="s">
        <v>2002</v>
      </c>
    </row>
    <row r="1763">
      <c r="A1763" s="70"/>
      <c r="C1763" s="5" t="s">
        <v>2002</v>
      </c>
      <c r="D1763" s="5"/>
      <c r="E1763" s="5"/>
      <c r="F1763" s="5"/>
      <c r="G1763" s="5"/>
      <c r="H1763" s="5"/>
      <c r="I1763" s="5"/>
      <c r="J1763" s="73"/>
      <c r="K1763" s="75" t="str">
        <f>IFERROR(__xludf.DUMMYFUNCTION("""COMPUTED_VALUE"""),"")</f>
        <v/>
      </c>
      <c r="L1763" s="75"/>
      <c r="M1763" s="46" t="s">
        <v>2002</v>
      </c>
    </row>
    <row r="1764">
      <c r="A1764" s="70"/>
      <c r="C1764" s="5" t="s">
        <v>2002</v>
      </c>
      <c r="D1764" s="5"/>
      <c r="E1764" s="5"/>
      <c r="F1764" s="5"/>
      <c r="G1764" s="5"/>
      <c r="H1764" s="5"/>
      <c r="I1764" s="5"/>
      <c r="J1764" s="73"/>
      <c r="K1764" s="75" t="str">
        <f>IFERROR(__xludf.DUMMYFUNCTION("""COMPUTED_VALUE"""),"")</f>
        <v/>
      </c>
      <c r="L1764" s="75"/>
      <c r="M1764" s="46" t="s">
        <v>2002</v>
      </c>
    </row>
    <row r="1765">
      <c r="A1765" s="70"/>
      <c r="C1765" s="5" t="s">
        <v>2002</v>
      </c>
      <c r="D1765" s="5"/>
      <c r="E1765" s="5"/>
      <c r="F1765" s="5"/>
      <c r="G1765" s="5"/>
      <c r="H1765" s="5"/>
      <c r="I1765" s="5"/>
      <c r="J1765" s="73"/>
      <c r="K1765" s="75" t="str">
        <f>IFERROR(__xludf.DUMMYFUNCTION("""COMPUTED_VALUE"""),"")</f>
        <v/>
      </c>
      <c r="L1765" s="75"/>
      <c r="M1765" s="46" t="s">
        <v>2002</v>
      </c>
    </row>
    <row r="1766">
      <c r="A1766" s="70"/>
      <c r="C1766" s="5" t="s">
        <v>2002</v>
      </c>
      <c r="D1766" s="5"/>
      <c r="E1766" s="5"/>
      <c r="F1766" s="5"/>
      <c r="G1766" s="5"/>
      <c r="H1766" s="5"/>
      <c r="I1766" s="5"/>
      <c r="J1766" s="73"/>
      <c r="K1766" s="75" t="str">
        <f>IFERROR(__xludf.DUMMYFUNCTION("""COMPUTED_VALUE"""),"")</f>
        <v/>
      </c>
      <c r="L1766" s="75"/>
      <c r="M1766" s="46" t="s">
        <v>2002</v>
      </c>
    </row>
    <row r="1767">
      <c r="A1767" s="70"/>
      <c r="C1767" s="5" t="s">
        <v>2002</v>
      </c>
      <c r="D1767" s="5"/>
      <c r="E1767" s="5"/>
      <c r="F1767" s="5"/>
      <c r="G1767" s="5"/>
      <c r="H1767" s="5"/>
      <c r="I1767" s="5"/>
      <c r="J1767" s="73"/>
      <c r="K1767" s="75" t="str">
        <f>IFERROR(__xludf.DUMMYFUNCTION("""COMPUTED_VALUE"""),"")</f>
        <v/>
      </c>
      <c r="L1767" s="75"/>
      <c r="M1767" s="46" t="s">
        <v>2002</v>
      </c>
    </row>
    <row r="1768">
      <c r="A1768" s="70"/>
      <c r="C1768" s="5" t="s">
        <v>2002</v>
      </c>
      <c r="D1768" s="5"/>
      <c r="E1768" s="5"/>
      <c r="F1768" s="5"/>
      <c r="G1768" s="5"/>
      <c r="H1768" s="5"/>
      <c r="I1768" s="5"/>
      <c r="J1768" s="73"/>
      <c r="K1768" s="75" t="str">
        <f>IFERROR(__xludf.DUMMYFUNCTION("""COMPUTED_VALUE"""),"")</f>
        <v/>
      </c>
      <c r="L1768" s="75"/>
      <c r="M1768" s="46" t="s">
        <v>2002</v>
      </c>
    </row>
    <row r="1769">
      <c r="A1769" s="70"/>
      <c r="C1769" s="5" t="s">
        <v>2002</v>
      </c>
      <c r="D1769" s="5"/>
      <c r="E1769" s="5"/>
      <c r="F1769" s="5"/>
      <c r="G1769" s="5"/>
      <c r="H1769" s="5"/>
      <c r="I1769" s="5"/>
      <c r="J1769" s="73"/>
      <c r="K1769" s="75" t="str">
        <f>IFERROR(__xludf.DUMMYFUNCTION("""COMPUTED_VALUE"""),"")</f>
        <v/>
      </c>
      <c r="L1769" s="75"/>
      <c r="M1769" s="46" t="s">
        <v>2002</v>
      </c>
    </row>
    <row r="1770">
      <c r="A1770" s="70"/>
      <c r="C1770" s="5" t="s">
        <v>2002</v>
      </c>
      <c r="D1770" s="5"/>
      <c r="E1770" s="5"/>
      <c r="F1770" s="5"/>
      <c r="G1770" s="5"/>
      <c r="H1770" s="5"/>
      <c r="I1770" s="5"/>
      <c r="J1770" s="73"/>
      <c r="K1770" s="75" t="str">
        <f>IFERROR(__xludf.DUMMYFUNCTION("""COMPUTED_VALUE"""),"")</f>
        <v/>
      </c>
      <c r="L1770" s="75"/>
      <c r="M1770" s="46" t="s">
        <v>2002</v>
      </c>
    </row>
    <row r="1771">
      <c r="A1771" s="70"/>
      <c r="C1771" s="5" t="s">
        <v>2002</v>
      </c>
      <c r="D1771" s="5"/>
      <c r="E1771" s="5"/>
      <c r="F1771" s="5"/>
      <c r="G1771" s="5"/>
      <c r="H1771" s="5"/>
      <c r="I1771" s="5"/>
      <c r="J1771" s="73"/>
      <c r="K1771" s="75" t="str">
        <f>IFERROR(__xludf.DUMMYFUNCTION("""COMPUTED_VALUE"""),"")</f>
        <v/>
      </c>
      <c r="L1771" s="75"/>
      <c r="M1771" s="46" t="s">
        <v>2002</v>
      </c>
    </row>
    <row r="1772">
      <c r="A1772" s="70"/>
      <c r="C1772" s="5" t="s">
        <v>2002</v>
      </c>
      <c r="D1772" s="5"/>
      <c r="E1772" s="5"/>
      <c r="F1772" s="5"/>
      <c r="G1772" s="5"/>
      <c r="H1772" s="5"/>
      <c r="I1772" s="5"/>
      <c r="J1772" s="73"/>
      <c r="K1772" s="75" t="str">
        <f>IFERROR(__xludf.DUMMYFUNCTION("""COMPUTED_VALUE"""),"")</f>
        <v/>
      </c>
      <c r="L1772" s="75"/>
      <c r="M1772" s="46" t="s">
        <v>2002</v>
      </c>
    </row>
    <row r="1773">
      <c r="A1773" s="70"/>
      <c r="C1773" s="5" t="s">
        <v>2002</v>
      </c>
      <c r="D1773" s="5"/>
      <c r="E1773" s="5"/>
      <c r="F1773" s="5"/>
      <c r="G1773" s="5"/>
      <c r="H1773" s="5"/>
      <c r="I1773" s="5"/>
      <c r="J1773" s="73"/>
      <c r="K1773" s="75" t="str">
        <f>IFERROR(__xludf.DUMMYFUNCTION("""COMPUTED_VALUE"""),"")</f>
        <v/>
      </c>
      <c r="L1773" s="75"/>
      <c r="M1773" s="46" t="s">
        <v>2002</v>
      </c>
    </row>
    <row r="1774">
      <c r="A1774" s="70"/>
      <c r="C1774" s="5" t="s">
        <v>2002</v>
      </c>
      <c r="D1774" s="5"/>
      <c r="E1774" s="5"/>
      <c r="F1774" s="5"/>
      <c r="G1774" s="5"/>
      <c r="H1774" s="5"/>
      <c r="I1774" s="5"/>
      <c r="J1774" s="73"/>
      <c r="K1774" s="75" t="str">
        <f>IFERROR(__xludf.DUMMYFUNCTION("""COMPUTED_VALUE"""),"")</f>
        <v/>
      </c>
      <c r="L1774" s="75"/>
      <c r="M1774" s="46" t="s">
        <v>2002</v>
      </c>
    </row>
    <row r="1775">
      <c r="A1775" s="70"/>
      <c r="C1775" s="5" t="s">
        <v>2002</v>
      </c>
      <c r="D1775" s="5"/>
      <c r="E1775" s="5"/>
      <c r="F1775" s="5"/>
      <c r="G1775" s="5"/>
      <c r="H1775" s="5"/>
      <c r="I1775" s="5"/>
      <c r="J1775" s="73"/>
      <c r="K1775" s="75" t="str">
        <f>IFERROR(__xludf.DUMMYFUNCTION("""COMPUTED_VALUE"""),"")</f>
        <v/>
      </c>
      <c r="L1775" s="75"/>
      <c r="M1775" s="46" t="s">
        <v>2002</v>
      </c>
    </row>
    <row r="1776">
      <c r="A1776" s="70"/>
      <c r="C1776" s="5" t="s">
        <v>2002</v>
      </c>
      <c r="D1776" s="5"/>
      <c r="E1776" s="5"/>
      <c r="F1776" s="5"/>
      <c r="G1776" s="5"/>
      <c r="H1776" s="5"/>
      <c r="I1776" s="5"/>
      <c r="J1776" s="73"/>
      <c r="K1776" s="75" t="str">
        <f>IFERROR(__xludf.DUMMYFUNCTION("""COMPUTED_VALUE"""),"")</f>
        <v/>
      </c>
      <c r="L1776" s="75"/>
      <c r="M1776" s="46" t="s">
        <v>2002</v>
      </c>
    </row>
    <row r="1777">
      <c r="A1777" s="70"/>
      <c r="C1777" s="5" t="s">
        <v>2002</v>
      </c>
      <c r="D1777" s="5"/>
      <c r="E1777" s="5"/>
      <c r="F1777" s="5"/>
      <c r="G1777" s="5"/>
      <c r="H1777" s="5"/>
      <c r="I1777" s="5"/>
      <c r="J1777" s="73"/>
      <c r="K1777" s="75" t="str">
        <f>IFERROR(__xludf.DUMMYFUNCTION("""COMPUTED_VALUE"""),"")</f>
        <v/>
      </c>
      <c r="L1777" s="75"/>
      <c r="M1777" s="46" t="s">
        <v>2002</v>
      </c>
    </row>
    <row r="1778">
      <c r="A1778" s="70"/>
      <c r="C1778" s="5" t="s">
        <v>2002</v>
      </c>
      <c r="D1778" s="5"/>
      <c r="E1778" s="5"/>
      <c r="F1778" s="5"/>
      <c r="G1778" s="5"/>
      <c r="H1778" s="5"/>
      <c r="I1778" s="5"/>
      <c r="J1778" s="73"/>
      <c r="K1778" s="75" t="str">
        <f>IFERROR(__xludf.DUMMYFUNCTION("""COMPUTED_VALUE"""),"")</f>
        <v/>
      </c>
      <c r="L1778" s="75"/>
      <c r="M1778" s="46" t="s">
        <v>2002</v>
      </c>
    </row>
    <row r="1779">
      <c r="A1779" s="70"/>
      <c r="C1779" s="5" t="s">
        <v>2002</v>
      </c>
      <c r="D1779" s="5"/>
      <c r="E1779" s="5"/>
      <c r="F1779" s="5"/>
      <c r="G1779" s="5"/>
      <c r="H1779" s="5"/>
      <c r="I1779" s="5"/>
      <c r="J1779" s="73"/>
      <c r="K1779" s="75" t="str">
        <f>IFERROR(__xludf.DUMMYFUNCTION("""COMPUTED_VALUE"""),"")</f>
        <v/>
      </c>
      <c r="L1779" s="75"/>
      <c r="M1779" s="46" t="s">
        <v>2002</v>
      </c>
    </row>
    <row r="1780">
      <c r="A1780" s="70"/>
      <c r="C1780" s="5" t="s">
        <v>2002</v>
      </c>
      <c r="D1780" s="5"/>
      <c r="E1780" s="5"/>
      <c r="F1780" s="5"/>
      <c r="G1780" s="5"/>
      <c r="H1780" s="5"/>
      <c r="I1780" s="5"/>
      <c r="J1780" s="73"/>
      <c r="K1780" s="75" t="str">
        <f>IFERROR(__xludf.DUMMYFUNCTION("""COMPUTED_VALUE"""),"")</f>
        <v/>
      </c>
      <c r="L1780" s="75"/>
      <c r="M1780" s="46" t="s">
        <v>2002</v>
      </c>
    </row>
    <row r="1781">
      <c r="A1781" s="70"/>
      <c r="C1781" s="5" t="s">
        <v>2002</v>
      </c>
      <c r="D1781" s="5"/>
      <c r="E1781" s="5"/>
      <c r="F1781" s="5"/>
      <c r="G1781" s="5"/>
      <c r="H1781" s="5"/>
      <c r="I1781" s="5"/>
      <c r="J1781" s="73"/>
      <c r="K1781" s="75" t="str">
        <f>IFERROR(__xludf.DUMMYFUNCTION("""COMPUTED_VALUE"""),"")</f>
        <v/>
      </c>
      <c r="L1781" s="75"/>
      <c r="M1781" s="46" t="s">
        <v>2002</v>
      </c>
    </row>
    <row r="1782">
      <c r="A1782" s="70"/>
      <c r="C1782" s="5" t="s">
        <v>2002</v>
      </c>
      <c r="D1782" s="5"/>
      <c r="E1782" s="5"/>
      <c r="F1782" s="5"/>
      <c r="G1782" s="5"/>
      <c r="H1782" s="5"/>
      <c r="I1782" s="5"/>
      <c r="J1782" s="73"/>
      <c r="K1782" s="75" t="str">
        <f>IFERROR(__xludf.DUMMYFUNCTION("""COMPUTED_VALUE"""),"")</f>
        <v/>
      </c>
      <c r="L1782" s="75"/>
      <c r="M1782" s="46" t="s">
        <v>2002</v>
      </c>
    </row>
    <row r="1783">
      <c r="A1783" s="70"/>
      <c r="C1783" s="5" t="s">
        <v>2002</v>
      </c>
      <c r="D1783" s="5"/>
      <c r="E1783" s="5"/>
      <c r="F1783" s="5"/>
      <c r="G1783" s="5"/>
      <c r="H1783" s="5"/>
      <c r="I1783" s="5"/>
      <c r="J1783" s="73"/>
      <c r="K1783" s="75" t="str">
        <f>IFERROR(__xludf.DUMMYFUNCTION("""COMPUTED_VALUE"""),"")</f>
        <v/>
      </c>
      <c r="L1783" s="75"/>
      <c r="M1783" s="46" t="s">
        <v>2002</v>
      </c>
    </row>
    <row r="1784">
      <c r="A1784" s="70"/>
      <c r="C1784" s="5" t="s">
        <v>2002</v>
      </c>
      <c r="D1784" s="5"/>
      <c r="E1784" s="5"/>
      <c r="F1784" s="5"/>
      <c r="G1784" s="5"/>
      <c r="H1784" s="5"/>
      <c r="I1784" s="5"/>
      <c r="J1784" s="73"/>
      <c r="K1784" s="75" t="str">
        <f>IFERROR(__xludf.DUMMYFUNCTION("""COMPUTED_VALUE"""),"")</f>
        <v/>
      </c>
      <c r="L1784" s="75"/>
      <c r="M1784" s="46" t="s">
        <v>2002</v>
      </c>
    </row>
    <row r="1785">
      <c r="A1785" s="70"/>
      <c r="C1785" s="5" t="s">
        <v>2002</v>
      </c>
      <c r="D1785" s="5"/>
      <c r="E1785" s="5"/>
      <c r="F1785" s="5"/>
      <c r="G1785" s="5"/>
      <c r="H1785" s="5"/>
      <c r="I1785" s="5"/>
      <c r="J1785" s="73"/>
      <c r="K1785" s="75" t="str">
        <f>IFERROR(__xludf.DUMMYFUNCTION("""COMPUTED_VALUE"""),"")</f>
        <v/>
      </c>
      <c r="L1785" s="75"/>
      <c r="M1785" s="46" t="s">
        <v>2002</v>
      </c>
    </row>
    <row r="1786">
      <c r="A1786" s="70"/>
      <c r="C1786" s="5" t="s">
        <v>2002</v>
      </c>
      <c r="D1786" s="5"/>
      <c r="E1786" s="5"/>
      <c r="F1786" s="5"/>
      <c r="G1786" s="5"/>
      <c r="H1786" s="5"/>
      <c r="I1786" s="5"/>
      <c r="J1786" s="73"/>
      <c r="K1786" s="75" t="str">
        <f>IFERROR(__xludf.DUMMYFUNCTION("""COMPUTED_VALUE"""),"")</f>
        <v/>
      </c>
      <c r="L1786" s="75"/>
      <c r="M1786" s="46" t="s">
        <v>2002</v>
      </c>
    </row>
    <row r="1787">
      <c r="A1787" s="70"/>
      <c r="C1787" s="5" t="s">
        <v>2002</v>
      </c>
      <c r="D1787" s="5"/>
      <c r="E1787" s="5"/>
      <c r="F1787" s="5"/>
      <c r="G1787" s="5"/>
      <c r="H1787" s="5"/>
      <c r="I1787" s="5"/>
      <c r="J1787" s="73"/>
      <c r="K1787" s="75" t="str">
        <f>IFERROR(__xludf.DUMMYFUNCTION("""COMPUTED_VALUE"""),"")</f>
        <v/>
      </c>
      <c r="L1787" s="75"/>
      <c r="M1787" s="46" t="s">
        <v>2002</v>
      </c>
    </row>
    <row r="1788">
      <c r="A1788" s="70"/>
      <c r="C1788" s="5" t="s">
        <v>2002</v>
      </c>
      <c r="D1788" s="5"/>
      <c r="E1788" s="5"/>
      <c r="F1788" s="5"/>
      <c r="G1788" s="5"/>
      <c r="H1788" s="5"/>
      <c r="I1788" s="5"/>
      <c r="J1788" s="73"/>
      <c r="K1788" s="75" t="str">
        <f>IFERROR(__xludf.DUMMYFUNCTION("""COMPUTED_VALUE"""),"")</f>
        <v/>
      </c>
      <c r="L1788" s="75"/>
      <c r="M1788" s="46" t="s">
        <v>2002</v>
      </c>
    </row>
    <row r="1789">
      <c r="A1789" s="70"/>
      <c r="C1789" s="5" t="s">
        <v>2002</v>
      </c>
      <c r="D1789" s="5"/>
      <c r="E1789" s="5"/>
      <c r="F1789" s="5"/>
      <c r="G1789" s="5"/>
      <c r="H1789" s="5"/>
      <c r="I1789" s="5"/>
      <c r="J1789" s="73"/>
      <c r="K1789" s="75" t="str">
        <f>IFERROR(__xludf.DUMMYFUNCTION("""COMPUTED_VALUE"""),"")</f>
        <v/>
      </c>
      <c r="L1789" s="75"/>
      <c r="M1789" s="46" t="s">
        <v>2002</v>
      </c>
    </row>
    <row r="1790">
      <c r="A1790" s="70"/>
      <c r="C1790" s="5" t="s">
        <v>2002</v>
      </c>
      <c r="D1790" s="5"/>
      <c r="E1790" s="5"/>
      <c r="F1790" s="5"/>
      <c r="G1790" s="5"/>
      <c r="H1790" s="5"/>
      <c r="I1790" s="5"/>
      <c r="J1790" s="73"/>
      <c r="K1790" s="75" t="str">
        <f>IFERROR(__xludf.DUMMYFUNCTION("""COMPUTED_VALUE"""),"")</f>
        <v/>
      </c>
      <c r="L1790" s="75"/>
      <c r="M1790" s="46" t="s">
        <v>2002</v>
      </c>
    </row>
    <row r="1791">
      <c r="A1791" s="70"/>
      <c r="C1791" s="5" t="s">
        <v>2002</v>
      </c>
      <c r="D1791" s="5"/>
      <c r="E1791" s="5"/>
      <c r="F1791" s="5"/>
      <c r="G1791" s="5"/>
      <c r="H1791" s="5"/>
      <c r="I1791" s="5"/>
      <c r="J1791" s="73"/>
      <c r="K1791" s="75" t="str">
        <f>IFERROR(__xludf.DUMMYFUNCTION("""COMPUTED_VALUE"""),"")</f>
        <v/>
      </c>
      <c r="L1791" s="75"/>
      <c r="M1791" s="46" t="s">
        <v>2002</v>
      </c>
    </row>
    <row r="1792">
      <c r="A1792" s="70"/>
      <c r="C1792" s="5" t="s">
        <v>2002</v>
      </c>
      <c r="D1792" s="5"/>
      <c r="E1792" s="5"/>
      <c r="F1792" s="5"/>
      <c r="G1792" s="5"/>
      <c r="H1792" s="5"/>
      <c r="I1792" s="5"/>
      <c r="J1792" s="73"/>
      <c r="K1792" s="75" t="str">
        <f>IFERROR(__xludf.DUMMYFUNCTION("""COMPUTED_VALUE"""),"")</f>
        <v/>
      </c>
      <c r="L1792" s="75"/>
      <c r="M1792" s="46" t="s">
        <v>2002</v>
      </c>
    </row>
    <row r="1793">
      <c r="A1793" s="70"/>
      <c r="C1793" s="5" t="s">
        <v>2002</v>
      </c>
      <c r="D1793" s="5"/>
      <c r="E1793" s="5"/>
      <c r="F1793" s="5"/>
      <c r="G1793" s="5"/>
      <c r="H1793" s="5"/>
      <c r="I1793" s="5"/>
      <c r="J1793" s="73"/>
      <c r="K1793" s="75" t="str">
        <f>IFERROR(__xludf.DUMMYFUNCTION("""COMPUTED_VALUE"""),"")</f>
        <v/>
      </c>
      <c r="L1793" s="75"/>
      <c r="M1793" s="46" t="s">
        <v>2002</v>
      </c>
    </row>
    <row r="1794">
      <c r="A1794" s="70"/>
      <c r="C1794" s="5" t="s">
        <v>2002</v>
      </c>
      <c r="D1794" s="5"/>
      <c r="E1794" s="5"/>
      <c r="F1794" s="5"/>
      <c r="G1794" s="5"/>
      <c r="H1794" s="5"/>
      <c r="I1794" s="5"/>
      <c r="J1794" s="73"/>
      <c r="K1794" s="75" t="str">
        <f>IFERROR(__xludf.DUMMYFUNCTION("""COMPUTED_VALUE"""),"")</f>
        <v/>
      </c>
      <c r="L1794" s="75"/>
      <c r="M1794" s="46" t="s">
        <v>2002</v>
      </c>
    </row>
    <row r="1795">
      <c r="A1795" s="70"/>
      <c r="C1795" s="5" t="s">
        <v>2002</v>
      </c>
      <c r="D1795" s="5"/>
      <c r="E1795" s="5"/>
      <c r="F1795" s="5"/>
      <c r="G1795" s="5"/>
      <c r="H1795" s="5"/>
      <c r="I1795" s="5"/>
      <c r="J1795" s="73"/>
      <c r="K1795" s="75" t="str">
        <f>IFERROR(__xludf.DUMMYFUNCTION("""COMPUTED_VALUE"""),"")</f>
        <v/>
      </c>
      <c r="L1795" s="75"/>
      <c r="M1795" s="46" t="s">
        <v>2002</v>
      </c>
    </row>
    <row r="1796">
      <c r="A1796" s="70"/>
      <c r="C1796" s="5" t="s">
        <v>2002</v>
      </c>
      <c r="D1796" s="5"/>
      <c r="E1796" s="5"/>
      <c r="F1796" s="5"/>
      <c r="G1796" s="5"/>
      <c r="H1796" s="5"/>
      <c r="I1796" s="5"/>
      <c r="J1796" s="73"/>
      <c r="K1796" s="75" t="str">
        <f>IFERROR(__xludf.DUMMYFUNCTION("""COMPUTED_VALUE"""),"")</f>
        <v/>
      </c>
      <c r="L1796" s="75"/>
      <c r="M1796" s="46" t="s">
        <v>2002</v>
      </c>
    </row>
    <row r="1797">
      <c r="A1797" s="70"/>
      <c r="C1797" s="5" t="s">
        <v>2002</v>
      </c>
      <c r="D1797" s="5"/>
      <c r="E1797" s="5"/>
      <c r="F1797" s="5"/>
      <c r="G1797" s="5"/>
      <c r="H1797" s="5"/>
      <c r="I1797" s="5"/>
      <c r="J1797" s="73"/>
      <c r="K1797" s="75" t="str">
        <f>IFERROR(__xludf.DUMMYFUNCTION("""COMPUTED_VALUE"""),"")</f>
        <v/>
      </c>
      <c r="L1797" s="75"/>
      <c r="M1797" s="46" t="s">
        <v>2002</v>
      </c>
    </row>
    <row r="1798">
      <c r="A1798" s="70"/>
      <c r="C1798" s="5" t="s">
        <v>2002</v>
      </c>
      <c r="D1798" s="5"/>
      <c r="E1798" s="5"/>
      <c r="F1798" s="5"/>
      <c r="G1798" s="5"/>
      <c r="H1798" s="5"/>
      <c r="I1798" s="5"/>
      <c r="J1798" s="73"/>
      <c r="K1798" s="75" t="str">
        <f>IFERROR(__xludf.DUMMYFUNCTION("""COMPUTED_VALUE"""),"")</f>
        <v/>
      </c>
      <c r="L1798" s="75"/>
      <c r="M1798" s="46" t="s">
        <v>2002</v>
      </c>
    </row>
    <row r="1799">
      <c r="A1799" s="70"/>
      <c r="C1799" s="5" t="s">
        <v>2002</v>
      </c>
      <c r="D1799" s="5"/>
      <c r="E1799" s="5"/>
      <c r="F1799" s="5"/>
      <c r="G1799" s="5"/>
      <c r="H1799" s="5"/>
      <c r="I1799" s="5"/>
      <c r="J1799" s="73"/>
      <c r="K1799" s="75" t="str">
        <f>IFERROR(__xludf.DUMMYFUNCTION("""COMPUTED_VALUE"""),"")</f>
        <v/>
      </c>
      <c r="L1799" s="75"/>
      <c r="M1799" s="46" t="s">
        <v>2002</v>
      </c>
    </row>
    <row r="1800">
      <c r="A1800" s="70"/>
      <c r="C1800" s="5" t="s">
        <v>2002</v>
      </c>
      <c r="D1800" s="5"/>
      <c r="E1800" s="5"/>
      <c r="F1800" s="5"/>
      <c r="G1800" s="5"/>
      <c r="H1800" s="5"/>
      <c r="I1800" s="5"/>
      <c r="J1800" s="73"/>
      <c r="K1800" s="75" t="str">
        <f>IFERROR(__xludf.DUMMYFUNCTION("""COMPUTED_VALUE"""),"")</f>
        <v/>
      </c>
      <c r="L1800" s="75"/>
      <c r="M1800" s="46" t="s">
        <v>2002</v>
      </c>
    </row>
    <row r="1801">
      <c r="A1801" s="70"/>
      <c r="C1801" s="5" t="s">
        <v>2002</v>
      </c>
      <c r="D1801" s="5"/>
      <c r="E1801" s="5"/>
      <c r="F1801" s="5"/>
      <c r="G1801" s="5"/>
      <c r="H1801" s="5"/>
      <c r="I1801" s="5"/>
      <c r="J1801" s="73"/>
      <c r="K1801" s="75" t="str">
        <f>IFERROR(__xludf.DUMMYFUNCTION("""COMPUTED_VALUE"""),"")</f>
        <v/>
      </c>
      <c r="L1801" s="75"/>
      <c r="M1801" s="46" t="s">
        <v>2002</v>
      </c>
    </row>
    <row r="1802">
      <c r="A1802" s="70"/>
      <c r="C1802" s="5" t="s">
        <v>2002</v>
      </c>
      <c r="D1802" s="5"/>
      <c r="E1802" s="5"/>
      <c r="F1802" s="5"/>
      <c r="G1802" s="5"/>
      <c r="H1802" s="5"/>
      <c r="I1802" s="5"/>
      <c r="J1802" s="73"/>
      <c r="K1802" s="75" t="str">
        <f>IFERROR(__xludf.DUMMYFUNCTION("""COMPUTED_VALUE"""),"")</f>
        <v/>
      </c>
      <c r="L1802" s="75"/>
      <c r="M1802" s="46" t="s">
        <v>2002</v>
      </c>
    </row>
    <row r="1803">
      <c r="A1803" s="70"/>
      <c r="C1803" s="5" t="s">
        <v>2002</v>
      </c>
      <c r="D1803" s="5"/>
      <c r="E1803" s="5"/>
      <c r="F1803" s="5"/>
      <c r="G1803" s="5"/>
      <c r="H1803" s="5"/>
      <c r="I1803" s="5"/>
      <c r="J1803" s="73"/>
      <c r="K1803" s="75" t="str">
        <f>IFERROR(__xludf.DUMMYFUNCTION("""COMPUTED_VALUE"""),"")</f>
        <v/>
      </c>
      <c r="L1803" s="75"/>
      <c r="M1803" s="46" t="s">
        <v>2002</v>
      </c>
    </row>
    <row r="1804">
      <c r="A1804" s="70"/>
      <c r="C1804" s="5" t="s">
        <v>2002</v>
      </c>
      <c r="D1804" s="5"/>
      <c r="E1804" s="5"/>
      <c r="F1804" s="5"/>
      <c r="G1804" s="5"/>
      <c r="H1804" s="5"/>
      <c r="I1804" s="5"/>
      <c r="J1804" s="73"/>
      <c r="K1804" s="75" t="str">
        <f>IFERROR(__xludf.DUMMYFUNCTION("""COMPUTED_VALUE"""),"")</f>
        <v/>
      </c>
      <c r="L1804" s="75"/>
      <c r="M1804" s="46" t="s">
        <v>2002</v>
      </c>
    </row>
    <row r="1805">
      <c r="A1805" s="70"/>
      <c r="C1805" s="5" t="s">
        <v>2002</v>
      </c>
      <c r="D1805" s="5"/>
      <c r="E1805" s="5"/>
      <c r="F1805" s="5"/>
      <c r="G1805" s="5"/>
      <c r="H1805" s="5"/>
      <c r="I1805" s="5"/>
      <c r="J1805" s="73"/>
      <c r="K1805" s="75" t="str">
        <f>IFERROR(__xludf.DUMMYFUNCTION("""COMPUTED_VALUE"""),"")</f>
        <v/>
      </c>
      <c r="L1805" s="75"/>
      <c r="M1805" s="46" t="s">
        <v>2002</v>
      </c>
    </row>
    <row r="1806">
      <c r="A1806" s="70"/>
      <c r="C1806" s="5" t="s">
        <v>2002</v>
      </c>
      <c r="D1806" s="5"/>
      <c r="E1806" s="5"/>
      <c r="F1806" s="5"/>
      <c r="G1806" s="5"/>
      <c r="H1806" s="5"/>
      <c r="I1806" s="5"/>
      <c r="J1806" s="73"/>
      <c r="K1806" s="75" t="str">
        <f>IFERROR(__xludf.DUMMYFUNCTION("""COMPUTED_VALUE"""),"")</f>
        <v/>
      </c>
      <c r="L1806" s="75"/>
      <c r="M1806" s="46" t="s">
        <v>2002</v>
      </c>
    </row>
    <row r="1807">
      <c r="A1807" s="70"/>
      <c r="C1807" s="5" t="s">
        <v>2002</v>
      </c>
      <c r="D1807" s="5"/>
      <c r="E1807" s="5"/>
      <c r="F1807" s="5"/>
      <c r="G1807" s="5"/>
      <c r="H1807" s="5"/>
      <c r="I1807" s="5"/>
      <c r="J1807" s="73"/>
      <c r="K1807" s="75" t="str">
        <f>IFERROR(__xludf.DUMMYFUNCTION("""COMPUTED_VALUE"""),"")</f>
        <v/>
      </c>
      <c r="L1807" s="75"/>
      <c r="M1807" s="46" t="s">
        <v>2002</v>
      </c>
    </row>
    <row r="1808">
      <c r="A1808" s="70"/>
      <c r="C1808" s="5" t="s">
        <v>2002</v>
      </c>
      <c r="D1808" s="5"/>
      <c r="E1808" s="5"/>
      <c r="F1808" s="5"/>
      <c r="G1808" s="5"/>
      <c r="H1808" s="5"/>
      <c r="I1808" s="5"/>
      <c r="J1808" s="73"/>
      <c r="K1808" s="75" t="str">
        <f>IFERROR(__xludf.DUMMYFUNCTION("""COMPUTED_VALUE"""),"")</f>
        <v/>
      </c>
      <c r="L1808" s="75"/>
      <c r="M1808" s="46" t="s">
        <v>2002</v>
      </c>
    </row>
    <row r="1809">
      <c r="A1809" s="70"/>
      <c r="C1809" s="5" t="s">
        <v>2002</v>
      </c>
      <c r="D1809" s="5"/>
      <c r="E1809" s="5"/>
      <c r="F1809" s="5"/>
      <c r="G1809" s="5"/>
      <c r="H1809" s="5"/>
      <c r="I1809" s="5"/>
      <c r="J1809" s="73"/>
      <c r="K1809" s="75" t="str">
        <f>IFERROR(__xludf.DUMMYFUNCTION("""COMPUTED_VALUE"""),"")</f>
        <v/>
      </c>
      <c r="L1809" s="75"/>
      <c r="M1809" s="46" t="s">
        <v>2002</v>
      </c>
    </row>
    <row r="1810">
      <c r="A1810" s="70"/>
      <c r="C1810" s="5" t="s">
        <v>2002</v>
      </c>
      <c r="D1810" s="5"/>
      <c r="E1810" s="5"/>
      <c r="F1810" s="5"/>
      <c r="G1810" s="5"/>
      <c r="H1810" s="5"/>
      <c r="I1810" s="5"/>
      <c r="J1810" s="73"/>
      <c r="K1810" s="75" t="str">
        <f>IFERROR(__xludf.DUMMYFUNCTION("""COMPUTED_VALUE"""),"")</f>
        <v/>
      </c>
      <c r="L1810" s="75"/>
      <c r="M1810" s="46" t="s">
        <v>2002</v>
      </c>
    </row>
    <row r="1811">
      <c r="A1811" s="70"/>
      <c r="C1811" s="5" t="s">
        <v>2002</v>
      </c>
      <c r="D1811" s="5"/>
      <c r="E1811" s="5"/>
      <c r="F1811" s="5"/>
      <c r="G1811" s="5"/>
      <c r="H1811" s="5"/>
      <c r="I1811" s="5"/>
      <c r="J1811" s="73"/>
      <c r="K1811" s="75" t="str">
        <f>IFERROR(__xludf.DUMMYFUNCTION("""COMPUTED_VALUE"""),"")</f>
        <v/>
      </c>
      <c r="L1811" s="75"/>
      <c r="M1811" s="46" t="s">
        <v>2002</v>
      </c>
    </row>
    <row r="1812">
      <c r="A1812" s="70"/>
      <c r="C1812" s="5" t="s">
        <v>2002</v>
      </c>
      <c r="D1812" s="5"/>
      <c r="E1812" s="5"/>
      <c r="F1812" s="5"/>
      <c r="G1812" s="5"/>
      <c r="H1812" s="5"/>
      <c r="I1812" s="5"/>
      <c r="J1812" s="73"/>
      <c r="K1812" s="75" t="str">
        <f>IFERROR(__xludf.DUMMYFUNCTION("""COMPUTED_VALUE"""),"")</f>
        <v/>
      </c>
      <c r="L1812" s="75"/>
      <c r="M1812" s="46" t="s">
        <v>2002</v>
      </c>
    </row>
    <row r="1813">
      <c r="A1813" s="70"/>
      <c r="C1813" s="5" t="s">
        <v>2002</v>
      </c>
      <c r="D1813" s="5"/>
      <c r="E1813" s="5"/>
      <c r="F1813" s="5"/>
      <c r="G1813" s="5"/>
      <c r="H1813" s="5"/>
      <c r="I1813" s="5"/>
      <c r="J1813" s="73"/>
      <c r="K1813" s="75" t="str">
        <f>IFERROR(__xludf.DUMMYFUNCTION("""COMPUTED_VALUE"""),"")</f>
        <v/>
      </c>
      <c r="L1813" s="75"/>
      <c r="M1813" s="46" t="s">
        <v>2002</v>
      </c>
    </row>
    <row r="1814">
      <c r="A1814" s="70"/>
      <c r="C1814" s="5" t="s">
        <v>2002</v>
      </c>
      <c r="D1814" s="5"/>
      <c r="E1814" s="5"/>
      <c r="F1814" s="5"/>
      <c r="G1814" s="5"/>
      <c r="H1814" s="5"/>
      <c r="I1814" s="5"/>
      <c r="J1814" s="73"/>
      <c r="K1814" s="75" t="str">
        <f>IFERROR(__xludf.DUMMYFUNCTION("""COMPUTED_VALUE"""),"")</f>
        <v/>
      </c>
      <c r="L1814" s="75"/>
      <c r="M1814" s="46" t="s">
        <v>2002</v>
      </c>
    </row>
    <row r="1815">
      <c r="A1815" s="70"/>
      <c r="C1815" s="5" t="s">
        <v>2002</v>
      </c>
      <c r="D1815" s="5"/>
      <c r="E1815" s="5"/>
      <c r="F1815" s="5"/>
      <c r="G1815" s="5"/>
      <c r="H1815" s="5"/>
      <c r="I1815" s="5"/>
      <c r="J1815" s="73"/>
      <c r="K1815" s="75" t="str">
        <f>IFERROR(__xludf.DUMMYFUNCTION("""COMPUTED_VALUE"""),"")</f>
        <v/>
      </c>
      <c r="L1815" s="75"/>
      <c r="M1815" s="46" t="s">
        <v>2002</v>
      </c>
    </row>
    <row r="1816">
      <c r="A1816" s="70"/>
      <c r="C1816" s="5" t="s">
        <v>2002</v>
      </c>
      <c r="D1816" s="5"/>
      <c r="E1816" s="5"/>
      <c r="F1816" s="5"/>
      <c r="G1816" s="5"/>
      <c r="H1816" s="5"/>
      <c r="I1816" s="5"/>
      <c r="J1816" s="73"/>
      <c r="K1816" s="75" t="str">
        <f>IFERROR(__xludf.DUMMYFUNCTION("""COMPUTED_VALUE"""),"")</f>
        <v/>
      </c>
      <c r="L1816" s="75"/>
      <c r="M1816" s="46" t="s">
        <v>2002</v>
      </c>
    </row>
    <row r="1817">
      <c r="A1817" s="70"/>
      <c r="C1817" s="5" t="s">
        <v>2002</v>
      </c>
      <c r="D1817" s="5"/>
      <c r="E1817" s="5"/>
      <c r="F1817" s="5"/>
      <c r="G1817" s="5"/>
      <c r="H1817" s="5"/>
      <c r="I1817" s="5"/>
      <c r="J1817" s="73"/>
      <c r="K1817" s="75" t="str">
        <f>IFERROR(__xludf.DUMMYFUNCTION("""COMPUTED_VALUE"""),"")</f>
        <v/>
      </c>
      <c r="L1817" s="75"/>
      <c r="M1817" s="46" t="s">
        <v>2002</v>
      </c>
    </row>
    <row r="1818">
      <c r="A1818" s="70"/>
      <c r="C1818" s="5" t="s">
        <v>2002</v>
      </c>
      <c r="D1818" s="5"/>
      <c r="E1818" s="5"/>
      <c r="F1818" s="5"/>
      <c r="G1818" s="5"/>
      <c r="H1818" s="5"/>
      <c r="I1818" s="5"/>
      <c r="J1818" s="73"/>
      <c r="K1818" s="75" t="str">
        <f>IFERROR(__xludf.DUMMYFUNCTION("""COMPUTED_VALUE"""),"")</f>
        <v/>
      </c>
      <c r="L1818" s="75"/>
      <c r="M1818" s="46" t="s">
        <v>2002</v>
      </c>
    </row>
    <row r="1819">
      <c r="A1819" s="70"/>
      <c r="C1819" s="5" t="s">
        <v>2002</v>
      </c>
      <c r="D1819" s="5"/>
      <c r="E1819" s="5"/>
      <c r="F1819" s="5"/>
      <c r="G1819" s="5"/>
      <c r="H1819" s="5"/>
      <c r="I1819" s="5"/>
      <c r="J1819" s="73"/>
      <c r="K1819" s="75" t="str">
        <f>IFERROR(__xludf.DUMMYFUNCTION("""COMPUTED_VALUE"""),"")</f>
        <v/>
      </c>
      <c r="L1819" s="75"/>
      <c r="M1819" s="46" t="s">
        <v>2002</v>
      </c>
    </row>
    <row r="1820">
      <c r="A1820" s="70"/>
      <c r="C1820" s="5" t="s">
        <v>2002</v>
      </c>
      <c r="D1820" s="5"/>
      <c r="E1820" s="5"/>
      <c r="F1820" s="5"/>
      <c r="G1820" s="5"/>
      <c r="H1820" s="5"/>
      <c r="I1820" s="5"/>
      <c r="J1820" s="73"/>
      <c r="K1820" s="75" t="str">
        <f>IFERROR(__xludf.DUMMYFUNCTION("""COMPUTED_VALUE"""),"")</f>
        <v/>
      </c>
      <c r="L1820" s="75"/>
      <c r="M1820" s="46" t="s">
        <v>2002</v>
      </c>
    </row>
    <row r="1821">
      <c r="A1821" s="70"/>
      <c r="C1821" s="5" t="s">
        <v>2002</v>
      </c>
      <c r="D1821" s="5"/>
      <c r="E1821" s="5"/>
      <c r="F1821" s="5"/>
      <c r="G1821" s="5"/>
      <c r="H1821" s="5"/>
      <c r="I1821" s="5"/>
      <c r="J1821" s="73"/>
      <c r="K1821" s="75" t="str">
        <f>IFERROR(__xludf.DUMMYFUNCTION("""COMPUTED_VALUE"""),"")</f>
        <v/>
      </c>
      <c r="L1821" s="75"/>
      <c r="M1821" s="46" t="s">
        <v>2002</v>
      </c>
    </row>
    <row r="1822">
      <c r="A1822" s="70"/>
      <c r="C1822" s="5" t="s">
        <v>2002</v>
      </c>
      <c r="D1822" s="5"/>
      <c r="E1822" s="5"/>
      <c r="F1822" s="5"/>
      <c r="G1822" s="5"/>
      <c r="H1822" s="5"/>
      <c r="I1822" s="5"/>
      <c r="J1822" s="73"/>
      <c r="K1822" s="75" t="str">
        <f>IFERROR(__xludf.DUMMYFUNCTION("""COMPUTED_VALUE"""),"")</f>
        <v/>
      </c>
      <c r="L1822" s="75"/>
      <c r="M1822" s="46" t="s">
        <v>2002</v>
      </c>
    </row>
    <row r="1823">
      <c r="A1823" s="70"/>
      <c r="C1823" s="5" t="s">
        <v>2002</v>
      </c>
      <c r="D1823" s="5"/>
      <c r="E1823" s="5"/>
      <c r="F1823" s="5"/>
      <c r="G1823" s="5"/>
      <c r="H1823" s="5"/>
      <c r="I1823" s="5"/>
      <c r="J1823" s="73"/>
      <c r="K1823" s="75" t="str">
        <f>IFERROR(__xludf.DUMMYFUNCTION("""COMPUTED_VALUE"""),"")</f>
        <v/>
      </c>
      <c r="L1823" s="75"/>
      <c r="M1823" s="46" t="s">
        <v>2002</v>
      </c>
    </row>
    <row r="1824">
      <c r="A1824" s="70"/>
      <c r="C1824" s="5" t="s">
        <v>2002</v>
      </c>
      <c r="D1824" s="5"/>
      <c r="E1824" s="5"/>
      <c r="F1824" s="5"/>
      <c r="G1824" s="5"/>
      <c r="H1824" s="5"/>
      <c r="I1824" s="5"/>
      <c r="J1824" s="73"/>
      <c r="K1824" s="75" t="str">
        <f>IFERROR(__xludf.DUMMYFUNCTION("""COMPUTED_VALUE"""),"")</f>
        <v/>
      </c>
      <c r="L1824" s="75"/>
      <c r="M1824" s="46" t="s">
        <v>2002</v>
      </c>
    </row>
    <row r="1825">
      <c r="A1825" s="70"/>
      <c r="C1825" s="5" t="s">
        <v>2002</v>
      </c>
      <c r="D1825" s="5"/>
      <c r="E1825" s="5"/>
      <c r="F1825" s="5"/>
      <c r="G1825" s="5"/>
      <c r="H1825" s="5"/>
      <c r="I1825" s="5"/>
      <c r="J1825" s="73"/>
      <c r="K1825" s="75" t="str">
        <f>IFERROR(__xludf.DUMMYFUNCTION("""COMPUTED_VALUE"""),"")</f>
        <v/>
      </c>
      <c r="L1825" s="75"/>
      <c r="M1825" s="46" t="s">
        <v>2002</v>
      </c>
    </row>
    <row r="1826">
      <c r="A1826" s="70"/>
      <c r="C1826" s="5" t="s">
        <v>2002</v>
      </c>
      <c r="D1826" s="5"/>
      <c r="E1826" s="5"/>
      <c r="F1826" s="5"/>
      <c r="G1826" s="5"/>
      <c r="H1826" s="5"/>
      <c r="I1826" s="5"/>
      <c r="J1826" s="73"/>
      <c r="K1826" s="75" t="str">
        <f>IFERROR(__xludf.DUMMYFUNCTION("""COMPUTED_VALUE"""),"")</f>
        <v/>
      </c>
      <c r="L1826" s="75"/>
      <c r="M1826" s="46" t="s">
        <v>2002</v>
      </c>
    </row>
    <row r="1827">
      <c r="A1827" s="70"/>
      <c r="C1827" s="5" t="s">
        <v>2002</v>
      </c>
      <c r="D1827" s="5"/>
      <c r="E1827" s="5"/>
      <c r="F1827" s="5"/>
      <c r="G1827" s="5"/>
      <c r="H1827" s="5"/>
      <c r="I1827" s="5"/>
      <c r="J1827" s="73"/>
      <c r="K1827" s="75" t="str">
        <f>IFERROR(__xludf.DUMMYFUNCTION("""COMPUTED_VALUE"""),"")</f>
        <v/>
      </c>
      <c r="L1827" s="75"/>
      <c r="M1827" s="46" t="s">
        <v>2002</v>
      </c>
    </row>
    <row r="1828">
      <c r="A1828" s="70"/>
      <c r="C1828" s="5" t="s">
        <v>2002</v>
      </c>
      <c r="D1828" s="5"/>
      <c r="E1828" s="5"/>
      <c r="F1828" s="5"/>
      <c r="G1828" s="5"/>
      <c r="H1828" s="5"/>
      <c r="I1828" s="5"/>
      <c r="J1828" s="73"/>
      <c r="K1828" s="75" t="str">
        <f>IFERROR(__xludf.DUMMYFUNCTION("""COMPUTED_VALUE"""),"")</f>
        <v/>
      </c>
      <c r="L1828" s="75"/>
      <c r="M1828" s="46" t="s">
        <v>2002</v>
      </c>
    </row>
    <row r="1829">
      <c r="A1829" s="70"/>
      <c r="C1829" s="5" t="s">
        <v>2002</v>
      </c>
      <c r="D1829" s="5"/>
      <c r="E1829" s="5"/>
      <c r="F1829" s="5"/>
      <c r="G1829" s="5"/>
      <c r="H1829" s="5"/>
      <c r="I1829" s="5"/>
      <c r="J1829" s="73"/>
      <c r="K1829" s="75" t="str">
        <f>IFERROR(__xludf.DUMMYFUNCTION("""COMPUTED_VALUE"""),"")</f>
        <v/>
      </c>
      <c r="L1829" s="75"/>
      <c r="M1829" s="46" t="s">
        <v>2002</v>
      </c>
    </row>
    <row r="1830">
      <c r="A1830" s="70"/>
      <c r="C1830" s="5" t="s">
        <v>2002</v>
      </c>
      <c r="D1830" s="5"/>
      <c r="E1830" s="5"/>
      <c r="F1830" s="5"/>
      <c r="G1830" s="5"/>
      <c r="H1830" s="5"/>
      <c r="I1830" s="5"/>
      <c r="J1830" s="73"/>
      <c r="K1830" s="75" t="str">
        <f>IFERROR(__xludf.DUMMYFUNCTION("""COMPUTED_VALUE"""),"")</f>
        <v/>
      </c>
      <c r="L1830" s="75"/>
      <c r="M1830" s="46" t="s">
        <v>2002</v>
      </c>
    </row>
    <row r="1831">
      <c r="A1831" s="70"/>
      <c r="C1831" s="5" t="s">
        <v>2002</v>
      </c>
      <c r="D1831" s="5"/>
      <c r="E1831" s="5"/>
      <c r="F1831" s="5"/>
      <c r="G1831" s="5"/>
      <c r="H1831" s="5"/>
      <c r="I1831" s="5"/>
      <c r="J1831" s="73"/>
      <c r="K1831" s="75" t="str">
        <f>IFERROR(__xludf.DUMMYFUNCTION("""COMPUTED_VALUE"""),"")</f>
        <v/>
      </c>
      <c r="L1831" s="75"/>
      <c r="M1831" s="46" t="s">
        <v>2002</v>
      </c>
    </row>
    <row r="1832">
      <c r="A1832" s="70"/>
      <c r="C1832" s="5" t="s">
        <v>2002</v>
      </c>
      <c r="D1832" s="5"/>
      <c r="E1832" s="5"/>
      <c r="F1832" s="5"/>
      <c r="G1832" s="5"/>
      <c r="H1832" s="5"/>
      <c r="I1832" s="5"/>
      <c r="J1832" s="73"/>
      <c r="K1832" s="75" t="str">
        <f>IFERROR(__xludf.DUMMYFUNCTION("""COMPUTED_VALUE"""),"")</f>
        <v/>
      </c>
      <c r="L1832" s="75"/>
      <c r="M1832" s="46" t="s">
        <v>2002</v>
      </c>
    </row>
    <row r="1833">
      <c r="A1833" s="70"/>
      <c r="C1833" s="5" t="s">
        <v>2002</v>
      </c>
      <c r="D1833" s="5"/>
      <c r="E1833" s="5"/>
      <c r="F1833" s="5"/>
      <c r="G1833" s="5"/>
      <c r="H1833" s="5"/>
      <c r="I1833" s="5"/>
      <c r="J1833" s="73"/>
      <c r="K1833" s="75" t="str">
        <f>IFERROR(__xludf.DUMMYFUNCTION("""COMPUTED_VALUE"""),"")</f>
        <v/>
      </c>
      <c r="L1833" s="75"/>
      <c r="M1833" s="46" t="s">
        <v>2002</v>
      </c>
    </row>
    <row r="1834">
      <c r="A1834" s="70"/>
      <c r="C1834" s="5" t="s">
        <v>2002</v>
      </c>
      <c r="D1834" s="5"/>
      <c r="E1834" s="5"/>
      <c r="F1834" s="5"/>
      <c r="G1834" s="5"/>
      <c r="H1834" s="5"/>
      <c r="I1834" s="5"/>
      <c r="J1834" s="73"/>
      <c r="K1834" s="75" t="str">
        <f>IFERROR(__xludf.DUMMYFUNCTION("""COMPUTED_VALUE"""),"")</f>
        <v/>
      </c>
      <c r="L1834" s="75"/>
      <c r="M1834" s="46" t="s">
        <v>2002</v>
      </c>
    </row>
    <row r="1835">
      <c r="A1835" s="70"/>
      <c r="C1835" s="5" t="s">
        <v>2002</v>
      </c>
      <c r="D1835" s="5"/>
      <c r="E1835" s="5"/>
      <c r="F1835" s="5"/>
      <c r="G1835" s="5"/>
      <c r="H1835" s="5"/>
      <c r="I1835" s="5"/>
      <c r="J1835" s="73"/>
      <c r="K1835" s="75" t="str">
        <f>IFERROR(__xludf.DUMMYFUNCTION("""COMPUTED_VALUE"""),"")</f>
        <v/>
      </c>
      <c r="L1835" s="75"/>
      <c r="M1835" s="46" t="s">
        <v>2002</v>
      </c>
    </row>
    <row r="1836">
      <c r="A1836" s="70"/>
      <c r="C1836" s="5" t="s">
        <v>2002</v>
      </c>
      <c r="D1836" s="5"/>
      <c r="E1836" s="5"/>
      <c r="F1836" s="5"/>
      <c r="G1836" s="5"/>
      <c r="H1836" s="5"/>
      <c r="I1836" s="5"/>
      <c r="J1836" s="73"/>
      <c r="K1836" s="75" t="str">
        <f>IFERROR(__xludf.DUMMYFUNCTION("""COMPUTED_VALUE"""),"")</f>
        <v/>
      </c>
      <c r="L1836" s="75"/>
      <c r="M1836" s="46" t="s">
        <v>2002</v>
      </c>
    </row>
    <row r="1837">
      <c r="A1837" s="70"/>
      <c r="C1837" s="5" t="s">
        <v>2002</v>
      </c>
      <c r="D1837" s="5"/>
      <c r="E1837" s="5"/>
      <c r="F1837" s="5"/>
      <c r="G1837" s="5"/>
      <c r="H1837" s="5"/>
      <c r="I1837" s="5"/>
      <c r="J1837" s="73"/>
      <c r="K1837" s="75" t="str">
        <f>IFERROR(__xludf.DUMMYFUNCTION("""COMPUTED_VALUE"""),"")</f>
        <v/>
      </c>
      <c r="L1837" s="75"/>
      <c r="M1837" s="46" t="s">
        <v>2002</v>
      </c>
    </row>
    <row r="1838">
      <c r="A1838" s="70"/>
      <c r="C1838" s="5" t="s">
        <v>2002</v>
      </c>
      <c r="D1838" s="5"/>
      <c r="E1838" s="5"/>
      <c r="F1838" s="5"/>
      <c r="G1838" s="5"/>
      <c r="H1838" s="5"/>
      <c r="I1838" s="5"/>
      <c r="J1838" s="73"/>
      <c r="K1838" s="75" t="str">
        <f>IFERROR(__xludf.DUMMYFUNCTION("""COMPUTED_VALUE"""),"")</f>
        <v/>
      </c>
      <c r="L1838" s="75"/>
      <c r="M1838" s="46" t="s">
        <v>2002</v>
      </c>
    </row>
    <row r="1839">
      <c r="A1839" s="70"/>
      <c r="C1839" s="5" t="s">
        <v>2002</v>
      </c>
      <c r="D1839" s="5"/>
      <c r="E1839" s="5"/>
      <c r="F1839" s="5"/>
      <c r="G1839" s="5"/>
      <c r="H1839" s="5"/>
      <c r="I1839" s="5"/>
      <c r="J1839" s="73"/>
      <c r="K1839" s="75" t="str">
        <f>IFERROR(__xludf.DUMMYFUNCTION("""COMPUTED_VALUE"""),"")</f>
        <v/>
      </c>
      <c r="L1839" s="75"/>
      <c r="M1839" s="46" t="s">
        <v>2002</v>
      </c>
    </row>
    <row r="1840">
      <c r="A1840" s="70"/>
      <c r="C1840" s="5" t="s">
        <v>2002</v>
      </c>
      <c r="D1840" s="5"/>
      <c r="E1840" s="5"/>
      <c r="F1840" s="5"/>
      <c r="G1840" s="5"/>
      <c r="H1840" s="5"/>
      <c r="I1840" s="5"/>
      <c r="J1840" s="73"/>
      <c r="K1840" s="75" t="str">
        <f>IFERROR(__xludf.DUMMYFUNCTION("""COMPUTED_VALUE"""),"")</f>
        <v/>
      </c>
      <c r="L1840" s="75"/>
      <c r="M1840" s="46" t="s">
        <v>2002</v>
      </c>
    </row>
    <row r="1841">
      <c r="A1841" s="70"/>
      <c r="C1841" s="5" t="s">
        <v>2002</v>
      </c>
      <c r="D1841" s="5"/>
      <c r="E1841" s="5"/>
      <c r="F1841" s="5"/>
      <c r="G1841" s="5"/>
      <c r="H1841" s="5"/>
      <c r="I1841" s="5"/>
      <c r="J1841" s="73"/>
      <c r="K1841" s="75" t="str">
        <f>IFERROR(__xludf.DUMMYFUNCTION("""COMPUTED_VALUE"""),"")</f>
        <v/>
      </c>
      <c r="L1841" s="75"/>
      <c r="M1841" s="46" t="s">
        <v>2002</v>
      </c>
    </row>
    <row r="1842">
      <c r="A1842" s="70"/>
      <c r="C1842" s="5" t="s">
        <v>2002</v>
      </c>
      <c r="D1842" s="5"/>
      <c r="E1842" s="5"/>
      <c r="F1842" s="5"/>
      <c r="G1842" s="5"/>
      <c r="H1842" s="5"/>
      <c r="I1842" s="5"/>
      <c r="J1842" s="73"/>
      <c r="K1842" s="75" t="str">
        <f>IFERROR(__xludf.DUMMYFUNCTION("""COMPUTED_VALUE"""),"")</f>
        <v/>
      </c>
      <c r="L1842" s="75"/>
      <c r="M1842" s="46" t="s">
        <v>2002</v>
      </c>
    </row>
    <row r="1843">
      <c r="A1843" s="70"/>
      <c r="C1843" s="5" t="s">
        <v>2002</v>
      </c>
      <c r="D1843" s="5"/>
      <c r="E1843" s="5"/>
      <c r="F1843" s="5"/>
      <c r="G1843" s="5"/>
      <c r="H1843" s="5"/>
      <c r="I1843" s="5"/>
      <c r="J1843" s="73"/>
      <c r="K1843" s="75" t="str">
        <f>IFERROR(__xludf.DUMMYFUNCTION("""COMPUTED_VALUE"""),"")</f>
        <v/>
      </c>
      <c r="L1843" s="75"/>
      <c r="M1843" s="46" t="s">
        <v>2002</v>
      </c>
    </row>
    <row r="1844">
      <c r="A1844" s="70"/>
      <c r="C1844" s="5" t="s">
        <v>2002</v>
      </c>
      <c r="D1844" s="5"/>
      <c r="E1844" s="5"/>
      <c r="F1844" s="5"/>
      <c r="G1844" s="5"/>
      <c r="H1844" s="5"/>
      <c r="I1844" s="5"/>
      <c r="J1844" s="73"/>
      <c r="K1844" s="75" t="str">
        <f>IFERROR(__xludf.DUMMYFUNCTION("""COMPUTED_VALUE"""),"")</f>
        <v/>
      </c>
      <c r="L1844" s="75"/>
      <c r="M1844" s="46" t="s">
        <v>2002</v>
      </c>
    </row>
    <row r="1845">
      <c r="A1845" s="70"/>
      <c r="C1845" s="5" t="s">
        <v>2002</v>
      </c>
      <c r="D1845" s="5"/>
      <c r="E1845" s="5"/>
      <c r="F1845" s="5"/>
      <c r="G1845" s="5"/>
      <c r="H1845" s="5"/>
      <c r="I1845" s="5"/>
      <c r="J1845" s="73"/>
      <c r="K1845" s="75" t="str">
        <f>IFERROR(__xludf.DUMMYFUNCTION("""COMPUTED_VALUE"""),"")</f>
        <v/>
      </c>
      <c r="L1845" s="75"/>
      <c r="M1845" s="46" t="s">
        <v>2002</v>
      </c>
    </row>
    <row r="1846">
      <c r="A1846" s="70"/>
      <c r="C1846" s="5" t="s">
        <v>2002</v>
      </c>
      <c r="D1846" s="5"/>
      <c r="E1846" s="5"/>
      <c r="F1846" s="5"/>
      <c r="G1846" s="5"/>
      <c r="H1846" s="5"/>
      <c r="I1846" s="5"/>
      <c r="J1846" s="73"/>
      <c r="K1846" s="75" t="str">
        <f>IFERROR(__xludf.DUMMYFUNCTION("""COMPUTED_VALUE"""),"")</f>
        <v/>
      </c>
      <c r="L1846" s="75"/>
      <c r="M1846" s="46" t="s">
        <v>2002</v>
      </c>
    </row>
    <row r="1847">
      <c r="A1847" s="70"/>
      <c r="C1847" s="5" t="s">
        <v>2002</v>
      </c>
      <c r="D1847" s="5"/>
      <c r="E1847" s="5"/>
      <c r="F1847" s="5"/>
      <c r="G1847" s="5"/>
      <c r="H1847" s="5"/>
      <c r="I1847" s="5"/>
      <c r="J1847" s="73"/>
      <c r="K1847" s="75" t="str">
        <f>IFERROR(__xludf.DUMMYFUNCTION("""COMPUTED_VALUE"""),"")</f>
        <v/>
      </c>
      <c r="L1847" s="75"/>
      <c r="M1847" s="46" t="s">
        <v>2002</v>
      </c>
    </row>
    <row r="1848">
      <c r="A1848" s="70"/>
      <c r="C1848" s="5" t="s">
        <v>2002</v>
      </c>
      <c r="D1848" s="5"/>
      <c r="E1848" s="5"/>
      <c r="F1848" s="5"/>
      <c r="G1848" s="5"/>
      <c r="H1848" s="5"/>
      <c r="I1848" s="5"/>
      <c r="J1848" s="73"/>
      <c r="K1848" s="75" t="str">
        <f>IFERROR(__xludf.DUMMYFUNCTION("""COMPUTED_VALUE"""),"")</f>
        <v/>
      </c>
      <c r="L1848" s="75"/>
      <c r="M1848" s="46" t="s">
        <v>2002</v>
      </c>
    </row>
    <row r="1849">
      <c r="A1849" s="70"/>
      <c r="C1849" s="5" t="s">
        <v>2002</v>
      </c>
      <c r="D1849" s="5"/>
      <c r="E1849" s="5"/>
      <c r="F1849" s="5"/>
      <c r="G1849" s="5"/>
      <c r="H1849" s="5"/>
      <c r="I1849" s="5"/>
      <c r="J1849" s="73"/>
      <c r="K1849" s="75" t="str">
        <f>IFERROR(__xludf.DUMMYFUNCTION("""COMPUTED_VALUE"""),"")</f>
        <v/>
      </c>
      <c r="L1849" s="75"/>
      <c r="M1849" s="46" t="s">
        <v>2002</v>
      </c>
    </row>
    <row r="1850">
      <c r="A1850" s="70"/>
      <c r="C1850" s="5" t="s">
        <v>2002</v>
      </c>
      <c r="D1850" s="5"/>
      <c r="E1850" s="5"/>
      <c r="F1850" s="5"/>
      <c r="G1850" s="5"/>
      <c r="H1850" s="5"/>
      <c r="I1850" s="5"/>
      <c r="J1850" s="73"/>
      <c r="K1850" s="75" t="str">
        <f>IFERROR(__xludf.DUMMYFUNCTION("""COMPUTED_VALUE"""),"")</f>
        <v/>
      </c>
      <c r="L1850" s="75"/>
      <c r="M1850" s="46" t="s">
        <v>2002</v>
      </c>
    </row>
    <row r="1851">
      <c r="A1851" s="70"/>
      <c r="C1851" s="5" t="s">
        <v>2002</v>
      </c>
      <c r="D1851" s="5"/>
      <c r="E1851" s="5"/>
      <c r="F1851" s="5"/>
      <c r="G1851" s="5"/>
      <c r="H1851" s="5"/>
      <c r="I1851" s="5"/>
      <c r="J1851" s="73"/>
      <c r="K1851" s="75" t="str">
        <f>IFERROR(__xludf.DUMMYFUNCTION("""COMPUTED_VALUE"""),"")</f>
        <v/>
      </c>
      <c r="L1851" s="75"/>
      <c r="M1851" s="46" t="s">
        <v>2002</v>
      </c>
    </row>
    <row r="1852">
      <c r="A1852" s="70"/>
      <c r="C1852" s="5" t="s">
        <v>2002</v>
      </c>
      <c r="D1852" s="5"/>
      <c r="E1852" s="5"/>
      <c r="F1852" s="5"/>
      <c r="G1852" s="5"/>
      <c r="H1852" s="5"/>
      <c r="I1852" s="5"/>
      <c r="J1852" s="73"/>
      <c r="K1852" s="75" t="str">
        <f>IFERROR(__xludf.DUMMYFUNCTION("""COMPUTED_VALUE"""),"")</f>
        <v/>
      </c>
      <c r="L1852" s="75"/>
      <c r="M1852" s="46" t="s">
        <v>2002</v>
      </c>
    </row>
    <row r="1853">
      <c r="A1853" s="70"/>
      <c r="C1853" s="5" t="s">
        <v>2002</v>
      </c>
      <c r="D1853" s="5"/>
      <c r="E1853" s="5"/>
      <c r="F1853" s="5"/>
      <c r="G1853" s="5"/>
      <c r="H1853" s="5"/>
      <c r="I1853" s="5"/>
      <c r="J1853" s="73"/>
      <c r="K1853" s="75" t="str">
        <f>IFERROR(__xludf.DUMMYFUNCTION("""COMPUTED_VALUE"""),"")</f>
        <v/>
      </c>
      <c r="L1853" s="75"/>
      <c r="M1853" s="46" t="s">
        <v>2002</v>
      </c>
    </row>
    <row r="1854">
      <c r="A1854" s="70"/>
      <c r="C1854" s="5" t="s">
        <v>2002</v>
      </c>
      <c r="D1854" s="5"/>
      <c r="E1854" s="5"/>
      <c r="F1854" s="5"/>
      <c r="G1854" s="5"/>
      <c r="H1854" s="5"/>
      <c r="I1854" s="5"/>
      <c r="J1854" s="73"/>
      <c r="K1854" s="75" t="str">
        <f>IFERROR(__xludf.DUMMYFUNCTION("""COMPUTED_VALUE"""),"")</f>
        <v/>
      </c>
      <c r="L1854" s="75"/>
      <c r="M1854" s="46" t="s">
        <v>2002</v>
      </c>
    </row>
    <row r="1855">
      <c r="A1855" s="70"/>
      <c r="C1855" s="5" t="s">
        <v>2002</v>
      </c>
      <c r="D1855" s="5"/>
      <c r="E1855" s="5"/>
      <c r="F1855" s="5"/>
      <c r="G1855" s="5"/>
      <c r="H1855" s="5"/>
      <c r="I1855" s="5"/>
      <c r="J1855" s="73"/>
      <c r="K1855" s="75" t="str">
        <f>IFERROR(__xludf.DUMMYFUNCTION("""COMPUTED_VALUE"""),"")</f>
        <v/>
      </c>
      <c r="L1855" s="75"/>
      <c r="M1855" s="46" t="s">
        <v>2002</v>
      </c>
    </row>
    <row r="1856">
      <c r="A1856" s="70"/>
      <c r="C1856" s="5" t="s">
        <v>2002</v>
      </c>
      <c r="D1856" s="5"/>
      <c r="E1856" s="5"/>
      <c r="F1856" s="5"/>
      <c r="G1856" s="5"/>
      <c r="H1856" s="5"/>
      <c r="I1856" s="5"/>
      <c r="J1856" s="73"/>
      <c r="K1856" s="75" t="str">
        <f>IFERROR(__xludf.DUMMYFUNCTION("""COMPUTED_VALUE"""),"")</f>
        <v/>
      </c>
      <c r="L1856" s="75"/>
      <c r="M1856" s="46" t="s">
        <v>2002</v>
      </c>
    </row>
    <row r="1857">
      <c r="A1857" s="70"/>
      <c r="C1857" s="5" t="s">
        <v>2002</v>
      </c>
      <c r="D1857" s="5"/>
      <c r="E1857" s="5"/>
      <c r="F1857" s="5"/>
      <c r="G1857" s="5"/>
      <c r="H1857" s="5"/>
      <c r="I1857" s="5"/>
      <c r="J1857" s="73"/>
      <c r="K1857" s="75" t="str">
        <f>IFERROR(__xludf.DUMMYFUNCTION("""COMPUTED_VALUE"""),"")</f>
        <v/>
      </c>
      <c r="L1857" s="75"/>
      <c r="M1857" s="46" t="s">
        <v>2002</v>
      </c>
    </row>
    <row r="1858">
      <c r="A1858" s="70"/>
      <c r="C1858" s="5" t="s">
        <v>2002</v>
      </c>
      <c r="D1858" s="5"/>
      <c r="E1858" s="5"/>
      <c r="F1858" s="5"/>
      <c r="G1858" s="5"/>
      <c r="H1858" s="5"/>
      <c r="I1858" s="5"/>
      <c r="J1858" s="73"/>
      <c r="K1858" s="75" t="str">
        <f>IFERROR(__xludf.DUMMYFUNCTION("""COMPUTED_VALUE"""),"")</f>
        <v/>
      </c>
      <c r="L1858" s="75"/>
      <c r="M1858" s="46" t="s">
        <v>2002</v>
      </c>
    </row>
    <row r="1859">
      <c r="A1859" s="70"/>
      <c r="C1859" s="5" t="s">
        <v>2002</v>
      </c>
      <c r="D1859" s="5"/>
      <c r="E1859" s="5"/>
      <c r="F1859" s="5"/>
      <c r="G1859" s="5"/>
      <c r="H1859" s="5"/>
      <c r="I1859" s="5"/>
      <c r="J1859" s="73"/>
      <c r="K1859" s="75" t="str">
        <f>IFERROR(__xludf.DUMMYFUNCTION("""COMPUTED_VALUE"""),"")</f>
        <v/>
      </c>
      <c r="L1859" s="75"/>
      <c r="M1859" s="46" t="s">
        <v>2002</v>
      </c>
    </row>
    <row r="1860">
      <c r="A1860" s="70"/>
      <c r="C1860" s="5" t="s">
        <v>2002</v>
      </c>
      <c r="D1860" s="5"/>
      <c r="E1860" s="5"/>
      <c r="F1860" s="5"/>
      <c r="G1860" s="5"/>
      <c r="H1860" s="5"/>
      <c r="I1860" s="5"/>
      <c r="J1860" s="73"/>
      <c r="K1860" s="75" t="str">
        <f>IFERROR(__xludf.DUMMYFUNCTION("""COMPUTED_VALUE"""),"")</f>
        <v/>
      </c>
      <c r="L1860" s="75"/>
      <c r="M1860" s="46" t="s">
        <v>2002</v>
      </c>
    </row>
    <row r="1861">
      <c r="A1861" s="70"/>
      <c r="C1861" s="5" t="s">
        <v>2002</v>
      </c>
      <c r="D1861" s="5"/>
      <c r="E1861" s="5"/>
      <c r="F1861" s="5"/>
      <c r="G1861" s="5"/>
      <c r="H1861" s="5"/>
      <c r="I1861" s="5"/>
      <c r="J1861" s="73"/>
      <c r="K1861" s="75" t="str">
        <f>IFERROR(__xludf.DUMMYFUNCTION("""COMPUTED_VALUE"""),"")</f>
        <v/>
      </c>
      <c r="L1861" s="75"/>
      <c r="M1861" s="46" t="s">
        <v>2002</v>
      </c>
    </row>
    <row r="1862">
      <c r="A1862" s="70"/>
      <c r="C1862" s="5" t="s">
        <v>2002</v>
      </c>
      <c r="D1862" s="5"/>
      <c r="E1862" s="5"/>
      <c r="F1862" s="5"/>
      <c r="G1862" s="5"/>
      <c r="H1862" s="5"/>
      <c r="I1862" s="5"/>
      <c r="J1862" s="73"/>
      <c r="K1862" s="75" t="str">
        <f>IFERROR(__xludf.DUMMYFUNCTION("""COMPUTED_VALUE"""),"")</f>
        <v/>
      </c>
      <c r="L1862" s="75"/>
      <c r="M1862" s="46" t="s">
        <v>2002</v>
      </c>
    </row>
    <row r="1863">
      <c r="A1863" s="70"/>
      <c r="C1863" s="5" t="s">
        <v>2002</v>
      </c>
      <c r="D1863" s="5"/>
      <c r="E1863" s="5"/>
      <c r="F1863" s="5"/>
      <c r="G1863" s="5"/>
      <c r="H1863" s="5"/>
      <c r="I1863" s="5"/>
      <c r="J1863" s="73"/>
      <c r="K1863" s="75" t="str">
        <f>IFERROR(__xludf.DUMMYFUNCTION("""COMPUTED_VALUE"""),"")</f>
        <v/>
      </c>
      <c r="L1863" s="75"/>
      <c r="M1863" s="46" t="s">
        <v>2002</v>
      </c>
    </row>
    <row r="1864">
      <c r="A1864" s="70"/>
      <c r="C1864" s="5" t="s">
        <v>2002</v>
      </c>
      <c r="D1864" s="5"/>
      <c r="E1864" s="5"/>
      <c r="F1864" s="5"/>
      <c r="G1864" s="5"/>
      <c r="H1864" s="5"/>
      <c r="I1864" s="5"/>
      <c r="J1864" s="73"/>
      <c r="K1864" s="75" t="str">
        <f>IFERROR(__xludf.DUMMYFUNCTION("""COMPUTED_VALUE"""),"")</f>
        <v/>
      </c>
      <c r="L1864" s="75"/>
      <c r="M1864" s="46" t="s">
        <v>2002</v>
      </c>
    </row>
    <row r="1865">
      <c r="A1865" s="70"/>
      <c r="C1865" s="5" t="s">
        <v>2002</v>
      </c>
      <c r="D1865" s="5"/>
      <c r="E1865" s="5"/>
      <c r="F1865" s="5"/>
      <c r="G1865" s="5"/>
      <c r="H1865" s="5"/>
      <c r="I1865" s="5"/>
      <c r="J1865" s="73"/>
      <c r="K1865" s="75" t="str">
        <f>IFERROR(__xludf.DUMMYFUNCTION("""COMPUTED_VALUE"""),"")</f>
        <v/>
      </c>
      <c r="L1865" s="75"/>
      <c r="M1865" s="46" t="s">
        <v>2002</v>
      </c>
    </row>
    <row r="1866">
      <c r="A1866" s="70"/>
      <c r="C1866" s="5" t="s">
        <v>2002</v>
      </c>
      <c r="D1866" s="5"/>
      <c r="E1866" s="5"/>
      <c r="F1866" s="5"/>
      <c r="G1866" s="5"/>
      <c r="H1866" s="5"/>
      <c r="I1866" s="5"/>
      <c r="J1866" s="73"/>
      <c r="K1866" s="75" t="str">
        <f>IFERROR(__xludf.DUMMYFUNCTION("""COMPUTED_VALUE"""),"")</f>
        <v/>
      </c>
      <c r="L1866" s="75"/>
      <c r="M1866" s="46" t="s">
        <v>2002</v>
      </c>
    </row>
    <row r="1867">
      <c r="A1867" s="70"/>
      <c r="C1867" s="5" t="s">
        <v>2002</v>
      </c>
      <c r="D1867" s="5"/>
      <c r="E1867" s="5"/>
      <c r="F1867" s="5"/>
      <c r="G1867" s="5"/>
      <c r="H1867" s="5"/>
      <c r="I1867" s="5"/>
      <c r="J1867" s="73"/>
      <c r="K1867" s="75" t="str">
        <f>IFERROR(__xludf.DUMMYFUNCTION("""COMPUTED_VALUE"""),"")</f>
        <v/>
      </c>
      <c r="L1867" s="75"/>
      <c r="M1867" s="46" t="s">
        <v>2002</v>
      </c>
    </row>
    <row r="1868">
      <c r="A1868" s="70"/>
      <c r="C1868" s="5" t="s">
        <v>2002</v>
      </c>
      <c r="D1868" s="5"/>
      <c r="E1868" s="5"/>
      <c r="F1868" s="5"/>
      <c r="G1868" s="5"/>
      <c r="H1868" s="5"/>
      <c r="I1868" s="5"/>
      <c r="J1868" s="73"/>
      <c r="K1868" s="75" t="str">
        <f>IFERROR(__xludf.DUMMYFUNCTION("""COMPUTED_VALUE"""),"")</f>
        <v/>
      </c>
      <c r="L1868" s="75"/>
      <c r="M1868" s="46" t="s">
        <v>2002</v>
      </c>
    </row>
    <row r="1869">
      <c r="A1869" s="70"/>
      <c r="C1869" s="5" t="s">
        <v>2002</v>
      </c>
      <c r="D1869" s="5"/>
      <c r="E1869" s="5"/>
      <c r="F1869" s="5"/>
      <c r="G1869" s="5"/>
      <c r="H1869" s="5"/>
      <c r="I1869" s="5"/>
      <c r="J1869" s="73"/>
      <c r="K1869" s="75" t="str">
        <f>IFERROR(__xludf.DUMMYFUNCTION("""COMPUTED_VALUE"""),"")</f>
        <v/>
      </c>
      <c r="L1869" s="75"/>
      <c r="M1869" s="46" t="s">
        <v>2002</v>
      </c>
    </row>
    <row r="1870">
      <c r="A1870" s="70"/>
      <c r="C1870" s="5" t="s">
        <v>2002</v>
      </c>
      <c r="D1870" s="5"/>
      <c r="E1870" s="5"/>
      <c r="F1870" s="5"/>
      <c r="G1870" s="5"/>
      <c r="H1870" s="5"/>
      <c r="I1870" s="5"/>
      <c r="J1870" s="73"/>
      <c r="K1870" s="75" t="str">
        <f>IFERROR(__xludf.DUMMYFUNCTION("""COMPUTED_VALUE"""),"")</f>
        <v/>
      </c>
      <c r="L1870" s="75"/>
      <c r="M1870" s="46" t="s">
        <v>2002</v>
      </c>
    </row>
    <row r="1871">
      <c r="A1871" s="70"/>
      <c r="C1871" s="5" t="s">
        <v>2002</v>
      </c>
      <c r="D1871" s="5"/>
      <c r="E1871" s="5"/>
      <c r="F1871" s="5"/>
      <c r="G1871" s="5"/>
      <c r="H1871" s="5"/>
      <c r="I1871" s="5"/>
      <c r="J1871" s="73"/>
      <c r="K1871" s="75" t="str">
        <f>IFERROR(__xludf.DUMMYFUNCTION("""COMPUTED_VALUE"""),"")</f>
        <v/>
      </c>
      <c r="L1871" s="75"/>
      <c r="M1871" s="46" t="s">
        <v>2002</v>
      </c>
    </row>
    <row r="1872">
      <c r="A1872" s="70"/>
      <c r="C1872" s="5" t="s">
        <v>2002</v>
      </c>
      <c r="D1872" s="5"/>
      <c r="E1872" s="5"/>
      <c r="F1872" s="5"/>
      <c r="G1872" s="5"/>
      <c r="H1872" s="5"/>
      <c r="I1872" s="5"/>
      <c r="J1872" s="73"/>
      <c r="K1872" s="75" t="str">
        <f>IFERROR(__xludf.DUMMYFUNCTION("""COMPUTED_VALUE"""),"")</f>
        <v/>
      </c>
      <c r="L1872" s="75"/>
      <c r="M1872" s="46" t="s">
        <v>2002</v>
      </c>
    </row>
    <row r="1873">
      <c r="A1873" s="70"/>
      <c r="C1873" s="5" t="s">
        <v>2002</v>
      </c>
      <c r="D1873" s="5"/>
      <c r="E1873" s="5"/>
      <c r="F1873" s="5"/>
      <c r="G1873" s="5"/>
      <c r="H1873" s="5"/>
      <c r="I1873" s="5"/>
      <c r="J1873" s="73"/>
      <c r="K1873" s="75" t="str">
        <f>IFERROR(__xludf.DUMMYFUNCTION("""COMPUTED_VALUE"""),"")</f>
        <v/>
      </c>
      <c r="L1873" s="75"/>
      <c r="M1873" s="46" t="s">
        <v>2002</v>
      </c>
    </row>
    <row r="1874">
      <c r="A1874" s="70"/>
      <c r="C1874" s="5" t="s">
        <v>2002</v>
      </c>
      <c r="D1874" s="5"/>
      <c r="E1874" s="5"/>
      <c r="F1874" s="5"/>
      <c r="G1874" s="5"/>
      <c r="H1874" s="5"/>
      <c r="I1874" s="5"/>
      <c r="J1874" s="73"/>
      <c r="K1874" s="75" t="str">
        <f>IFERROR(__xludf.DUMMYFUNCTION("""COMPUTED_VALUE"""),"")</f>
        <v/>
      </c>
      <c r="L1874" s="75"/>
      <c r="M1874" s="46" t="s">
        <v>2002</v>
      </c>
    </row>
    <row r="1875">
      <c r="A1875" s="70"/>
      <c r="C1875" s="5" t="s">
        <v>2002</v>
      </c>
      <c r="D1875" s="5"/>
      <c r="E1875" s="5"/>
      <c r="F1875" s="5"/>
      <c r="G1875" s="5"/>
      <c r="H1875" s="5"/>
      <c r="I1875" s="5"/>
      <c r="J1875" s="73"/>
      <c r="K1875" s="75" t="str">
        <f>IFERROR(__xludf.DUMMYFUNCTION("""COMPUTED_VALUE"""),"")</f>
        <v/>
      </c>
      <c r="L1875" s="75"/>
      <c r="M1875" s="46" t="s">
        <v>2002</v>
      </c>
    </row>
    <row r="1876">
      <c r="A1876" s="70"/>
      <c r="C1876" s="5" t="s">
        <v>2002</v>
      </c>
      <c r="D1876" s="5"/>
      <c r="E1876" s="5"/>
      <c r="F1876" s="5"/>
      <c r="G1876" s="5"/>
      <c r="H1876" s="5"/>
      <c r="I1876" s="5"/>
      <c r="J1876" s="73"/>
      <c r="K1876" s="75" t="str">
        <f>IFERROR(__xludf.DUMMYFUNCTION("""COMPUTED_VALUE"""),"")</f>
        <v/>
      </c>
      <c r="L1876" s="75"/>
      <c r="M1876" s="46" t="s">
        <v>2002</v>
      </c>
    </row>
    <row r="1877">
      <c r="A1877" s="70"/>
      <c r="C1877" s="5" t="s">
        <v>2002</v>
      </c>
      <c r="D1877" s="5"/>
      <c r="E1877" s="5"/>
      <c r="F1877" s="5"/>
      <c r="G1877" s="5"/>
      <c r="H1877" s="5"/>
      <c r="I1877" s="5"/>
      <c r="J1877" s="73"/>
      <c r="K1877" s="75" t="str">
        <f>IFERROR(__xludf.DUMMYFUNCTION("""COMPUTED_VALUE"""),"")</f>
        <v/>
      </c>
      <c r="L1877" s="75"/>
      <c r="M1877" s="46" t="s">
        <v>2002</v>
      </c>
    </row>
    <row r="1878">
      <c r="A1878" s="70"/>
      <c r="C1878" s="5" t="s">
        <v>2002</v>
      </c>
      <c r="D1878" s="5"/>
      <c r="E1878" s="5"/>
      <c r="F1878" s="5"/>
      <c r="G1878" s="5"/>
      <c r="H1878" s="5"/>
      <c r="I1878" s="5"/>
      <c r="J1878" s="73"/>
      <c r="K1878" s="75" t="str">
        <f>IFERROR(__xludf.DUMMYFUNCTION("""COMPUTED_VALUE"""),"")</f>
        <v/>
      </c>
      <c r="L1878" s="75"/>
      <c r="M1878" s="46" t="s">
        <v>2002</v>
      </c>
    </row>
    <row r="1879">
      <c r="A1879" s="70"/>
      <c r="C1879" s="5" t="s">
        <v>2002</v>
      </c>
      <c r="D1879" s="5"/>
      <c r="E1879" s="5"/>
      <c r="F1879" s="5"/>
      <c r="G1879" s="5"/>
      <c r="H1879" s="5"/>
      <c r="I1879" s="5"/>
      <c r="J1879" s="73"/>
      <c r="K1879" s="75" t="str">
        <f>IFERROR(__xludf.DUMMYFUNCTION("""COMPUTED_VALUE"""),"")</f>
        <v/>
      </c>
      <c r="L1879" s="75"/>
      <c r="M1879" s="46" t="s">
        <v>2002</v>
      </c>
    </row>
    <row r="1880">
      <c r="A1880" s="70"/>
      <c r="C1880" s="5" t="s">
        <v>2002</v>
      </c>
      <c r="D1880" s="5"/>
      <c r="E1880" s="5"/>
      <c r="F1880" s="5"/>
      <c r="G1880" s="5"/>
      <c r="H1880" s="5"/>
      <c r="I1880" s="5"/>
      <c r="J1880" s="73"/>
      <c r="K1880" s="75" t="str">
        <f>IFERROR(__xludf.DUMMYFUNCTION("""COMPUTED_VALUE"""),"")</f>
        <v/>
      </c>
      <c r="L1880" s="75"/>
      <c r="M1880" s="46" t="s">
        <v>2002</v>
      </c>
    </row>
    <row r="1881">
      <c r="A1881" s="70"/>
      <c r="C1881" s="5" t="s">
        <v>2002</v>
      </c>
      <c r="D1881" s="5"/>
      <c r="E1881" s="5"/>
      <c r="F1881" s="5"/>
      <c r="G1881" s="5"/>
      <c r="H1881" s="5"/>
      <c r="I1881" s="5"/>
      <c r="J1881" s="73"/>
      <c r="K1881" s="75" t="str">
        <f>IFERROR(__xludf.DUMMYFUNCTION("""COMPUTED_VALUE"""),"")</f>
        <v/>
      </c>
      <c r="L1881" s="75"/>
      <c r="M1881" s="46" t="s">
        <v>2002</v>
      </c>
    </row>
    <row r="1882">
      <c r="A1882" s="70"/>
      <c r="C1882" s="5" t="s">
        <v>2002</v>
      </c>
      <c r="D1882" s="5"/>
      <c r="E1882" s="5"/>
      <c r="F1882" s="5"/>
      <c r="G1882" s="5"/>
      <c r="H1882" s="5"/>
      <c r="I1882" s="5"/>
      <c r="J1882" s="73"/>
      <c r="K1882" s="75" t="str">
        <f>IFERROR(__xludf.DUMMYFUNCTION("""COMPUTED_VALUE"""),"")</f>
        <v/>
      </c>
      <c r="L1882" s="75"/>
      <c r="M1882" s="46" t="s">
        <v>2002</v>
      </c>
    </row>
    <row r="1883">
      <c r="A1883" s="70"/>
      <c r="C1883" s="5" t="s">
        <v>2002</v>
      </c>
      <c r="D1883" s="5"/>
      <c r="E1883" s="5"/>
      <c r="F1883" s="5"/>
      <c r="G1883" s="5"/>
      <c r="H1883" s="5"/>
      <c r="I1883" s="5"/>
      <c r="J1883" s="73"/>
      <c r="K1883" s="75" t="str">
        <f>IFERROR(__xludf.DUMMYFUNCTION("""COMPUTED_VALUE"""),"")</f>
        <v/>
      </c>
      <c r="L1883" s="75"/>
      <c r="M1883" s="46" t="s">
        <v>2002</v>
      </c>
    </row>
    <row r="1884">
      <c r="A1884" s="70"/>
      <c r="C1884" s="5" t="s">
        <v>2002</v>
      </c>
      <c r="D1884" s="5"/>
      <c r="E1884" s="5"/>
      <c r="F1884" s="5"/>
      <c r="G1884" s="5"/>
      <c r="H1884" s="5"/>
      <c r="I1884" s="5"/>
      <c r="J1884" s="73"/>
      <c r="K1884" s="75" t="str">
        <f>IFERROR(__xludf.DUMMYFUNCTION("""COMPUTED_VALUE"""),"")</f>
        <v/>
      </c>
      <c r="L1884" s="75"/>
      <c r="M1884" s="46" t="s">
        <v>2002</v>
      </c>
    </row>
    <row r="1885">
      <c r="A1885" s="70"/>
      <c r="C1885" s="5" t="s">
        <v>2002</v>
      </c>
      <c r="D1885" s="5"/>
      <c r="E1885" s="5"/>
      <c r="F1885" s="5"/>
      <c r="G1885" s="5"/>
      <c r="H1885" s="5"/>
      <c r="I1885" s="5"/>
      <c r="J1885" s="73"/>
      <c r="K1885" s="75" t="str">
        <f>IFERROR(__xludf.DUMMYFUNCTION("""COMPUTED_VALUE"""),"")</f>
        <v/>
      </c>
      <c r="L1885" s="75"/>
      <c r="M1885" s="46" t="s">
        <v>2002</v>
      </c>
    </row>
    <row r="1886">
      <c r="A1886" s="70"/>
      <c r="C1886" s="5" t="s">
        <v>2002</v>
      </c>
      <c r="D1886" s="5"/>
      <c r="E1886" s="5"/>
      <c r="F1886" s="5"/>
      <c r="G1886" s="5"/>
      <c r="H1886" s="5"/>
      <c r="I1886" s="5"/>
      <c r="J1886" s="73"/>
      <c r="K1886" s="75" t="str">
        <f>IFERROR(__xludf.DUMMYFUNCTION("""COMPUTED_VALUE"""),"")</f>
        <v/>
      </c>
      <c r="L1886" s="75"/>
      <c r="M1886" s="46" t="s">
        <v>2002</v>
      </c>
    </row>
    <row r="1887">
      <c r="A1887" s="70"/>
      <c r="C1887" s="5" t="s">
        <v>2002</v>
      </c>
      <c r="D1887" s="5"/>
      <c r="E1887" s="5"/>
      <c r="F1887" s="5"/>
      <c r="G1887" s="5"/>
      <c r="H1887" s="5"/>
      <c r="I1887" s="5"/>
      <c r="J1887" s="73"/>
      <c r="K1887" s="75" t="str">
        <f>IFERROR(__xludf.DUMMYFUNCTION("""COMPUTED_VALUE"""),"")</f>
        <v/>
      </c>
      <c r="L1887" s="75"/>
      <c r="M1887" s="46" t="s">
        <v>2002</v>
      </c>
    </row>
    <row r="1888">
      <c r="A1888" s="70"/>
      <c r="C1888" s="5" t="s">
        <v>2002</v>
      </c>
      <c r="D1888" s="5"/>
      <c r="E1888" s="5"/>
      <c r="F1888" s="5"/>
      <c r="G1888" s="5"/>
      <c r="H1888" s="5"/>
      <c r="I1888" s="5"/>
      <c r="J1888" s="73"/>
      <c r="K1888" s="75" t="str">
        <f>IFERROR(__xludf.DUMMYFUNCTION("""COMPUTED_VALUE"""),"")</f>
        <v/>
      </c>
      <c r="L1888" s="75"/>
      <c r="M1888" s="46" t="s">
        <v>2002</v>
      </c>
    </row>
    <row r="1889">
      <c r="A1889" s="70"/>
      <c r="C1889" s="5" t="s">
        <v>2002</v>
      </c>
      <c r="D1889" s="5"/>
      <c r="E1889" s="5"/>
      <c r="F1889" s="5"/>
      <c r="G1889" s="5"/>
      <c r="H1889" s="5"/>
      <c r="I1889" s="5"/>
      <c r="J1889" s="73"/>
      <c r="K1889" s="75" t="str">
        <f>IFERROR(__xludf.DUMMYFUNCTION("""COMPUTED_VALUE"""),"")</f>
        <v/>
      </c>
      <c r="L1889" s="75"/>
      <c r="M1889" s="46" t="s">
        <v>2002</v>
      </c>
    </row>
    <row r="1890">
      <c r="A1890" s="70"/>
      <c r="C1890" s="5" t="s">
        <v>2002</v>
      </c>
      <c r="D1890" s="5"/>
      <c r="E1890" s="5"/>
      <c r="F1890" s="5"/>
      <c r="G1890" s="5"/>
      <c r="H1890" s="5"/>
      <c r="I1890" s="5"/>
      <c r="J1890" s="73"/>
      <c r="K1890" s="75" t="str">
        <f>IFERROR(__xludf.DUMMYFUNCTION("""COMPUTED_VALUE"""),"")</f>
        <v/>
      </c>
      <c r="L1890" s="75"/>
      <c r="M1890" s="46" t="s">
        <v>2002</v>
      </c>
    </row>
    <row r="1891">
      <c r="A1891" s="70"/>
      <c r="C1891" s="5" t="s">
        <v>2002</v>
      </c>
      <c r="D1891" s="5"/>
      <c r="E1891" s="5"/>
      <c r="F1891" s="5"/>
      <c r="G1891" s="5"/>
      <c r="H1891" s="5"/>
      <c r="I1891" s="5"/>
      <c r="J1891" s="73"/>
      <c r="K1891" s="75" t="str">
        <f>IFERROR(__xludf.DUMMYFUNCTION("""COMPUTED_VALUE"""),"")</f>
        <v/>
      </c>
      <c r="L1891" s="75"/>
      <c r="M1891" s="46" t="s">
        <v>2002</v>
      </c>
    </row>
    <row r="1892">
      <c r="A1892" s="70"/>
      <c r="C1892" s="5" t="s">
        <v>2002</v>
      </c>
      <c r="D1892" s="5"/>
      <c r="E1892" s="5"/>
      <c r="F1892" s="5"/>
      <c r="G1892" s="5"/>
      <c r="H1892" s="5"/>
      <c r="I1892" s="5"/>
      <c r="J1892" s="73"/>
      <c r="K1892" s="75" t="str">
        <f>IFERROR(__xludf.DUMMYFUNCTION("""COMPUTED_VALUE"""),"")</f>
        <v/>
      </c>
      <c r="L1892" s="75"/>
      <c r="M1892" s="46" t="s">
        <v>2002</v>
      </c>
    </row>
    <row r="1893">
      <c r="A1893" s="70"/>
      <c r="C1893" s="5" t="s">
        <v>2002</v>
      </c>
      <c r="D1893" s="5"/>
      <c r="E1893" s="5"/>
      <c r="F1893" s="5"/>
      <c r="G1893" s="5"/>
      <c r="H1893" s="5"/>
      <c r="I1893" s="5"/>
      <c r="J1893" s="73"/>
      <c r="K1893" s="75" t="str">
        <f>IFERROR(__xludf.DUMMYFUNCTION("""COMPUTED_VALUE"""),"")</f>
        <v/>
      </c>
      <c r="L1893" s="75"/>
      <c r="M1893" s="46" t="s">
        <v>2002</v>
      </c>
    </row>
    <row r="1894">
      <c r="A1894" s="70"/>
      <c r="C1894" s="5" t="s">
        <v>2002</v>
      </c>
      <c r="D1894" s="5"/>
      <c r="E1894" s="5"/>
      <c r="F1894" s="5"/>
      <c r="G1894" s="5"/>
      <c r="H1894" s="5"/>
      <c r="I1894" s="5"/>
      <c r="J1894" s="73"/>
      <c r="K1894" s="75" t="str">
        <f>IFERROR(__xludf.DUMMYFUNCTION("""COMPUTED_VALUE"""),"")</f>
        <v/>
      </c>
      <c r="L1894" s="75"/>
      <c r="M1894" s="46" t="s">
        <v>2002</v>
      </c>
    </row>
    <row r="1895">
      <c r="A1895" s="70"/>
      <c r="C1895" s="5" t="s">
        <v>2002</v>
      </c>
      <c r="D1895" s="5"/>
      <c r="E1895" s="5"/>
      <c r="F1895" s="5"/>
      <c r="G1895" s="5"/>
      <c r="H1895" s="5"/>
      <c r="I1895" s="5"/>
      <c r="J1895" s="73"/>
      <c r="K1895" s="75" t="str">
        <f>IFERROR(__xludf.DUMMYFUNCTION("""COMPUTED_VALUE"""),"")</f>
        <v/>
      </c>
      <c r="L1895" s="75"/>
      <c r="M1895" s="46" t="s">
        <v>2002</v>
      </c>
    </row>
    <row r="1896">
      <c r="A1896" s="70"/>
      <c r="C1896" s="5" t="s">
        <v>2002</v>
      </c>
      <c r="D1896" s="5"/>
      <c r="E1896" s="5"/>
      <c r="F1896" s="5"/>
      <c r="G1896" s="5"/>
      <c r="H1896" s="5"/>
      <c r="I1896" s="5"/>
      <c r="J1896" s="73"/>
      <c r="K1896" s="75" t="str">
        <f>IFERROR(__xludf.DUMMYFUNCTION("""COMPUTED_VALUE"""),"")</f>
        <v/>
      </c>
      <c r="L1896" s="75"/>
      <c r="M1896" s="46" t="s">
        <v>2002</v>
      </c>
    </row>
    <row r="1897">
      <c r="A1897" s="70"/>
      <c r="C1897" s="5" t="s">
        <v>2002</v>
      </c>
      <c r="D1897" s="5"/>
      <c r="E1897" s="5"/>
      <c r="F1897" s="5"/>
      <c r="G1897" s="5"/>
      <c r="H1897" s="5"/>
      <c r="I1897" s="5"/>
      <c r="J1897" s="73"/>
      <c r="K1897" s="75" t="str">
        <f>IFERROR(__xludf.DUMMYFUNCTION("""COMPUTED_VALUE"""),"")</f>
        <v/>
      </c>
      <c r="L1897" s="75"/>
      <c r="M1897" s="46" t="s">
        <v>2002</v>
      </c>
    </row>
    <row r="1898">
      <c r="A1898" s="70"/>
      <c r="C1898" s="5" t="s">
        <v>2002</v>
      </c>
      <c r="D1898" s="5"/>
      <c r="E1898" s="5"/>
      <c r="F1898" s="5"/>
      <c r="G1898" s="5"/>
      <c r="H1898" s="5"/>
      <c r="I1898" s="5"/>
      <c r="J1898" s="73"/>
      <c r="K1898" s="75" t="str">
        <f>IFERROR(__xludf.DUMMYFUNCTION("""COMPUTED_VALUE"""),"")</f>
        <v/>
      </c>
      <c r="L1898" s="75"/>
      <c r="M1898" s="46" t="s">
        <v>2002</v>
      </c>
    </row>
    <row r="1899">
      <c r="A1899" s="70"/>
      <c r="C1899" s="5" t="s">
        <v>2002</v>
      </c>
      <c r="D1899" s="5"/>
      <c r="E1899" s="5"/>
      <c r="F1899" s="5"/>
      <c r="G1899" s="5"/>
      <c r="H1899" s="5"/>
      <c r="I1899" s="5"/>
      <c r="J1899" s="73"/>
      <c r="K1899" s="75" t="str">
        <f>IFERROR(__xludf.DUMMYFUNCTION("""COMPUTED_VALUE"""),"")</f>
        <v/>
      </c>
      <c r="L1899" s="75"/>
      <c r="M1899" s="46" t="s">
        <v>2002</v>
      </c>
    </row>
    <row r="1900">
      <c r="A1900" s="70"/>
      <c r="C1900" s="5" t="s">
        <v>2002</v>
      </c>
      <c r="D1900" s="5"/>
      <c r="E1900" s="5"/>
      <c r="F1900" s="5"/>
      <c r="G1900" s="5"/>
      <c r="H1900" s="5"/>
      <c r="I1900" s="5"/>
      <c r="J1900" s="73"/>
      <c r="K1900" s="75" t="str">
        <f>IFERROR(__xludf.DUMMYFUNCTION("""COMPUTED_VALUE"""),"")</f>
        <v/>
      </c>
      <c r="L1900" s="75"/>
      <c r="M1900" s="46" t="s">
        <v>2002</v>
      </c>
    </row>
    <row r="1901">
      <c r="A1901" s="70"/>
      <c r="C1901" s="5" t="s">
        <v>2002</v>
      </c>
      <c r="D1901" s="5"/>
      <c r="E1901" s="5"/>
      <c r="F1901" s="5"/>
      <c r="G1901" s="5"/>
      <c r="H1901" s="5"/>
      <c r="I1901" s="5"/>
      <c r="J1901" s="73"/>
      <c r="K1901" s="75" t="str">
        <f>IFERROR(__xludf.DUMMYFUNCTION("""COMPUTED_VALUE"""),"")</f>
        <v/>
      </c>
      <c r="L1901" s="75"/>
      <c r="M1901" s="46" t="s">
        <v>2002</v>
      </c>
    </row>
    <row r="1902">
      <c r="A1902" s="70"/>
      <c r="C1902" s="5" t="s">
        <v>2002</v>
      </c>
      <c r="D1902" s="5"/>
      <c r="E1902" s="5"/>
      <c r="F1902" s="5"/>
      <c r="G1902" s="5"/>
      <c r="H1902" s="5"/>
      <c r="I1902" s="5"/>
      <c r="J1902" s="73"/>
      <c r="K1902" s="75" t="str">
        <f>IFERROR(__xludf.DUMMYFUNCTION("""COMPUTED_VALUE"""),"")</f>
        <v/>
      </c>
      <c r="L1902" s="75"/>
      <c r="M1902" s="46" t="s">
        <v>2002</v>
      </c>
    </row>
    <row r="1903">
      <c r="A1903" s="70"/>
      <c r="C1903" s="5" t="s">
        <v>2002</v>
      </c>
      <c r="D1903" s="5"/>
      <c r="E1903" s="5"/>
      <c r="F1903" s="5"/>
      <c r="G1903" s="5"/>
      <c r="H1903" s="5"/>
      <c r="I1903" s="5"/>
      <c r="J1903" s="73"/>
      <c r="K1903" s="75" t="str">
        <f>IFERROR(__xludf.DUMMYFUNCTION("""COMPUTED_VALUE"""),"")</f>
        <v/>
      </c>
      <c r="L1903" s="75"/>
      <c r="M1903" s="46" t="s">
        <v>2002</v>
      </c>
    </row>
    <row r="1904">
      <c r="A1904" s="70"/>
      <c r="C1904" s="5" t="s">
        <v>2002</v>
      </c>
      <c r="D1904" s="5"/>
      <c r="E1904" s="5"/>
      <c r="F1904" s="5"/>
      <c r="G1904" s="5"/>
      <c r="H1904" s="5"/>
      <c r="I1904" s="5"/>
      <c r="J1904" s="73"/>
      <c r="K1904" s="75" t="str">
        <f>IFERROR(__xludf.DUMMYFUNCTION("""COMPUTED_VALUE"""),"")</f>
        <v/>
      </c>
      <c r="L1904" s="75"/>
      <c r="M1904" s="46" t="s">
        <v>2002</v>
      </c>
    </row>
    <row r="1905">
      <c r="A1905" s="70"/>
      <c r="C1905" s="5" t="s">
        <v>2002</v>
      </c>
      <c r="D1905" s="5"/>
      <c r="E1905" s="5"/>
      <c r="F1905" s="5"/>
      <c r="G1905" s="5"/>
      <c r="H1905" s="5"/>
      <c r="I1905" s="5"/>
      <c r="J1905" s="73"/>
      <c r="K1905" s="75" t="str">
        <f>IFERROR(__xludf.DUMMYFUNCTION("""COMPUTED_VALUE"""),"")</f>
        <v/>
      </c>
      <c r="L1905" s="75"/>
      <c r="M1905" s="46" t="s">
        <v>2002</v>
      </c>
    </row>
    <row r="1906">
      <c r="A1906" s="70"/>
      <c r="C1906" s="5" t="s">
        <v>2002</v>
      </c>
      <c r="D1906" s="5"/>
      <c r="E1906" s="5"/>
      <c r="F1906" s="5"/>
      <c r="G1906" s="5"/>
      <c r="H1906" s="5"/>
      <c r="I1906" s="5"/>
      <c r="J1906" s="73"/>
      <c r="K1906" s="75" t="str">
        <f>IFERROR(__xludf.DUMMYFUNCTION("""COMPUTED_VALUE"""),"")</f>
        <v/>
      </c>
      <c r="L1906" s="75"/>
      <c r="M1906" s="46" t="s">
        <v>2002</v>
      </c>
    </row>
    <row r="1907">
      <c r="A1907" s="70"/>
      <c r="C1907" s="5" t="s">
        <v>2002</v>
      </c>
      <c r="D1907" s="5"/>
      <c r="E1907" s="5"/>
      <c r="F1907" s="5"/>
      <c r="G1907" s="5"/>
      <c r="H1907" s="5"/>
      <c r="I1907" s="5"/>
      <c r="J1907" s="73"/>
      <c r="K1907" s="75" t="str">
        <f>IFERROR(__xludf.DUMMYFUNCTION("""COMPUTED_VALUE"""),"")</f>
        <v/>
      </c>
      <c r="L1907" s="75"/>
      <c r="M1907" s="46" t="s">
        <v>2002</v>
      </c>
    </row>
    <row r="1908">
      <c r="A1908" s="70"/>
      <c r="C1908" s="5" t="s">
        <v>2002</v>
      </c>
      <c r="D1908" s="5"/>
      <c r="E1908" s="5"/>
      <c r="F1908" s="5"/>
      <c r="G1908" s="5"/>
      <c r="H1908" s="5"/>
      <c r="I1908" s="5"/>
      <c r="J1908" s="73"/>
      <c r="K1908" s="75" t="str">
        <f>IFERROR(__xludf.DUMMYFUNCTION("""COMPUTED_VALUE"""),"")</f>
        <v/>
      </c>
      <c r="L1908" s="75"/>
      <c r="M1908" s="46" t="s">
        <v>2002</v>
      </c>
    </row>
    <row r="1909">
      <c r="A1909" s="70"/>
      <c r="C1909" s="5" t="s">
        <v>2002</v>
      </c>
      <c r="D1909" s="5"/>
      <c r="E1909" s="5"/>
      <c r="F1909" s="5"/>
      <c r="G1909" s="5"/>
      <c r="H1909" s="5"/>
      <c r="I1909" s="5"/>
      <c r="J1909" s="73"/>
      <c r="K1909" s="75" t="str">
        <f>IFERROR(__xludf.DUMMYFUNCTION("""COMPUTED_VALUE"""),"")</f>
        <v/>
      </c>
      <c r="L1909" s="75"/>
      <c r="M1909" s="46" t="s">
        <v>2002</v>
      </c>
    </row>
    <row r="1910">
      <c r="A1910" s="70"/>
      <c r="C1910" s="5" t="s">
        <v>2002</v>
      </c>
      <c r="D1910" s="5"/>
      <c r="E1910" s="5"/>
      <c r="F1910" s="5"/>
      <c r="G1910" s="5"/>
      <c r="H1910" s="5"/>
      <c r="I1910" s="5"/>
      <c r="J1910" s="73"/>
      <c r="K1910" s="75" t="str">
        <f>IFERROR(__xludf.DUMMYFUNCTION("""COMPUTED_VALUE"""),"")</f>
        <v/>
      </c>
      <c r="L1910" s="75"/>
      <c r="M1910" s="46" t="s">
        <v>2002</v>
      </c>
    </row>
    <row r="1911">
      <c r="A1911" s="70"/>
      <c r="C1911" s="5" t="s">
        <v>2002</v>
      </c>
      <c r="D1911" s="5"/>
      <c r="E1911" s="5"/>
      <c r="F1911" s="5"/>
      <c r="G1911" s="5"/>
      <c r="H1911" s="5"/>
      <c r="I1911" s="5"/>
      <c r="J1911" s="73"/>
      <c r="K1911" s="75" t="str">
        <f>IFERROR(__xludf.DUMMYFUNCTION("""COMPUTED_VALUE"""),"")</f>
        <v/>
      </c>
      <c r="L1911" s="75"/>
      <c r="M1911" s="46" t="s">
        <v>2002</v>
      </c>
    </row>
    <row r="1912">
      <c r="A1912" s="70"/>
      <c r="C1912" s="5" t="s">
        <v>2002</v>
      </c>
      <c r="D1912" s="5"/>
      <c r="E1912" s="5"/>
      <c r="F1912" s="5"/>
      <c r="G1912" s="5"/>
      <c r="H1912" s="5"/>
      <c r="I1912" s="5"/>
      <c r="J1912" s="73"/>
      <c r="K1912" s="75" t="str">
        <f>IFERROR(__xludf.DUMMYFUNCTION("""COMPUTED_VALUE"""),"")</f>
        <v/>
      </c>
      <c r="L1912" s="75"/>
      <c r="M1912" s="46" t="s">
        <v>2002</v>
      </c>
    </row>
    <row r="1913">
      <c r="A1913" s="70"/>
      <c r="C1913" s="5" t="s">
        <v>2002</v>
      </c>
      <c r="D1913" s="5"/>
      <c r="E1913" s="5"/>
      <c r="F1913" s="5"/>
      <c r="G1913" s="5"/>
      <c r="H1913" s="5"/>
      <c r="I1913" s="5"/>
      <c r="J1913" s="73"/>
      <c r="K1913" s="75" t="str">
        <f>IFERROR(__xludf.DUMMYFUNCTION("""COMPUTED_VALUE"""),"")</f>
        <v/>
      </c>
      <c r="L1913" s="75"/>
      <c r="M1913" s="46" t="s">
        <v>2002</v>
      </c>
    </row>
    <row r="1914">
      <c r="A1914" s="70"/>
      <c r="C1914" s="5" t="s">
        <v>2002</v>
      </c>
      <c r="D1914" s="5"/>
      <c r="E1914" s="5"/>
      <c r="F1914" s="5"/>
      <c r="G1914" s="5"/>
      <c r="H1914" s="5"/>
      <c r="I1914" s="5"/>
      <c r="J1914" s="73"/>
      <c r="K1914" s="75" t="str">
        <f>IFERROR(__xludf.DUMMYFUNCTION("""COMPUTED_VALUE"""),"")</f>
        <v/>
      </c>
      <c r="L1914" s="75"/>
      <c r="M1914" s="46" t="s">
        <v>2002</v>
      </c>
    </row>
    <row r="1915">
      <c r="A1915" s="70"/>
      <c r="C1915" s="5" t="s">
        <v>2002</v>
      </c>
      <c r="D1915" s="5"/>
      <c r="E1915" s="5"/>
      <c r="F1915" s="5"/>
      <c r="G1915" s="5"/>
      <c r="H1915" s="5"/>
      <c r="I1915" s="5"/>
      <c r="J1915" s="73"/>
      <c r="K1915" s="75" t="str">
        <f>IFERROR(__xludf.DUMMYFUNCTION("""COMPUTED_VALUE"""),"")</f>
        <v/>
      </c>
      <c r="L1915" s="75"/>
      <c r="M1915" s="46" t="s">
        <v>2002</v>
      </c>
    </row>
    <row r="1916">
      <c r="A1916" s="70"/>
      <c r="C1916" s="5" t="s">
        <v>2002</v>
      </c>
      <c r="D1916" s="5"/>
      <c r="E1916" s="5"/>
      <c r="F1916" s="5"/>
      <c r="G1916" s="5"/>
      <c r="H1916" s="5"/>
      <c r="I1916" s="5"/>
      <c r="J1916" s="73"/>
      <c r="K1916" s="75" t="str">
        <f>IFERROR(__xludf.DUMMYFUNCTION("""COMPUTED_VALUE"""),"")</f>
        <v/>
      </c>
      <c r="L1916" s="75"/>
      <c r="M1916" s="46" t="s">
        <v>2002</v>
      </c>
    </row>
    <row r="1917">
      <c r="A1917" s="70"/>
      <c r="C1917" s="5" t="s">
        <v>2002</v>
      </c>
      <c r="D1917" s="5"/>
      <c r="E1917" s="5"/>
      <c r="F1917" s="5"/>
      <c r="G1917" s="5"/>
      <c r="H1917" s="5"/>
      <c r="I1917" s="5"/>
      <c r="J1917" s="73"/>
      <c r="K1917" s="75" t="str">
        <f>IFERROR(__xludf.DUMMYFUNCTION("""COMPUTED_VALUE"""),"")</f>
        <v/>
      </c>
      <c r="L1917" s="75"/>
      <c r="M1917" s="46" t="s">
        <v>2002</v>
      </c>
    </row>
    <row r="1918">
      <c r="A1918" s="70"/>
      <c r="C1918" s="5" t="s">
        <v>2002</v>
      </c>
      <c r="D1918" s="5"/>
      <c r="E1918" s="5"/>
      <c r="F1918" s="5"/>
      <c r="G1918" s="5"/>
      <c r="H1918" s="5"/>
      <c r="I1918" s="5"/>
      <c r="J1918" s="73"/>
      <c r="K1918" s="75" t="str">
        <f>IFERROR(__xludf.DUMMYFUNCTION("""COMPUTED_VALUE"""),"")</f>
        <v/>
      </c>
      <c r="L1918" s="75"/>
      <c r="M1918" s="46" t="s">
        <v>2002</v>
      </c>
    </row>
    <row r="1919">
      <c r="A1919" s="70"/>
      <c r="C1919" s="5" t="s">
        <v>2002</v>
      </c>
      <c r="D1919" s="5"/>
      <c r="E1919" s="5"/>
      <c r="F1919" s="5"/>
      <c r="G1919" s="5"/>
      <c r="H1919" s="5"/>
      <c r="I1919" s="5"/>
      <c r="J1919" s="73"/>
      <c r="K1919" s="75" t="str">
        <f>IFERROR(__xludf.DUMMYFUNCTION("""COMPUTED_VALUE"""),"")</f>
        <v/>
      </c>
      <c r="L1919" s="75"/>
      <c r="M1919" s="46" t="s">
        <v>2002</v>
      </c>
    </row>
    <row r="1920">
      <c r="A1920" s="70"/>
      <c r="C1920" s="5" t="s">
        <v>2002</v>
      </c>
      <c r="D1920" s="5"/>
      <c r="E1920" s="5"/>
      <c r="F1920" s="5"/>
      <c r="G1920" s="5"/>
      <c r="H1920" s="5"/>
      <c r="I1920" s="5"/>
      <c r="J1920" s="73"/>
      <c r="K1920" s="75" t="str">
        <f>IFERROR(__xludf.DUMMYFUNCTION("""COMPUTED_VALUE"""),"")</f>
        <v/>
      </c>
      <c r="L1920" s="75"/>
      <c r="M1920" s="46" t="s">
        <v>2002</v>
      </c>
    </row>
    <row r="1921">
      <c r="A1921" s="70"/>
      <c r="C1921" s="5" t="s">
        <v>2002</v>
      </c>
      <c r="D1921" s="5"/>
      <c r="E1921" s="5"/>
      <c r="F1921" s="5"/>
      <c r="G1921" s="5"/>
      <c r="H1921" s="5"/>
      <c r="I1921" s="5"/>
      <c r="J1921" s="73"/>
      <c r="K1921" s="75" t="str">
        <f>IFERROR(__xludf.DUMMYFUNCTION("""COMPUTED_VALUE"""),"")</f>
        <v/>
      </c>
      <c r="L1921" s="75"/>
      <c r="M1921" s="46" t="s">
        <v>2002</v>
      </c>
    </row>
    <row r="1922">
      <c r="A1922" s="70"/>
      <c r="C1922" s="5" t="s">
        <v>2002</v>
      </c>
      <c r="D1922" s="5"/>
      <c r="E1922" s="5"/>
      <c r="F1922" s="5"/>
      <c r="G1922" s="5"/>
      <c r="H1922" s="5"/>
      <c r="I1922" s="5"/>
      <c r="J1922" s="73"/>
      <c r="K1922" s="75" t="str">
        <f>IFERROR(__xludf.DUMMYFUNCTION("""COMPUTED_VALUE"""),"")</f>
        <v/>
      </c>
      <c r="L1922" s="75"/>
      <c r="M1922" s="46" t="s">
        <v>2002</v>
      </c>
    </row>
    <row r="1923">
      <c r="A1923" s="70"/>
      <c r="C1923" s="5" t="s">
        <v>2002</v>
      </c>
      <c r="D1923" s="5"/>
      <c r="E1923" s="5"/>
      <c r="F1923" s="5"/>
      <c r="G1923" s="5"/>
      <c r="H1923" s="5"/>
      <c r="I1923" s="5"/>
      <c r="J1923" s="73"/>
      <c r="K1923" s="75" t="str">
        <f>IFERROR(__xludf.DUMMYFUNCTION("""COMPUTED_VALUE"""),"")</f>
        <v/>
      </c>
      <c r="L1923" s="75"/>
      <c r="M1923" s="46" t="s">
        <v>2002</v>
      </c>
    </row>
    <row r="1924">
      <c r="A1924" s="70"/>
      <c r="C1924" s="5" t="s">
        <v>2002</v>
      </c>
      <c r="D1924" s="5"/>
      <c r="E1924" s="5"/>
      <c r="F1924" s="5"/>
      <c r="G1924" s="5"/>
      <c r="H1924" s="5"/>
      <c r="I1924" s="5"/>
      <c r="J1924" s="73"/>
      <c r="K1924" s="75" t="str">
        <f>IFERROR(__xludf.DUMMYFUNCTION("""COMPUTED_VALUE"""),"")</f>
        <v/>
      </c>
      <c r="L1924" s="75"/>
      <c r="M1924" s="46" t="s">
        <v>2002</v>
      </c>
    </row>
    <row r="1925">
      <c r="A1925" s="70"/>
      <c r="C1925" s="5" t="s">
        <v>2002</v>
      </c>
      <c r="D1925" s="5"/>
      <c r="E1925" s="5"/>
      <c r="F1925" s="5"/>
      <c r="G1925" s="5"/>
      <c r="H1925" s="5"/>
      <c r="I1925" s="5"/>
      <c r="J1925" s="73"/>
      <c r="K1925" s="75" t="str">
        <f>IFERROR(__xludf.DUMMYFUNCTION("""COMPUTED_VALUE"""),"")</f>
        <v/>
      </c>
      <c r="L1925" s="75"/>
      <c r="M1925" s="46" t="s">
        <v>2002</v>
      </c>
    </row>
    <row r="1926">
      <c r="A1926" s="70"/>
      <c r="C1926" s="5" t="s">
        <v>2002</v>
      </c>
      <c r="D1926" s="5"/>
      <c r="E1926" s="5"/>
      <c r="F1926" s="5"/>
      <c r="G1926" s="5"/>
      <c r="H1926" s="5"/>
      <c r="I1926" s="5"/>
      <c r="J1926" s="73"/>
      <c r="K1926" s="75" t="str">
        <f>IFERROR(__xludf.DUMMYFUNCTION("""COMPUTED_VALUE"""),"")</f>
        <v/>
      </c>
      <c r="L1926" s="75"/>
      <c r="M1926" s="46" t="s">
        <v>2002</v>
      </c>
    </row>
    <row r="1927">
      <c r="A1927" s="70"/>
      <c r="C1927" s="5" t="s">
        <v>2002</v>
      </c>
      <c r="D1927" s="5"/>
      <c r="E1927" s="5"/>
      <c r="F1927" s="5"/>
      <c r="G1927" s="5"/>
      <c r="H1927" s="5"/>
      <c r="I1927" s="5"/>
      <c r="J1927" s="73"/>
      <c r="K1927" s="75" t="str">
        <f>IFERROR(__xludf.DUMMYFUNCTION("""COMPUTED_VALUE"""),"")</f>
        <v/>
      </c>
      <c r="L1927" s="75"/>
      <c r="M1927" s="46" t="s">
        <v>2002</v>
      </c>
    </row>
    <row r="1928">
      <c r="A1928" s="70"/>
      <c r="C1928" s="5" t="s">
        <v>2002</v>
      </c>
      <c r="D1928" s="5"/>
      <c r="E1928" s="5"/>
      <c r="F1928" s="5"/>
      <c r="G1928" s="5"/>
      <c r="H1928" s="5"/>
      <c r="I1928" s="5"/>
      <c r="J1928" s="73"/>
      <c r="K1928" s="75" t="str">
        <f>IFERROR(__xludf.DUMMYFUNCTION("""COMPUTED_VALUE"""),"")</f>
        <v/>
      </c>
      <c r="L1928" s="75"/>
      <c r="M1928" s="46" t="s">
        <v>2002</v>
      </c>
    </row>
    <row r="1929">
      <c r="A1929" s="70"/>
      <c r="C1929" s="5" t="s">
        <v>2002</v>
      </c>
      <c r="D1929" s="5"/>
      <c r="E1929" s="5"/>
      <c r="F1929" s="5"/>
      <c r="G1929" s="5"/>
      <c r="H1929" s="5"/>
      <c r="I1929" s="5"/>
      <c r="J1929" s="73"/>
      <c r="K1929" s="75" t="str">
        <f>IFERROR(__xludf.DUMMYFUNCTION("""COMPUTED_VALUE"""),"")</f>
        <v/>
      </c>
      <c r="L1929" s="75"/>
      <c r="M1929" s="46" t="s">
        <v>2002</v>
      </c>
    </row>
    <row r="1930">
      <c r="A1930" s="70"/>
      <c r="C1930" s="5" t="s">
        <v>2002</v>
      </c>
      <c r="D1930" s="5"/>
      <c r="E1930" s="5"/>
      <c r="F1930" s="5"/>
      <c r="G1930" s="5"/>
      <c r="H1930" s="5"/>
      <c r="I1930" s="5"/>
      <c r="J1930" s="73"/>
      <c r="K1930" s="75" t="str">
        <f>IFERROR(__xludf.DUMMYFUNCTION("""COMPUTED_VALUE"""),"")</f>
        <v/>
      </c>
      <c r="L1930" s="75"/>
      <c r="M1930" s="46" t="s">
        <v>2002</v>
      </c>
    </row>
    <row r="1931">
      <c r="A1931" s="70"/>
      <c r="C1931" s="5" t="s">
        <v>2002</v>
      </c>
      <c r="D1931" s="5"/>
      <c r="E1931" s="5"/>
      <c r="F1931" s="5"/>
      <c r="G1931" s="5"/>
      <c r="H1931" s="5"/>
      <c r="I1931" s="5"/>
      <c r="J1931" s="73"/>
      <c r="K1931" s="75" t="str">
        <f>IFERROR(__xludf.DUMMYFUNCTION("""COMPUTED_VALUE"""),"")</f>
        <v/>
      </c>
      <c r="L1931" s="75"/>
      <c r="M1931" s="46" t="s">
        <v>2002</v>
      </c>
    </row>
    <row r="1932">
      <c r="A1932" s="70"/>
      <c r="C1932" s="5" t="s">
        <v>2002</v>
      </c>
      <c r="D1932" s="5"/>
      <c r="E1932" s="5"/>
      <c r="F1932" s="5"/>
      <c r="G1932" s="5"/>
      <c r="H1932" s="5"/>
      <c r="I1932" s="5"/>
      <c r="J1932" s="73"/>
      <c r="K1932" s="75" t="str">
        <f>IFERROR(__xludf.DUMMYFUNCTION("""COMPUTED_VALUE"""),"")</f>
        <v/>
      </c>
      <c r="L1932" s="75"/>
      <c r="M1932" s="46" t="s">
        <v>2002</v>
      </c>
    </row>
    <row r="1933">
      <c r="A1933" s="70"/>
      <c r="C1933" s="5" t="s">
        <v>2002</v>
      </c>
      <c r="D1933" s="5"/>
      <c r="E1933" s="5"/>
      <c r="F1933" s="5"/>
      <c r="G1933" s="5"/>
      <c r="H1933" s="5"/>
      <c r="I1933" s="5"/>
      <c r="J1933" s="73"/>
      <c r="K1933" s="75" t="str">
        <f>IFERROR(__xludf.DUMMYFUNCTION("""COMPUTED_VALUE"""),"")</f>
        <v/>
      </c>
      <c r="L1933" s="75"/>
      <c r="M1933" s="46" t="s">
        <v>2002</v>
      </c>
    </row>
    <row r="1934">
      <c r="A1934" s="70"/>
      <c r="C1934" s="5" t="s">
        <v>2002</v>
      </c>
      <c r="D1934" s="5"/>
      <c r="E1934" s="5"/>
      <c r="F1934" s="5"/>
      <c r="G1934" s="5"/>
      <c r="H1934" s="5"/>
      <c r="I1934" s="5"/>
      <c r="J1934" s="73"/>
      <c r="K1934" s="75" t="str">
        <f>IFERROR(__xludf.DUMMYFUNCTION("""COMPUTED_VALUE"""),"")</f>
        <v/>
      </c>
      <c r="L1934" s="75"/>
      <c r="M1934" s="46" t="s">
        <v>2002</v>
      </c>
    </row>
    <row r="1935">
      <c r="A1935" s="70"/>
      <c r="C1935" s="5" t="s">
        <v>2002</v>
      </c>
      <c r="D1935" s="5"/>
      <c r="E1935" s="5"/>
      <c r="F1935" s="5"/>
      <c r="G1935" s="5"/>
      <c r="H1935" s="5"/>
      <c r="I1935" s="5"/>
      <c r="J1935" s="73"/>
      <c r="K1935" s="75" t="str">
        <f>IFERROR(__xludf.DUMMYFUNCTION("""COMPUTED_VALUE"""),"")</f>
        <v/>
      </c>
      <c r="L1935" s="75"/>
      <c r="M1935" s="46" t="s">
        <v>2002</v>
      </c>
    </row>
    <row r="1936">
      <c r="A1936" s="70"/>
      <c r="C1936" s="5" t="s">
        <v>2002</v>
      </c>
      <c r="D1936" s="5"/>
      <c r="E1936" s="5"/>
      <c r="F1936" s="5"/>
      <c r="G1936" s="5"/>
      <c r="H1936" s="5"/>
      <c r="I1936" s="5"/>
      <c r="J1936" s="73"/>
      <c r="K1936" s="75" t="str">
        <f>IFERROR(__xludf.DUMMYFUNCTION("""COMPUTED_VALUE"""),"")</f>
        <v/>
      </c>
      <c r="L1936" s="75"/>
      <c r="M1936" s="46" t="s">
        <v>2002</v>
      </c>
    </row>
    <row r="1937">
      <c r="A1937" s="70"/>
      <c r="C1937" s="5" t="s">
        <v>2002</v>
      </c>
      <c r="D1937" s="5"/>
      <c r="E1937" s="5"/>
      <c r="F1937" s="5"/>
      <c r="G1937" s="5"/>
      <c r="H1937" s="5"/>
      <c r="I1937" s="5"/>
      <c r="J1937" s="73"/>
      <c r="K1937" s="75" t="str">
        <f>IFERROR(__xludf.DUMMYFUNCTION("""COMPUTED_VALUE"""),"")</f>
        <v/>
      </c>
      <c r="L1937" s="75"/>
      <c r="M1937" s="46" t="s">
        <v>2002</v>
      </c>
    </row>
    <row r="1938">
      <c r="A1938" s="70"/>
      <c r="C1938" s="5" t="s">
        <v>2002</v>
      </c>
      <c r="D1938" s="5"/>
      <c r="E1938" s="5"/>
      <c r="F1938" s="5"/>
      <c r="G1938" s="5"/>
      <c r="H1938" s="5"/>
      <c r="I1938" s="5"/>
      <c r="J1938" s="73"/>
      <c r="K1938" s="75" t="str">
        <f>IFERROR(__xludf.DUMMYFUNCTION("""COMPUTED_VALUE"""),"")</f>
        <v/>
      </c>
      <c r="L1938" s="75"/>
      <c r="M1938" s="46" t="s">
        <v>2002</v>
      </c>
    </row>
    <row r="1939">
      <c r="A1939" s="70"/>
      <c r="C1939" s="5" t="s">
        <v>2002</v>
      </c>
      <c r="D1939" s="5"/>
      <c r="E1939" s="5"/>
      <c r="F1939" s="5"/>
      <c r="G1939" s="5"/>
      <c r="H1939" s="5"/>
      <c r="I1939" s="5"/>
      <c r="J1939" s="73"/>
      <c r="K1939" s="75" t="str">
        <f>IFERROR(__xludf.DUMMYFUNCTION("""COMPUTED_VALUE"""),"")</f>
        <v/>
      </c>
      <c r="L1939" s="75"/>
      <c r="M1939" s="46" t="s">
        <v>2002</v>
      </c>
    </row>
    <row r="1940">
      <c r="A1940" s="70"/>
      <c r="C1940" s="5" t="s">
        <v>2002</v>
      </c>
      <c r="D1940" s="5"/>
      <c r="E1940" s="5"/>
      <c r="F1940" s="5"/>
      <c r="G1940" s="5"/>
      <c r="H1940" s="5"/>
      <c r="I1940" s="5"/>
      <c r="J1940" s="73"/>
      <c r="K1940" s="75" t="str">
        <f>IFERROR(__xludf.DUMMYFUNCTION("""COMPUTED_VALUE"""),"")</f>
        <v/>
      </c>
      <c r="L1940" s="75"/>
      <c r="M1940" s="46" t="s">
        <v>2002</v>
      </c>
    </row>
    <row r="1941">
      <c r="A1941" s="70"/>
      <c r="C1941" s="5" t="s">
        <v>2002</v>
      </c>
      <c r="D1941" s="5"/>
      <c r="E1941" s="5"/>
      <c r="F1941" s="5"/>
      <c r="G1941" s="5"/>
      <c r="H1941" s="5"/>
      <c r="I1941" s="5"/>
      <c r="J1941" s="73"/>
      <c r="K1941" s="75" t="str">
        <f>IFERROR(__xludf.DUMMYFUNCTION("""COMPUTED_VALUE"""),"")</f>
        <v/>
      </c>
      <c r="L1941" s="75"/>
      <c r="M1941" s="46" t="s">
        <v>2002</v>
      </c>
    </row>
    <row r="1942">
      <c r="A1942" s="70"/>
      <c r="C1942" s="5" t="s">
        <v>2002</v>
      </c>
      <c r="D1942" s="5"/>
      <c r="E1942" s="5"/>
      <c r="F1942" s="5"/>
      <c r="G1942" s="5"/>
      <c r="H1942" s="5"/>
      <c r="I1942" s="5"/>
      <c r="J1942" s="73"/>
      <c r="K1942" s="75" t="str">
        <f>IFERROR(__xludf.DUMMYFUNCTION("""COMPUTED_VALUE"""),"")</f>
        <v/>
      </c>
      <c r="L1942" s="75"/>
      <c r="M1942" s="46" t="s">
        <v>2002</v>
      </c>
    </row>
    <row r="1943">
      <c r="A1943" s="70"/>
      <c r="C1943" s="5" t="s">
        <v>2002</v>
      </c>
      <c r="D1943" s="5"/>
      <c r="E1943" s="5"/>
      <c r="F1943" s="5"/>
      <c r="G1943" s="5"/>
      <c r="H1943" s="5"/>
      <c r="I1943" s="5"/>
      <c r="J1943" s="73"/>
      <c r="K1943" s="75" t="str">
        <f>IFERROR(__xludf.DUMMYFUNCTION("""COMPUTED_VALUE"""),"")</f>
        <v/>
      </c>
      <c r="L1943" s="75"/>
      <c r="M1943" s="46" t="s">
        <v>2002</v>
      </c>
    </row>
    <row r="1944">
      <c r="A1944" s="70"/>
      <c r="C1944" s="5" t="s">
        <v>2002</v>
      </c>
      <c r="D1944" s="5"/>
      <c r="E1944" s="5"/>
      <c r="F1944" s="5"/>
      <c r="G1944" s="5"/>
      <c r="H1944" s="5"/>
      <c r="I1944" s="5"/>
      <c r="J1944" s="73"/>
      <c r="K1944" s="75" t="str">
        <f>IFERROR(__xludf.DUMMYFUNCTION("""COMPUTED_VALUE"""),"")</f>
        <v/>
      </c>
      <c r="L1944" s="75"/>
      <c r="M1944" s="46" t="s">
        <v>2002</v>
      </c>
    </row>
    <row r="1945">
      <c r="A1945" s="70"/>
      <c r="C1945" s="5" t="s">
        <v>2002</v>
      </c>
      <c r="D1945" s="5"/>
      <c r="E1945" s="5"/>
      <c r="F1945" s="5"/>
      <c r="G1945" s="5"/>
      <c r="H1945" s="5"/>
      <c r="I1945" s="5"/>
      <c r="J1945" s="73"/>
      <c r="K1945" s="75" t="str">
        <f>IFERROR(__xludf.DUMMYFUNCTION("""COMPUTED_VALUE"""),"")</f>
        <v/>
      </c>
      <c r="L1945" s="75"/>
      <c r="M1945" s="46" t="s">
        <v>2002</v>
      </c>
    </row>
    <row r="1946">
      <c r="A1946" s="70"/>
      <c r="C1946" s="5" t="s">
        <v>2002</v>
      </c>
      <c r="D1946" s="5"/>
      <c r="E1946" s="5"/>
      <c r="F1946" s="5"/>
      <c r="G1946" s="5"/>
      <c r="H1946" s="5"/>
      <c r="I1946" s="5"/>
      <c r="J1946" s="73"/>
      <c r="K1946" s="75" t="str">
        <f>IFERROR(__xludf.DUMMYFUNCTION("""COMPUTED_VALUE"""),"")</f>
        <v/>
      </c>
      <c r="L1946" s="75"/>
      <c r="M1946" s="46" t="s">
        <v>2002</v>
      </c>
    </row>
    <row r="1947">
      <c r="A1947" s="70"/>
      <c r="C1947" s="5" t="s">
        <v>2002</v>
      </c>
      <c r="D1947" s="5"/>
      <c r="E1947" s="5"/>
      <c r="F1947" s="5"/>
      <c r="G1947" s="5"/>
      <c r="H1947" s="5"/>
      <c r="I1947" s="5"/>
      <c r="J1947" s="73"/>
      <c r="K1947" s="75" t="str">
        <f>IFERROR(__xludf.DUMMYFUNCTION("""COMPUTED_VALUE"""),"")</f>
        <v/>
      </c>
      <c r="L1947" s="75"/>
      <c r="M1947" s="46" t="s">
        <v>2002</v>
      </c>
    </row>
    <row r="1948">
      <c r="A1948" s="70"/>
      <c r="C1948" s="5" t="s">
        <v>2002</v>
      </c>
      <c r="D1948" s="5"/>
      <c r="E1948" s="5"/>
      <c r="F1948" s="5"/>
      <c r="G1948" s="5"/>
      <c r="H1948" s="5"/>
      <c r="I1948" s="5"/>
      <c r="J1948" s="73"/>
      <c r="K1948" s="75" t="str">
        <f>IFERROR(__xludf.DUMMYFUNCTION("""COMPUTED_VALUE"""),"")</f>
        <v/>
      </c>
      <c r="L1948" s="75"/>
      <c r="M1948" s="46" t="s">
        <v>2002</v>
      </c>
    </row>
    <row r="1949">
      <c r="A1949" s="70"/>
      <c r="C1949" s="5" t="s">
        <v>2002</v>
      </c>
      <c r="D1949" s="5"/>
      <c r="E1949" s="5"/>
      <c r="F1949" s="5"/>
      <c r="G1949" s="5"/>
      <c r="H1949" s="5"/>
      <c r="I1949" s="5"/>
      <c r="J1949" s="73"/>
      <c r="K1949" s="75" t="str">
        <f>IFERROR(__xludf.DUMMYFUNCTION("""COMPUTED_VALUE"""),"")</f>
        <v/>
      </c>
      <c r="L1949" s="75"/>
      <c r="M1949" s="46" t="s">
        <v>2002</v>
      </c>
    </row>
    <row r="1950">
      <c r="A1950" s="70"/>
      <c r="C1950" s="5" t="s">
        <v>2002</v>
      </c>
      <c r="D1950" s="5"/>
      <c r="E1950" s="5"/>
      <c r="F1950" s="5"/>
      <c r="G1950" s="5"/>
      <c r="H1950" s="5"/>
      <c r="I1950" s="5"/>
      <c r="J1950" s="73"/>
      <c r="K1950" s="75" t="str">
        <f>IFERROR(__xludf.DUMMYFUNCTION("""COMPUTED_VALUE"""),"")</f>
        <v/>
      </c>
      <c r="L1950" s="75"/>
      <c r="M1950" s="46" t="s">
        <v>2002</v>
      </c>
    </row>
    <row r="1951">
      <c r="A1951" s="70"/>
      <c r="C1951" s="5" t="s">
        <v>2002</v>
      </c>
      <c r="D1951" s="5"/>
      <c r="E1951" s="5"/>
      <c r="F1951" s="5"/>
      <c r="G1951" s="5"/>
      <c r="H1951" s="5"/>
      <c r="I1951" s="5"/>
      <c r="J1951" s="73"/>
      <c r="K1951" s="75" t="str">
        <f>IFERROR(__xludf.DUMMYFUNCTION("""COMPUTED_VALUE"""),"")</f>
        <v/>
      </c>
      <c r="L1951" s="75"/>
      <c r="M1951" s="46" t="s">
        <v>2002</v>
      </c>
    </row>
    <row r="1952">
      <c r="A1952" s="70"/>
      <c r="C1952" s="5" t="s">
        <v>2002</v>
      </c>
      <c r="D1952" s="5"/>
      <c r="E1952" s="5"/>
      <c r="F1952" s="5"/>
      <c r="G1952" s="5"/>
      <c r="H1952" s="5"/>
      <c r="I1952" s="5"/>
      <c r="J1952" s="73"/>
      <c r="K1952" s="75" t="str">
        <f>IFERROR(__xludf.DUMMYFUNCTION("""COMPUTED_VALUE"""),"")</f>
        <v/>
      </c>
      <c r="L1952" s="75"/>
      <c r="M1952" s="46" t="s">
        <v>2002</v>
      </c>
    </row>
    <row r="1953">
      <c r="A1953" s="70"/>
      <c r="C1953" s="5" t="s">
        <v>2002</v>
      </c>
      <c r="D1953" s="5"/>
      <c r="E1953" s="5"/>
      <c r="F1953" s="5"/>
      <c r="G1953" s="5"/>
      <c r="H1953" s="5"/>
      <c r="I1953" s="5"/>
      <c r="J1953" s="73"/>
      <c r="K1953" s="75" t="str">
        <f>IFERROR(__xludf.DUMMYFUNCTION("""COMPUTED_VALUE"""),"")</f>
        <v/>
      </c>
      <c r="L1953" s="75"/>
      <c r="M1953" s="46" t="s">
        <v>2002</v>
      </c>
    </row>
    <row r="1954">
      <c r="A1954" s="70"/>
      <c r="C1954" s="5" t="s">
        <v>2002</v>
      </c>
      <c r="D1954" s="5"/>
      <c r="E1954" s="5"/>
      <c r="F1954" s="5"/>
      <c r="G1954" s="5"/>
      <c r="H1954" s="5"/>
      <c r="I1954" s="5"/>
      <c r="J1954" s="73"/>
      <c r="K1954" s="75" t="str">
        <f>IFERROR(__xludf.DUMMYFUNCTION("""COMPUTED_VALUE"""),"")</f>
        <v/>
      </c>
      <c r="L1954" s="75"/>
      <c r="M1954" s="46" t="s">
        <v>2002</v>
      </c>
    </row>
    <row r="1955">
      <c r="A1955" s="70"/>
      <c r="C1955" s="5" t="s">
        <v>2002</v>
      </c>
      <c r="D1955" s="5"/>
      <c r="E1955" s="5"/>
      <c r="F1955" s="5"/>
      <c r="G1955" s="5"/>
      <c r="H1955" s="5"/>
      <c r="I1955" s="5"/>
      <c r="J1955" s="73"/>
      <c r="K1955" s="75" t="str">
        <f>IFERROR(__xludf.DUMMYFUNCTION("""COMPUTED_VALUE"""),"")</f>
        <v/>
      </c>
      <c r="L1955" s="75"/>
      <c r="M1955" s="46" t="s">
        <v>2002</v>
      </c>
    </row>
    <row r="1956">
      <c r="A1956" s="70"/>
      <c r="C1956" s="5" t="s">
        <v>2002</v>
      </c>
      <c r="D1956" s="5"/>
      <c r="E1956" s="5"/>
      <c r="F1956" s="5"/>
      <c r="G1956" s="5"/>
      <c r="H1956" s="5"/>
      <c r="I1956" s="5"/>
      <c r="J1956" s="73"/>
      <c r="K1956" s="75" t="str">
        <f>IFERROR(__xludf.DUMMYFUNCTION("""COMPUTED_VALUE"""),"")</f>
        <v/>
      </c>
      <c r="L1956" s="75"/>
      <c r="M1956" s="46" t="s">
        <v>2002</v>
      </c>
    </row>
    <row r="1957">
      <c r="A1957" s="70"/>
      <c r="C1957" s="5" t="s">
        <v>2002</v>
      </c>
      <c r="D1957" s="5"/>
      <c r="E1957" s="5"/>
      <c r="F1957" s="5"/>
      <c r="G1957" s="5"/>
      <c r="H1957" s="5"/>
      <c r="I1957" s="5"/>
      <c r="J1957" s="73"/>
      <c r="K1957" s="75" t="str">
        <f>IFERROR(__xludf.DUMMYFUNCTION("""COMPUTED_VALUE"""),"")</f>
        <v/>
      </c>
      <c r="L1957" s="75"/>
      <c r="M1957" s="46" t="s">
        <v>2002</v>
      </c>
    </row>
    <row r="1958">
      <c r="A1958" s="70"/>
      <c r="C1958" s="5" t="s">
        <v>2002</v>
      </c>
      <c r="D1958" s="5"/>
      <c r="E1958" s="5"/>
      <c r="F1958" s="5"/>
      <c r="G1958" s="5"/>
      <c r="H1958" s="5"/>
      <c r="I1958" s="5"/>
      <c r="J1958" s="73"/>
      <c r="K1958" s="75" t="str">
        <f>IFERROR(__xludf.DUMMYFUNCTION("""COMPUTED_VALUE"""),"")</f>
        <v/>
      </c>
      <c r="L1958" s="75"/>
      <c r="M1958" s="46" t="s">
        <v>2002</v>
      </c>
    </row>
    <row r="1959">
      <c r="A1959" s="70"/>
      <c r="C1959" s="5" t="s">
        <v>2002</v>
      </c>
      <c r="D1959" s="5"/>
      <c r="E1959" s="5"/>
      <c r="F1959" s="5"/>
      <c r="G1959" s="5"/>
      <c r="H1959" s="5"/>
      <c r="I1959" s="5"/>
      <c r="J1959" s="73"/>
      <c r="K1959" s="75" t="str">
        <f>IFERROR(__xludf.DUMMYFUNCTION("""COMPUTED_VALUE"""),"")</f>
        <v/>
      </c>
      <c r="L1959" s="75"/>
      <c r="M1959" s="46" t="s">
        <v>2002</v>
      </c>
    </row>
    <row r="1960">
      <c r="A1960" s="70"/>
      <c r="C1960" s="5" t="s">
        <v>2002</v>
      </c>
      <c r="D1960" s="5"/>
      <c r="E1960" s="5"/>
      <c r="F1960" s="5"/>
      <c r="G1960" s="5"/>
      <c r="H1960" s="5"/>
      <c r="I1960" s="5"/>
      <c r="J1960" s="73"/>
      <c r="K1960" s="75" t="str">
        <f>IFERROR(__xludf.DUMMYFUNCTION("""COMPUTED_VALUE"""),"")</f>
        <v/>
      </c>
      <c r="L1960" s="75"/>
      <c r="M1960" s="46" t="s">
        <v>2002</v>
      </c>
    </row>
    <row r="1961">
      <c r="A1961" s="70"/>
      <c r="C1961" s="5" t="s">
        <v>2002</v>
      </c>
      <c r="D1961" s="5"/>
      <c r="E1961" s="5"/>
      <c r="F1961" s="5"/>
      <c r="G1961" s="5"/>
      <c r="H1961" s="5"/>
      <c r="I1961" s="5"/>
      <c r="J1961" s="73"/>
      <c r="K1961" s="75" t="str">
        <f>IFERROR(__xludf.DUMMYFUNCTION("""COMPUTED_VALUE"""),"")</f>
        <v/>
      </c>
      <c r="L1961" s="75"/>
      <c r="M1961" s="46" t="s">
        <v>2002</v>
      </c>
    </row>
    <row r="1962">
      <c r="A1962" s="70"/>
      <c r="C1962" s="5" t="s">
        <v>2002</v>
      </c>
      <c r="D1962" s="5"/>
      <c r="E1962" s="5"/>
      <c r="F1962" s="5"/>
      <c r="G1962" s="5"/>
      <c r="H1962" s="5"/>
      <c r="I1962" s="5"/>
      <c r="J1962" s="73"/>
      <c r="K1962" s="75" t="str">
        <f>IFERROR(__xludf.DUMMYFUNCTION("""COMPUTED_VALUE"""),"")</f>
        <v/>
      </c>
      <c r="L1962" s="75"/>
      <c r="M1962" s="46" t="s">
        <v>2002</v>
      </c>
    </row>
    <row r="1963">
      <c r="A1963" s="70"/>
      <c r="C1963" s="5" t="s">
        <v>2002</v>
      </c>
      <c r="D1963" s="5"/>
      <c r="E1963" s="5"/>
      <c r="F1963" s="5"/>
      <c r="G1963" s="5"/>
      <c r="H1963" s="5"/>
      <c r="I1963" s="5"/>
      <c r="J1963" s="73"/>
      <c r="K1963" s="75" t="str">
        <f>IFERROR(__xludf.DUMMYFUNCTION("""COMPUTED_VALUE"""),"")</f>
        <v/>
      </c>
      <c r="L1963" s="75"/>
      <c r="M1963" s="46" t="s">
        <v>2002</v>
      </c>
    </row>
    <row r="1964">
      <c r="A1964" s="70"/>
      <c r="C1964" s="5" t="s">
        <v>2002</v>
      </c>
      <c r="D1964" s="5"/>
      <c r="E1964" s="5"/>
      <c r="F1964" s="5"/>
      <c r="G1964" s="5"/>
      <c r="H1964" s="5"/>
      <c r="I1964" s="5"/>
      <c r="J1964" s="73"/>
      <c r="K1964" s="75" t="str">
        <f>IFERROR(__xludf.DUMMYFUNCTION("""COMPUTED_VALUE"""),"")</f>
        <v/>
      </c>
      <c r="L1964" s="75"/>
      <c r="M1964" s="46" t="s">
        <v>2002</v>
      </c>
    </row>
    <row r="1965">
      <c r="A1965" s="70"/>
      <c r="C1965" s="5" t="s">
        <v>2002</v>
      </c>
      <c r="D1965" s="5"/>
      <c r="E1965" s="5"/>
      <c r="F1965" s="5"/>
      <c r="G1965" s="5"/>
      <c r="H1965" s="5"/>
      <c r="I1965" s="5"/>
      <c r="J1965" s="73"/>
      <c r="K1965" s="75" t="str">
        <f>IFERROR(__xludf.DUMMYFUNCTION("""COMPUTED_VALUE"""),"")</f>
        <v/>
      </c>
      <c r="L1965" s="75"/>
      <c r="M1965" s="46" t="s">
        <v>2002</v>
      </c>
    </row>
    <row r="1966">
      <c r="A1966" s="70"/>
      <c r="C1966" s="5" t="s">
        <v>2002</v>
      </c>
      <c r="D1966" s="5"/>
      <c r="E1966" s="5"/>
      <c r="F1966" s="5"/>
      <c r="G1966" s="5"/>
      <c r="H1966" s="5"/>
      <c r="I1966" s="5"/>
      <c r="J1966" s="73"/>
      <c r="K1966" s="75" t="str">
        <f>IFERROR(__xludf.DUMMYFUNCTION("""COMPUTED_VALUE"""),"")</f>
        <v/>
      </c>
      <c r="L1966" s="75"/>
      <c r="M1966" s="46" t="s">
        <v>2002</v>
      </c>
    </row>
    <row r="1967">
      <c r="A1967" s="70"/>
      <c r="C1967" s="5" t="s">
        <v>2002</v>
      </c>
      <c r="D1967" s="5"/>
      <c r="E1967" s="5"/>
      <c r="F1967" s="5"/>
      <c r="G1967" s="5"/>
      <c r="H1967" s="5"/>
      <c r="I1967" s="5"/>
      <c r="J1967" s="73"/>
      <c r="K1967" s="75" t="str">
        <f>IFERROR(__xludf.DUMMYFUNCTION("""COMPUTED_VALUE"""),"")</f>
        <v/>
      </c>
      <c r="L1967" s="75"/>
      <c r="M1967" s="46" t="s">
        <v>2002</v>
      </c>
    </row>
    <row r="1968">
      <c r="A1968" s="70"/>
      <c r="C1968" s="5" t="s">
        <v>2002</v>
      </c>
      <c r="D1968" s="5"/>
      <c r="E1968" s="5"/>
      <c r="F1968" s="5"/>
      <c r="G1968" s="5"/>
      <c r="H1968" s="5"/>
      <c r="I1968" s="5"/>
      <c r="J1968" s="73"/>
      <c r="K1968" s="75" t="str">
        <f>IFERROR(__xludf.DUMMYFUNCTION("""COMPUTED_VALUE"""),"")</f>
        <v/>
      </c>
      <c r="L1968" s="75"/>
      <c r="M1968" s="46" t="s">
        <v>2002</v>
      </c>
    </row>
    <row r="1969">
      <c r="A1969" s="70"/>
      <c r="C1969" s="5" t="s">
        <v>2002</v>
      </c>
      <c r="D1969" s="5"/>
      <c r="E1969" s="5"/>
      <c r="F1969" s="5"/>
      <c r="G1969" s="5"/>
      <c r="H1969" s="5"/>
      <c r="I1969" s="5"/>
      <c r="J1969" s="73"/>
      <c r="K1969" s="75" t="str">
        <f>IFERROR(__xludf.DUMMYFUNCTION("""COMPUTED_VALUE"""),"")</f>
        <v/>
      </c>
      <c r="L1969" s="75"/>
      <c r="M1969" s="46" t="s">
        <v>2002</v>
      </c>
    </row>
    <row r="1970">
      <c r="A1970" s="70"/>
      <c r="C1970" s="5" t="s">
        <v>2002</v>
      </c>
      <c r="D1970" s="5"/>
      <c r="E1970" s="5"/>
      <c r="F1970" s="5"/>
      <c r="G1970" s="5"/>
      <c r="H1970" s="5"/>
      <c r="I1970" s="5"/>
      <c r="J1970" s="73"/>
      <c r="K1970" s="75" t="str">
        <f>IFERROR(__xludf.DUMMYFUNCTION("""COMPUTED_VALUE"""),"")</f>
        <v/>
      </c>
      <c r="L1970" s="75"/>
      <c r="M1970" s="46" t="s">
        <v>2002</v>
      </c>
    </row>
    <row r="1971">
      <c r="A1971" s="70"/>
      <c r="C1971" s="5" t="s">
        <v>2002</v>
      </c>
      <c r="D1971" s="5"/>
      <c r="E1971" s="5"/>
      <c r="F1971" s="5"/>
      <c r="G1971" s="5"/>
      <c r="H1971" s="5"/>
      <c r="I1971" s="5"/>
      <c r="J1971" s="73"/>
      <c r="K1971" s="75" t="str">
        <f>IFERROR(__xludf.DUMMYFUNCTION("""COMPUTED_VALUE"""),"")</f>
        <v/>
      </c>
      <c r="L1971" s="75"/>
      <c r="M1971" s="46" t="s">
        <v>2002</v>
      </c>
    </row>
    <row r="1972">
      <c r="A1972" s="70"/>
      <c r="C1972" s="5" t="s">
        <v>2002</v>
      </c>
      <c r="D1972" s="5"/>
      <c r="E1972" s="5"/>
      <c r="F1972" s="5"/>
      <c r="G1972" s="5"/>
      <c r="H1972" s="5"/>
      <c r="I1972" s="5"/>
      <c r="J1972" s="73"/>
      <c r="K1972" s="75" t="str">
        <f>IFERROR(__xludf.DUMMYFUNCTION("""COMPUTED_VALUE"""),"")</f>
        <v/>
      </c>
      <c r="L1972" s="75"/>
      <c r="M1972" s="46" t="s">
        <v>2002</v>
      </c>
    </row>
    <row r="1973">
      <c r="A1973" s="70"/>
      <c r="C1973" s="5" t="s">
        <v>2002</v>
      </c>
      <c r="D1973" s="5"/>
      <c r="E1973" s="5"/>
      <c r="F1973" s="5"/>
      <c r="G1973" s="5"/>
      <c r="H1973" s="5"/>
      <c r="I1973" s="5"/>
      <c r="J1973" s="73"/>
      <c r="K1973" s="75" t="str">
        <f>IFERROR(__xludf.DUMMYFUNCTION("""COMPUTED_VALUE"""),"")</f>
        <v/>
      </c>
      <c r="L1973" s="75"/>
      <c r="M1973" s="46" t="s">
        <v>2002</v>
      </c>
    </row>
    <row r="1974">
      <c r="A1974" s="70"/>
      <c r="C1974" s="5" t="s">
        <v>2002</v>
      </c>
      <c r="D1974" s="5"/>
      <c r="E1974" s="5"/>
      <c r="F1974" s="5"/>
      <c r="G1974" s="5"/>
      <c r="H1974" s="5"/>
      <c r="I1974" s="5"/>
      <c r="J1974" s="73"/>
      <c r="K1974" s="75" t="str">
        <f>IFERROR(__xludf.DUMMYFUNCTION("""COMPUTED_VALUE"""),"")</f>
        <v/>
      </c>
      <c r="L1974" s="75"/>
      <c r="M1974" s="46" t="s">
        <v>2002</v>
      </c>
    </row>
    <row r="1975">
      <c r="A1975" s="70"/>
      <c r="C1975" s="5" t="s">
        <v>2002</v>
      </c>
      <c r="D1975" s="5"/>
      <c r="E1975" s="5"/>
      <c r="F1975" s="5"/>
      <c r="G1975" s="5"/>
      <c r="H1975" s="5"/>
      <c r="I1975" s="5"/>
      <c r="J1975" s="73"/>
      <c r="K1975" s="75" t="str">
        <f>IFERROR(__xludf.DUMMYFUNCTION("""COMPUTED_VALUE"""),"")</f>
        <v/>
      </c>
      <c r="L1975" s="75"/>
      <c r="M1975" s="46" t="s">
        <v>2002</v>
      </c>
    </row>
    <row r="1976">
      <c r="A1976" s="70"/>
      <c r="C1976" s="5" t="s">
        <v>2002</v>
      </c>
      <c r="D1976" s="5"/>
      <c r="E1976" s="5"/>
      <c r="F1976" s="5"/>
      <c r="G1976" s="5"/>
      <c r="H1976" s="5"/>
      <c r="I1976" s="5"/>
      <c r="J1976" s="73"/>
      <c r="K1976" s="75" t="str">
        <f>IFERROR(__xludf.DUMMYFUNCTION("""COMPUTED_VALUE"""),"")</f>
        <v/>
      </c>
      <c r="L1976" s="75"/>
      <c r="M1976" s="46" t="s">
        <v>2002</v>
      </c>
    </row>
    <row r="1977">
      <c r="A1977" s="70"/>
      <c r="C1977" s="5" t="s">
        <v>2002</v>
      </c>
      <c r="D1977" s="5"/>
      <c r="E1977" s="5"/>
      <c r="F1977" s="5"/>
      <c r="G1977" s="5"/>
      <c r="H1977" s="5"/>
      <c r="I1977" s="5"/>
      <c r="J1977" s="73"/>
      <c r="K1977" s="75" t="str">
        <f>IFERROR(__xludf.DUMMYFUNCTION("""COMPUTED_VALUE"""),"")</f>
        <v/>
      </c>
      <c r="L1977" s="75"/>
      <c r="M1977" s="46" t="s">
        <v>2002</v>
      </c>
    </row>
    <row r="1978">
      <c r="A1978" s="70"/>
      <c r="C1978" s="5" t="s">
        <v>2002</v>
      </c>
      <c r="D1978" s="5"/>
      <c r="E1978" s="5"/>
      <c r="F1978" s="5"/>
      <c r="G1978" s="5"/>
      <c r="H1978" s="5"/>
      <c r="I1978" s="5"/>
      <c r="J1978" s="73"/>
      <c r="K1978" s="75" t="str">
        <f>IFERROR(__xludf.DUMMYFUNCTION("""COMPUTED_VALUE"""),"")</f>
        <v/>
      </c>
      <c r="L1978" s="75"/>
      <c r="M1978" s="46" t="s">
        <v>2002</v>
      </c>
    </row>
    <row r="1979">
      <c r="A1979" s="70"/>
      <c r="C1979" s="5" t="s">
        <v>2002</v>
      </c>
      <c r="D1979" s="5"/>
      <c r="E1979" s="5"/>
      <c r="F1979" s="5"/>
      <c r="G1979" s="5"/>
      <c r="H1979" s="5"/>
      <c r="I1979" s="5"/>
      <c r="J1979" s="73"/>
      <c r="K1979" s="75" t="str">
        <f>IFERROR(__xludf.DUMMYFUNCTION("""COMPUTED_VALUE"""),"")</f>
        <v/>
      </c>
      <c r="L1979" s="75"/>
      <c r="M1979" s="46" t="s">
        <v>2002</v>
      </c>
    </row>
    <row r="1980">
      <c r="A1980" s="70"/>
      <c r="C1980" s="5" t="s">
        <v>2002</v>
      </c>
      <c r="D1980" s="5"/>
      <c r="E1980" s="5"/>
      <c r="F1980" s="5"/>
      <c r="G1980" s="5"/>
      <c r="H1980" s="5"/>
      <c r="I1980" s="5"/>
      <c r="J1980" s="73"/>
      <c r="K1980" s="75" t="str">
        <f>IFERROR(__xludf.DUMMYFUNCTION("""COMPUTED_VALUE"""),"")</f>
        <v/>
      </c>
      <c r="L1980" s="75"/>
      <c r="M1980" s="46" t="s">
        <v>2002</v>
      </c>
    </row>
    <row r="1981">
      <c r="A1981" s="70"/>
      <c r="C1981" s="5" t="s">
        <v>2002</v>
      </c>
      <c r="D1981" s="5"/>
      <c r="E1981" s="5"/>
      <c r="F1981" s="5"/>
      <c r="G1981" s="5"/>
      <c r="H1981" s="5"/>
      <c r="I1981" s="5"/>
      <c r="J1981" s="73"/>
      <c r="K1981" s="75" t="str">
        <f>IFERROR(__xludf.DUMMYFUNCTION("""COMPUTED_VALUE"""),"")</f>
        <v/>
      </c>
      <c r="L1981" s="75"/>
      <c r="M1981" s="46" t="s">
        <v>2002</v>
      </c>
    </row>
    <row r="1982">
      <c r="A1982" s="70"/>
      <c r="C1982" s="5" t="s">
        <v>2002</v>
      </c>
      <c r="D1982" s="5"/>
      <c r="E1982" s="5"/>
      <c r="F1982" s="5"/>
      <c r="G1982" s="5"/>
      <c r="H1982" s="5"/>
      <c r="I1982" s="5"/>
      <c r="J1982" s="73"/>
      <c r="K1982" s="75" t="str">
        <f>IFERROR(__xludf.DUMMYFUNCTION("""COMPUTED_VALUE"""),"")</f>
        <v/>
      </c>
      <c r="L1982" s="75"/>
      <c r="M1982" s="46" t="s">
        <v>2002</v>
      </c>
    </row>
    <row r="1983">
      <c r="A1983" s="70"/>
      <c r="C1983" s="5" t="s">
        <v>2002</v>
      </c>
      <c r="D1983" s="5"/>
      <c r="E1983" s="5"/>
      <c r="F1983" s="5"/>
      <c r="G1983" s="5"/>
      <c r="H1983" s="5"/>
      <c r="I1983" s="5"/>
      <c r="J1983" s="73"/>
      <c r="K1983" s="75" t="str">
        <f>IFERROR(__xludf.DUMMYFUNCTION("""COMPUTED_VALUE"""),"")</f>
        <v/>
      </c>
      <c r="L1983" s="75"/>
      <c r="M1983" s="46" t="s">
        <v>2002</v>
      </c>
    </row>
    <row r="1984">
      <c r="A1984" s="70"/>
      <c r="C1984" s="5" t="s">
        <v>2002</v>
      </c>
      <c r="D1984" s="5"/>
      <c r="E1984" s="5"/>
      <c r="F1984" s="5"/>
      <c r="G1984" s="5"/>
      <c r="H1984" s="5"/>
      <c r="I1984" s="5"/>
      <c r="J1984" s="73"/>
      <c r="K1984" s="75" t="str">
        <f>IFERROR(__xludf.DUMMYFUNCTION("""COMPUTED_VALUE"""),"")</f>
        <v/>
      </c>
      <c r="L1984" s="75"/>
      <c r="M1984" s="46" t="s">
        <v>2002</v>
      </c>
    </row>
    <row r="1985">
      <c r="A1985" s="70"/>
      <c r="C1985" s="5" t="s">
        <v>2002</v>
      </c>
      <c r="D1985" s="5"/>
      <c r="E1985" s="5"/>
      <c r="F1985" s="5"/>
      <c r="G1985" s="5"/>
      <c r="H1985" s="5"/>
      <c r="I1985" s="5"/>
      <c r="J1985" s="73"/>
      <c r="K1985" s="75" t="str">
        <f>IFERROR(__xludf.DUMMYFUNCTION("""COMPUTED_VALUE"""),"")</f>
        <v/>
      </c>
      <c r="L1985" s="75"/>
      <c r="M1985" s="46" t="s">
        <v>2002</v>
      </c>
    </row>
    <row r="1986">
      <c r="A1986" s="70"/>
      <c r="C1986" s="5" t="s">
        <v>2002</v>
      </c>
      <c r="D1986" s="5"/>
      <c r="E1986" s="5"/>
      <c r="F1986" s="5"/>
      <c r="G1986" s="5"/>
      <c r="H1986" s="5"/>
      <c r="I1986" s="5"/>
      <c r="J1986" s="73"/>
      <c r="K1986" s="75" t="str">
        <f>IFERROR(__xludf.DUMMYFUNCTION("""COMPUTED_VALUE"""),"")</f>
        <v/>
      </c>
      <c r="L1986" s="75"/>
      <c r="M1986" s="46" t="s">
        <v>2002</v>
      </c>
    </row>
    <row r="1987">
      <c r="A1987" s="70"/>
      <c r="C1987" s="5" t="s">
        <v>2002</v>
      </c>
      <c r="D1987" s="5"/>
      <c r="E1987" s="5"/>
      <c r="F1987" s="5"/>
      <c r="G1987" s="5"/>
      <c r="H1987" s="5"/>
      <c r="I1987" s="5"/>
      <c r="J1987" s="73"/>
      <c r="K1987" s="75" t="str">
        <f>IFERROR(__xludf.DUMMYFUNCTION("""COMPUTED_VALUE"""),"")</f>
        <v/>
      </c>
      <c r="L1987" s="75"/>
      <c r="M1987" s="46" t="s">
        <v>2002</v>
      </c>
    </row>
    <row r="1988">
      <c r="A1988" s="70"/>
      <c r="C1988" s="5" t="s">
        <v>2002</v>
      </c>
      <c r="D1988" s="5"/>
      <c r="E1988" s="5"/>
      <c r="F1988" s="5"/>
      <c r="G1988" s="5"/>
      <c r="H1988" s="5"/>
      <c r="I1988" s="5"/>
      <c r="J1988" s="73"/>
      <c r="K1988" s="75" t="str">
        <f>IFERROR(__xludf.DUMMYFUNCTION("""COMPUTED_VALUE"""),"")</f>
        <v/>
      </c>
      <c r="L1988" s="75"/>
      <c r="M1988" s="46" t="s">
        <v>2002</v>
      </c>
    </row>
    <row r="1989">
      <c r="A1989" s="70"/>
      <c r="C1989" s="5" t="s">
        <v>2002</v>
      </c>
      <c r="D1989" s="5"/>
      <c r="E1989" s="5"/>
      <c r="F1989" s="5"/>
      <c r="G1989" s="5"/>
      <c r="H1989" s="5"/>
      <c r="I1989" s="5"/>
      <c r="J1989" s="73"/>
      <c r="K1989" s="75" t="str">
        <f>IFERROR(__xludf.DUMMYFUNCTION("""COMPUTED_VALUE"""),"")</f>
        <v/>
      </c>
      <c r="L1989" s="75"/>
      <c r="M1989" s="46" t="s">
        <v>2002</v>
      </c>
    </row>
    <row r="1990">
      <c r="A1990" s="70"/>
      <c r="C1990" s="5" t="s">
        <v>2002</v>
      </c>
      <c r="D1990" s="5"/>
      <c r="E1990" s="5"/>
      <c r="F1990" s="5"/>
      <c r="G1990" s="5"/>
      <c r="H1990" s="5"/>
      <c r="I1990" s="5"/>
      <c r="J1990" s="73"/>
      <c r="K1990" s="75" t="str">
        <f>IFERROR(__xludf.DUMMYFUNCTION("""COMPUTED_VALUE"""),"")</f>
        <v/>
      </c>
      <c r="L1990" s="75"/>
      <c r="M1990" s="46" t="s">
        <v>2002</v>
      </c>
    </row>
    <row r="1991">
      <c r="A1991" s="70"/>
      <c r="C1991" s="5" t="s">
        <v>2002</v>
      </c>
      <c r="D1991" s="5"/>
      <c r="E1991" s="5"/>
      <c r="F1991" s="5"/>
      <c r="G1991" s="5"/>
      <c r="H1991" s="5"/>
      <c r="I1991" s="5"/>
      <c r="J1991" s="73"/>
      <c r="K1991" s="75" t="str">
        <f>IFERROR(__xludf.DUMMYFUNCTION("""COMPUTED_VALUE"""),"")</f>
        <v/>
      </c>
      <c r="L1991" s="75"/>
      <c r="M1991" s="46" t="s">
        <v>2002</v>
      </c>
    </row>
    <row r="1992">
      <c r="A1992" s="70"/>
      <c r="C1992" s="5" t="s">
        <v>2002</v>
      </c>
      <c r="D1992" s="5"/>
      <c r="E1992" s="5"/>
      <c r="F1992" s="5"/>
      <c r="G1992" s="5"/>
      <c r="H1992" s="5"/>
      <c r="I1992" s="5"/>
      <c r="J1992" s="73"/>
      <c r="K1992" s="75" t="str">
        <f>IFERROR(__xludf.DUMMYFUNCTION("""COMPUTED_VALUE"""),"")</f>
        <v/>
      </c>
      <c r="L1992" s="75"/>
      <c r="M1992" s="46" t="s">
        <v>2002</v>
      </c>
    </row>
    <row r="1993">
      <c r="A1993" s="70"/>
      <c r="C1993" s="5" t="s">
        <v>2002</v>
      </c>
      <c r="D1993" s="5"/>
      <c r="E1993" s="5"/>
      <c r="F1993" s="5"/>
      <c r="G1993" s="5"/>
      <c r="H1993" s="5"/>
      <c r="I1993" s="5"/>
      <c r="J1993" s="73"/>
      <c r="K1993" s="75" t="str">
        <f>IFERROR(__xludf.DUMMYFUNCTION("""COMPUTED_VALUE"""),"")</f>
        <v/>
      </c>
      <c r="L1993" s="75"/>
      <c r="M1993" s="46" t="s">
        <v>2002</v>
      </c>
    </row>
    <row r="1994">
      <c r="A1994" s="70"/>
      <c r="C1994" s="5" t="s">
        <v>2002</v>
      </c>
      <c r="D1994" s="5"/>
      <c r="E1994" s="5"/>
      <c r="F1994" s="5"/>
      <c r="G1994" s="5"/>
      <c r="H1994" s="5"/>
      <c r="I1994" s="5"/>
      <c r="J1994" s="73"/>
      <c r="K1994" s="75" t="str">
        <f>IFERROR(__xludf.DUMMYFUNCTION("""COMPUTED_VALUE"""),"")</f>
        <v/>
      </c>
      <c r="L1994" s="75"/>
      <c r="M1994" s="46" t="s">
        <v>2002</v>
      </c>
    </row>
    <row r="1995">
      <c r="A1995" s="70"/>
      <c r="C1995" s="5" t="s">
        <v>2002</v>
      </c>
      <c r="D1995" s="5"/>
      <c r="E1995" s="5"/>
      <c r="F1995" s="5"/>
      <c r="G1995" s="5"/>
      <c r="H1995" s="5"/>
      <c r="I1995" s="5"/>
      <c r="J1995" s="73"/>
      <c r="K1995" s="75" t="str">
        <f>IFERROR(__xludf.DUMMYFUNCTION("""COMPUTED_VALUE"""),"")</f>
        <v/>
      </c>
      <c r="L1995" s="75"/>
      <c r="M1995" s="46" t="s">
        <v>2002</v>
      </c>
    </row>
    <row r="1996">
      <c r="A1996" s="70"/>
      <c r="C1996" s="5" t="s">
        <v>2002</v>
      </c>
      <c r="D1996" s="5"/>
      <c r="E1996" s="5"/>
      <c r="F1996" s="5"/>
      <c r="G1996" s="5"/>
      <c r="H1996" s="5"/>
      <c r="I1996" s="5"/>
      <c r="J1996" s="73"/>
      <c r="K1996" s="75" t="str">
        <f>IFERROR(__xludf.DUMMYFUNCTION("""COMPUTED_VALUE"""),"")</f>
        <v/>
      </c>
      <c r="L1996" s="75"/>
      <c r="M1996" s="46" t="s">
        <v>2002</v>
      </c>
    </row>
    <row r="1997">
      <c r="A1997" s="70"/>
      <c r="C1997" s="5" t="s">
        <v>2002</v>
      </c>
      <c r="D1997" s="5"/>
      <c r="E1997" s="5"/>
      <c r="F1997" s="5"/>
      <c r="G1997" s="5"/>
      <c r="H1997" s="5"/>
      <c r="I1997" s="5"/>
      <c r="J1997" s="73"/>
      <c r="K1997" s="75" t="str">
        <f>IFERROR(__xludf.DUMMYFUNCTION("""COMPUTED_VALUE"""),"")</f>
        <v/>
      </c>
      <c r="L1997" s="75"/>
      <c r="M1997" s="46" t="s">
        <v>2002</v>
      </c>
    </row>
    <row r="1998">
      <c r="A1998" s="70"/>
      <c r="C1998" s="5" t="s">
        <v>2002</v>
      </c>
      <c r="D1998" s="5"/>
      <c r="E1998" s="5"/>
      <c r="F1998" s="5"/>
      <c r="G1998" s="5"/>
      <c r="H1998" s="5"/>
      <c r="I1998" s="5"/>
      <c r="J1998" s="73"/>
      <c r="K1998" s="75" t="str">
        <f>IFERROR(__xludf.DUMMYFUNCTION("""COMPUTED_VALUE"""),"")</f>
        <v/>
      </c>
      <c r="L1998" s="75"/>
      <c r="M1998" s="46" t="s">
        <v>2002</v>
      </c>
    </row>
    <row r="1999">
      <c r="A1999" s="70"/>
      <c r="C1999" s="5" t="s">
        <v>2002</v>
      </c>
      <c r="D1999" s="5"/>
      <c r="E1999" s="5"/>
      <c r="F1999" s="5"/>
      <c r="G1999" s="5"/>
      <c r="H1999" s="5"/>
      <c r="I1999" s="5"/>
      <c r="J1999" s="73"/>
      <c r="K1999" s="75" t="str">
        <f>IFERROR(__xludf.DUMMYFUNCTION("""COMPUTED_VALUE"""),"")</f>
        <v/>
      </c>
      <c r="L1999" s="75"/>
      <c r="M1999" s="46" t="s">
        <v>2002</v>
      </c>
    </row>
    <row r="2000">
      <c r="A2000" s="70"/>
      <c r="C2000" s="5" t="s">
        <v>2002</v>
      </c>
      <c r="D2000" s="5"/>
      <c r="E2000" s="5"/>
      <c r="F2000" s="5"/>
      <c r="G2000" s="5"/>
      <c r="H2000" s="5"/>
      <c r="I2000" s="5"/>
      <c r="J2000" s="73"/>
      <c r="K2000" s="75" t="str">
        <f>IFERROR(__xludf.DUMMYFUNCTION("""COMPUTED_VALUE"""),"")</f>
        <v/>
      </c>
      <c r="L2000" s="75"/>
      <c r="M2000" s="46" t="s">
        <v>2002</v>
      </c>
    </row>
    <row r="2001">
      <c r="A2001" s="70"/>
      <c r="C2001" s="5" t="s">
        <v>2002</v>
      </c>
      <c r="D2001" s="5"/>
      <c r="E2001" s="5"/>
      <c r="F2001" s="5"/>
      <c r="G2001" s="5"/>
      <c r="H2001" s="5"/>
      <c r="I2001" s="5"/>
      <c r="J2001" s="73"/>
      <c r="K2001" s="75" t="str">
        <f>IFERROR(__xludf.DUMMYFUNCTION("""COMPUTED_VALUE"""),"")</f>
        <v/>
      </c>
      <c r="L2001" s="75"/>
      <c r="M2001" s="46" t="s">
        <v>2002</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4" max="4" width="32.13"/>
  </cols>
  <sheetData>
    <row r="1">
      <c r="A1" s="53" t="s">
        <v>2</v>
      </c>
      <c r="B1" s="53" t="s">
        <v>1</v>
      </c>
      <c r="C1" s="69" t="s">
        <v>2005</v>
      </c>
      <c r="D1" s="70" t="s">
        <v>2024</v>
      </c>
      <c r="E1" s="70" t="s">
        <v>2025</v>
      </c>
      <c r="F1" s="70" t="s">
        <v>2026</v>
      </c>
      <c r="G1" s="70" t="s">
        <v>2027</v>
      </c>
      <c r="H1" s="70" t="s">
        <v>2028</v>
      </c>
      <c r="I1" s="70" t="s">
        <v>2029</v>
      </c>
      <c r="J1" s="71" t="s">
        <v>2030</v>
      </c>
      <c r="K1" s="13" t="str">
        <f>IFERROR(__xludf.DUMMYFUNCTION("{""Schedule"";arrayformula(TO_DATE(ifna(if(isblank($L$2:$L999),"""",$L$2:$L999+VLOOKUP($J$2:$J999,'gemstone template'!A:C,2,false)),"""")))}"),"Schedule")</f>
        <v>Schedule</v>
      </c>
      <c r="L1" s="72" t="s">
        <v>2031</v>
      </c>
      <c r="M1" s="70" t="str">
        <f t="array" ref="M1:M999">if(row(K:K)=1,"Condition",if(int(K:K)=TODAY(),"Yes",""))</f>
        <v>Condition</v>
      </c>
      <c r="O1" s="5" t="s">
        <v>2032</v>
      </c>
    </row>
    <row r="2">
      <c r="A2" s="70">
        <f>IFERROR(__xludf.DUMMYFUNCTION("FILTER({'Form responses 1'!C:C,'Form responses 1'!B:B},REGEXMATCH(lower('Form responses 1'!G:G),""gemtre""))
"),9.306339575E9)</f>
        <v>9306339575</v>
      </c>
      <c r="B2" s="46" t="str">
        <f>IFERROR(__xludf.DUMMYFUNCTION("""COMPUTED_VALUE"""),"Tanvi jii")</f>
        <v>Tanvi jii</v>
      </c>
      <c r="C2" s="5" t="str">
        <f t="array" ref="C2:C999">IFERROR( IF(J2:J999&lt;&gt;"",VLOOKUP(J2:J999,'gemstone template'!A:E,{3,4},0),""),"")</f>
        <v/>
      </c>
      <c r="J2" s="73"/>
      <c r="K2" s="74" t="str">
        <f>IFERROR(__xludf.DUMMYFUNCTION("""COMPUTED_VALUE"""),"")</f>
        <v/>
      </c>
      <c r="L2" s="48"/>
      <c r="M2" s="46" t="s">
        <v>2002</v>
      </c>
    </row>
    <row r="3">
      <c r="A3" s="70">
        <f>IFERROR(__xludf.DUMMYFUNCTION("""COMPUTED_VALUE"""),8.826787393E9)</f>
        <v>8826787393</v>
      </c>
      <c r="B3" s="46" t="str">
        <f>IFERROR(__xludf.DUMMYFUNCTION("""COMPUTED_VALUE"""),"D. Khanna")</f>
        <v>D. Khanna</v>
      </c>
      <c r="C3" s="46" t="s">
        <v>2002</v>
      </c>
      <c r="J3" s="73"/>
      <c r="K3" s="75" t="str">
        <f>IFERROR(__xludf.DUMMYFUNCTION("""COMPUTED_VALUE"""),"")</f>
        <v/>
      </c>
      <c r="L3" s="48"/>
      <c r="M3" s="46" t="s">
        <v>2002</v>
      </c>
    </row>
    <row r="4">
      <c r="A4" s="70">
        <f>IFERROR(__xludf.DUMMYFUNCTION("""COMPUTED_VALUE"""),9.371039211E9)</f>
        <v>9371039211</v>
      </c>
      <c r="B4" s="46" t="str">
        <f>IFERROR(__xludf.DUMMYFUNCTION("""COMPUTED_VALUE"""),"Sahab jii")</f>
        <v>Sahab jii</v>
      </c>
      <c r="C4" s="46" t="s">
        <v>2002</v>
      </c>
      <c r="J4" s="73"/>
      <c r="K4" s="74" t="str">
        <f>IFERROR(__xludf.DUMMYFUNCTION("""COMPUTED_VALUE"""),"")</f>
        <v/>
      </c>
      <c r="L4" s="48"/>
      <c r="M4" s="46" t="s">
        <v>2002</v>
      </c>
    </row>
    <row r="5">
      <c r="A5" s="70">
        <f>IFERROR(__xludf.DUMMYFUNCTION("""COMPUTED_VALUE"""),9.893376417E9)</f>
        <v>9893376417</v>
      </c>
      <c r="B5" s="46" t="str">
        <f>IFERROR(__xludf.DUMMYFUNCTION("""COMPUTED_VALUE"""),"Prajhal")</f>
        <v>Prajhal</v>
      </c>
      <c r="C5" s="46" t="s">
        <v>2002</v>
      </c>
      <c r="J5" s="73"/>
      <c r="K5" s="74" t="str">
        <f>IFERROR(__xludf.DUMMYFUNCTION("""COMPUTED_VALUE"""),"")</f>
        <v/>
      </c>
      <c r="L5" s="48"/>
      <c r="M5" s="46" t="s">
        <v>2002</v>
      </c>
    </row>
    <row r="6">
      <c r="A6" s="70">
        <f>IFERROR(__xludf.DUMMYFUNCTION("""COMPUTED_VALUE"""),9.643169967E9)</f>
        <v>9643169967</v>
      </c>
      <c r="B6" s="46" t="str">
        <f>IFERROR(__xludf.DUMMYFUNCTION("""COMPUTED_VALUE"""),"Ashish jain")</f>
        <v>Ashish jain</v>
      </c>
      <c r="C6" s="46" t="s">
        <v>2002</v>
      </c>
      <c r="J6" s="73"/>
      <c r="K6" s="74" t="str">
        <f>IFERROR(__xludf.DUMMYFUNCTION("""COMPUTED_VALUE"""),"")</f>
        <v/>
      </c>
      <c r="L6" s="48"/>
      <c r="M6" s="46" t="s">
        <v>2002</v>
      </c>
    </row>
    <row r="7">
      <c r="A7" s="70">
        <f>IFERROR(__xludf.DUMMYFUNCTION("""COMPUTED_VALUE"""),9.968473124E9)</f>
        <v>9968473124</v>
      </c>
      <c r="B7" s="46" t="str">
        <f>IFERROR(__xludf.DUMMYFUNCTION("""COMPUTED_VALUE"""),"Karuna nidhan")</f>
        <v>Karuna nidhan</v>
      </c>
      <c r="C7" s="46" t="s">
        <v>2002</v>
      </c>
      <c r="J7" s="73"/>
      <c r="K7" s="75" t="str">
        <f>IFERROR(__xludf.DUMMYFUNCTION("""COMPUTED_VALUE"""),"")</f>
        <v/>
      </c>
      <c r="L7" s="48"/>
      <c r="M7" s="46" t="s">
        <v>2002</v>
      </c>
    </row>
    <row r="8">
      <c r="A8" s="70">
        <f>IFERROR(__xludf.DUMMYFUNCTION("""COMPUTED_VALUE"""),9.89177124E9)</f>
        <v>9891771240</v>
      </c>
      <c r="B8" s="46" t="str">
        <f>IFERROR(__xludf.DUMMYFUNCTION("""COMPUTED_VALUE"""),"Chitra Tondon")</f>
        <v>Chitra Tondon</v>
      </c>
      <c r="C8" s="46" t="s">
        <v>2002</v>
      </c>
      <c r="J8" s="73"/>
      <c r="K8" s="74" t="str">
        <f>IFERROR(__xludf.DUMMYFUNCTION("""COMPUTED_VALUE"""),"")</f>
        <v/>
      </c>
      <c r="L8" s="48"/>
      <c r="M8" s="46" t="s">
        <v>2002</v>
      </c>
    </row>
    <row r="9">
      <c r="A9" s="70">
        <f>IFERROR(__xludf.DUMMYFUNCTION("""COMPUTED_VALUE"""),9.75556176E9)</f>
        <v>9755561760</v>
      </c>
      <c r="B9" s="46" t="str">
        <f>IFERROR(__xludf.DUMMYFUNCTION("""COMPUTED_VALUE"""),"Poonam ji")</f>
        <v>Poonam ji</v>
      </c>
      <c r="C9" s="46" t="s">
        <v>2002</v>
      </c>
      <c r="J9" s="73"/>
      <c r="K9" s="74" t="str">
        <f>IFERROR(__xludf.DUMMYFUNCTION("""COMPUTED_VALUE"""),"")</f>
        <v/>
      </c>
      <c r="L9" s="48"/>
      <c r="M9" s="46" t="s">
        <v>2002</v>
      </c>
    </row>
    <row r="10">
      <c r="A10" s="70">
        <f>IFERROR(__xludf.DUMMYFUNCTION("""COMPUTED_VALUE"""),9.810725225E9)</f>
        <v>9810725225</v>
      </c>
      <c r="B10" s="46" t="str">
        <f>IFERROR(__xludf.DUMMYFUNCTION("""COMPUTED_VALUE"""),"Rakhi ")</f>
        <v>Rakhi </v>
      </c>
      <c r="C10" s="5" t="s">
        <v>2002</v>
      </c>
      <c r="D10" s="5"/>
      <c r="E10" s="5"/>
      <c r="F10" s="5"/>
      <c r="G10" s="5"/>
      <c r="I10" s="5"/>
      <c r="J10" s="73"/>
      <c r="K10" s="75" t="str">
        <f>IFERROR(__xludf.DUMMYFUNCTION("""COMPUTED_VALUE"""),"")</f>
        <v/>
      </c>
      <c r="L10" s="48"/>
      <c r="M10" s="46" t="s">
        <v>2002</v>
      </c>
    </row>
    <row r="11">
      <c r="A11" s="70">
        <f>IFERROR(__xludf.DUMMYFUNCTION("""COMPUTED_VALUE"""),9.811959422E9)</f>
        <v>9811959422</v>
      </c>
      <c r="B11" s="46" t="str">
        <f>IFERROR(__xludf.DUMMYFUNCTION("""COMPUTED_VALUE"""),"Yogesh")</f>
        <v>Yogesh</v>
      </c>
      <c r="C11" s="5" t="s">
        <v>2002</v>
      </c>
      <c r="D11" s="5"/>
      <c r="E11" s="5"/>
      <c r="F11" s="5"/>
      <c r="G11" s="5"/>
      <c r="I11" s="5"/>
      <c r="J11" s="73"/>
      <c r="K11" s="75" t="str">
        <f>IFERROR(__xludf.DUMMYFUNCTION("""COMPUTED_VALUE"""),"")</f>
        <v/>
      </c>
      <c r="L11" s="48"/>
      <c r="M11" s="46" t="s">
        <v>2002</v>
      </c>
    </row>
    <row r="12">
      <c r="A12" s="70">
        <f>IFERROR(__xludf.DUMMYFUNCTION("""COMPUTED_VALUE"""),9.999008388E9)</f>
        <v>9999008388</v>
      </c>
      <c r="B12" s="46" t="str">
        <f>IFERROR(__xludf.DUMMYFUNCTION("""COMPUTED_VALUE"""),"Ruchi")</f>
        <v>Ruchi</v>
      </c>
      <c r="C12" s="5" t="s">
        <v>2002</v>
      </c>
      <c r="D12" s="5"/>
      <c r="E12" s="5"/>
      <c r="F12" s="5"/>
      <c r="G12" s="5"/>
      <c r="I12" s="5"/>
      <c r="J12" s="73"/>
      <c r="K12" s="75" t="str">
        <f>IFERROR(__xludf.DUMMYFUNCTION("""COMPUTED_VALUE"""),"")</f>
        <v/>
      </c>
      <c r="L12" s="48"/>
      <c r="M12" s="46" t="s">
        <v>2002</v>
      </c>
    </row>
    <row r="13">
      <c r="A13" s="70">
        <f>IFERROR(__xludf.DUMMYFUNCTION("""COMPUTED_VALUE"""),8.077754287E9)</f>
        <v>8077754287</v>
      </c>
      <c r="B13" s="46" t="str">
        <f>IFERROR(__xludf.DUMMYFUNCTION("""COMPUTED_VALUE"""),"Akash ji ")</f>
        <v>Akash ji </v>
      </c>
      <c r="C13" s="5" t="s">
        <v>2002</v>
      </c>
      <c r="D13" s="5"/>
      <c r="E13" s="5"/>
      <c r="F13" s="5"/>
      <c r="G13" s="5"/>
      <c r="I13" s="5"/>
      <c r="J13" s="73"/>
      <c r="K13" s="75" t="str">
        <f>IFERROR(__xludf.DUMMYFUNCTION("""COMPUTED_VALUE"""),"")</f>
        <v/>
      </c>
      <c r="L13" s="48"/>
      <c r="M13" s="46" t="s">
        <v>2002</v>
      </c>
    </row>
    <row r="14">
      <c r="A14" s="70">
        <f>IFERROR(__xludf.DUMMYFUNCTION("""COMPUTED_VALUE"""),8.588819515E9)</f>
        <v>8588819515</v>
      </c>
      <c r="B14" s="46" t="str">
        <f>IFERROR(__xludf.DUMMYFUNCTION("""COMPUTED_VALUE"""),"Sargam ji")</f>
        <v>Sargam ji</v>
      </c>
      <c r="C14" s="5" t="s">
        <v>2002</v>
      </c>
      <c r="D14" s="5"/>
      <c r="E14" s="5"/>
      <c r="F14" s="5"/>
      <c r="G14" s="5"/>
      <c r="I14" s="5"/>
      <c r="J14" s="73"/>
      <c r="K14" s="75" t="str">
        <f>IFERROR(__xludf.DUMMYFUNCTION("""COMPUTED_VALUE"""),"")</f>
        <v/>
      </c>
      <c r="L14" s="48"/>
      <c r="M14" s="46" t="s">
        <v>2002</v>
      </c>
    </row>
    <row r="15">
      <c r="A15" s="70">
        <f>IFERROR(__xludf.DUMMYFUNCTION("""COMPUTED_VALUE"""),8.076658304E9)</f>
        <v>8076658304</v>
      </c>
      <c r="B15" s="46" t="str">
        <f>IFERROR(__xludf.DUMMYFUNCTION("""COMPUTED_VALUE"""),"Vinita khandelwal")</f>
        <v>Vinita khandelwal</v>
      </c>
      <c r="C15" s="5" t="s">
        <v>2002</v>
      </c>
      <c r="D15" s="5"/>
      <c r="E15" s="5"/>
      <c r="F15" s="5"/>
      <c r="G15" s="5"/>
      <c r="H15" s="5"/>
      <c r="I15" s="5"/>
      <c r="J15" s="73"/>
      <c r="K15" s="75" t="str">
        <f>IFERROR(__xludf.DUMMYFUNCTION("""COMPUTED_VALUE"""),"")</f>
        <v/>
      </c>
      <c r="L15" s="48"/>
      <c r="M15" s="46" t="s">
        <v>2002</v>
      </c>
    </row>
    <row r="16">
      <c r="A16" s="70">
        <f>IFERROR(__xludf.DUMMYFUNCTION("""COMPUTED_VALUE"""),9.810902904E9)</f>
        <v>9810902904</v>
      </c>
      <c r="B16" s="46" t="str">
        <f>IFERROR(__xludf.DUMMYFUNCTION("""COMPUTED_VALUE"""),"Ajay ji")</f>
        <v>Ajay ji</v>
      </c>
      <c r="C16" s="5" t="s">
        <v>2002</v>
      </c>
      <c r="D16" s="5"/>
      <c r="E16" s="5"/>
      <c r="F16" s="5"/>
      <c r="G16" s="5"/>
      <c r="H16" s="5"/>
      <c r="I16" s="5"/>
      <c r="J16" s="73"/>
      <c r="K16" s="75" t="str">
        <f>IFERROR(__xludf.DUMMYFUNCTION("""COMPUTED_VALUE"""),"")</f>
        <v/>
      </c>
      <c r="L16" s="48"/>
      <c r="M16" s="46" t="s">
        <v>2002</v>
      </c>
    </row>
    <row r="17">
      <c r="A17" s="70">
        <f>IFERROR(__xludf.DUMMYFUNCTION("""COMPUTED_VALUE"""),9.821543409E9)</f>
        <v>9821543409</v>
      </c>
      <c r="B17" s="46" t="str">
        <f>IFERROR(__xludf.DUMMYFUNCTION("""COMPUTED_VALUE"""),"Jinder ji ")</f>
        <v>Jinder ji </v>
      </c>
      <c r="C17" s="5" t="s">
        <v>2002</v>
      </c>
      <c r="D17" s="5"/>
      <c r="E17" s="5"/>
      <c r="F17" s="5"/>
      <c r="G17" s="5"/>
      <c r="H17" s="5"/>
      <c r="I17" s="5"/>
      <c r="J17" s="73"/>
      <c r="K17" s="75" t="str">
        <f>IFERROR(__xludf.DUMMYFUNCTION("""COMPUTED_VALUE"""),"")</f>
        <v/>
      </c>
      <c r="L17" s="48"/>
      <c r="M17" s="46" t="s">
        <v>2002</v>
      </c>
    </row>
    <row r="18">
      <c r="A18" s="70">
        <f>IFERROR(__xludf.DUMMYFUNCTION("""COMPUTED_VALUE"""),9.646202299E9)</f>
        <v>9646202299</v>
      </c>
      <c r="B18" s="46" t="str">
        <f>IFERROR(__xludf.DUMMYFUNCTION("""COMPUTED_VALUE"""),"Aman")</f>
        <v>Aman</v>
      </c>
      <c r="C18" s="5" t="s">
        <v>2002</v>
      </c>
      <c r="D18" s="5"/>
      <c r="E18" s="5"/>
      <c r="F18" s="5"/>
      <c r="G18" s="5"/>
      <c r="H18" s="5"/>
      <c r="I18" s="5"/>
      <c r="J18" s="73"/>
      <c r="K18" s="75" t="str">
        <f>IFERROR(__xludf.DUMMYFUNCTION("""COMPUTED_VALUE"""),"")</f>
        <v/>
      </c>
      <c r="L18" s="48"/>
      <c r="M18" s="46" t="s">
        <v>2002</v>
      </c>
    </row>
    <row r="19">
      <c r="A19" s="70">
        <f>IFERROR(__xludf.DUMMYFUNCTION("""COMPUTED_VALUE"""),9.999009647E9)</f>
        <v>9999009647</v>
      </c>
      <c r="B19" s="46" t="str">
        <f>IFERROR(__xludf.DUMMYFUNCTION("""COMPUTED_VALUE"""),"Anju ")</f>
        <v>Anju </v>
      </c>
      <c r="C19" s="5" t="s">
        <v>2002</v>
      </c>
      <c r="D19" s="5"/>
      <c r="E19" s="5"/>
      <c r="F19" s="5"/>
      <c r="G19" s="5"/>
      <c r="H19" s="5"/>
      <c r="I19" s="5"/>
      <c r="J19" s="73"/>
      <c r="K19" s="75" t="str">
        <f>IFERROR(__xludf.DUMMYFUNCTION("""COMPUTED_VALUE"""),"")</f>
        <v/>
      </c>
      <c r="L19" s="48"/>
      <c r="M19" s="46" t="s">
        <v>2002</v>
      </c>
    </row>
    <row r="20">
      <c r="A20" s="70">
        <f>IFERROR(__xludf.DUMMYFUNCTION("""COMPUTED_VALUE"""),9.868145145E9)</f>
        <v>9868145145</v>
      </c>
      <c r="B20" s="46" t="str">
        <f>IFERROR(__xludf.DUMMYFUNCTION("""COMPUTED_VALUE"""),"Himanshu ji ")</f>
        <v>Himanshu ji </v>
      </c>
      <c r="C20" s="5" t="s">
        <v>2002</v>
      </c>
      <c r="D20" s="5"/>
      <c r="E20" s="5"/>
      <c r="F20" s="5"/>
      <c r="G20" s="5"/>
      <c r="H20" s="5"/>
      <c r="I20" s="5"/>
      <c r="J20" s="73"/>
      <c r="K20" s="75" t="str">
        <f>IFERROR(__xludf.DUMMYFUNCTION("""COMPUTED_VALUE"""),"")</f>
        <v/>
      </c>
      <c r="L20" s="48"/>
      <c r="M20" s="46" t="s">
        <v>2002</v>
      </c>
    </row>
    <row r="21">
      <c r="A21" s="70">
        <f>IFERROR(__xludf.DUMMYFUNCTION("""COMPUTED_VALUE"""),9.958989812E9)</f>
        <v>9958989812</v>
      </c>
      <c r="B21" s="46" t="str">
        <f>IFERROR(__xludf.DUMMYFUNCTION("""COMPUTED_VALUE"""),"Jai bhawan ")</f>
        <v>Jai bhawan </v>
      </c>
      <c r="C21" s="5" t="s">
        <v>2002</v>
      </c>
      <c r="D21" s="5"/>
      <c r="E21" s="5"/>
      <c r="F21" s="5"/>
      <c r="G21" s="5"/>
      <c r="H21" s="5"/>
      <c r="I21" s="5"/>
      <c r="J21" s="73"/>
      <c r="K21" s="75" t="str">
        <f>IFERROR(__xludf.DUMMYFUNCTION("""COMPUTED_VALUE"""),"")</f>
        <v/>
      </c>
      <c r="L21" s="48"/>
      <c r="M21" s="46" t="s">
        <v>2002</v>
      </c>
    </row>
    <row r="22">
      <c r="A22" s="70">
        <f>IFERROR(__xludf.DUMMYFUNCTION("""COMPUTED_VALUE"""),9.050618274E9)</f>
        <v>9050618274</v>
      </c>
      <c r="B22" s="46" t="str">
        <f>IFERROR(__xludf.DUMMYFUNCTION("""COMPUTED_VALUE"""),"Roshni ")</f>
        <v>Roshni </v>
      </c>
      <c r="C22" s="5" t="s">
        <v>2002</v>
      </c>
      <c r="D22" s="5"/>
      <c r="E22" s="5"/>
      <c r="F22" s="5"/>
      <c r="G22" s="5"/>
      <c r="H22" s="5"/>
      <c r="I22" s="5"/>
      <c r="J22" s="73"/>
      <c r="K22" s="75" t="str">
        <f>IFERROR(__xludf.DUMMYFUNCTION("""COMPUTED_VALUE"""),"")</f>
        <v/>
      </c>
      <c r="L22" s="48"/>
      <c r="M22" s="46" t="s">
        <v>2002</v>
      </c>
    </row>
    <row r="23">
      <c r="A23" s="70">
        <f>IFERROR(__xludf.DUMMYFUNCTION("""COMPUTED_VALUE"""),9.212517669E9)</f>
        <v>9212517669</v>
      </c>
      <c r="B23" s="46" t="str">
        <f>IFERROR(__xludf.DUMMYFUNCTION("""COMPUTED_VALUE"""),"Naveen ji")</f>
        <v>Naveen ji</v>
      </c>
      <c r="C23" s="5" t="s">
        <v>2002</v>
      </c>
      <c r="D23" s="5"/>
      <c r="E23" s="5"/>
      <c r="F23" s="5"/>
      <c r="G23" s="5"/>
      <c r="H23" s="5"/>
      <c r="I23" s="5"/>
      <c r="J23" s="73"/>
      <c r="K23" s="75" t="str">
        <f>IFERROR(__xludf.DUMMYFUNCTION("""COMPUTED_VALUE"""),"")</f>
        <v/>
      </c>
      <c r="L23" s="48"/>
      <c r="M23" s="46" t="s">
        <v>2002</v>
      </c>
    </row>
    <row r="24">
      <c r="A24" s="70">
        <f>IFERROR(__xludf.DUMMYFUNCTION("""COMPUTED_VALUE"""),9.599317993E9)</f>
        <v>9599317993</v>
      </c>
      <c r="B24" s="46" t="str">
        <f>IFERROR(__xludf.DUMMYFUNCTION("""COMPUTED_VALUE"""),"Kamal ji")</f>
        <v>Kamal ji</v>
      </c>
      <c r="C24" s="5" t="s">
        <v>2002</v>
      </c>
      <c r="D24" s="5"/>
      <c r="E24" s="5"/>
      <c r="F24" s="5"/>
      <c r="G24" s="5"/>
      <c r="H24" s="5"/>
      <c r="I24" s="5"/>
      <c r="J24" s="73"/>
      <c r="K24" s="75" t="str">
        <f>IFERROR(__xludf.DUMMYFUNCTION("""COMPUTED_VALUE"""),"")</f>
        <v/>
      </c>
      <c r="L24" s="48"/>
      <c r="M24" s="46" t="s">
        <v>2002</v>
      </c>
    </row>
    <row r="25">
      <c r="A25" s="70">
        <f>IFERROR(__xludf.DUMMYFUNCTION("""COMPUTED_VALUE"""),9.210479043E9)</f>
        <v>9210479043</v>
      </c>
      <c r="B25" s="46" t="str">
        <f>IFERROR(__xludf.DUMMYFUNCTION("""COMPUTED_VALUE"""),"Sk ")</f>
        <v>Sk </v>
      </c>
      <c r="C25" s="5" t="s">
        <v>2002</v>
      </c>
      <c r="D25" s="5"/>
      <c r="E25" s="5"/>
      <c r="F25" s="5"/>
      <c r="G25" s="5"/>
      <c r="H25" s="5"/>
      <c r="I25" s="5"/>
      <c r="J25" s="73"/>
      <c r="K25" s="75" t="str">
        <f>IFERROR(__xludf.DUMMYFUNCTION("""COMPUTED_VALUE"""),"")</f>
        <v/>
      </c>
      <c r="L25" s="48"/>
      <c r="M25" s="46" t="s">
        <v>2002</v>
      </c>
    </row>
    <row r="26">
      <c r="A26" s="70">
        <f>IFERROR(__xludf.DUMMYFUNCTION("""COMPUTED_VALUE"""),8.527443388E9)</f>
        <v>8527443388</v>
      </c>
      <c r="B26" s="46" t="str">
        <f>IFERROR(__xludf.DUMMYFUNCTION("""COMPUTED_VALUE"""),"ppp")</f>
        <v>ppp</v>
      </c>
      <c r="C26" s="5" t="s">
        <v>2002</v>
      </c>
      <c r="D26" s="5"/>
      <c r="E26" s="5"/>
      <c r="F26" s="5"/>
      <c r="G26" s="5"/>
      <c r="H26" s="5"/>
      <c r="I26" s="5"/>
      <c r="J26" s="73"/>
      <c r="K26" s="75" t="str">
        <f>IFERROR(__xludf.DUMMYFUNCTION("""COMPUTED_VALUE"""),"")</f>
        <v/>
      </c>
      <c r="L26" s="48"/>
      <c r="M26" s="46" t="s">
        <v>2002</v>
      </c>
    </row>
    <row r="27">
      <c r="A27" s="70">
        <f>IFERROR(__xludf.DUMMYFUNCTION("""COMPUTED_VALUE"""),9.899887681E9)</f>
        <v>9899887681</v>
      </c>
      <c r="B27" s="46" t="str">
        <f>IFERROR(__xludf.DUMMYFUNCTION("""COMPUTED_VALUE"""),"Sk gupta")</f>
        <v>Sk gupta</v>
      </c>
      <c r="C27" s="5" t="s">
        <v>2002</v>
      </c>
      <c r="D27" s="5"/>
      <c r="E27" s="5"/>
      <c r="F27" s="5"/>
      <c r="G27" s="5"/>
      <c r="H27" s="5"/>
      <c r="I27" s="5"/>
      <c r="J27" s="73"/>
      <c r="K27" s="75" t="str">
        <f>IFERROR(__xludf.DUMMYFUNCTION("""COMPUTED_VALUE"""),"")</f>
        <v/>
      </c>
      <c r="L27" s="48"/>
      <c r="M27" s="46" t="s">
        <v>2002</v>
      </c>
    </row>
    <row r="28">
      <c r="A28" s="70">
        <f>IFERROR(__xludf.DUMMYFUNCTION("""COMPUTED_VALUE"""),9.81126124E9)</f>
        <v>9811261240</v>
      </c>
      <c r="B28" s="46" t="str">
        <f>IFERROR(__xludf.DUMMYFUNCTION("""COMPUTED_VALUE"""),"Amit kumar")</f>
        <v>Amit kumar</v>
      </c>
      <c r="C28" s="5" t="s">
        <v>2002</v>
      </c>
      <c r="D28" s="5"/>
      <c r="E28" s="5"/>
      <c r="F28" s="5"/>
      <c r="G28" s="5"/>
      <c r="H28" s="5"/>
      <c r="I28" s="5"/>
      <c r="J28" s="73"/>
      <c r="K28" s="75" t="str">
        <f>IFERROR(__xludf.DUMMYFUNCTION("""COMPUTED_VALUE"""),"")</f>
        <v/>
      </c>
      <c r="L28" s="48"/>
      <c r="M28" s="46" t="s">
        <v>2002</v>
      </c>
    </row>
    <row r="29">
      <c r="A29" s="70">
        <f>IFERROR(__xludf.DUMMYFUNCTION("""COMPUTED_VALUE"""),8.295375731E9)</f>
        <v>8295375731</v>
      </c>
      <c r="B29" s="46" t="str">
        <f>IFERROR(__xludf.DUMMYFUNCTION("""COMPUTED_VALUE"""),"Ajay ")</f>
        <v>Ajay </v>
      </c>
      <c r="C29" s="5" t="s">
        <v>2002</v>
      </c>
      <c r="D29" s="5"/>
      <c r="E29" s="5"/>
      <c r="F29" s="5"/>
      <c r="G29" s="5"/>
      <c r="H29" s="5"/>
      <c r="I29" s="5"/>
      <c r="J29" s="73"/>
      <c r="K29" s="75" t="str">
        <f>IFERROR(__xludf.DUMMYFUNCTION("""COMPUTED_VALUE"""),"")</f>
        <v/>
      </c>
      <c r="L29" s="48"/>
      <c r="M29" s="46" t="s">
        <v>2002</v>
      </c>
    </row>
    <row r="30">
      <c r="A30" s="70">
        <f>IFERROR(__xludf.DUMMYFUNCTION("""COMPUTED_VALUE"""),9.810204425E9)</f>
        <v>9810204425</v>
      </c>
      <c r="B30" s="46" t="str">
        <f>IFERROR(__xludf.DUMMYFUNCTION("""COMPUTED_VALUE"""),"Manoj ")</f>
        <v>Manoj </v>
      </c>
      <c r="C30" s="5" t="s">
        <v>2002</v>
      </c>
      <c r="D30" s="5"/>
      <c r="E30" s="5"/>
      <c r="F30" s="5"/>
      <c r="G30" s="5"/>
      <c r="H30" s="5"/>
      <c r="I30" s="5"/>
      <c r="J30" s="73"/>
      <c r="K30" s="75" t="str">
        <f>IFERROR(__xludf.DUMMYFUNCTION("""COMPUTED_VALUE"""),"")</f>
        <v/>
      </c>
      <c r="L30" s="48"/>
      <c r="M30" s="46" t="s">
        <v>2002</v>
      </c>
    </row>
    <row r="31">
      <c r="A31" s="70">
        <f>IFERROR(__xludf.DUMMYFUNCTION("""COMPUTED_VALUE"""),8.448704567E9)</f>
        <v>8448704567</v>
      </c>
      <c r="B31" s="46" t="str">
        <f>IFERROR(__xludf.DUMMYFUNCTION("""COMPUTED_VALUE"""),"Ahmed")</f>
        <v>Ahmed</v>
      </c>
      <c r="C31" s="5" t="s">
        <v>2002</v>
      </c>
      <c r="D31" s="5"/>
      <c r="E31" s="5"/>
      <c r="F31" s="5"/>
      <c r="G31" s="5"/>
      <c r="H31" s="5"/>
      <c r="I31" s="5"/>
      <c r="J31" s="73"/>
      <c r="K31" s="75" t="str">
        <f>IFERROR(__xludf.DUMMYFUNCTION("""COMPUTED_VALUE"""),"")</f>
        <v/>
      </c>
      <c r="L31" s="48"/>
      <c r="M31" s="46" t="s">
        <v>2002</v>
      </c>
    </row>
    <row r="32">
      <c r="A32" s="70">
        <f>IFERROR(__xludf.DUMMYFUNCTION("""COMPUTED_VALUE"""),9.667155569E9)</f>
        <v>9667155569</v>
      </c>
      <c r="B32" s="46" t="str">
        <f>IFERROR(__xludf.DUMMYFUNCTION("""COMPUTED_VALUE"""),"Sonu aggrawal ")</f>
        <v>Sonu aggrawal </v>
      </c>
      <c r="C32" s="5" t="s">
        <v>2002</v>
      </c>
      <c r="D32" s="5"/>
      <c r="E32" s="5"/>
      <c r="F32" s="5"/>
      <c r="G32" s="5"/>
      <c r="H32" s="5"/>
      <c r="I32" s="5"/>
      <c r="J32" s="73"/>
      <c r="K32" s="75" t="str">
        <f>IFERROR(__xludf.DUMMYFUNCTION("""COMPUTED_VALUE"""),"")</f>
        <v/>
      </c>
      <c r="L32" s="48"/>
      <c r="M32" s="46" t="s">
        <v>2002</v>
      </c>
    </row>
    <row r="33">
      <c r="A33" s="70">
        <f>IFERROR(__xludf.DUMMYFUNCTION("""COMPUTED_VALUE"""),9.603929783E9)</f>
        <v>9603929783</v>
      </c>
      <c r="B33" s="46" t="str">
        <f>IFERROR(__xludf.DUMMYFUNCTION("""COMPUTED_VALUE"""),"Lalit kumar ")</f>
        <v>Lalit kumar </v>
      </c>
      <c r="C33" s="5" t="s">
        <v>2002</v>
      </c>
      <c r="D33" s="5"/>
      <c r="E33" s="5"/>
      <c r="F33" s="5"/>
      <c r="G33" s="5"/>
      <c r="H33" s="5"/>
      <c r="I33" s="5"/>
      <c r="J33" s="73"/>
      <c r="K33" s="75" t="str">
        <f>IFERROR(__xludf.DUMMYFUNCTION("""COMPUTED_VALUE"""),"")</f>
        <v/>
      </c>
      <c r="L33" s="48"/>
      <c r="M33" s="46" t="s">
        <v>2002</v>
      </c>
    </row>
    <row r="34">
      <c r="A34" s="70">
        <f>IFERROR(__xludf.DUMMYFUNCTION("""COMPUTED_VALUE"""),9.711010603E9)</f>
        <v>9711010603</v>
      </c>
      <c r="B34" s="46" t="str">
        <f>IFERROR(__xludf.DUMMYFUNCTION("""COMPUTED_VALUE"""),"Vivek")</f>
        <v>Vivek</v>
      </c>
      <c r="C34" s="5" t="s">
        <v>2002</v>
      </c>
      <c r="D34" s="5"/>
      <c r="E34" s="5"/>
      <c r="F34" s="5"/>
      <c r="G34" s="5"/>
      <c r="H34" s="5"/>
      <c r="I34" s="5"/>
      <c r="J34" s="73"/>
      <c r="K34" s="75" t="str">
        <f>IFERROR(__xludf.DUMMYFUNCTION("""COMPUTED_VALUE"""),"")</f>
        <v/>
      </c>
      <c r="L34" s="48"/>
      <c r="M34" s="46" t="s">
        <v>2002</v>
      </c>
    </row>
    <row r="35">
      <c r="A35" s="70">
        <f>IFERROR(__xludf.DUMMYFUNCTION("""COMPUTED_VALUE"""),9.711010603E9)</f>
        <v>9711010603</v>
      </c>
      <c r="B35" s="46" t="str">
        <f>IFERROR(__xludf.DUMMYFUNCTION("""COMPUTED_VALUE"""),"Vivek ")</f>
        <v>Vivek </v>
      </c>
      <c r="C35" s="5" t="s">
        <v>2002</v>
      </c>
      <c r="D35" s="5"/>
      <c r="E35" s="5"/>
      <c r="F35" s="5"/>
      <c r="G35" s="5"/>
      <c r="H35" s="5"/>
      <c r="I35" s="5"/>
      <c r="J35" s="73"/>
      <c r="K35" s="75" t="str">
        <f>IFERROR(__xludf.DUMMYFUNCTION("""COMPUTED_VALUE"""),"")</f>
        <v/>
      </c>
      <c r="L35" s="48"/>
      <c r="M35" s="46" t="s">
        <v>2002</v>
      </c>
    </row>
    <row r="36">
      <c r="A36" s="70">
        <f>IFERROR(__xludf.DUMMYFUNCTION("""COMPUTED_VALUE"""),9.810483592E9)</f>
        <v>9810483592</v>
      </c>
      <c r="B36" s="46" t="str">
        <f>IFERROR(__xludf.DUMMYFUNCTION("""COMPUTED_VALUE"""),"Ruchika ")</f>
        <v>Ruchika </v>
      </c>
      <c r="C36" s="5" t="s">
        <v>2002</v>
      </c>
      <c r="D36" s="5"/>
      <c r="E36" s="5"/>
      <c r="F36" s="5"/>
      <c r="G36" s="5"/>
      <c r="H36" s="5"/>
      <c r="I36" s="5"/>
      <c r="J36" s="73"/>
      <c r="K36" s="75" t="str">
        <f>IFERROR(__xludf.DUMMYFUNCTION("""COMPUTED_VALUE"""),"")</f>
        <v/>
      </c>
      <c r="L36" s="48"/>
      <c r="M36" s="46" t="s">
        <v>2002</v>
      </c>
    </row>
    <row r="37">
      <c r="A37" s="70">
        <f>IFERROR(__xludf.DUMMYFUNCTION("""COMPUTED_VALUE"""),9.811550014E9)</f>
        <v>9811550014</v>
      </c>
      <c r="B37" s="46" t="str">
        <f>IFERROR(__xludf.DUMMYFUNCTION("""COMPUTED_VALUE"""),"Seema")</f>
        <v>Seema</v>
      </c>
      <c r="C37" s="5" t="s">
        <v>2002</v>
      </c>
      <c r="D37" s="5"/>
      <c r="E37" s="5"/>
      <c r="F37" s="5"/>
      <c r="G37" s="5"/>
      <c r="H37" s="5"/>
      <c r="I37" s="5"/>
      <c r="J37" s="73"/>
      <c r="K37" s="75" t="str">
        <f>IFERROR(__xludf.DUMMYFUNCTION("""COMPUTED_VALUE"""),"")</f>
        <v/>
      </c>
      <c r="L37" s="48"/>
      <c r="M37" s="46" t="s">
        <v>2002</v>
      </c>
    </row>
    <row r="38">
      <c r="A38" s="70">
        <f>IFERROR(__xludf.DUMMYFUNCTION("""COMPUTED_VALUE"""),7.011650745E9)</f>
        <v>7011650745</v>
      </c>
      <c r="B38" s="46" t="str">
        <f>IFERROR(__xludf.DUMMYFUNCTION("""COMPUTED_VALUE"""),"Ganesh ")</f>
        <v>Ganesh </v>
      </c>
      <c r="C38" s="5" t="s">
        <v>2002</v>
      </c>
      <c r="D38" s="5"/>
      <c r="E38" s="5"/>
      <c r="F38" s="5"/>
      <c r="G38" s="5"/>
      <c r="H38" s="5"/>
      <c r="I38" s="5"/>
      <c r="J38" s="73"/>
      <c r="K38" s="75" t="str">
        <f>IFERROR(__xludf.DUMMYFUNCTION("""COMPUTED_VALUE"""),"")</f>
        <v/>
      </c>
      <c r="L38" s="48"/>
      <c r="M38" s="46" t="s">
        <v>2002</v>
      </c>
    </row>
    <row r="39">
      <c r="A39" s="70">
        <f>IFERROR(__xludf.DUMMYFUNCTION("""COMPUTED_VALUE"""),8.287333626E9)</f>
        <v>8287333626</v>
      </c>
      <c r="B39" s="46" t="str">
        <f>IFERROR(__xludf.DUMMYFUNCTION("""COMPUTED_VALUE"""),"Bhupendra ji")</f>
        <v>Bhupendra ji</v>
      </c>
      <c r="C39" s="5" t="s">
        <v>2002</v>
      </c>
      <c r="D39" s="5"/>
      <c r="E39" s="5"/>
      <c r="F39" s="5"/>
      <c r="G39" s="5"/>
      <c r="H39" s="5"/>
      <c r="I39" s="5"/>
      <c r="J39" s="73"/>
      <c r="K39" s="75" t="str">
        <f>IFERROR(__xludf.DUMMYFUNCTION("""COMPUTED_VALUE"""),"")</f>
        <v/>
      </c>
      <c r="L39" s="48"/>
      <c r="M39" s="46" t="s">
        <v>2002</v>
      </c>
    </row>
    <row r="40">
      <c r="A40" s="70">
        <f>IFERROR(__xludf.DUMMYFUNCTION("""COMPUTED_VALUE"""),7.906163599E9)</f>
        <v>7906163599</v>
      </c>
      <c r="B40" s="46" t="str">
        <f>IFERROR(__xludf.DUMMYFUNCTION("""COMPUTED_VALUE"""),"Piyush gupta ")</f>
        <v>Piyush gupta </v>
      </c>
      <c r="C40" s="5" t="s">
        <v>2002</v>
      </c>
      <c r="D40" s="5"/>
      <c r="E40" s="5"/>
      <c r="F40" s="5"/>
      <c r="G40" s="5"/>
      <c r="H40" s="5"/>
      <c r="I40" s="5"/>
      <c r="J40" s="73"/>
      <c r="K40" s="75" t="str">
        <f>IFERROR(__xludf.DUMMYFUNCTION("""COMPUTED_VALUE"""),"")</f>
        <v/>
      </c>
      <c r="L40" s="48"/>
      <c r="M40" s="46" t="s">
        <v>2002</v>
      </c>
    </row>
    <row r="41">
      <c r="A41" s="70">
        <f>IFERROR(__xludf.DUMMYFUNCTION("""COMPUTED_VALUE"""),9.953249522E9)</f>
        <v>9953249522</v>
      </c>
      <c r="B41" s="46" t="str">
        <f>IFERROR(__xludf.DUMMYFUNCTION("""COMPUTED_VALUE"""),"Akash ")</f>
        <v>Akash </v>
      </c>
      <c r="C41" s="5" t="s">
        <v>2002</v>
      </c>
      <c r="D41" s="5"/>
      <c r="E41" s="5"/>
      <c r="F41" s="5"/>
      <c r="G41" s="5"/>
      <c r="H41" s="5"/>
      <c r="I41" s="5"/>
      <c r="J41" s="73"/>
      <c r="K41" s="75" t="str">
        <f>IFERROR(__xludf.DUMMYFUNCTION("""COMPUTED_VALUE"""),"")</f>
        <v/>
      </c>
      <c r="L41" s="48"/>
      <c r="M41" s="46" t="s">
        <v>2002</v>
      </c>
    </row>
    <row r="42">
      <c r="A42" s="70">
        <f>IFERROR(__xludf.DUMMYFUNCTION("""COMPUTED_VALUE"""),9.871740343E9)</f>
        <v>9871740343</v>
      </c>
      <c r="B42" s="46" t="str">
        <f>IFERROR(__xludf.DUMMYFUNCTION("""COMPUTED_VALUE"""),"Naveen ji ")</f>
        <v>Naveen ji </v>
      </c>
      <c r="C42" s="5" t="s">
        <v>2002</v>
      </c>
      <c r="D42" s="5"/>
      <c r="E42" s="5"/>
      <c r="F42" s="5"/>
      <c r="G42" s="5"/>
      <c r="H42" s="5"/>
      <c r="I42" s="5"/>
      <c r="J42" s="73"/>
      <c r="K42" s="75" t="str">
        <f>IFERROR(__xludf.DUMMYFUNCTION("""COMPUTED_VALUE"""),"")</f>
        <v/>
      </c>
      <c r="L42" s="48"/>
      <c r="M42" s="46" t="s">
        <v>2002</v>
      </c>
    </row>
    <row r="43">
      <c r="A43" s="70">
        <f>IFERROR(__xludf.DUMMYFUNCTION("""COMPUTED_VALUE"""),9.81859917E9)</f>
        <v>9818599170</v>
      </c>
      <c r="B43" s="46" t="str">
        <f>IFERROR(__xludf.DUMMYFUNCTION("""COMPUTED_VALUE"""),"Push Pender ")</f>
        <v>Push Pender </v>
      </c>
      <c r="C43" s="5" t="s">
        <v>2002</v>
      </c>
      <c r="D43" s="5"/>
      <c r="E43" s="5"/>
      <c r="F43" s="5"/>
      <c r="G43" s="5"/>
      <c r="H43" s="5"/>
      <c r="I43" s="5"/>
      <c r="J43" s="73"/>
      <c r="K43" s="75" t="str">
        <f>IFERROR(__xludf.DUMMYFUNCTION("""COMPUTED_VALUE"""),"")</f>
        <v/>
      </c>
      <c r="L43" s="48"/>
      <c r="M43" s="46" t="s">
        <v>2002</v>
      </c>
    </row>
    <row r="44">
      <c r="A44" s="70">
        <f>IFERROR(__xludf.DUMMYFUNCTION("""COMPUTED_VALUE"""),9.891112708E9)</f>
        <v>9891112708</v>
      </c>
      <c r="B44" s="46" t="str">
        <f>IFERROR(__xludf.DUMMYFUNCTION("""COMPUTED_VALUE"""),"Surender")</f>
        <v>Surender</v>
      </c>
      <c r="C44" s="5" t="s">
        <v>2002</v>
      </c>
      <c r="D44" s="5"/>
      <c r="E44" s="5"/>
      <c r="F44" s="5"/>
      <c r="G44" s="5"/>
      <c r="H44" s="5"/>
      <c r="I44" s="5"/>
      <c r="J44" s="73"/>
      <c r="K44" s="75" t="str">
        <f>IFERROR(__xludf.DUMMYFUNCTION("""COMPUTED_VALUE"""),"")</f>
        <v/>
      </c>
      <c r="L44" s="48"/>
      <c r="M44" s="46" t="s">
        <v>2002</v>
      </c>
    </row>
    <row r="45">
      <c r="A45" s="70">
        <f>IFERROR(__xludf.DUMMYFUNCTION("""COMPUTED_VALUE"""),9.896524444E9)</f>
        <v>9896524444</v>
      </c>
      <c r="B45" s="46" t="str">
        <f>IFERROR(__xludf.DUMMYFUNCTION("""COMPUTED_VALUE"""),"Geeta")</f>
        <v>Geeta</v>
      </c>
      <c r="C45" s="5" t="s">
        <v>2002</v>
      </c>
      <c r="D45" s="5"/>
      <c r="E45" s="5"/>
      <c r="F45" s="5"/>
      <c r="G45" s="5"/>
      <c r="H45" s="5"/>
      <c r="I45" s="5"/>
      <c r="J45" s="73"/>
      <c r="K45" s="75" t="str">
        <f>IFERROR(__xludf.DUMMYFUNCTION("""COMPUTED_VALUE"""),"")</f>
        <v/>
      </c>
      <c r="L45" s="48"/>
      <c r="M45" s="46" t="s">
        <v>2002</v>
      </c>
    </row>
    <row r="46">
      <c r="A46" s="70">
        <f>IFERROR(__xludf.DUMMYFUNCTION("""COMPUTED_VALUE"""),9.81886679E9)</f>
        <v>9818866790</v>
      </c>
      <c r="B46" s="46" t="str">
        <f>IFERROR(__xludf.DUMMYFUNCTION("""COMPUTED_VALUE"""),"Ushama")</f>
        <v>Ushama</v>
      </c>
      <c r="C46" s="5" t="s">
        <v>2002</v>
      </c>
      <c r="D46" s="5"/>
      <c r="E46" s="5"/>
      <c r="F46" s="5"/>
      <c r="G46" s="5"/>
      <c r="H46" s="5"/>
      <c r="I46" s="5"/>
      <c r="J46" s="73"/>
      <c r="K46" s="75" t="str">
        <f>IFERROR(__xludf.DUMMYFUNCTION("""COMPUTED_VALUE"""),"")</f>
        <v/>
      </c>
      <c r="L46" s="48"/>
      <c r="M46" s="46" t="s">
        <v>2002</v>
      </c>
    </row>
    <row r="47">
      <c r="A47" s="70">
        <f>IFERROR(__xludf.DUMMYFUNCTION("""COMPUTED_VALUE"""),9.313468566E9)</f>
        <v>9313468566</v>
      </c>
      <c r="B47" s="46" t="str">
        <f>IFERROR(__xludf.DUMMYFUNCTION("""COMPUTED_VALUE"""),"Shailesh ")</f>
        <v>Shailesh </v>
      </c>
      <c r="C47" s="5" t="s">
        <v>2002</v>
      </c>
      <c r="D47" s="5"/>
      <c r="E47" s="5"/>
      <c r="F47" s="5"/>
      <c r="G47" s="5"/>
      <c r="H47" s="5"/>
      <c r="I47" s="5"/>
      <c r="J47" s="73"/>
      <c r="K47" s="75" t="str">
        <f>IFERROR(__xludf.DUMMYFUNCTION("""COMPUTED_VALUE"""),"")</f>
        <v/>
      </c>
      <c r="L47" s="48"/>
      <c r="M47" s="46" t="s">
        <v>2002</v>
      </c>
    </row>
    <row r="48">
      <c r="A48" s="70">
        <f>IFERROR(__xludf.DUMMYFUNCTION("""COMPUTED_VALUE"""),9.654175618E9)</f>
        <v>9654175618</v>
      </c>
      <c r="B48" s="46" t="str">
        <f>IFERROR(__xludf.DUMMYFUNCTION("""COMPUTED_VALUE"""),"BRIJESH JI")</f>
        <v>BRIJESH JI</v>
      </c>
      <c r="C48" s="5" t="s">
        <v>2002</v>
      </c>
      <c r="D48" s="5"/>
      <c r="E48" s="5"/>
      <c r="F48" s="5"/>
      <c r="G48" s="5"/>
      <c r="H48" s="5"/>
      <c r="I48" s="5"/>
      <c r="J48" s="73"/>
      <c r="K48" s="75" t="str">
        <f>IFERROR(__xludf.DUMMYFUNCTION("""COMPUTED_VALUE"""),"")</f>
        <v/>
      </c>
      <c r="L48" s="48"/>
      <c r="M48" s="46" t="s">
        <v>2002</v>
      </c>
    </row>
    <row r="49">
      <c r="A49" s="70">
        <f>IFERROR(__xludf.DUMMYFUNCTION("""COMPUTED_VALUE"""),9.811683208E9)</f>
        <v>9811683208</v>
      </c>
      <c r="B49" s="46" t="str">
        <f>IFERROR(__xludf.DUMMYFUNCTION("""COMPUTED_VALUE"""),"Rajendra ")</f>
        <v>Rajendra </v>
      </c>
      <c r="C49" s="5" t="s">
        <v>2002</v>
      </c>
      <c r="D49" s="5"/>
      <c r="E49" s="5"/>
      <c r="F49" s="5"/>
      <c r="G49" s="5"/>
      <c r="H49" s="5"/>
      <c r="I49" s="5"/>
      <c r="J49" s="73"/>
      <c r="K49" s="75" t="str">
        <f>IFERROR(__xludf.DUMMYFUNCTION("""COMPUTED_VALUE"""),"")</f>
        <v/>
      </c>
      <c r="L49" s="48"/>
      <c r="M49" s="46" t="s">
        <v>2002</v>
      </c>
    </row>
    <row r="50">
      <c r="A50" s="70">
        <f>IFERROR(__xludf.DUMMYFUNCTION("""COMPUTED_VALUE"""),9.95891963E9)</f>
        <v>9958919630</v>
      </c>
      <c r="B50" s="46" t="str">
        <f>IFERROR(__xludf.DUMMYFUNCTION("""COMPUTED_VALUE"""),"Jyoti ji")</f>
        <v>Jyoti ji</v>
      </c>
      <c r="C50" s="5" t="s">
        <v>2002</v>
      </c>
      <c r="D50" s="5"/>
      <c r="E50" s="5"/>
      <c r="F50" s="5"/>
      <c r="G50" s="5"/>
      <c r="H50" s="5"/>
      <c r="I50" s="5"/>
      <c r="J50" s="73"/>
      <c r="K50" s="75" t="str">
        <f>IFERROR(__xludf.DUMMYFUNCTION("""COMPUTED_VALUE"""),"")</f>
        <v/>
      </c>
      <c r="L50" s="48"/>
      <c r="M50" s="46" t="s">
        <v>2002</v>
      </c>
    </row>
    <row r="51">
      <c r="A51" s="70">
        <f>IFERROR(__xludf.DUMMYFUNCTION("""COMPUTED_VALUE"""),8.895734798E9)</f>
        <v>8895734798</v>
      </c>
      <c r="B51" s="46" t="str">
        <f>IFERROR(__xludf.DUMMYFUNCTION("""COMPUTED_VALUE"""),"Mohit ")</f>
        <v>Mohit </v>
      </c>
      <c r="C51" s="5" t="s">
        <v>2002</v>
      </c>
      <c r="D51" s="5"/>
      <c r="E51" s="5"/>
      <c r="F51" s="5"/>
      <c r="G51" s="5"/>
      <c r="H51" s="5"/>
      <c r="I51" s="5"/>
      <c r="J51" s="73"/>
      <c r="K51" s="75" t="str">
        <f>IFERROR(__xludf.DUMMYFUNCTION("""COMPUTED_VALUE"""),"")</f>
        <v/>
      </c>
      <c r="L51" s="48"/>
      <c r="M51" s="46" t="s">
        <v>2002</v>
      </c>
    </row>
    <row r="52">
      <c r="A52" s="70">
        <f>IFERROR(__xludf.DUMMYFUNCTION("""COMPUTED_VALUE"""),9.899949365E9)</f>
        <v>9899949365</v>
      </c>
      <c r="B52" s="46" t="str">
        <f>IFERROR(__xludf.DUMMYFUNCTION("""COMPUTED_VALUE"""),"Amit gauba")</f>
        <v>Amit gauba</v>
      </c>
      <c r="C52" s="5" t="s">
        <v>2002</v>
      </c>
      <c r="D52" s="5"/>
      <c r="E52" s="5"/>
      <c r="F52" s="5"/>
      <c r="G52" s="5"/>
      <c r="H52" s="5"/>
      <c r="I52" s="5"/>
      <c r="J52" s="73"/>
      <c r="K52" s="75" t="str">
        <f>IFERROR(__xludf.DUMMYFUNCTION("""COMPUTED_VALUE"""),"")</f>
        <v/>
      </c>
      <c r="L52" s="48"/>
      <c r="M52" s="46" t="s">
        <v>2002</v>
      </c>
    </row>
    <row r="53">
      <c r="A53" s="70">
        <f>IFERROR(__xludf.DUMMYFUNCTION("""COMPUTED_VALUE"""),9.896220127E9)</f>
        <v>9896220127</v>
      </c>
      <c r="B53" s="46" t="str">
        <f>IFERROR(__xludf.DUMMYFUNCTION("""COMPUTED_VALUE"""),"Pradeep Kumar ")</f>
        <v>Pradeep Kumar </v>
      </c>
      <c r="C53" s="5" t="s">
        <v>2002</v>
      </c>
      <c r="D53" s="5"/>
      <c r="E53" s="5"/>
      <c r="F53" s="5"/>
      <c r="G53" s="5"/>
      <c r="H53" s="5"/>
      <c r="I53" s="5"/>
      <c r="J53" s="73"/>
      <c r="K53" s="75" t="str">
        <f>IFERROR(__xludf.DUMMYFUNCTION("""COMPUTED_VALUE"""),"")</f>
        <v/>
      </c>
      <c r="L53" s="48"/>
      <c r="M53" s="46" t="s">
        <v>2002</v>
      </c>
    </row>
    <row r="54">
      <c r="A54" s="70">
        <f>IFERROR(__xludf.DUMMYFUNCTION("""COMPUTED_VALUE"""),9.01330727E9)</f>
        <v>9013307270</v>
      </c>
      <c r="B54" s="46" t="str">
        <f>IFERROR(__xludf.DUMMYFUNCTION("""COMPUTED_VALUE"""),"Jyoti")</f>
        <v>Jyoti</v>
      </c>
      <c r="C54" s="5" t="s">
        <v>2002</v>
      </c>
      <c r="D54" s="5"/>
      <c r="E54" s="5"/>
      <c r="F54" s="5"/>
      <c r="G54" s="5"/>
      <c r="H54" s="5"/>
      <c r="I54" s="5"/>
      <c r="J54" s="73"/>
      <c r="K54" s="75" t="str">
        <f>IFERROR(__xludf.DUMMYFUNCTION("""COMPUTED_VALUE"""),"")</f>
        <v/>
      </c>
      <c r="L54" s="48"/>
      <c r="M54" s="46" t="s">
        <v>2002</v>
      </c>
    </row>
    <row r="55">
      <c r="A55" s="70">
        <f>IFERROR(__xludf.DUMMYFUNCTION("""COMPUTED_VALUE"""),9.255135789E9)</f>
        <v>9255135789</v>
      </c>
      <c r="B55" s="46" t="str">
        <f>IFERROR(__xludf.DUMMYFUNCTION("""COMPUTED_VALUE"""),"Dr karan singh ")</f>
        <v>Dr karan singh </v>
      </c>
      <c r="C55" s="5" t="s">
        <v>2002</v>
      </c>
      <c r="D55" s="5"/>
      <c r="E55" s="5"/>
      <c r="F55" s="5"/>
      <c r="G55" s="5"/>
      <c r="H55" s="5"/>
      <c r="I55" s="5"/>
      <c r="J55" s="73"/>
      <c r="K55" s="75" t="str">
        <f>IFERROR(__xludf.DUMMYFUNCTION("""COMPUTED_VALUE"""),"")</f>
        <v/>
      </c>
      <c r="L55" s="48"/>
      <c r="M55" s="46" t="s">
        <v>2002</v>
      </c>
    </row>
    <row r="56">
      <c r="A56" s="70">
        <f>IFERROR(__xludf.DUMMYFUNCTION("""COMPUTED_VALUE"""),8.384082024E9)</f>
        <v>8384082024</v>
      </c>
      <c r="B56" s="46" t="str">
        <f>IFERROR(__xludf.DUMMYFUNCTION("""COMPUTED_VALUE"""),"Rashi")</f>
        <v>Rashi</v>
      </c>
      <c r="C56" s="5" t="s">
        <v>2002</v>
      </c>
      <c r="D56" s="5"/>
      <c r="E56" s="5"/>
      <c r="F56" s="5"/>
      <c r="G56" s="5"/>
      <c r="H56" s="5"/>
      <c r="I56" s="5"/>
      <c r="J56" s="73"/>
      <c r="K56" s="75" t="str">
        <f>IFERROR(__xludf.DUMMYFUNCTION("""COMPUTED_VALUE"""),"")</f>
        <v/>
      </c>
      <c r="L56" s="48"/>
      <c r="M56" s="46" t="s">
        <v>2002</v>
      </c>
    </row>
    <row r="57">
      <c r="A57" s="70">
        <f>IFERROR(__xludf.DUMMYFUNCTION("""COMPUTED_VALUE"""),9.310417035E9)</f>
        <v>9310417035</v>
      </c>
      <c r="B57" s="46" t="str">
        <f>IFERROR(__xludf.DUMMYFUNCTION("""COMPUTED_VALUE""")," Tabassum ")</f>
        <v> Tabassum </v>
      </c>
      <c r="C57" s="5" t="s">
        <v>2002</v>
      </c>
      <c r="D57" s="5"/>
      <c r="E57" s="5"/>
      <c r="F57" s="5"/>
      <c r="G57" s="5"/>
      <c r="H57" s="5"/>
      <c r="I57" s="5"/>
      <c r="J57" s="73"/>
      <c r="K57" s="75" t="str">
        <f>IFERROR(__xludf.DUMMYFUNCTION("""COMPUTED_VALUE"""),"")</f>
        <v/>
      </c>
      <c r="L57" s="48"/>
      <c r="M57" s="46" t="s">
        <v>2002</v>
      </c>
    </row>
    <row r="58">
      <c r="A58" s="70">
        <f>IFERROR(__xludf.DUMMYFUNCTION("""COMPUTED_VALUE"""),8.586088906E9)</f>
        <v>8586088906</v>
      </c>
      <c r="B58" s="46" t="str">
        <f>IFERROR(__xludf.DUMMYFUNCTION("""COMPUTED_VALUE"""),"Rana")</f>
        <v>Rana</v>
      </c>
      <c r="C58" s="5" t="s">
        <v>2002</v>
      </c>
      <c r="D58" s="5"/>
      <c r="E58" s="5"/>
      <c r="F58" s="5"/>
      <c r="G58" s="5"/>
      <c r="H58" s="5"/>
      <c r="I58" s="5"/>
      <c r="J58" s="73"/>
      <c r="K58" s="75" t="str">
        <f>IFERROR(__xludf.DUMMYFUNCTION("""COMPUTED_VALUE"""),"")</f>
        <v/>
      </c>
      <c r="L58" s="48"/>
      <c r="M58" s="46" t="s">
        <v>2002</v>
      </c>
    </row>
    <row r="59">
      <c r="A59" s="70">
        <f>IFERROR(__xludf.DUMMYFUNCTION("""COMPUTED_VALUE"""),9.717980689E9)</f>
        <v>9717980689</v>
      </c>
      <c r="B59" s="46" t="str">
        <f>IFERROR(__xludf.DUMMYFUNCTION("""COMPUTED_VALUE"""),"Lalita ji")</f>
        <v>Lalita ji</v>
      </c>
      <c r="C59" s="5" t="s">
        <v>2002</v>
      </c>
      <c r="D59" s="5"/>
      <c r="E59" s="5"/>
      <c r="F59" s="5"/>
      <c r="G59" s="5"/>
      <c r="H59" s="5"/>
      <c r="I59" s="5"/>
      <c r="J59" s="73"/>
      <c r="K59" s="75" t="str">
        <f>IFERROR(__xludf.DUMMYFUNCTION("""COMPUTED_VALUE"""),"")</f>
        <v/>
      </c>
      <c r="L59" s="48"/>
      <c r="M59" s="46" t="s">
        <v>2002</v>
      </c>
    </row>
    <row r="60">
      <c r="A60" s="70">
        <f>IFERROR(__xludf.DUMMYFUNCTION("""COMPUTED_VALUE"""),7.834963496E9)</f>
        <v>7834963496</v>
      </c>
      <c r="B60" s="46" t="str">
        <f>IFERROR(__xludf.DUMMYFUNCTION("""COMPUTED_VALUE"""),"Yogesh sharma")</f>
        <v>Yogesh sharma</v>
      </c>
      <c r="C60" s="5" t="s">
        <v>2002</v>
      </c>
      <c r="D60" s="5"/>
      <c r="E60" s="5"/>
      <c r="F60" s="5"/>
      <c r="G60" s="5"/>
      <c r="H60" s="5"/>
      <c r="I60" s="5"/>
      <c r="J60" s="73"/>
      <c r="K60" s="75" t="str">
        <f>IFERROR(__xludf.DUMMYFUNCTION("""COMPUTED_VALUE"""),"")</f>
        <v/>
      </c>
      <c r="L60" s="48"/>
      <c r="M60" s="46" t="s">
        <v>2002</v>
      </c>
    </row>
    <row r="61">
      <c r="A61" s="70">
        <f>IFERROR(__xludf.DUMMYFUNCTION("""COMPUTED_VALUE"""),9.999532228E9)</f>
        <v>9999532228</v>
      </c>
      <c r="B61" s="46" t="str">
        <f>IFERROR(__xludf.DUMMYFUNCTION("""COMPUTED_VALUE"""),"Divya jii ")</f>
        <v>Divya jii </v>
      </c>
      <c r="C61" s="5" t="s">
        <v>2002</v>
      </c>
      <c r="D61" s="5"/>
      <c r="E61" s="5"/>
      <c r="F61" s="5"/>
      <c r="G61" s="5"/>
      <c r="H61" s="5"/>
      <c r="I61" s="5"/>
      <c r="J61" s="73"/>
      <c r="K61" s="75" t="str">
        <f>IFERROR(__xludf.DUMMYFUNCTION("""COMPUTED_VALUE"""),"")</f>
        <v/>
      </c>
      <c r="L61" s="48"/>
      <c r="M61" s="46" t="s">
        <v>2002</v>
      </c>
    </row>
    <row r="62">
      <c r="A62" s="70">
        <f>IFERROR(__xludf.DUMMYFUNCTION("""COMPUTED_VALUE"""),8.299528607E9)</f>
        <v>8299528607</v>
      </c>
      <c r="B62" s="46" t="str">
        <f>IFERROR(__xludf.DUMMYFUNCTION("""COMPUTED_VALUE"""),"Jagdesh")</f>
        <v>Jagdesh</v>
      </c>
      <c r="C62" s="5" t="s">
        <v>2002</v>
      </c>
      <c r="D62" s="5"/>
      <c r="E62" s="5"/>
      <c r="F62" s="5"/>
      <c r="G62" s="5"/>
      <c r="H62" s="5"/>
      <c r="I62" s="5"/>
      <c r="J62" s="73"/>
      <c r="K62" s="75" t="str">
        <f>IFERROR(__xludf.DUMMYFUNCTION("""COMPUTED_VALUE"""),"")</f>
        <v/>
      </c>
      <c r="L62" s="48"/>
      <c r="M62" s="46" t="s">
        <v>2002</v>
      </c>
    </row>
    <row r="63">
      <c r="A63" s="70">
        <f>IFERROR(__xludf.DUMMYFUNCTION("""COMPUTED_VALUE"""),9.930568005E9)</f>
        <v>9930568005</v>
      </c>
      <c r="B63" s="46" t="str">
        <f>IFERROR(__xludf.DUMMYFUNCTION("""COMPUTED_VALUE"""),"Kamal ji")</f>
        <v>Kamal ji</v>
      </c>
      <c r="C63" s="5" t="s">
        <v>2002</v>
      </c>
      <c r="D63" s="5"/>
      <c r="E63" s="5"/>
      <c r="F63" s="5"/>
      <c r="G63" s="5"/>
      <c r="H63" s="5"/>
      <c r="I63" s="5"/>
      <c r="J63" s="73"/>
      <c r="K63" s="75" t="str">
        <f>IFERROR(__xludf.DUMMYFUNCTION("""COMPUTED_VALUE"""),"")</f>
        <v/>
      </c>
      <c r="L63" s="48"/>
      <c r="M63" s="46" t="s">
        <v>2002</v>
      </c>
    </row>
    <row r="64">
      <c r="A64" s="70">
        <f>IFERROR(__xludf.DUMMYFUNCTION("""COMPUTED_VALUE"""),7.863020777E9)</f>
        <v>7863020777</v>
      </c>
      <c r="B64" s="46" t="str">
        <f>IFERROR(__xludf.DUMMYFUNCTION("""COMPUTED_VALUE"""),"Lovely ji")</f>
        <v>Lovely ji</v>
      </c>
      <c r="C64" s="5" t="s">
        <v>2002</v>
      </c>
      <c r="D64" s="5"/>
      <c r="E64" s="5"/>
      <c r="F64" s="5"/>
      <c r="G64" s="5"/>
      <c r="H64" s="5"/>
      <c r="I64" s="5"/>
      <c r="J64" s="73"/>
      <c r="K64" s="75" t="str">
        <f>IFERROR(__xludf.DUMMYFUNCTION("""COMPUTED_VALUE"""),"")</f>
        <v/>
      </c>
      <c r="L64" s="48"/>
      <c r="M64" s="46" t="s">
        <v>2002</v>
      </c>
    </row>
    <row r="65">
      <c r="A65" s="70">
        <f>IFERROR(__xludf.DUMMYFUNCTION("""COMPUTED_VALUE"""),8.588013307E9)</f>
        <v>8588013307</v>
      </c>
      <c r="B65" s="46" t="str">
        <f>IFERROR(__xludf.DUMMYFUNCTION("""COMPUTED_VALUE"""),"Jai ji")</f>
        <v>Jai ji</v>
      </c>
      <c r="C65" s="5" t="s">
        <v>2002</v>
      </c>
      <c r="D65" s="5"/>
      <c r="E65" s="5"/>
      <c r="F65" s="5"/>
      <c r="G65" s="5"/>
      <c r="H65" s="5"/>
      <c r="I65" s="5"/>
      <c r="J65" s="73"/>
      <c r="K65" s="75" t="str">
        <f>IFERROR(__xludf.DUMMYFUNCTION("""COMPUTED_VALUE"""),"")</f>
        <v/>
      </c>
      <c r="L65" s="48"/>
      <c r="M65" s="46" t="s">
        <v>2002</v>
      </c>
    </row>
    <row r="66">
      <c r="A66" s="70">
        <f>IFERROR(__xludf.DUMMYFUNCTION("""COMPUTED_VALUE"""),8.920069012E9)</f>
        <v>8920069012</v>
      </c>
      <c r="B66" s="46" t="str">
        <f>IFERROR(__xludf.DUMMYFUNCTION("""COMPUTED_VALUE"""),"Aannaya ji")</f>
        <v>Aannaya ji</v>
      </c>
      <c r="C66" s="5" t="s">
        <v>2002</v>
      </c>
      <c r="D66" s="5"/>
      <c r="E66" s="5"/>
      <c r="F66" s="5"/>
      <c r="G66" s="5"/>
      <c r="H66" s="5"/>
      <c r="I66" s="5"/>
      <c r="J66" s="73"/>
      <c r="K66" s="75" t="str">
        <f>IFERROR(__xludf.DUMMYFUNCTION("""COMPUTED_VALUE"""),"")</f>
        <v/>
      </c>
      <c r="L66" s="48"/>
      <c r="M66" s="46" t="s">
        <v>2002</v>
      </c>
    </row>
    <row r="67">
      <c r="A67" s="70">
        <f>IFERROR(__xludf.DUMMYFUNCTION("""COMPUTED_VALUE"""),9.810661504E9)</f>
        <v>9810661504</v>
      </c>
      <c r="B67" s="46" t="str">
        <f>IFERROR(__xludf.DUMMYFUNCTION("""COMPUTED_VALUE"""),"Shaily ji")</f>
        <v>Shaily ji</v>
      </c>
      <c r="C67" s="5" t="s">
        <v>2002</v>
      </c>
      <c r="D67" s="5"/>
      <c r="E67" s="5"/>
      <c r="F67" s="5"/>
      <c r="G67" s="5"/>
      <c r="H67" s="5"/>
      <c r="I67" s="5"/>
      <c r="J67" s="73"/>
      <c r="K67" s="75" t="str">
        <f>IFERROR(__xludf.DUMMYFUNCTION("""COMPUTED_VALUE"""),"")</f>
        <v/>
      </c>
      <c r="L67" s="48"/>
      <c r="M67" s="46" t="s">
        <v>2002</v>
      </c>
    </row>
    <row r="68">
      <c r="A68" s="70">
        <f>IFERROR(__xludf.DUMMYFUNCTION("""COMPUTED_VALUE"""),8.882312076E9)</f>
        <v>8882312076</v>
      </c>
      <c r="B68" s="46" t="str">
        <f>IFERROR(__xludf.DUMMYFUNCTION("""COMPUTED_VALUE"""),"Aksharaji")</f>
        <v>Aksharaji</v>
      </c>
      <c r="C68" s="5" t="s">
        <v>2002</v>
      </c>
      <c r="D68" s="5"/>
      <c r="E68" s="5"/>
      <c r="F68" s="5"/>
      <c r="G68" s="5"/>
      <c r="H68" s="5"/>
      <c r="I68" s="5"/>
      <c r="J68" s="73"/>
      <c r="K68" s="75" t="str">
        <f>IFERROR(__xludf.DUMMYFUNCTION("""COMPUTED_VALUE"""),"")</f>
        <v/>
      </c>
      <c r="L68" s="48"/>
      <c r="M68" s="46" t="s">
        <v>2002</v>
      </c>
    </row>
    <row r="69">
      <c r="A69" s="70">
        <f>IFERROR(__xludf.DUMMYFUNCTION("""COMPUTED_VALUE"""),9.650341401E9)</f>
        <v>9650341401</v>
      </c>
      <c r="B69" s="46" t="str">
        <f>IFERROR(__xludf.DUMMYFUNCTION("""COMPUTED_VALUE"""),"Manish ji ")</f>
        <v>Manish ji </v>
      </c>
      <c r="C69" s="5" t="s">
        <v>2002</v>
      </c>
      <c r="D69" s="5"/>
      <c r="E69" s="5"/>
      <c r="F69" s="5"/>
      <c r="G69" s="5"/>
      <c r="H69" s="5"/>
      <c r="I69" s="5"/>
      <c r="J69" s="73"/>
      <c r="K69" s="75" t="str">
        <f>IFERROR(__xludf.DUMMYFUNCTION("""COMPUTED_VALUE"""),"")</f>
        <v/>
      </c>
      <c r="L69" s="48"/>
      <c r="M69" s="46" t="s">
        <v>2002</v>
      </c>
    </row>
    <row r="70">
      <c r="A70" s="70">
        <f>IFERROR(__xludf.DUMMYFUNCTION("""COMPUTED_VALUE"""),9.278722251E9)</f>
        <v>9278722251</v>
      </c>
      <c r="B70" s="46" t="str">
        <f>IFERROR(__xludf.DUMMYFUNCTION("""COMPUTED_VALUE"""),"Sikha ji")</f>
        <v>Sikha ji</v>
      </c>
      <c r="C70" s="5" t="s">
        <v>2002</v>
      </c>
      <c r="D70" s="5"/>
      <c r="E70" s="5"/>
      <c r="F70" s="5"/>
      <c r="G70" s="5"/>
      <c r="H70" s="5"/>
      <c r="I70" s="5"/>
      <c r="J70" s="73"/>
      <c r="K70" s="75" t="str">
        <f>IFERROR(__xludf.DUMMYFUNCTION("""COMPUTED_VALUE"""),"")</f>
        <v/>
      </c>
      <c r="L70" s="48"/>
      <c r="M70" s="46" t="s">
        <v>2002</v>
      </c>
    </row>
    <row r="71">
      <c r="A71" s="70"/>
      <c r="B71" s="46" t="str">
        <f>IFERROR(__xludf.DUMMYFUNCTION("""COMPUTED_VALUE"""),"Kanisha")</f>
        <v>Kanisha</v>
      </c>
      <c r="C71" s="5" t="s">
        <v>2002</v>
      </c>
      <c r="D71" s="5"/>
      <c r="E71" s="5"/>
      <c r="F71" s="5"/>
      <c r="G71" s="5"/>
      <c r="H71" s="5"/>
      <c r="I71" s="5"/>
      <c r="J71" s="73"/>
      <c r="K71" s="75" t="str">
        <f>IFERROR(__xludf.DUMMYFUNCTION("""COMPUTED_VALUE"""),"")</f>
        <v/>
      </c>
      <c r="L71" s="48"/>
      <c r="M71" s="46" t="s">
        <v>2002</v>
      </c>
    </row>
    <row r="72">
      <c r="A72" s="70">
        <f>IFERROR(__xludf.DUMMYFUNCTION("""COMPUTED_VALUE"""),9.918101555E9)</f>
        <v>9918101555</v>
      </c>
      <c r="B72" s="46" t="str">
        <f>IFERROR(__xludf.DUMMYFUNCTION("""COMPUTED_VALUE"""),"Vicky")</f>
        <v>Vicky</v>
      </c>
      <c r="C72" s="5" t="s">
        <v>2002</v>
      </c>
      <c r="D72" s="5"/>
      <c r="E72" s="5"/>
      <c r="F72" s="5"/>
      <c r="G72" s="5"/>
      <c r="H72" s="5"/>
      <c r="I72" s="5"/>
      <c r="J72" s="73"/>
      <c r="K72" s="75" t="str">
        <f>IFERROR(__xludf.DUMMYFUNCTION("""COMPUTED_VALUE"""),"")</f>
        <v/>
      </c>
      <c r="L72" s="48"/>
      <c r="M72" s="46" t="s">
        <v>2002</v>
      </c>
    </row>
    <row r="73">
      <c r="A73" s="70">
        <f>IFERROR(__xludf.DUMMYFUNCTION("""COMPUTED_VALUE"""),8.708750857E9)</f>
        <v>8708750857</v>
      </c>
      <c r="B73" s="46" t="str">
        <f>IFERROR(__xludf.DUMMYFUNCTION("""COMPUTED_VALUE"""),"Ramshari singh")</f>
        <v>Ramshari singh</v>
      </c>
      <c r="C73" s="5" t="s">
        <v>2002</v>
      </c>
      <c r="D73" s="5"/>
      <c r="E73" s="5"/>
      <c r="F73" s="5"/>
      <c r="G73" s="5"/>
      <c r="H73" s="5"/>
      <c r="I73" s="5"/>
      <c r="J73" s="73"/>
      <c r="K73" s="75" t="str">
        <f>IFERROR(__xludf.DUMMYFUNCTION("""COMPUTED_VALUE"""),"")</f>
        <v/>
      </c>
      <c r="L73" s="48"/>
      <c r="M73" s="46" t="s">
        <v>2002</v>
      </c>
    </row>
    <row r="74">
      <c r="A74" s="70">
        <f>IFERROR(__xludf.DUMMYFUNCTION("""COMPUTED_VALUE"""),8.800895723E9)</f>
        <v>8800895723</v>
      </c>
      <c r="B74" s="46" t="str">
        <f>IFERROR(__xludf.DUMMYFUNCTION("""COMPUTED_VALUE"""),"Basu ji ")</f>
        <v>Basu ji </v>
      </c>
      <c r="C74" s="5" t="s">
        <v>2002</v>
      </c>
      <c r="D74" s="5"/>
      <c r="E74" s="5"/>
      <c r="F74" s="5"/>
      <c r="G74" s="5"/>
      <c r="H74" s="5"/>
      <c r="I74" s="5"/>
      <c r="J74" s="73"/>
      <c r="K74" s="75" t="str">
        <f>IFERROR(__xludf.DUMMYFUNCTION("""COMPUTED_VALUE"""),"")</f>
        <v/>
      </c>
      <c r="L74" s="48"/>
      <c r="M74" s="46" t="s">
        <v>2002</v>
      </c>
    </row>
    <row r="75">
      <c r="A75" s="70">
        <f>IFERROR(__xludf.DUMMYFUNCTION("""COMPUTED_VALUE"""),8.800927065E9)</f>
        <v>8800927065</v>
      </c>
      <c r="B75" s="46" t="str">
        <f>IFERROR(__xludf.DUMMYFUNCTION("""COMPUTED_VALUE"""),"Apuravjain")</f>
        <v>Apuravjain</v>
      </c>
      <c r="C75" s="5" t="s">
        <v>2002</v>
      </c>
      <c r="D75" s="5"/>
      <c r="E75" s="5"/>
      <c r="F75" s="5"/>
      <c r="G75" s="5"/>
      <c r="H75" s="5"/>
      <c r="I75" s="5"/>
      <c r="J75" s="73"/>
      <c r="K75" s="75" t="str">
        <f>IFERROR(__xludf.DUMMYFUNCTION("""COMPUTED_VALUE"""),"")</f>
        <v/>
      </c>
      <c r="L75" s="48"/>
      <c r="M75" s="46" t="s">
        <v>2002</v>
      </c>
    </row>
    <row r="76">
      <c r="A76" s="70">
        <f>IFERROR(__xludf.DUMMYFUNCTION("""COMPUTED_VALUE"""),9.136131719E9)</f>
        <v>9136131719</v>
      </c>
      <c r="B76" s="46" t="str">
        <f>IFERROR(__xludf.DUMMYFUNCTION("""COMPUTED_VALUE"""),"Sameer gupta")</f>
        <v>Sameer gupta</v>
      </c>
      <c r="C76" s="5" t="s">
        <v>2002</v>
      </c>
      <c r="D76" s="5"/>
      <c r="E76" s="5"/>
      <c r="F76" s="5"/>
      <c r="G76" s="5"/>
      <c r="H76" s="5"/>
      <c r="I76" s="5"/>
      <c r="J76" s="73"/>
      <c r="K76" s="75" t="str">
        <f>IFERROR(__xludf.DUMMYFUNCTION("""COMPUTED_VALUE"""),"")</f>
        <v/>
      </c>
      <c r="L76" s="48"/>
      <c r="M76" s="46" t="s">
        <v>2002</v>
      </c>
    </row>
    <row r="77">
      <c r="A77" s="70">
        <f>IFERROR(__xludf.DUMMYFUNCTION("""COMPUTED_VALUE"""),9.899748572E9)</f>
        <v>9899748572</v>
      </c>
      <c r="B77" s="46" t="str">
        <f>IFERROR(__xludf.DUMMYFUNCTION("""COMPUTED_VALUE"""),"Akasha")</f>
        <v>Akasha</v>
      </c>
      <c r="C77" s="5" t="s">
        <v>2002</v>
      </c>
      <c r="D77" s="5"/>
      <c r="E77" s="5"/>
      <c r="F77" s="5"/>
      <c r="G77" s="5"/>
      <c r="H77" s="5"/>
      <c r="I77" s="5"/>
      <c r="J77" s="73"/>
      <c r="K77" s="75" t="str">
        <f>IFERROR(__xludf.DUMMYFUNCTION("""COMPUTED_VALUE"""),"")</f>
        <v/>
      </c>
      <c r="L77" s="48"/>
      <c r="M77" s="46" t="s">
        <v>2002</v>
      </c>
    </row>
    <row r="78">
      <c r="A78" s="70">
        <f>IFERROR(__xludf.DUMMYFUNCTION("""COMPUTED_VALUE"""),7.015977544E9)</f>
        <v>7015977544</v>
      </c>
      <c r="B78" s="46" t="str">
        <f>IFERROR(__xludf.DUMMYFUNCTION("""COMPUTED_VALUE"""),"Rakhi ")</f>
        <v>Rakhi </v>
      </c>
      <c r="C78" s="5" t="s">
        <v>2002</v>
      </c>
      <c r="D78" s="5"/>
      <c r="E78" s="5"/>
      <c r="F78" s="5"/>
      <c r="G78" s="5"/>
      <c r="H78" s="5"/>
      <c r="I78" s="5"/>
      <c r="J78" s="73"/>
      <c r="K78" s="75" t="str">
        <f>IFERROR(__xludf.DUMMYFUNCTION("""COMPUTED_VALUE"""),"")</f>
        <v/>
      </c>
      <c r="L78" s="48"/>
      <c r="M78" s="46" t="s">
        <v>2002</v>
      </c>
    </row>
    <row r="79">
      <c r="A79" s="70">
        <f>IFERROR(__xludf.DUMMYFUNCTION("""COMPUTED_VALUE"""),9.87370116E9)</f>
        <v>9873701160</v>
      </c>
      <c r="B79" s="46" t="str">
        <f>IFERROR(__xludf.DUMMYFUNCTION("""COMPUTED_VALUE"""),"Mamta")</f>
        <v>Mamta</v>
      </c>
      <c r="C79" s="5" t="s">
        <v>2002</v>
      </c>
      <c r="D79" s="5"/>
      <c r="E79" s="5"/>
      <c r="F79" s="5"/>
      <c r="G79" s="5"/>
      <c r="H79" s="5"/>
      <c r="I79" s="5"/>
      <c r="J79" s="73"/>
      <c r="K79" s="75" t="str">
        <f>IFERROR(__xludf.DUMMYFUNCTION("""COMPUTED_VALUE"""),"")</f>
        <v/>
      </c>
      <c r="L79" s="48"/>
      <c r="M79" s="46" t="s">
        <v>2002</v>
      </c>
    </row>
    <row r="80">
      <c r="A80" s="70">
        <f>IFERROR(__xludf.DUMMYFUNCTION("""COMPUTED_VALUE"""),9.412235113E9)</f>
        <v>9412235113</v>
      </c>
      <c r="B80" s="46" t="str">
        <f>IFERROR(__xludf.DUMMYFUNCTION("""COMPUTED_VALUE"""),"Seema")</f>
        <v>Seema</v>
      </c>
      <c r="C80" s="5" t="s">
        <v>2002</v>
      </c>
      <c r="D80" s="5"/>
      <c r="E80" s="5"/>
      <c r="F80" s="5"/>
      <c r="G80" s="5"/>
      <c r="H80" s="5"/>
      <c r="I80" s="5"/>
      <c r="J80" s="73"/>
      <c r="K80" s="75" t="str">
        <f>IFERROR(__xludf.DUMMYFUNCTION("""COMPUTED_VALUE"""),"")</f>
        <v/>
      </c>
      <c r="L80" s="48"/>
      <c r="M80" s="46" t="s">
        <v>2002</v>
      </c>
    </row>
    <row r="81">
      <c r="A81" s="70">
        <f>IFERROR(__xludf.DUMMYFUNCTION("""COMPUTED_VALUE"""),9.557701702E9)</f>
        <v>9557701702</v>
      </c>
      <c r="B81" s="46" t="str">
        <f>IFERROR(__xludf.DUMMYFUNCTION("""COMPUTED_VALUE"""),"Shasti")</f>
        <v>Shasti</v>
      </c>
      <c r="C81" s="5" t="s">
        <v>2002</v>
      </c>
      <c r="D81" s="5"/>
      <c r="E81" s="5"/>
      <c r="F81" s="5"/>
      <c r="G81" s="5"/>
      <c r="H81" s="5"/>
      <c r="I81" s="5"/>
      <c r="J81" s="73"/>
      <c r="K81" s="75" t="str">
        <f>IFERROR(__xludf.DUMMYFUNCTION("""COMPUTED_VALUE"""),"")</f>
        <v/>
      </c>
      <c r="L81" s="48"/>
      <c r="M81" s="46" t="s">
        <v>2002</v>
      </c>
    </row>
    <row r="82">
      <c r="A82" s="70">
        <f>IFERROR(__xludf.DUMMYFUNCTION("""COMPUTED_VALUE"""),9.8113783E9)</f>
        <v>9811378300</v>
      </c>
      <c r="B82" s="46" t="str">
        <f>IFERROR(__xludf.DUMMYFUNCTION("""COMPUTED_VALUE"""),"Neha jain")</f>
        <v>Neha jain</v>
      </c>
      <c r="C82" s="5" t="s">
        <v>2002</v>
      </c>
      <c r="D82" s="5"/>
      <c r="E82" s="5"/>
      <c r="F82" s="5"/>
      <c r="G82" s="5"/>
      <c r="H82" s="5"/>
      <c r="I82" s="5"/>
      <c r="J82" s="73"/>
      <c r="K82" s="75" t="str">
        <f>IFERROR(__xludf.DUMMYFUNCTION("""COMPUTED_VALUE"""),"")</f>
        <v/>
      </c>
      <c r="L82" s="48"/>
      <c r="M82" s="46" t="s">
        <v>2002</v>
      </c>
    </row>
    <row r="83">
      <c r="A83" s="70">
        <f>IFERROR(__xludf.DUMMYFUNCTION("""COMPUTED_VALUE"""),9.999426629E9)</f>
        <v>9999426629</v>
      </c>
      <c r="B83" s="46" t="str">
        <f>IFERROR(__xludf.DUMMYFUNCTION("""COMPUTED_VALUE"""),"Vanshika ")</f>
        <v>Vanshika </v>
      </c>
      <c r="C83" s="5" t="s">
        <v>2002</v>
      </c>
      <c r="D83" s="5"/>
      <c r="E83" s="5"/>
      <c r="F83" s="5"/>
      <c r="G83" s="5"/>
      <c r="H83" s="5"/>
      <c r="I83" s="5"/>
      <c r="J83" s="73"/>
      <c r="K83" s="75" t="str">
        <f>IFERROR(__xludf.DUMMYFUNCTION("""COMPUTED_VALUE"""),"")</f>
        <v/>
      </c>
      <c r="L83" s="48"/>
      <c r="M83" s="46" t="s">
        <v>2002</v>
      </c>
    </row>
    <row r="84">
      <c r="A84" s="70">
        <f>IFERROR(__xludf.DUMMYFUNCTION("""COMPUTED_VALUE"""),9.560974127E9)</f>
        <v>9560974127</v>
      </c>
      <c r="B84" s="46" t="str">
        <f>IFERROR(__xludf.DUMMYFUNCTION("""COMPUTED_VALUE"""),"Sanjay")</f>
        <v>Sanjay</v>
      </c>
      <c r="C84" s="5" t="s">
        <v>2002</v>
      </c>
      <c r="D84" s="5"/>
      <c r="E84" s="5"/>
      <c r="F84" s="5"/>
      <c r="G84" s="5"/>
      <c r="H84" s="5"/>
      <c r="I84" s="5"/>
      <c r="J84" s="73"/>
      <c r="K84" s="75" t="str">
        <f>IFERROR(__xludf.DUMMYFUNCTION("""COMPUTED_VALUE"""),"")</f>
        <v/>
      </c>
      <c r="L84" s="48"/>
      <c r="M84" s="46" t="s">
        <v>2002</v>
      </c>
    </row>
    <row r="85">
      <c r="A85" s="70">
        <f>IFERROR(__xludf.DUMMYFUNCTION("""COMPUTED_VALUE"""),9.625556855E9)</f>
        <v>9625556855</v>
      </c>
      <c r="B85" s="46" t="str">
        <f>IFERROR(__xludf.DUMMYFUNCTION("""COMPUTED_VALUE"""),"Soniya")</f>
        <v>Soniya</v>
      </c>
      <c r="C85" s="5" t="s">
        <v>2002</v>
      </c>
      <c r="D85" s="5"/>
      <c r="E85" s="5"/>
      <c r="F85" s="5"/>
      <c r="G85" s="5"/>
      <c r="H85" s="5"/>
      <c r="I85" s="5"/>
      <c r="J85" s="73"/>
      <c r="K85" s="75" t="str">
        <f>IFERROR(__xludf.DUMMYFUNCTION("""COMPUTED_VALUE"""),"")</f>
        <v/>
      </c>
      <c r="L85" s="48"/>
      <c r="M85" s="46" t="s">
        <v>2002</v>
      </c>
    </row>
    <row r="86">
      <c r="A86" s="70">
        <f>IFERROR(__xludf.DUMMYFUNCTION("""COMPUTED_VALUE"""),9.43715219E9)</f>
        <v>9437152190</v>
      </c>
      <c r="B86" s="46" t="str">
        <f>IFERROR(__xludf.DUMMYFUNCTION("""COMPUTED_VALUE"""),"R R SHARMA ")</f>
        <v>R R SHARMA </v>
      </c>
      <c r="C86" s="5" t="s">
        <v>2002</v>
      </c>
      <c r="D86" s="5"/>
      <c r="E86" s="5"/>
      <c r="F86" s="5"/>
      <c r="G86" s="5"/>
      <c r="H86" s="5"/>
      <c r="I86" s="5"/>
      <c r="J86" s="73"/>
      <c r="K86" s="75" t="str">
        <f>IFERROR(__xludf.DUMMYFUNCTION("""COMPUTED_VALUE"""),"")</f>
        <v/>
      </c>
      <c r="L86" s="48"/>
      <c r="M86" s="46" t="s">
        <v>2002</v>
      </c>
    </row>
    <row r="87">
      <c r="A87" s="70">
        <f>IFERROR(__xludf.DUMMYFUNCTION("""COMPUTED_VALUE"""),9.810683324E9)</f>
        <v>9810683324</v>
      </c>
      <c r="B87" s="46" t="str">
        <f>IFERROR(__xludf.DUMMYFUNCTION("""COMPUTED_VALUE"""),"Manoj")</f>
        <v>Manoj</v>
      </c>
      <c r="C87" s="5" t="s">
        <v>2002</v>
      </c>
      <c r="D87" s="5"/>
      <c r="E87" s="5"/>
      <c r="F87" s="5"/>
      <c r="G87" s="5"/>
      <c r="H87" s="5"/>
      <c r="I87" s="5"/>
      <c r="J87" s="73"/>
      <c r="K87" s="75" t="str">
        <f>IFERROR(__xludf.DUMMYFUNCTION("""COMPUTED_VALUE"""),"")</f>
        <v/>
      </c>
      <c r="L87" s="48"/>
      <c r="M87" s="46" t="s">
        <v>2002</v>
      </c>
    </row>
    <row r="88">
      <c r="A88" s="70">
        <f>IFERROR(__xludf.DUMMYFUNCTION("""COMPUTED_VALUE"""),9.911329213E9)</f>
        <v>9911329213</v>
      </c>
      <c r="B88" s="46" t="str">
        <f>IFERROR(__xludf.DUMMYFUNCTION("""COMPUTED_VALUE"""),"Santosh ")</f>
        <v>Santosh </v>
      </c>
      <c r="C88" s="5" t="s">
        <v>2002</v>
      </c>
      <c r="D88" s="5"/>
      <c r="E88" s="5"/>
      <c r="F88" s="5"/>
      <c r="G88" s="5"/>
      <c r="H88" s="5"/>
      <c r="I88" s="5"/>
      <c r="J88" s="73"/>
      <c r="K88" s="75" t="str">
        <f>IFERROR(__xludf.DUMMYFUNCTION("""COMPUTED_VALUE"""),"")</f>
        <v/>
      </c>
      <c r="L88" s="48"/>
      <c r="M88" s="46" t="s">
        <v>2002</v>
      </c>
    </row>
    <row r="89">
      <c r="A89" s="70">
        <f>IFERROR(__xludf.DUMMYFUNCTION("""COMPUTED_VALUE"""),9.911329213E9)</f>
        <v>9911329213</v>
      </c>
      <c r="B89" s="46" t="str">
        <f>IFERROR(__xludf.DUMMYFUNCTION("""COMPUTED_VALUE"""),"Shikha")</f>
        <v>Shikha</v>
      </c>
      <c r="C89" s="5" t="s">
        <v>2002</v>
      </c>
      <c r="D89" s="5"/>
      <c r="E89" s="5"/>
      <c r="F89" s="5"/>
      <c r="G89" s="5"/>
      <c r="H89" s="5"/>
      <c r="I89" s="5"/>
      <c r="J89" s="73"/>
      <c r="K89" s="75" t="str">
        <f>IFERROR(__xludf.DUMMYFUNCTION("""COMPUTED_VALUE"""),"")</f>
        <v/>
      </c>
      <c r="L89" s="48"/>
      <c r="M89" s="46" t="s">
        <v>2002</v>
      </c>
    </row>
    <row r="90">
      <c r="A90" s="70">
        <f>IFERROR(__xludf.DUMMYFUNCTION("""COMPUTED_VALUE"""),9.990215164E9)</f>
        <v>9990215164</v>
      </c>
      <c r="B90" s="46" t="str">
        <f>IFERROR(__xludf.DUMMYFUNCTION("""COMPUTED_VALUE"""),"Mayank")</f>
        <v>Mayank</v>
      </c>
      <c r="C90" s="5" t="s">
        <v>2002</v>
      </c>
      <c r="D90" s="5"/>
      <c r="E90" s="5"/>
      <c r="F90" s="5"/>
      <c r="G90" s="5"/>
      <c r="H90" s="5"/>
      <c r="I90" s="5"/>
      <c r="J90" s="73"/>
      <c r="K90" s="75" t="str">
        <f>IFERROR(__xludf.DUMMYFUNCTION("""COMPUTED_VALUE"""),"")</f>
        <v/>
      </c>
      <c r="L90" s="48"/>
      <c r="M90" s="46" t="s">
        <v>2002</v>
      </c>
    </row>
    <row r="91">
      <c r="A91" s="70">
        <f>IFERROR(__xludf.DUMMYFUNCTION("""COMPUTED_VALUE"""),9.21525881E9)</f>
        <v>9215258810</v>
      </c>
      <c r="B91" s="46" t="str">
        <f>IFERROR(__xludf.DUMMYFUNCTION("""COMPUTED_VALUE"""),"Soniya")</f>
        <v>Soniya</v>
      </c>
      <c r="C91" s="5" t="s">
        <v>2002</v>
      </c>
      <c r="D91" s="5"/>
      <c r="E91" s="5"/>
      <c r="F91" s="5"/>
      <c r="G91" s="5"/>
      <c r="H91" s="5"/>
      <c r="I91" s="5"/>
      <c r="J91" s="73"/>
      <c r="K91" s="75" t="str">
        <f>IFERROR(__xludf.DUMMYFUNCTION("""COMPUTED_VALUE"""),"")</f>
        <v/>
      </c>
      <c r="L91" s="48"/>
      <c r="M91" s="46" t="s">
        <v>2002</v>
      </c>
    </row>
    <row r="92">
      <c r="A92" s="70">
        <f>IFERROR(__xludf.DUMMYFUNCTION("""COMPUTED_VALUE"""),9.210029848E9)</f>
        <v>9210029848</v>
      </c>
      <c r="B92" s="46" t="str">
        <f>IFERROR(__xludf.DUMMYFUNCTION("""COMPUTED_VALUE"""),"Pradeep Kumar ")</f>
        <v>Pradeep Kumar </v>
      </c>
      <c r="C92" s="5" t="s">
        <v>2002</v>
      </c>
      <c r="D92" s="5"/>
      <c r="E92" s="5"/>
      <c r="F92" s="5"/>
      <c r="G92" s="5"/>
      <c r="H92" s="5"/>
      <c r="I92" s="5"/>
      <c r="J92" s="73"/>
      <c r="K92" s="75" t="str">
        <f>IFERROR(__xludf.DUMMYFUNCTION("""COMPUTED_VALUE"""),"")</f>
        <v/>
      </c>
      <c r="L92" s="48"/>
      <c r="M92" s="46" t="s">
        <v>2002</v>
      </c>
    </row>
    <row r="93">
      <c r="A93" s="70">
        <f>IFERROR(__xludf.DUMMYFUNCTION("""COMPUTED_VALUE"""),8.368685491E9)</f>
        <v>8368685491</v>
      </c>
      <c r="B93" s="46" t="str">
        <f>IFERROR(__xludf.DUMMYFUNCTION("""COMPUTED_VALUE"""),"Kishu ji")</f>
        <v>Kishu ji</v>
      </c>
      <c r="C93" s="5" t="s">
        <v>2002</v>
      </c>
      <c r="D93" s="5"/>
      <c r="E93" s="5"/>
      <c r="F93" s="5"/>
      <c r="G93" s="5"/>
      <c r="H93" s="5"/>
      <c r="I93" s="5"/>
      <c r="J93" s="73"/>
      <c r="K93" s="75" t="str">
        <f>IFERROR(__xludf.DUMMYFUNCTION("""COMPUTED_VALUE"""),"")</f>
        <v/>
      </c>
      <c r="L93" s="48"/>
      <c r="M93" s="46" t="s">
        <v>2002</v>
      </c>
    </row>
    <row r="94">
      <c r="A94" s="70">
        <f>IFERROR(__xludf.DUMMYFUNCTION("""COMPUTED_VALUE"""),9.136117195E9)</f>
        <v>9136117195</v>
      </c>
      <c r="B94" s="46" t="str">
        <f>IFERROR(__xludf.DUMMYFUNCTION("""COMPUTED_VALUE"""),"Anjum ji")</f>
        <v>Anjum ji</v>
      </c>
      <c r="C94" s="5" t="s">
        <v>2002</v>
      </c>
      <c r="D94" s="5"/>
      <c r="E94" s="5"/>
      <c r="F94" s="5"/>
      <c r="G94" s="5"/>
      <c r="H94" s="5"/>
      <c r="I94" s="5"/>
      <c r="J94" s="73"/>
      <c r="K94" s="75" t="str">
        <f>IFERROR(__xludf.DUMMYFUNCTION("""COMPUTED_VALUE"""),"")</f>
        <v/>
      </c>
      <c r="L94" s="48"/>
      <c r="M94" s="46" t="s">
        <v>2002</v>
      </c>
    </row>
    <row r="95">
      <c r="A95" s="70">
        <f>IFERROR(__xludf.DUMMYFUNCTION("""COMPUTED_VALUE"""),9.582645551E9)</f>
        <v>9582645551</v>
      </c>
      <c r="B95" s="46" t="str">
        <f>IFERROR(__xludf.DUMMYFUNCTION("""COMPUTED_VALUE"""),"Pankaj singh")</f>
        <v>Pankaj singh</v>
      </c>
      <c r="C95" s="5" t="s">
        <v>2002</v>
      </c>
      <c r="D95" s="5"/>
      <c r="E95" s="5"/>
      <c r="F95" s="5"/>
      <c r="G95" s="5"/>
      <c r="H95" s="5"/>
      <c r="I95" s="5"/>
      <c r="J95" s="73"/>
      <c r="K95" s="75" t="str">
        <f>IFERROR(__xludf.DUMMYFUNCTION("""COMPUTED_VALUE"""),"")</f>
        <v/>
      </c>
      <c r="L95" s="48"/>
      <c r="M95" s="46" t="s">
        <v>2002</v>
      </c>
    </row>
    <row r="96">
      <c r="A96" s="70">
        <f>IFERROR(__xludf.DUMMYFUNCTION("""COMPUTED_VALUE"""),8.076516975E9)</f>
        <v>8076516975</v>
      </c>
      <c r="B96" s="46" t="str">
        <f>IFERROR(__xludf.DUMMYFUNCTION("""COMPUTED_VALUE"""),"Priya varshneya")</f>
        <v>Priya varshneya</v>
      </c>
      <c r="C96" s="5" t="s">
        <v>2002</v>
      </c>
      <c r="D96" s="5"/>
      <c r="E96" s="5"/>
      <c r="F96" s="5"/>
      <c r="G96" s="5"/>
      <c r="H96" s="5"/>
      <c r="I96" s="5"/>
      <c r="J96" s="73"/>
      <c r="K96" s="75" t="str">
        <f>IFERROR(__xludf.DUMMYFUNCTION("""COMPUTED_VALUE"""),"")</f>
        <v/>
      </c>
      <c r="L96" s="48"/>
      <c r="M96" s="46" t="s">
        <v>2002</v>
      </c>
    </row>
    <row r="97">
      <c r="A97" s="70">
        <f>IFERROR(__xludf.DUMMYFUNCTION("""COMPUTED_VALUE"""),8.448663897E9)</f>
        <v>8448663897</v>
      </c>
      <c r="B97" s="46" t="str">
        <f>IFERROR(__xludf.DUMMYFUNCTION("""COMPUTED_VALUE"""),"Jyoti ji")</f>
        <v>Jyoti ji</v>
      </c>
      <c r="C97" s="5" t="s">
        <v>2002</v>
      </c>
      <c r="D97" s="5"/>
      <c r="E97" s="5"/>
      <c r="F97" s="5"/>
      <c r="G97" s="5"/>
      <c r="H97" s="5"/>
      <c r="I97" s="5"/>
      <c r="J97" s="73"/>
      <c r="K97" s="75" t="str">
        <f>IFERROR(__xludf.DUMMYFUNCTION("""COMPUTED_VALUE"""),"")</f>
        <v/>
      </c>
      <c r="L97" s="48"/>
      <c r="M97" s="46" t="s">
        <v>2002</v>
      </c>
    </row>
    <row r="98">
      <c r="A98" s="70">
        <f>IFERROR(__xludf.DUMMYFUNCTION("""COMPUTED_VALUE"""),8.3768369E9)</f>
        <v>8376836900</v>
      </c>
      <c r="B98" s="46" t="str">
        <f>IFERROR(__xludf.DUMMYFUNCTION("""COMPUTED_VALUE"""),"Priyanka jii")</f>
        <v>Priyanka jii</v>
      </c>
      <c r="C98" s="5" t="s">
        <v>2002</v>
      </c>
      <c r="D98" s="5"/>
      <c r="E98" s="5"/>
      <c r="F98" s="5"/>
      <c r="G98" s="5"/>
      <c r="H98" s="5"/>
      <c r="I98" s="5"/>
      <c r="J98" s="73"/>
      <c r="K98" s="75" t="str">
        <f>IFERROR(__xludf.DUMMYFUNCTION("""COMPUTED_VALUE"""),"")</f>
        <v/>
      </c>
      <c r="L98" s="48"/>
      <c r="M98" s="46" t="s">
        <v>2002</v>
      </c>
    </row>
    <row r="99">
      <c r="A99" s="70">
        <f>IFERROR(__xludf.DUMMYFUNCTION("""COMPUTED_VALUE"""),9.540658998E9)</f>
        <v>9540658998</v>
      </c>
      <c r="B99" s="46" t="str">
        <f>IFERROR(__xludf.DUMMYFUNCTION("""COMPUTED_VALUE"""),"Kumud ji")</f>
        <v>Kumud ji</v>
      </c>
      <c r="C99" s="5" t="s">
        <v>2002</v>
      </c>
      <c r="D99" s="5"/>
      <c r="E99" s="5"/>
      <c r="F99" s="5"/>
      <c r="G99" s="5"/>
      <c r="H99" s="5"/>
      <c r="I99" s="5"/>
      <c r="J99" s="73"/>
      <c r="K99" s="75" t="str">
        <f>IFERROR(__xludf.DUMMYFUNCTION("""COMPUTED_VALUE"""),"")</f>
        <v/>
      </c>
      <c r="L99" s="48"/>
      <c r="M99" s="46" t="s">
        <v>2002</v>
      </c>
    </row>
    <row r="100">
      <c r="A100" s="70">
        <f>IFERROR(__xludf.DUMMYFUNCTION("""COMPUTED_VALUE"""),9.717170333E9)</f>
        <v>9717170333</v>
      </c>
      <c r="B100" s="46" t="str">
        <f>IFERROR(__xludf.DUMMYFUNCTION("""COMPUTED_VALUE"""),"Sumit singh")</f>
        <v>Sumit singh</v>
      </c>
      <c r="C100" s="5" t="s">
        <v>2002</v>
      </c>
      <c r="D100" s="5"/>
      <c r="E100" s="5"/>
      <c r="F100" s="5"/>
      <c r="G100" s="5"/>
      <c r="H100" s="5"/>
      <c r="I100" s="5"/>
      <c r="J100" s="73"/>
      <c r="K100" s="75" t="str">
        <f>IFERROR(__xludf.DUMMYFUNCTION("""COMPUTED_VALUE"""),"")</f>
        <v/>
      </c>
      <c r="L100" s="48"/>
      <c r="M100" s="46" t="s">
        <v>2002</v>
      </c>
    </row>
    <row r="101">
      <c r="A101" s="70">
        <f>IFERROR(__xludf.DUMMYFUNCTION("""COMPUTED_VALUE"""),7.009614365E9)</f>
        <v>7009614365</v>
      </c>
      <c r="B101" s="46" t="str">
        <f>IFERROR(__xludf.DUMMYFUNCTION("""COMPUTED_VALUE"""),"Rajesh kumar")</f>
        <v>Rajesh kumar</v>
      </c>
      <c r="C101" s="5" t="s">
        <v>2002</v>
      </c>
      <c r="D101" s="5"/>
      <c r="E101" s="5"/>
      <c r="F101" s="5"/>
      <c r="G101" s="5"/>
      <c r="H101" s="5"/>
      <c r="I101" s="5"/>
      <c r="J101" s="73"/>
      <c r="K101" s="75" t="str">
        <f>IFERROR(__xludf.DUMMYFUNCTION("""COMPUTED_VALUE"""),"")</f>
        <v/>
      </c>
      <c r="L101" s="48"/>
      <c r="M101" s="46" t="s">
        <v>2002</v>
      </c>
    </row>
    <row r="102">
      <c r="A102" s="70">
        <f>IFERROR(__xludf.DUMMYFUNCTION("""COMPUTED_VALUE"""),9.716161698E9)</f>
        <v>9716161698</v>
      </c>
      <c r="B102" s="46" t="str">
        <f>IFERROR(__xludf.DUMMYFUNCTION("""COMPUTED_VALUE"""),"Jagbeender")</f>
        <v>Jagbeender</v>
      </c>
      <c r="C102" s="5" t="s">
        <v>2002</v>
      </c>
      <c r="D102" s="5"/>
      <c r="E102" s="5"/>
      <c r="F102" s="5"/>
      <c r="G102" s="5"/>
      <c r="H102" s="5"/>
      <c r="I102" s="5"/>
      <c r="J102" s="73"/>
      <c r="K102" s="75" t="str">
        <f>IFERROR(__xludf.DUMMYFUNCTION("""COMPUTED_VALUE"""),"")</f>
        <v/>
      </c>
      <c r="L102" s="48"/>
      <c r="M102" s="46" t="s">
        <v>2002</v>
      </c>
    </row>
    <row r="103">
      <c r="A103" s="70">
        <f>IFERROR(__xludf.DUMMYFUNCTION("""COMPUTED_VALUE"""),9.991381E9)</f>
        <v>9991381000</v>
      </c>
      <c r="B103" s="46" t="str">
        <f>IFERROR(__xludf.DUMMYFUNCTION("""COMPUTED_VALUE"""),"Inder ji")</f>
        <v>Inder ji</v>
      </c>
      <c r="C103" s="5" t="s">
        <v>2002</v>
      </c>
      <c r="D103" s="5"/>
      <c r="E103" s="5"/>
      <c r="F103" s="5"/>
      <c r="G103" s="5"/>
      <c r="H103" s="5"/>
      <c r="I103" s="5"/>
      <c r="J103" s="73"/>
      <c r="K103" s="75" t="str">
        <f>IFERROR(__xludf.DUMMYFUNCTION("""COMPUTED_VALUE"""),"")</f>
        <v/>
      </c>
      <c r="L103" s="48"/>
      <c r="M103" s="46" t="s">
        <v>2002</v>
      </c>
    </row>
    <row r="104">
      <c r="A104" s="70">
        <f>IFERROR(__xludf.DUMMYFUNCTION("""COMPUTED_VALUE"""),9.99012078E9)</f>
        <v>9990120780</v>
      </c>
      <c r="B104" s="46" t="str">
        <f>IFERROR(__xludf.DUMMYFUNCTION("""COMPUTED_VALUE"""),"S K gupta ")</f>
        <v>S K gupta </v>
      </c>
      <c r="C104" s="5" t="s">
        <v>2002</v>
      </c>
      <c r="D104" s="5"/>
      <c r="E104" s="5"/>
      <c r="F104" s="5"/>
      <c r="G104" s="5"/>
      <c r="H104" s="5"/>
      <c r="I104" s="5"/>
      <c r="J104" s="73"/>
      <c r="K104" s="75" t="str">
        <f>IFERROR(__xludf.DUMMYFUNCTION("""COMPUTED_VALUE"""),"")</f>
        <v/>
      </c>
      <c r="L104" s="48"/>
      <c r="M104" s="46" t="s">
        <v>2002</v>
      </c>
    </row>
    <row r="105">
      <c r="A105" s="70">
        <f>IFERROR(__xludf.DUMMYFUNCTION("""COMPUTED_VALUE"""),8.368922378E9)</f>
        <v>8368922378</v>
      </c>
      <c r="B105" s="46" t="str">
        <f>IFERROR(__xludf.DUMMYFUNCTION("""COMPUTED_VALUE"""),"Anita jii")</f>
        <v>Anita jii</v>
      </c>
      <c r="C105" s="5" t="s">
        <v>2002</v>
      </c>
      <c r="D105" s="5"/>
      <c r="E105" s="5"/>
      <c r="F105" s="5"/>
      <c r="G105" s="5"/>
      <c r="H105" s="5"/>
      <c r="I105" s="5"/>
      <c r="J105" s="73"/>
      <c r="K105" s="75" t="str">
        <f>IFERROR(__xludf.DUMMYFUNCTION("""COMPUTED_VALUE"""),"")</f>
        <v/>
      </c>
      <c r="L105" s="48"/>
      <c r="M105" s="46" t="s">
        <v>2002</v>
      </c>
    </row>
    <row r="106">
      <c r="A106" s="70">
        <f>IFERROR(__xludf.DUMMYFUNCTION("""COMPUTED_VALUE"""),9.812902533E9)</f>
        <v>9812902533</v>
      </c>
      <c r="B106" s="46" t="str">
        <f>IFERROR(__xludf.DUMMYFUNCTION("""COMPUTED_VALUE"""),"Meena garg")</f>
        <v>Meena garg</v>
      </c>
      <c r="C106" s="5" t="s">
        <v>2002</v>
      </c>
      <c r="D106" s="5"/>
      <c r="E106" s="5"/>
      <c r="F106" s="5"/>
      <c r="G106" s="5"/>
      <c r="H106" s="5"/>
      <c r="I106" s="5"/>
      <c r="J106" s="73"/>
      <c r="K106" s="75" t="str">
        <f>IFERROR(__xludf.DUMMYFUNCTION("""COMPUTED_VALUE"""),"")</f>
        <v/>
      </c>
      <c r="L106" s="48"/>
      <c r="M106" s="46" t="s">
        <v>2002</v>
      </c>
    </row>
    <row r="107">
      <c r="A107" s="70">
        <f>IFERROR(__xludf.DUMMYFUNCTION("""COMPUTED_VALUE"""),9.871578787E9)</f>
        <v>9871578787</v>
      </c>
      <c r="B107" s="46" t="str">
        <f>IFERROR(__xludf.DUMMYFUNCTION("""COMPUTED_VALUE"""),"Vaishal jain")</f>
        <v>Vaishal jain</v>
      </c>
      <c r="C107" s="5" t="s">
        <v>2002</v>
      </c>
      <c r="D107" s="5"/>
      <c r="E107" s="5"/>
      <c r="F107" s="5"/>
      <c r="G107" s="5"/>
      <c r="H107" s="5"/>
      <c r="I107" s="5"/>
      <c r="J107" s="73"/>
      <c r="K107" s="75" t="str">
        <f>IFERROR(__xludf.DUMMYFUNCTION("""COMPUTED_VALUE"""),"")</f>
        <v/>
      </c>
      <c r="L107" s="48"/>
      <c r="M107" s="46" t="s">
        <v>2002</v>
      </c>
    </row>
    <row r="108">
      <c r="A108" s="70">
        <f>IFERROR(__xludf.DUMMYFUNCTION("""COMPUTED_VALUE"""),9.958097438E9)</f>
        <v>9958097438</v>
      </c>
      <c r="B108" s="46" t="str">
        <f>IFERROR(__xludf.DUMMYFUNCTION("""COMPUTED_VALUE"""),"Gyanendra ji")</f>
        <v>Gyanendra ji</v>
      </c>
      <c r="C108" s="5" t="s">
        <v>2002</v>
      </c>
      <c r="D108" s="5"/>
      <c r="E108" s="5"/>
      <c r="F108" s="5"/>
      <c r="G108" s="5"/>
      <c r="H108" s="5"/>
      <c r="I108" s="5"/>
      <c r="J108" s="73"/>
      <c r="K108" s="75" t="str">
        <f>IFERROR(__xludf.DUMMYFUNCTION("""COMPUTED_VALUE"""),"")</f>
        <v/>
      </c>
      <c r="L108" s="48"/>
      <c r="M108" s="46" t="s">
        <v>2002</v>
      </c>
    </row>
    <row r="109">
      <c r="A109" s="70">
        <f>IFERROR(__xludf.DUMMYFUNCTION("""COMPUTED_VALUE"""),9.953960602E9)</f>
        <v>9953960602</v>
      </c>
      <c r="B109" s="46" t="str">
        <f>IFERROR(__xludf.DUMMYFUNCTION("""COMPUTED_VALUE"""),"Badal ji ")</f>
        <v>Badal ji </v>
      </c>
      <c r="C109" s="5" t="s">
        <v>2002</v>
      </c>
      <c r="D109" s="5"/>
      <c r="E109" s="5"/>
      <c r="F109" s="5"/>
      <c r="G109" s="5"/>
      <c r="H109" s="5"/>
      <c r="I109" s="5"/>
      <c r="J109" s="73"/>
      <c r="K109" s="75" t="str">
        <f>IFERROR(__xludf.DUMMYFUNCTION("""COMPUTED_VALUE"""),"")</f>
        <v/>
      </c>
      <c r="L109" s="48"/>
      <c r="M109" s="46" t="s">
        <v>2002</v>
      </c>
    </row>
    <row r="110">
      <c r="A110" s="70">
        <f>IFERROR(__xludf.DUMMYFUNCTION("""COMPUTED_VALUE"""),9.891815228E9)</f>
        <v>9891815228</v>
      </c>
      <c r="B110" s="46" t="str">
        <f>IFERROR(__xludf.DUMMYFUNCTION("""COMPUTED_VALUE"""),"Nasim ")</f>
        <v>Nasim </v>
      </c>
      <c r="C110" s="5" t="s">
        <v>2002</v>
      </c>
      <c r="D110" s="5"/>
      <c r="E110" s="5"/>
      <c r="F110" s="5"/>
      <c r="G110" s="5"/>
      <c r="H110" s="5"/>
      <c r="I110" s="5"/>
      <c r="J110" s="73"/>
      <c r="K110" s="75" t="str">
        <f>IFERROR(__xludf.DUMMYFUNCTION("""COMPUTED_VALUE"""),"")</f>
        <v/>
      </c>
      <c r="L110" s="48"/>
      <c r="M110" s="46" t="s">
        <v>2002</v>
      </c>
    </row>
    <row r="111">
      <c r="A111" s="70">
        <f>IFERROR(__xludf.DUMMYFUNCTION("""COMPUTED_VALUE"""),9.968162461E9)</f>
        <v>9968162461</v>
      </c>
      <c r="B111" s="46" t="str">
        <f>IFERROR(__xludf.DUMMYFUNCTION("""COMPUTED_VALUE"""),"Abhishek kumar")</f>
        <v>Abhishek kumar</v>
      </c>
      <c r="C111" s="5" t="s">
        <v>2002</v>
      </c>
      <c r="D111" s="5"/>
      <c r="E111" s="5"/>
      <c r="F111" s="5"/>
      <c r="G111" s="5"/>
      <c r="H111" s="5"/>
      <c r="I111" s="5"/>
      <c r="J111" s="73"/>
      <c r="K111" s="75" t="str">
        <f>IFERROR(__xludf.DUMMYFUNCTION("""COMPUTED_VALUE"""),"")</f>
        <v/>
      </c>
      <c r="L111" s="48"/>
      <c r="M111" s="46" t="s">
        <v>2002</v>
      </c>
    </row>
    <row r="112">
      <c r="A112" s="70">
        <f>IFERROR(__xludf.DUMMYFUNCTION("""COMPUTED_VALUE"""),8.82696449E9)</f>
        <v>8826964490</v>
      </c>
      <c r="B112" s="46" t="str">
        <f>IFERROR(__xludf.DUMMYFUNCTION("""COMPUTED_VALUE"""),"Suraj jii")</f>
        <v>Suraj jii</v>
      </c>
      <c r="C112" s="5" t="s">
        <v>2002</v>
      </c>
      <c r="D112" s="5"/>
      <c r="E112" s="5"/>
      <c r="F112" s="5"/>
      <c r="G112" s="5"/>
      <c r="H112" s="5"/>
      <c r="I112" s="5"/>
      <c r="J112" s="73"/>
      <c r="K112" s="75" t="str">
        <f>IFERROR(__xludf.DUMMYFUNCTION("""COMPUTED_VALUE"""),"")</f>
        <v/>
      </c>
      <c r="L112" s="48"/>
      <c r="M112" s="46" t="s">
        <v>2002</v>
      </c>
    </row>
    <row r="113">
      <c r="A113" s="70">
        <f>IFERROR(__xludf.DUMMYFUNCTION("""COMPUTED_VALUE"""),9.810609464E9)</f>
        <v>9810609464</v>
      </c>
      <c r="B113" s="46" t="str">
        <f>IFERROR(__xludf.DUMMYFUNCTION("""COMPUTED_VALUE"""),"Ranjan kumar sahu")</f>
        <v>Ranjan kumar sahu</v>
      </c>
      <c r="C113" s="5" t="s">
        <v>2002</v>
      </c>
      <c r="D113" s="5"/>
      <c r="E113" s="5"/>
      <c r="F113" s="5"/>
      <c r="G113" s="5"/>
      <c r="H113" s="5"/>
      <c r="I113" s="5"/>
      <c r="J113" s="73"/>
      <c r="K113" s="75" t="str">
        <f>IFERROR(__xludf.DUMMYFUNCTION("""COMPUTED_VALUE"""),"")</f>
        <v/>
      </c>
      <c r="L113" s="48"/>
      <c r="M113" s="46" t="s">
        <v>2002</v>
      </c>
    </row>
    <row r="114">
      <c r="A114" s="70">
        <f>IFERROR(__xludf.DUMMYFUNCTION("""COMPUTED_VALUE"""),9.911838993E9)</f>
        <v>9911838993</v>
      </c>
      <c r="B114" s="46" t="str">
        <f>IFERROR(__xludf.DUMMYFUNCTION("""COMPUTED_VALUE"""),"Bharat ")</f>
        <v>Bharat </v>
      </c>
      <c r="C114" s="5" t="s">
        <v>2002</v>
      </c>
      <c r="D114" s="5"/>
      <c r="E114" s="5"/>
      <c r="F114" s="5"/>
      <c r="G114" s="5"/>
      <c r="H114" s="5"/>
      <c r="I114" s="5"/>
      <c r="J114" s="73"/>
      <c r="K114" s="75" t="str">
        <f>IFERROR(__xludf.DUMMYFUNCTION("""COMPUTED_VALUE"""),"")</f>
        <v/>
      </c>
      <c r="L114" s="48"/>
      <c r="M114" s="46" t="s">
        <v>2002</v>
      </c>
    </row>
    <row r="115">
      <c r="A115" s="70">
        <f>IFERROR(__xludf.DUMMYFUNCTION("""COMPUTED_VALUE"""),7.500651712E9)</f>
        <v>7500651712</v>
      </c>
      <c r="B115" s="46" t="str">
        <f>IFERROR(__xludf.DUMMYFUNCTION("""COMPUTED_VALUE"""),"Nukhil")</f>
        <v>Nukhil</v>
      </c>
      <c r="C115" s="5" t="s">
        <v>2002</v>
      </c>
      <c r="D115" s="5"/>
      <c r="E115" s="5"/>
      <c r="F115" s="5"/>
      <c r="G115" s="5"/>
      <c r="H115" s="5"/>
      <c r="I115" s="5"/>
      <c r="J115" s="73"/>
      <c r="K115" s="75" t="str">
        <f>IFERROR(__xludf.DUMMYFUNCTION("""COMPUTED_VALUE"""),"")</f>
        <v/>
      </c>
      <c r="L115" s="48"/>
      <c r="M115" s="46" t="s">
        <v>2002</v>
      </c>
    </row>
    <row r="116">
      <c r="A116" s="70">
        <f>IFERROR(__xludf.DUMMYFUNCTION("""COMPUTED_VALUE"""),9.560023362E9)</f>
        <v>9560023362</v>
      </c>
      <c r="B116" s="46" t="str">
        <f>IFERROR(__xludf.DUMMYFUNCTION("""COMPUTED_VALUE"""),"Druve jii")</f>
        <v>Druve jii</v>
      </c>
      <c r="C116" s="5" t="s">
        <v>2002</v>
      </c>
      <c r="D116" s="5"/>
      <c r="E116" s="5"/>
      <c r="F116" s="5"/>
      <c r="G116" s="5"/>
      <c r="H116" s="5"/>
      <c r="I116" s="5"/>
      <c r="J116" s="73"/>
      <c r="K116" s="75" t="str">
        <f>IFERROR(__xludf.DUMMYFUNCTION("""COMPUTED_VALUE"""),"")</f>
        <v/>
      </c>
      <c r="L116" s="48"/>
      <c r="M116" s="46" t="s">
        <v>2002</v>
      </c>
    </row>
    <row r="117">
      <c r="A117" s="70">
        <f>IFERROR(__xludf.DUMMYFUNCTION("""COMPUTED_VALUE"""),9.8101473E9)</f>
        <v>9810147300</v>
      </c>
      <c r="B117" s="46" t="str">
        <f>IFERROR(__xludf.DUMMYFUNCTION("""COMPUTED_VALUE"""),"sandhya jain")</f>
        <v>sandhya jain</v>
      </c>
      <c r="C117" s="5" t="s">
        <v>2002</v>
      </c>
      <c r="D117" s="5"/>
      <c r="E117" s="5"/>
      <c r="F117" s="5"/>
      <c r="G117" s="5"/>
      <c r="H117" s="5"/>
      <c r="I117" s="5"/>
      <c r="J117" s="73"/>
      <c r="K117" s="75" t="str">
        <f>IFERROR(__xludf.DUMMYFUNCTION("""COMPUTED_VALUE"""),"")</f>
        <v/>
      </c>
      <c r="L117" s="48"/>
      <c r="M117" s="46" t="s">
        <v>2002</v>
      </c>
    </row>
    <row r="118">
      <c r="A118" s="70">
        <f>IFERROR(__xludf.DUMMYFUNCTION("""COMPUTED_VALUE"""),9.868429229E9)</f>
        <v>9868429229</v>
      </c>
      <c r="B118" s="46" t="str">
        <f>IFERROR(__xludf.DUMMYFUNCTION("""COMPUTED_VALUE"""),"monish ji")</f>
        <v>monish ji</v>
      </c>
      <c r="C118" s="5" t="s">
        <v>2002</v>
      </c>
      <c r="D118" s="5"/>
      <c r="E118" s="5"/>
      <c r="F118" s="5"/>
      <c r="G118" s="5"/>
      <c r="H118" s="5"/>
      <c r="I118" s="5"/>
      <c r="J118" s="73"/>
      <c r="K118" s="75" t="str">
        <f>IFERROR(__xludf.DUMMYFUNCTION("""COMPUTED_VALUE"""),"")</f>
        <v/>
      </c>
      <c r="L118" s="48"/>
      <c r="M118" s="46" t="s">
        <v>2002</v>
      </c>
    </row>
    <row r="119">
      <c r="A119" s="70">
        <f>IFERROR(__xludf.DUMMYFUNCTION("""COMPUTED_VALUE"""),9.540325879E9)</f>
        <v>9540325879</v>
      </c>
      <c r="B119" s="46" t="str">
        <f>IFERROR(__xludf.DUMMYFUNCTION("""COMPUTED_VALUE"""),"manabir prasal")</f>
        <v>manabir prasal</v>
      </c>
      <c r="C119" s="5" t="s">
        <v>2002</v>
      </c>
      <c r="D119" s="5"/>
      <c r="E119" s="5"/>
      <c r="F119" s="5"/>
      <c r="G119" s="5"/>
      <c r="H119" s="5"/>
      <c r="I119" s="5"/>
      <c r="J119" s="73"/>
      <c r="K119" s="75" t="str">
        <f>IFERROR(__xludf.DUMMYFUNCTION("""COMPUTED_VALUE"""),"")</f>
        <v/>
      </c>
      <c r="L119" s="48"/>
      <c r="M119" s="46" t="s">
        <v>2002</v>
      </c>
    </row>
    <row r="120">
      <c r="A120" s="70">
        <f>IFERROR(__xludf.DUMMYFUNCTION("""COMPUTED_VALUE"""),9.418008764E9)</f>
        <v>9418008764</v>
      </c>
      <c r="B120" s="46" t="str">
        <f>IFERROR(__xludf.DUMMYFUNCTION("""COMPUTED_VALUE"""),"JR thakur ji")</f>
        <v>JR thakur ji</v>
      </c>
      <c r="C120" s="5" t="s">
        <v>2002</v>
      </c>
      <c r="D120" s="5"/>
      <c r="E120" s="5"/>
      <c r="F120" s="5"/>
      <c r="G120" s="5"/>
      <c r="H120" s="5"/>
      <c r="I120" s="5"/>
      <c r="J120" s="73"/>
      <c r="K120" s="75" t="str">
        <f>IFERROR(__xludf.DUMMYFUNCTION("""COMPUTED_VALUE"""),"")</f>
        <v/>
      </c>
      <c r="L120" s="48"/>
      <c r="M120" s="46" t="s">
        <v>2002</v>
      </c>
    </row>
    <row r="121">
      <c r="A121" s="70">
        <f>IFERROR(__xludf.DUMMYFUNCTION("""COMPUTED_VALUE"""),9.873325101E9)</f>
        <v>9873325101</v>
      </c>
      <c r="B121" s="46" t="str">
        <f>IFERROR(__xludf.DUMMYFUNCTION("""COMPUTED_VALUE"""),"shirupi khanna")</f>
        <v>shirupi khanna</v>
      </c>
      <c r="C121" s="5" t="s">
        <v>2002</v>
      </c>
      <c r="D121" s="5"/>
      <c r="E121" s="5"/>
      <c r="F121" s="5"/>
      <c r="G121" s="5"/>
      <c r="H121" s="5"/>
      <c r="I121" s="5"/>
      <c r="J121" s="73"/>
      <c r="K121" s="75" t="str">
        <f>IFERROR(__xludf.DUMMYFUNCTION("""COMPUTED_VALUE"""),"")</f>
        <v/>
      </c>
      <c r="L121" s="48"/>
      <c r="M121" s="46" t="s">
        <v>2002</v>
      </c>
    </row>
    <row r="122">
      <c r="A122" s="70">
        <f>IFERROR(__xludf.DUMMYFUNCTION("""COMPUTED_VALUE"""),8.750101322E9)</f>
        <v>8750101322</v>
      </c>
      <c r="B122" s="46" t="str">
        <f>IFERROR(__xludf.DUMMYFUNCTION("""COMPUTED_VALUE"""),"vansh sharma")</f>
        <v>vansh sharma</v>
      </c>
      <c r="C122" s="5" t="s">
        <v>2002</v>
      </c>
      <c r="D122" s="5"/>
      <c r="E122" s="5"/>
      <c r="F122" s="5"/>
      <c r="G122" s="5"/>
      <c r="H122" s="5"/>
      <c r="I122" s="5"/>
      <c r="J122" s="73"/>
      <c r="K122" s="75" t="str">
        <f>IFERROR(__xludf.DUMMYFUNCTION("""COMPUTED_VALUE"""),"")</f>
        <v/>
      </c>
      <c r="L122" s="48"/>
      <c r="M122" s="46" t="s">
        <v>2002</v>
      </c>
    </row>
    <row r="123">
      <c r="A123" s="70">
        <f>IFERROR(__xludf.DUMMYFUNCTION("""COMPUTED_VALUE"""),7.011884242E9)</f>
        <v>7011884242</v>
      </c>
      <c r="B123" s="46" t="str">
        <f>IFERROR(__xludf.DUMMYFUNCTION("""COMPUTED_VALUE"""),"Ranjana ji ")</f>
        <v>Ranjana ji </v>
      </c>
      <c r="C123" s="5" t="s">
        <v>2002</v>
      </c>
      <c r="D123" s="5"/>
      <c r="E123" s="5"/>
      <c r="F123" s="5"/>
      <c r="G123" s="5"/>
      <c r="H123" s="5"/>
      <c r="I123" s="5"/>
      <c r="J123" s="73"/>
      <c r="K123" s="75" t="str">
        <f>IFERROR(__xludf.DUMMYFUNCTION("""COMPUTED_VALUE"""),"")</f>
        <v/>
      </c>
      <c r="L123" s="48"/>
      <c r="M123" s="46" t="s">
        <v>2002</v>
      </c>
    </row>
    <row r="124">
      <c r="A124" s="70">
        <f>IFERROR(__xludf.DUMMYFUNCTION("""COMPUTED_VALUE"""),8.920986407E9)</f>
        <v>8920986407</v>
      </c>
      <c r="B124" s="46" t="str">
        <f>IFERROR(__xludf.DUMMYFUNCTION("""COMPUTED_VALUE"""),"sunam jii ")</f>
        <v>sunam jii </v>
      </c>
      <c r="C124" s="5" t="s">
        <v>2002</v>
      </c>
      <c r="D124" s="5"/>
      <c r="E124" s="5"/>
      <c r="F124" s="5"/>
      <c r="G124" s="5"/>
      <c r="H124" s="5"/>
      <c r="I124" s="5"/>
      <c r="J124" s="73"/>
      <c r="K124" s="75" t="str">
        <f>IFERROR(__xludf.DUMMYFUNCTION("""COMPUTED_VALUE"""),"")</f>
        <v/>
      </c>
      <c r="L124" s="48"/>
      <c r="M124" s="46" t="s">
        <v>2002</v>
      </c>
    </row>
    <row r="125">
      <c r="A125" s="70">
        <f>IFERROR(__xludf.DUMMYFUNCTION("""COMPUTED_VALUE"""),7.551194993E9)</f>
        <v>7551194993</v>
      </c>
      <c r="B125" s="46" t="str">
        <f>IFERROR(__xludf.DUMMYFUNCTION("""COMPUTED_VALUE"""),"prashant ji")</f>
        <v>prashant ji</v>
      </c>
      <c r="C125" s="5" t="s">
        <v>2002</v>
      </c>
      <c r="D125" s="5"/>
      <c r="E125" s="5"/>
      <c r="F125" s="5"/>
      <c r="G125" s="5"/>
      <c r="H125" s="5"/>
      <c r="I125" s="5"/>
      <c r="J125" s="73"/>
      <c r="K125" s="75" t="str">
        <f>IFERROR(__xludf.DUMMYFUNCTION("""COMPUTED_VALUE"""),"")</f>
        <v/>
      </c>
      <c r="L125" s="48"/>
      <c r="M125" s="46" t="s">
        <v>2002</v>
      </c>
    </row>
    <row r="126">
      <c r="A126" s="70">
        <f>IFERROR(__xludf.DUMMYFUNCTION("""COMPUTED_VALUE"""),9.71833954E9)</f>
        <v>9718339540</v>
      </c>
      <c r="B126" s="46" t="str">
        <f>IFERROR(__xludf.DUMMYFUNCTION("""COMPUTED_VALUE"""),"sujal mishra")</f>
        <v>sujal mishra</v>
      </c>
      <c r="C126" s="5" t="s">
        <v>2002</v>
      </c>
      <c r="D126" s="5"/>
      <c r="E126" s="5"/>
      <c r="F126" s="5"/>
      <c r="G126" s="5"/>
      <c r="H126" s="5"/>
      <c r="I126" s="5"/>
      <c r="J126" s="73"/>
      <c r="K126" s="75" t="str">
        <f>IFERROR(__xludf.DUMMYFUNCTION("""COMPUTED_VALUE"""),"")</f>
        <v/>
      </c>
      <c r="L126" s="48"/>
      <c r="M126" s="46" t="s">
        <v>2002</v>
      </c>
    </row>
    <row r="127">
      <c r="A127" s="70">
        <f>IFERROR(__xludf.DUMMYFUNCTION("""COMPUTED_VALUE"""),9.650509732E9)</f>
        <v>9650509732</v>
      </c>
      <c r="B127" s="46" t="str">
        <f>IFERROR(__xludf.DUMMYFUNCTION("""COMPUTED_VALUE"""),"shushma ji ")</f>
        <v>shushma ji </v>
      </c>
      <c r="C127" s="5" t="s">
        <v>2002</v>
      </c>
      <c r="D127" s="5"/>
      <c r="E127" s="5"/>
      <c r="F127" s="5"/>
      <c r="G127" s="5"/>
      <c r="H127" s="5"/>
      <c r="I127" s="5"/>
      <c r="J127" s="73"/>
      <c r="K127" s="75" t="str">
        <f>IFERROR(__xludf.DUMMYFUNCTION("""COMPUTED_VALUE"""),"")</f>
        <v/>
      </c>
      <c r="L127" s="48"/>
      <c r="M127" s="46" t="s">
        <v>2002</v>
      </c>
    </row>
    <row r="128">
      <c r="A128" s="70">
        <f>IFERROR(__xludf.DUMMYFUNCTION("""COMPUTED_VALUE"""),9.999085204E9)</f>
        <v>9999085204</v>
      </c>
      <c r="B128" s="46" t="str">
        <f>IFERROR(__xludf.DUMMYFUNCTION("""COMPUTED_VALUE"""),"shivam")</f>
        <v>shivam</v>
      </c>
      <c r="C128" s="5" t="s">
        <v>2002</v>
      </c>
      <c r="D128" s="5"/>
      <c r="E128" s="5"/>
      <c r="F128" s="5"/>
      <c r="G128" s="5"/>
      <c r="H128" s="5"/>
      <c r="I128" s="5"/>
      <c r="J128" s="73"/>
      <c r="K128" s="75" t="str">
        <f>IFERROR(__xludf.DUMMYFUNCTION("""COMPUTED_VALUE"""),"")</f>
        <v/>
      </c>
      <c r="L128" s="48"/>
      <c r="M128" s="46" t="s">
        <v>2002</v>
      </c>
    </row>
    <row r="129">
      <c r="A129" s="70">
        <f>IFERROR(__xludf.DUMMYFUNCTION("""COMPUTED_VALUE"""),8.81041629E9)</f>
        <v>8810416290</v>
      </c>
      <c r="B129" s="46" t="str">
        <f>IFERROR(__xludf.DUMMYFUNCTION("""COMPUTED_VALUE"""),"Afreen ji")</f>
        <v>Afreen ji</v>
      </c>
      <c r="C129" s="5" t="s">
        <v>2002</v>
      </c>
      <c r="D129" s="5"/>
      <c r="E129" s="5"/>
      <c r="F129" s="5"/>
      <c r="G129" s="5"/>
      <c r="H129" s="5"/>
      <c r="I129" s="5"/>
      <c r="J129" s="73"/>
      <c r="K129" s="75" t="str">
        <f>IFERROR(__xludf.DUMMYFUNCTION("""COMPUTED_VALUE"""),"")</f>
        <v/>
      </c>
      <c r="L129" s="48"/>
      <c r="M129" s="46" t="s">
        <v>2002</v>
      </c>
    </row>
    <row r="130">
      <c r="A130" s="70">
        <f>IFERROR(__xludf.DUMMYFUNCTION("""COMPUTED_VALUE"""),8.920688834E9)</f>
        <v>8920688834</v>
      </c>
      <c r="B130" s="46" t="str">
        <f>IFERROR(__xludf.DUMMYFUNCTION("""COMPUTED_VALUE"""),"Aastha ji")</f>
        <v>Aastha ji</v>
      </c>
      <c r="C130" s="5" t="s">
        <v>2002</v>
      </c>
      <c r="D130" s="5"/>
      <c r="E130" s="5"/>
      <c r="F130" s="5"/>
      <c r="G130" s="5"/>
      <c r="H130" s="5"/>
      <c r="I130" s="5"/>
      <c r="J130" s="73"/>
      <c r="K130" s="75" t="str">
        <f>IFERROR(__xludf.DUMMYFUNCTION("""COMPUTED_VALUE"""),"")</f>
        <v/>
      </c>
      <c r="L130" s="48"/>
      <c r="M130" s="46" t="s">
        <v>2002</v>
      </c>
    </row>
    <row r="131">
      <c r="A131" s="70">
        <f>IFERROR(__xludf.DUMMYFUNCTION("""COMPUTED_VALUE"""),7.042168871E9)</f>
        <v>7042168871</v>
      </c>
      <c r="B131" s="46" t="str">
        <f>IFERROR(__xludf.DUMMYFUNCTION("""COMPUTED_VALUE"""),"seema ji")</f>
        <v>seema ji</v>
      </c>
      <c r="C131" s="5" t="s">
        <v>2002</v>
      </c>
      <c r="D131" s="5"/>
      <c r="E131" s="5"/>
      <c r="F131" s="5"/>
      <c r="G131" s="5"/>
      <c r="H131" s="5"/>
      <c r="I131" s="5"/>
      <c r="J131" s="73"/>
      <c r="K131" s="75" t="str">
        <f>IFERROR(__xludf.DUMMYFUNCTION("""COMPUTED_VALUE"""),"")</f>
        <v/>
      </c>
      <c r="L131" s="48"/>
      <c r="M131" s="46" t="s">
        <v>2002</v>
      </c>
    </row>
    <row r="132">
      <c r="A132" s="70">
        <f>IFERROR(__xludf.DUMMYFUNCTION("""COMPUTED_VALUE"""),9.971414243E9)</f>
        <v>9971414243</v>
      </c>
      <c r="B132" s="46" t="str">
        <f>IFERROR(__xludf.DUMMYFUNCTION("""COMPUTED_VALUE"""),"Prakash ")</f>
        <v>Prakash </v>
      </c>
      <c r="C132" s="5" t="s">
        <v>2002</v>
      </c>
      <c r="D132" s="5"/>
      <c r="E132" s="5"/>
      <c r="F132" s="5"/>
      <c r="G132" s="5"/>
      <c r="H132" s="5"/>
      <c r="I132" s="5"/>
      <c r="J132" s="73"/>
      <c r="K132" s="75" t="str">
        <f>IFERROR(__xludf.DUMMYFUNCTION("""COMPUTED_VALUE"""),"")</f>
        <v/>
      </c>
      <c r="L132" s="48"/>
      <c r="M132" s="46" t="s">
        <v>2002</v>
      </c>
    </row>
    <row r="133">
      <c r="A133" s="70">
        <f>IFERROR(__xludf.DUMMYFUNCTION("""COMPUTED_VALUE"""),9.873736362E9)</f>
        <v>9873736362</v>
      </c>
      <c r="B133" s="46" t="str">
        <f>IFERROR(__xludf.DUMMYFUNCTION("""COMPUTED_VALUE"""),"Nitin ")</f>
        <v>Nitin </v>
      </c>
      <c r="C133" s="5" t="s">
        <v>2002</v>
      </c>
      <c r="D133" s="5"/>
      <c r="E133" s="5"/>
      <c r="F133" s="5"/>
      <c r="G133" s="5"/>
      <c r="H133" s="5"/>
      <c r="I133" s="5"/>
      <c r="J133" s="73"/>
      <c r="K133" s="75" t="str">
        <f>IFERROR(__xludf.DUMMYFUNCTION("""COMPUTED_VALUE"""),"")</f>
        <v/>
      </c>
      <c r="L133" s="48"/>
      <c r="M133" s="46" t="s">
        <v>2002</v>
      </c>
    </row>
    <row r="134">
      <c r="A134" s="70">
        <f>IFERROR(__xludf.DUMMYFUNCTION("""COMPUTED_VALUE"""),9.711269061E9)</f>
        <v>9711269061</v>
      </c>
      <c r="B134" s="46" t="str">
        <f>IFERROR(__xludf.DUMMYFUNCTION("""COMPUTED_VALUE"""),"Himanshu chauhan")</f>
        <v>Himanshu chauhan</v>
      </c>
      <c r="C134" s="5" t="s">
        <v>2002</v>
      </c>
      <c r="D134" s="5"/>
      <c r="E134" s="5"/>
      <c r="F134" s="5"/>
      <c r="G134" s="5"/>
      <c r="H134" s="5"/>
      <c r="I134" s="5"/>
      <c r="J134" s="73"/>
      <c r="K134" s="75" t="str">
        <f>IFERROR(__xludf.DUMMYFUNCTION("""COMPUTED_VALUE"""),"")</f>
        <v/>
      </c>
      <c r="L134" s="48"/>
      <c r="M134" s="46" t="s">
        <v>2002</v>
      </c>
    </row>
    <row r="135">
      <c r="A135" s="70">
        <f>IFERROR(__xludf.DUMMYFUNCTION("""COMPUTED_VALUE"""),8.287455411E9)</f>
        <v>8287455411</v>
      </c>
      <c r="B135" s="46" t="str">
        <f>IFERROR(__xludf.DUMMYFUNCTION("""COMPUTED_VALUE"""),"lovely ")</f>
        <v>lovely </v>
      </c>
      <c r="C135" s="5" t="s">
        <v>2002</v>
      </c>
      <c r="D135" s="5"/>
      <c r="E135" s="5"/>
      <c r="F135" s="5"/>
      <c r="G135" s="5"/>
      <c r="H135" s="5"/>
      <c r="I135" s="5"/>
      <c r="J135" s="73"/>
      <c r="K135" s="75" t="str">
        <f>IFERROR(__xludf.DUMMYFUNCTION("""COMPUTED_VALUE"""),"")</f>
        <v/>
      </c>
      <c r="L135" s="48"/>
      <c r="M135" s="46" t="s">
        <v>2002</v>
      </c>
    </row>
    <row r="136">
      <c r="A136" s="70">
        <f>IFERROR(__xludf.DUMMYFUNCTION("""COMPUTED_VALUE"""),9.667845298E9)</f>
        <v>9667845298</v>
      </c>
      <c r="B136" s="46" t="str">
        <f>IFERROR(__xludf.DUMMYFUNCTION("""COMPUTED_VALUE"""),"Devendra sharma ji")</f>
        <v>Devendra sharma ji</v>
      </c>
      <c r="C136" s="5" t="s">
        <v>2002</v>
      </c>
      <c r="D136" s="5"/>
      <c r="E136" s="5"/>
      <c r="F136" s="5"/>
      <c r="G136" s="5"/>
      <c r="H136" s="5"/>
      <c r="I136" s="5"/>
      <c r="J136" s="73"/>
      <c r="K136" s="75" t="str">
        <f>IFERROR(__xludf.DUMMYFUNCTION("""COMPUTED_VALUE"""),"")</f>
        <v/>
      </c>
      <c r="L136" s="48"/>
      <c r="M136" s="46" t="s">
        <v>2002</v>
      </c>
    </row>
    <row r="137">
      <c r="A137" s="70">
        <f>IFERROR(__xludf.DUMMYFUNCTION("""COMPUTED_VALUE"""),9.871489556E9)</f>
        <v>9871489556</v>
      </c>
      <c r="B137" s="46" t="str">
        <f>IFERROR(__xludf.DUMMYFUNCTION("""COMPUTED_VALUE"""),"komal ji")</f>
        <v>komal ji</v>
      </c>
      <c r="C137" s="5" t="s">
        <v>2002</v>
      </c>
      <c r="D137" s="5"/>
      <c r="E137" s="5"/>
      <c r="F137" s="5"/>
      <c r="G137" s="5"/>
      <c r="H137" s="5"/>
      <c r="I137" s="5"/>
      <c r="J137" s="73"/>
      <c r="K137" s="75" t="str">
        <f>IFERROR(__xludf.DUMMYFUNCTION("""COMPUTED_VALUE"""),"")</f>
        <v/>
      </c>
      <c r="L137" s="48"/>
      <c r="M137" s="46" t="s">
        <v>2002</v>
      </c>
    </row>
    <row r="138">
      <c r="A138" s="70">
        <f>IFERROR(__xludf.DUMMYFUNCTION("""COMPUTED_VALUE"""),9.812289365E9)</f>
        <v>9812289365</v>
      </c>
      <c r="B138" s="46" t="str">
        <f>IFERROR(__xludf.DUMMYFUNCTION("""COMPUTED_VALUE"""),"Mona ")</f>
        <v>Mona </v>
      </c>
      <c r="C138" s="5" t="s">
        <v>2002</v>
      </c>
      <c r="D138" s="5"/>
      <c r="E138" s="5"/>
      <c r="F138" s="5"/>
      <c r="G138" s="5"/>
      <c r="H138" s="5"/>
      <c r="I138" s="5"/>
      <c r="J138" s="73"/>
      <c r="K138" s="75" t="str">
        <f>IFERROR(__xludf.DUMMYFUNCTION("""COMPUTED_VALUE"""),"")</f>
        <v/>
      </c>
      <c r="L138" s="48"/>
      <c r="M138" s="46" t="s">
        <v>2002</v>
      </c>
    </row>
    <row r="139">
      <c r="A139" s="70">
        <f>IFERROR(__xludf.DUMMYFUNCTION("""COMPUTED_VALUE"""),9.891766693E9)</f>
        <v>9891766693</v>
      </c>
      <c r="B139" s="46" t="str">
        <f>IFERROR(__xludf.DUMMYFUNCTION("""COMPUTED_VALUE"""),"Sabeena ")</f>
        <v>Sabeena </v>
      </c>
      <c r="C139" s="5" t="s">
        <v>2002</v>
      </c>
      <c r="D139" s="5"/>
      <c r="E139" s="5"/>
      <c r="F139" s="5"/>
      <c r="G139" s="5"/>
      <c r="H139" s="5"/>
      <c r="I139" s="5"/>
      <c r="J139" s="73"/>
      <c r="K139" s="75" t="str">
        <f>IFERROR(__xludf.DUMMYFUNCTION("""COMPUTED_VALUE"""),"")</f>
        <v/>
      </c>
      <c r="L139" s="48"/>
      <c r="M139" s="46" t="s">
        <v>2002</v>
      </c>
    </row>
    <row r="140">
      <c r="A140" s="70">
        <f>IFERROR(__xludf.DUMMYFUNCTION("""COMPUTED_VALUE"""),9.210171008E9)</f>
        <v>9210171008</v>
      </c>
      <c r="B140" s="46" t="str">
        <f>IFERROR(__xludf.DUMMYFUNCTION("""COMPUTED_VALUE"""),"Bhavik")</f>
        <v>Bhavik</v>
      </c>
      <c r="C140" s="5" t="s">
        <v>2002</v>
      </c>
      <c r="D140" s="5"/>
      <c r="E140" s="5"/>
      <c r="F140" s="5"/>
      <c r="G140" s="5"/>
      <c r="H140" s="5"/>
      <c r="I140" s="5"/>
      <c r="J140" s="73"/>
      <c r="K140" s="75" t="str">
        <f>IFERROR(__xludf.DUMMYFUNCTION("""COMPUTED_VALUE"""),"")</f>
        <v/>
      </c>
      <c r="L140" s="48"/>
      <c r="M140" s="46" t="s">
        <v>2002</v>
      </c>
    </row>
    <row r="141">
      <c r="A141" s="70">
        <f>IFERROR(__xludf.DUMMYFUNCTION("""COMPUTED_VALUE"""),9.990368279E9)</f>
        <v>9990368279</v>
      </c>
      <c r="B141" s="46" t="str">
        <f>IFERROR(__xludf.DUMMYFUNCTION("""COMPUTED_VALUE"""),"Akhil mathur ")</f>
        <v>Akhil mathur </v>
      </c>
      <c r="C141" s="5" t="s">
        <v>2002</v>
      </c>
      <c r="D141" s="5"/>
      <c r="E141" s="5"/>
      <c r="F141" s="5"/>
      <c r="G141" s="5"/>
      <c r="H141" s="5"/>
      <c r="I141" s="5"/>
      <c r="J141" s="73"/>
      <c r="K141" s="75" t="str">
        <f>IFERROR(__xludf.DUMMYFUNCTION("""COMPUTED_VALUE"""),"")</f>
        <v/>
      </c>
      <c r="L141" s="48"/>
      <c r="M141" s="46" t="s">
        <v>2002</v>
      </c>
    </row>
    <row r="142">
      <c r="A142" s="70">
        <f>IFERROR(__xludf.DUMMYFUNCTION("""COMPUTED_VALUE"""),8.595753278E9)</f>
        <v>8595753278</v>
      </c>
      <c r="B142" s="46" t="str">
        <f>IFERROR(__xludf.DUMMYFUNCTION("""COMPUTED_VALUE"""),"Ankit garg")</f>
        <v>Ankit garg</v>
      </c>
      <c r="C142" s="5" t="s">
        <v>2002</v>
      </c>
      <c r="D142" s="5"/>
      <c r="E142" s="5"/>
      <c r="F142" s="5"/>
      <c r="G142" s="5"/>
      <c r="H142" s="5"/>
      <c r="I142" s="5"/>
      <c r="J142" s="73"/>
      <c r="K142" s="75" t="str">
        <f>IFERROR(__xludf.DUMMYFUNCTION("""COMPUTED_VALUE"""),"")</f>
        <v/>
      </c>
      <c r="L142" s="48"/>
      <c r="M142" s="46" t="s">
        <v>2002</v>
      </c>
    </row>
    <row r="143">
      <c r="A143" s="70">
        <f>IFERROR(__xludf.DUMMYFUNCTION("""COMPUTED_VALUE"""),9.8101015E9)</f>
        <v>9810101500</v>
      </c>
      <c r="B143" s="46" t="str">
        <f>IFERROR(__xludf.DUMMYFUNCTION("""COMPUTED_VALUE"""),"Anil")</f>
        <v>Anil</v>
      </c>
      <c r="C143" s="5" t="s">
        <v>2002</v>
      </c>
      <c r="D143" s="5"/>
      <c r="E143" s="5"/>
      <c r="F143" s="5"/>
      <c r="G143" s="5"/>
      <c r="H143" s="5"/>
      <c r="I143" s="5"/>
      <c r="J143" s="73"/>
      <c r="K143" s="75" t="str">
        <f>IFERROR(__xludf.DUMMYFUNCTION("""COMPUTED_VALUE"""),"")</f>
        <v/>
      </c>
      <c r="L143" s="48"/>
      <c r="M143" s="46" t="s">
        <v>2002</v>
      </c>
    </row>
    <row r="144">
      <c r="A144" s="70">
        <f>IFERROR(__xludf.DUMMYFUNCTION("""COMPUTED_VALUE"""),9.890309889E9)</f>
        <v>9890309889</v>
      </c>
      <c r="B144" s="46" t="str">
        <f>IFERROR(__xludf.DUMMYFUNCTION("""COMPUTED_VALUE"""),"Dr sunny ")</f>
        <v>Dr sunny </v>
      </c>
      <c r="C144" s="5" t="s">
        <v>2002</v>
      </c>
      <c r="D144" s="5"/>
      <c r="E144" s="5"/>
      <c r="F144" s="5"/>
      <c r="G144" s="5"/>
      <c r="H144" s="5"/>
      <c r="I144" s="5"/>
      <c r="J144" s="73"/>
      <c r="K144" s="75" t="str">
        <f>IFERROR(__xludf.DUMMYFUNCTION("""COMPUTED_VALUE"""),"")</f>
        <v/>
      </c>
      <c r="L144" s="48"/>
      <c r="M144" s="46" t="s">
        <v>2002</v>
      </c>
    </row>
    <row r="145">
      <c r="A145" s="70">
        <f>IFERROR(__xludf.DUMMYFUNCTION("""COMPUTED_VALUE"""),9.653878566E9)</f>
        <v>9653878566</v>
      </c>
      <c r="B145" s="46" t="str">
        <f>IFERROR(__xludf.DUMMYFUNCTION("""COMPUTED_VALUE"""),"Sourav ")</f>
        <v>Sourav </v>
      </c>
      <c r="C145" s="5" t="s">
        <v>2002</v>
      </c>
      <c r="D145" s="5"/>
      <c r="E145" s="5"/>
      <c r="F145" s="5"/>
      <c r="G145" s="5"/>
      <c r="H145" s="5"/>
      <c r="I145" s="5"/>
      <c r="J145" s="73"/>
      <c r="K145" s="75" t="str">
        <f>IFERROR(__xludf.DUMMYFUNCTION("""COMPUTED_VALUE"""),"")</f>
        <v/>
      </c>
      <c r="L145" s="48"/>
      <c r="M145" s="46" t="s">
        <v>2002</v>
      </c>
    </row>
    <row r="146">
      <c r="A146" s="70">
        <f>IFERROR(__xludf.DUMMYFUNCTION("""COMPUTED_VALUE"""),9.654501325E9)</f>
        <v>9654501325</v>
      </c>
      <c r="B146" s="46" t="str">
        <f>IFERROR(__xludf.DUMMYFUNCTION("""COMPUTED_VALUE"""),"Vikas")</f>
        <v>Vikas</v>
      </c>
      <c r="C146" s="5" t="s">
        <v>2002</v>
      </c>
      <c r="D146" s="5"/>
      <c r="E146" s="5"/>
      <c r="F146" s="5"/>
      <c r="G146" s="5"/>
      <c r="H146" s="5"/>
      <c r="I146" s="5"/>
      <c r="J146" s="73"/>
      <c r="K146" s="75" t="str">
        <f>IFERROR(__xludf.DUMMYFUNCTION("""COMPUTED_VALUE"""),"")</f>
        <v/>
      </c>
      <c r="L146" s="48"/>
      <c r="M146" s="46" t="s">
        <v>2002</v>
      </c>
    </row>
    <row r="147">
      <c r="A147" s="70">
        <f>IFERROR(__xludf.DUMMYFUNCTION("""COMPUTED_VALUE"""),9.718687757E9)</f>
        <v>9718687757</v>
      </c>
      <c r="B147" s="46" t="str">
        <f>IFERROR(__xludf.DUMMYFUNCTION("""COMPUTED_VALUE"""),"Karuna ji ")</f>
        <v>Karuna ji </v>
      </c>
      <c r="C147" s="5" t="s">
        <v>2002</v>
      </c>
      <c r="D147" s="5"/>
      <c r="E147" s="5"/>
      <c r="F147" s="5"/>
      <c r="G147" s="5"/>
      <c r="H147" s="5"/>
      <c r="I147" s="5"/>
      <c r="J147" s="73"/>
      <c r="K147" s="75" t="str">
        <f>IFERROR(__xludf.DUMMYFUNCTION("""COMPUTED_VALUE"""),"")</f>
        <v/>
      </c>
      <c r="L147" s="48"/>
      <c r="M147" s="46" t="s">
        <v>2002</v>
      </c>
    </row>
    <row r="148">
      <c r="A148" s="70">
        <f>IFERROR(__xludf.DUMMYFUNCTION("""COMPUTED_VALUE"""),9.864051679E9)</f>
        <v>9864051679</v>
      </c>
      <c r="B148" s="46" t="str">
        <f>IFERROR(__xludf.DUMMYFUNCTION("""COMPUTED_VALUE"""),"Himanuj")</f>
        <v>Himanuj</v>
      </c>
      <c r="C148" s="5" t="s">
        <v>2002</v>
      </c>
      <c r="D148" s="5"/>
      <c r="E148" s="5"/>
      <c r="F148" s="5"/>
      <c r="G148" s="5"/>
      <c r="H148" s="5"/>
      <c r="I148" s="5"/>
      <c r="J148" s="73"/>
      <c r="K148" s="75" t="str">
        <f>IFERROR(__xludf.DUMMYFUNCTION("""COMPUTED_VALUE"""),"")</f>
        <v/>
      </c>
      <c r="L148" s="48"/>
      <c r="M148" s="46" t="s">
        <v>2002</v>
      </c>
    </row>
    <row r="149">
      <c r="A149" s="70">
        <f>IFERROR(__xludf.DUMMYFUNCTION("""COMPUTED_VALUE"""),9.818747108E9)</f>
        <v>9818747108</v>
      </c>
      <c r="B149" s="46" t="str">
        <f>IFERROR(__xludf.DUMMYFUNCTION("""COMPUTED_VALUE"""),"Niyati")</f>
        <v>Niyati</v>
      </c>
      <c r="C149" s="5" t="s">
        <v>2002</v>
      </c>
      <c r="D149" s="5"/>
      <c r="E149" s="5"/>
      <c r="F149" s="5"/>
      <c r="G149" s="5"/>
      <c r="H149" s="5"/>
      <c r="I149" s="5"/>
      <c r="J149" s="73"/>
      <c r="K149" s="75" t="str">
        <f>IFERROR(__xludf.DUMMYFUNCTION("""COMPUTED_VALUE"""),"")</f>
        <v/>
      </c>
      <c r="L149" s="48"/>
      <c r="M149" s="46" t="s">
        <v>2002</v>
      </c>
    </row>
    <row r="150">
      <c r="A150" s="70">
        <f>IFERROR(__xludf.DUMMYFUNCTION("""COMPUTED_VALUE"""),9.650422828E9)</f>
        <v>9650422828</v>
      </c>
      <c r="B150" s="46" t="str">
        <f>IFERROR(__xludf.DUMMYFUNCTION("""COMPUTED_VALUE"""),"Mr j alok")</f>
        <v>Mr j alok</v>
      </c>
      <c r="C150" s="5" t="s">
        <v>2002</v>
      </c>
      <c r="D150" s="5"/>
      <c r="E150" s="5"/>
      <c r="F150" s="5"/>
      <c r="G150" s="5"/>
      <c r="H150" s="5"/>
      <c r="I150" s="5"/>
      <c r="J150" s="73"/>
      <c r="K150" s="75" t="str">
        <f>IFERROR(__xludf.DUMMYFUNCTION("""COMPUTED_VALUE"""),"")</f>
        <v/>
      </c>
      <c r="L150" s="48"/>
      <c r="M150" s="46" t="s">
        <v>2002</v>
      </c>
    </row>
    <row r="151">
      <c r="A151" s="70">
        <f>IFERROR(__xludf.DUMMYFUNCTION("""COMPUTED_VALUE"""),9.891910994E9)</f>
        <v>9891910994</v>
      </c>
      <c r="B151" s="46" t="str">
        <f>IFERROR(__xludf.DUMMYFUNCTION("""COMPUTED_VALUE"""),"Deepak kumar")</f>
        <v>Deepak kumar</v>
      </c>
      <c r="C151" s="5" t="s">
        <v>2002</v>
      </c>
      <c r="D151" s="5"/>
      <c r="E151" s="5"/>
      <c r="F151" s="5"/>
      <c r="G151" s="5"/>
      <c r="H151" s="5"/>
      <c r="I151" s="5"/>
      <c r="J151" s="73"/>
      <c r="K151" s="75" t="str">
        <f>IFERROR(__xludf.DUMMYFUNCTION("""COMPUTED_VALUE"""),"")</f>
        <v/>
      </c>
      <c r="L151" s="48"/>
      <c r="M151" s="46" t="s">
        <v>2002</v>
      </c>
    </row>
    <row r="152">
      <c r="A152" s="70">
        <f>IFERROR(__xludf.DUMMYFUNCTION("""COMPUTED_VALUE"""),7.042434392E9)</f>
        <v>7042434392</v>
      </c>
      <c r="B152" s="46" t="str">
        <f>IFERROR(__xludf.DUMMYFUNCTION("""COMPUTED_VALUE"""),"Berenara ji")</f>
        <v>Berenara ji</v>
      </c>
      <c r="C152" s="5" t="s">
        <v>2002</v>
      </c>
      <c r="D152" s="5"/>
      <c r="E152" s="5"/>
      <c r="F152" s="5"/>
      <c r="G152" s="5"/>
      <c r="H152" s="5"/>
      <c r="I152" s="5"/>
      <c r="J152" s="73"/>
      <c r="K152" s="75" t="str">
        <f>IFERROR(__xludf.DUMMYFUNCTION("""COMPUTED_VALUE"""),"")</f>
        <v/>
      </c>
      <c r="L152" s="48"/>
      <c r="M152" s="46" t="s">
        <v>2002</v>
      </c>
    </row>
    <row r="153">
      <c r="A153" s="70">
        <f>IFERROR(__xludf.DUMMYFUNCTION("""COMPUTED_VALUE"""),9.528151409E9)</f>
        <v>9528151409</v>
      </c>
      <c r="B153" s="46" t="str">
        <f>IFERROR(__xludf.DUMMYFUNCTION("""COMPUTED_VALUE"""),"Om prakash bhatt")</f>
        <v>Om prakash bhatt</v>
      </c>
      <c r="C153" s="5" t="s">
        <v>2002</v>
      </c>
      <c r="D153" s="5"/>
      <c r="E153" s="5"/>
      <c r="F153" s="5"/>
      <c r="G153" s="5"/>
      <c r="H153" s="5"/>
      <c r="I153" s="5"/>
      <c r="J153" s="73"/>
      <c r="K153" s="75" t="str">
        <f>IFERROR(__xludf.DUMMYFUNCTION("""COMPUTED_VALUE"""),"")</f>
        <v/>
      </c>
      <c r="L153" s="48"/>
      <c r="M153" s="46" t="s">
        <v>2002</v>
      </c>
    </row>
    <row r="154">
      <c r="A154" s="70">
        <f>IFERROR(__xludf.DUMMYFUNCTION("""COMPUTED_VALUE"""),9.811671448E9)</f>
        <v>9811671448</v>
      </c>
      <c r="B154" s="46" t="str">
        <f>IFERROR(__xludf.DUMMYFUNCTION("""COMPUTED_VALUE"""),"Drotish achraya ji ")</f>
        <v>Drotish achraya ji </v>
      </c>
      <c r="C154" s="5" t="s">
        <v>2002</v>
      </c>
      <c r="D154" s="5"/>
      <c r="E154" s="5"/>
      <c r="F154" s="5"/>
      <c r="G154" s="5"/>
      <c r="H154" s="5"/>
      <c r="I154" s="5"/>
      <c r="J154" s="73"/>
      <c r="K154" s="75" t="str">
        <f>IFERROR(__xludf.DUMMYFUNCTION("""COMPUTED_VALUE"""),"")</f>
        <v/>
      </c>
      <c r="L154" s="48"/>
      <c r="M154" s="46" t="s">
        <v>2002</v>
      </c>
    </row>
    <row r="155">
      <c r="A155" s="70">
        <f>IFERROR(__xludf.DUMMYFUNCTION("""COMPUTED_VALUE"""),9.061E9)</f>
        <v>9061000000</v>
      </c>
      <c r="B155" s="46" t="str">
        <f>IFERROR(__xludf.DUMMYFUNCTION("""COMPUTED_VALUE"""),"Sourav ji ")</f>
        <v>Sourav ji </v>
      </c>
      <c r="C155" s="5" t="s">
        <v>2002</v>
      </c>
      <c r="D155" s="5"/>
      <c r="E155" s="5"/>
      <c r="F155" s="5"/>
      <c r="G155" s="5"/>
      <c r="H155" s="5"/>
      <c r="I155" s="5"/>
      <c r="J155" s="73"/>
      <c r="K155" s="75" t="str">
        <f>IFERROR(__xludf.DUMMYFUNCTION("""COMPUTED_VALUE"""),"")</f>
        <v/>
      </c>
      <c r="L155" s="48"/>
      <c r="M155" s="46" t="s">
        <v>2002</v>
      </c>
    </row>
    <row r="156">
      <c r="A156" s="70">
        <f>IFERROR(__xludf.DUMMYFUNCTION("""COMPUTED_VALUE"""),8.920428023E9)</f>
        <v>8920428023</v>
      </c>
      <c r="B156" s="46" t="str">
        <f>IFERROR(__xludf.DUMMYFUNCTION("""COMPUTED_VALUE"""),"Ram sudhir ")</f>
        <v>Ram sudhir </v>
      </c>
      <c r="C156" s="5" t="s">
        <v>2002</v>
      </c>
      <c r="D156" s="5"/>
      <c r="E156" s="5"/>
      <c r="F156" s="5"/>
      <c r="G156" s="5"/>
      <c r="H156" s="5"/>
      <c r="I156" s="5"/>
      <c r="J156" s="73"/>
      <c r="K156" s="75" t="str">
        <f>IFERROR(__xludf.DUMMYFUNCTION("""COMPUTED_VALUE"""),"")</f>
        <v/>
      </c>
      <c r="L156" s="48"/>
      <c r="M156" s="46" t="s">
        <v>2002</v>
      </c>
    </row>
    <row r="157">
      <c r="A157" s="70">
        <f>IFERROR(__xludf.DUMMYFUNCTION("""COMPUTED_VALUE"""),6.396554396E9)</f>
        <v>6396554396</v>
      </c>
      <c r="B157" s="46" t="str">
        <f>IFERROR(__xludf.DUMMYFUNCTION("""COMPUTED_VALUE"""),"Mohit ji ")</f>
        <v>Mohit ji </v>
      </c>
      <c r="C157" s="5" t="s">
        <v>2002</v>
      </c>
      <c r="D157" s="5"/>
      <c r="E157" s="5"/>
      <c r="F157" s="5"/>
      <c r="G157" s="5"/>
      <c r="H157" s="5"/>
      <c r="I157" s="5"/>
      <c r="J157" s="73"/>
      <c r="K157" s="75" t="str">
        <f>IFERROR(__xludf.DUMMYFUNCTION("""COMPUTED_VALUE"""),"")</f>
        <v/>
      </c>
      <c r="L157" s="48"/>
      <c r="M157" s="46" t="s">
        <v>2002</v>
      </c>
    </row>
    <row r="158">
      <c r="A158" s="70">
        <f>IFERROR(__xludf.DUMMYFUNCTION("""COMPUTED_VALUE"""),7.50399586E9)</f>
        <v>7503995860</v>
      </c>
      <c r="B158" s="46" t="str">
        <f>IFERROR(__xludf.DUMMYFUNCTION("""COMPUTED_VALUE"""),"Anita ji")</f>
        <v>Anita ji</v>
      </c>
      <c r="C158" s="5" t="s">
        <v>2002</v>
      </c>
      <c r="D158" s="5"/>
      <c r="E158" s="5"/>
      <c r="F158" s="5"/>
      <c r="G158" s="5"/>
      <c r="H158" s="5"/>
      <c r="I158" s="5"/>
      <c r="J158" s="73"/>
      <c r="K158" s="75" t="str">
        <f>IFERROR(__xludf.DUMMYFUNCTION("""COMPUTED_VALUE"""),"")</f>
        <v/>
      </c>
      <c r="L158" s="48"/>
      <c r="M158" s="46" t="s">
        <v>2002</v>
      </c>
    </row>
    <row r="159">
      <c r="A159" s="70">
        <f>IFERROR(__xludf.DUMMYFUNCTION("""COMPUTED_VALUE"""),9.810418182E9)</f>
        <v>9810418182</v>
      </c>
      <c r="B159" s="46" t="str">
        <f>IFERROR(__xludf.DUMMYFUNCTION("""COMPUTED_VALUE"""),"HS dutta ")</f>
        <v>HS dutta </v>
      </c>
      <c r="C159" s="5" t="s">
        <v>2002</v>
      </c>
      <c r="D159" s="5"/>
      <c r="E159" s="5"/>
      <c r="F159" s="5"/>
      <c r="G159" s="5"/>
      <c r="H159" s="5"/>
      <c r="I159" s="5"/>
      <c r="J159" s="73"/>
      <c r="K159" s="75" t="str">
        <f>IFERROR(__xludf.DUMMYFUNCTION("""COMPUTED_VALUE"""),"")</f>
        <v/>
      </c>
      <c r="L159" s="48"/>
      <c r="M159" s="46" t="s">
        <v>2002</v>
      </c>
    </row>
    <row r="160">
      <c r="A160" s="70">
        <f>IFERROR(__xludf.DUMMYFUNCTION("""COMPUTED_VALUE"""),7.42860708E9)</f>
        <v>7428607080</v>
      </c>
      <c r="B160" s="46" t="str">
        <f>IFERROR(__xludf.DUMMYFUNCTION("""COMPUTED_VALUE"""),"Ajeet ji")</f>
        <v>Ajeet ji</v>
      </c>
      <c r="C160" s="5" t="s">
        <v>2002</v>
      </c>
      <c r="D160" s="5"/>
      <c r="E160" s="5"/>
      <c r="F160" s="5"/>
      <c r="G160" s="5"/>
      <c r="H160" s="5"/>
      <c r="I160" s="5"/>
      <c r="J160" s="73"/>
      <c r="K160" s="75" t="str">
        <f>IFERROR(__xludf.DUMMYFUNCTION("""COMPUTED_VALUE"""),"")</f>
        <v/>
      </c>
      <c r="L160" s="48"/>
      <c r="M160" s="46" t="s">
        <v>2002</v>
      </c>
    </row>
    <row r="161">
      <c r="A161" s="70">
        <f>IFERROR(__xludf.DUMMYFUNCTION("""COMPUTED_VALUE"""),9.971145791E9)</f>
        <v>9971145791</v>
      </c>
      <c r="B161" s="46" t="str">
        <f>IFERROR(__xludf.DUMMYFUNCTION("""COMPUTED_VALUE"""),"Sabita katiyal")</f>
        <v>Sabita katiyal</v>
      </c>
      <c r="C161" s="5" t="s">
        <v>2002</v>
      </c>
      <c r="D161" s="5"/>
      <c r="E161" s="5"/>
      <c r="F161" s="5"/>
      <c r="G161" s="5"/>
      <c r="H161" s="5"/>
      <c r="I161" s="5"/>
      <c r="J161" s="73"/>
      <c r="K161" s="75" t="str">
        <f>IFERROR(__xludf.DUMMYFUNCTION("""COMPUTED_VALUE"""),"")</f>
        <v/>
      </c>
      <c r="L161" s="48"/>
      <c r="M161" s="46" t="s">
        <v>2002</v>
      </c>
    </row>
    <row r="162">
      <c r="A162" s="70">
        <f>IFERROR(__xludf.DUMMYFUNCTION("""COMPUTED_VALUE"""),7.500462222E9)</f>
        <v>7500462222</v>
      </c>
      <c r="B162" s="46" t="str">
        <f>IFERROR(__xludf.DUMMYFUNCTION("""COMPUTED_VALUE"""),"Sumit verma")</f>
        <v>Sumit verma</v>
      </c>
      <c r="C162" s="5" t="s">
        <v>2002</v>
      </c>
      <c r="D162" s="5"/>
      <c r="E162" s="5"/>
      <c r="F162" s="5"/>
      <c r="G162" s="5"/>
      <c r="H162" s="5"/>
      <c r="I162" s="5"/>
      <c r="J162" s="73"/>
      <c r="K162" s="75" t="str">
        <f>IFERROR(__xludf.DUMMYFUNCTION("""COMPUTED_VALUE"""),"")</f>
        <v/>
      </c>
      <c r="L162" s="48"/>
      <c r="M162" s="46" t="s">
        <v>2002</v>
      </c>
    </row>
    <row r="163">
      <c r="A163" s="70">
        <f>IFERROR(__xludf.DUMMYFUNCTION("""COMPUTED_VALUE"""),9.818780835E9)</f>
        <v>9818780835</v>
      </c>
      <c r="B163" s="46" t="str">
        <f>IFERROR(__xludf.DUMMYFUNCTION("""COMPUTED_VALUE"""),"Ramveer")</f>
        <v>Ramveer</v>
      </c>
      <c r="C163" s="5" t="s">
        <v>2002</v>
      </c>
      <c r="D163" s="5"/>
      <c r="E163" s="5"/>
      <c r="F163" s="5"/>
      <c r="G163" s="5"/>
      <c r="H163" s="5"/>
      <c r="I163" s="5"/>
      <c r="J163" s="73"/>
      <c r="K163" s="75" t="str">
        <f>IFERROR(__xludf.DUMMYFUNCTION("""COMPUTED_VALUE"""),"")</f>
        <v/>
      </c>
      <c r="L163" s="48"/>
      <c r="M163" s="46" t="s">
        <v>2002</v>
      </c>
    </row>
    <row r="164">
      <c r="A164" s="70">
        <f>IFERROR(__xludf.DUMMYFUNCTION("""COMPUTED_VALUE"""),9.654322234E9)</f>
        <v>9654322234</v>
      </c>
      <c r="B164" s="46" t="str">
        <f>IFERROR(__xludf.DUMMYFUNCTION("""COMPUTED_VALUE"""),"Yogender ji")</f>
        <v>Yogender ji</v>
      </c>
      <c r="C164" s="5" t="s">
        <v>2002</v>
      </c>
      <c r="D164" s="5"/>
      <c r="E164" s="5"/>
      <c r="F164" s="5"/>
      <c r="G164" s="5"/>
      <c r="H164" s="5"/>
      <c r="I164" s="5"/>
      <c r="J164" s="73"/>
      <c r="K164" s="75" t="str">
        <f>IFERROR(__xludf.DUMMYFUNCTION("""COMPUTED_VALUE"""),"")</f>
        <v/>
      </c>
      <c r="L164" s="48"/>
      <c r="M164" s="46" t="s">
        <v>2002</v>
      </c>
    </row>
    <row r="165">
      <c r="A165" s="70">
        <f>IFERROR(__xludf.DUMMYFUNCTION("""COMPUTED_VALUE"""),9.669120277E9)</f>
        <v>9669120277</v>
      </c>
      <c r="B165" s="46" t="str">
        <f>IFERROR(__xludf.DUMMYFUNCTION("""COMPUTED_VALUE"""),"Ishart ji")</f>
        <v>Ishart ji</v>
      </c>
      <c r="C165" s="5" t="s">
        <v>2002</v>
      </c>
      <c r="D165" s="5"/>
      <c r="E165" s="5"/>
      <c r="F165" s="5"/>
      <c r="G165" s="5"/>
      <c r="H165" s="5"/>
      <c r="I165" s="5"/>
      <c r="J165" s="73"/>
      <c r="K165" s="75" t="str">
        <f>IFERROR(__xludf.DUMMYFUNCTION("""COMPUTED_VALUE"""),"")</f>
        <v/>
      </c>
      <c r="L165" s="48"/>
      <c r="M165" s="46" t="s">
        <v>2002</v>
      </c>
    </row>
    <row r="166">
      <c r="A166" s="70">
        <f>IFERROR(__xludf.DUMMYFUNCTION("""COMPUTED_VALUE"""),9.899568355E9)</f>
        <v>9899568355</v>
      </c>
      <c r="B166" s="46" t="str">
        <f>IFERROR(__xludf.DUMMYFUNCTION("""COMPUTED_VALUE"""),"Rajdeep singh")</f>
        <v>Rajdeep singh</v>
      </c>
      <c r="C166" s="5" t="s">
        <v>2002</v>
      </c>
      <c r="D166" s="5"/>
      <c r="E166" s="5"/>
      <c r="F166" s="5"/>
      <c r="G166" s="5"/>
      <c r="H166" s="5"/>
      <c r="I166" s="5"/>
      <c r="J166" s="73"/>
      <c r="K166" s="75" t="str">
        <f>IFERROR(__xludf.DUMMYFUNCTION("""COMPUTED_VALUE"""),"")</f>
        <v/>
      </c>
      <c r="L166" s="48"/>
      <c r="M166" s="46" t="s">
        <v>2002</v>
      </c>
    </row>
    <row r="167">
      <c r="A167" s="70">
        <f>IFERROR(__xludf.DUMMYFUNCTION("""COMPUTED_VALUE"""),8.527547816E9)</f>
        <v>8527547816</v>
      </c>
      <c r="B167" s="46" t="str">
        <f>IFERROR(__xludf.DUMMYFUNCTION("""COMPUTED_VALUE"""),"Lavita")</f>
        <v>Lavita</v>
      </c>
      <c r="C167" s="5" t="s">
        <v>2002</v>
      </c>
      <c r="D167" s="5"/>
      <c r="E167" s="5"/>
      <c r="F167" s="5"/>
      <c r="G167" s="5"/>
      <c r="H167" s="5"/>
      <c r="I167" s="5"/>
      <c r="J167" s="73"/>
      <c r="K167" s="75" t="str">
        <f>IFERROR(__xludf.DUMMYFUNCTION("""COMPUTED_VALUE"""),"")</f>
        <v/>
      </c>
      <c r="L167" s="48"/>
      <c r="M167" s="46" t="s">
        <v>2002</v>
      </c>
    </row>
    <row r="168">
      <c r="A168" s="70">
        <f>IFERROR(__xludf.DUMMYFUNCTION("""COMPUTED_VALUE"""),9.25047211E9)</f>
        <v>9250472110</v>
      </c>
      <c r="B168" s="46" t="str">
        <f>IFERROR(__xludf.DUMMYFUNCTION("""COMPUTED_VALUE"""),"Neeraj gupta ji")</f>
        <v>Neeraj gupta ji</v>
      </c>
      <c r="C168" s="5" t="s">
        <v>2002</v>
      </c>
      <c r="D168" s="5"/>
      <c r="E168" s="5"/>
      <c r="F168" s="5"/>
      <c r="G168" s="5"/>
      <c r="H168" s="5"/>
      <c r="I168" s="5"/>
      <c r="J168" s="73"/>
      <c r="K168" s="75" t="str">
        <f>IFERROR(__xludf.DUMMYFUNCTION("""COMPUTED_VALUE"""),"")</f>
        <v/>
      </c>
      <c r="L168" s="48"/>
      <c r="M168" s="46" t="s">
        <v>2002</v>
      </c>
    </row>
    <row r="169">
      <c r="A169" s="70">
        <f>IFERROR(__xludf.DUMMYFUNCTION("""COMPUTED_VALUE"""),9.818780835E9)</f>
        <v>9818780835</v>
      </c>
      <c r="B169" s="46" t="str">
        <f>IFERROR(__xludf.DUMMYFUNCTION("""COMPUTED_VALUE"""),"Ram ji")</f>
        <v>Ram ji</v>
      </c>
      <c r="C169" s="5" t="s">
        <v>2002</v>
      </c>
      <c r="D169" s="5"/>
      <c r="E169" s="5"/>
      <c r="F169" s="5"/>
      <c r="G169" s="5"/>
      <c r="H169" s="5"/>
      <c r="I169" s="5"/>
      <c r="J169" s="73"/>
      <c r="K169" s="75" t="str">
        <f>IFERROR(__xludf.DUMMYFUNCTION("""COMPUTED_VALUE"""),"")</f>
        <v/>
      </c>
      <c r="L169" s="48"/>
      <c r="M169" s="46" t="s">
        <v>2002</v>
      </c>
    </row>
    <row r="170">
      <c r="A170" s="70">
        <f>IFERROR(__xludf.DUMMYFUNCTION("""COMPUTED_VALUE"""),9.411320007E9)</f>
        <v>9411320007</v>
      </c>
      <c r="B170" s="46" t="str">
        <f>IFERROR(__xludf.DUMMYFUNCTION("""COMPUTED_VALUE"""),"Vikas jii")</f>
        <v>Vikas jii</v>
      </c>
      <c r="C170" s="5" t="s">
        <v>2002</v>
      </c>
      <c r="D170" s="5"/>
      <c r="E170" s="5"/>
      <c r="F170" s="5"/>
      <c r="G170" s="5"/>
      <c r="H170" s="5"/>
      <c r="I170" s="5"/>
      <c r="J170" s="73"/>
      <c r="K170" s="75" t="str">
        <f>IFERROR(__xludf.DUMMYFUNCTION("""COMPUTED_VALUE"""),"")</f>
        <v/>
      </c>
      <c r="L170" s="48"/>
      <c r="M170" s="46" t="s">
        <v>2002</v>
      </c>
    </row>
    <row r="171">
      <c r="A171" s="70">
        <f>IFERROR(__xludf.DUMMYFUNCTION("""COMPUTED_VALUE"""),9.958899294E9)</f>
        <v>9958899294</v>
      </c>
      <c r="B171" s="46" t="str">
        <f>IFERROR(__xludf.DUMMYFUNCTION("""COMPUTED_VALUE"""),"Babita jii")</f>
        <v>Babita jii</v>
      </c>
      <c r="C171" s="5" t="s">
        <v>2002</v>
      </c>
      <c r="D171" s="5"/>
      <c r="E171" s="5"/>
      <c r="F171" s="5"/>
      <c r="G171" s="5"/>
      <c r="H171" s="5"/>
      <c r="I171" s="5"/>
      <c r="J171" s="73"/>
      <c r="K171" s="75" t="str">
        <f>IFERROR(__xludf.DUMMYFUNCTION("""COMPUTED_VALUE"""),"")</f>
        <v/>
      </c>
      <c r="L171" s="48"/>
      <c r="M171" s="46" t="s">
        <v>2002</v>
      </c>
    </row>
    <row r="172">
      <c r="A172" s="70">
        <f>IFERROR(__xludf.DUMMYFUNCTION("""COMPUTED_VALUE"""),9.810887869E9)</f>
        <v>9810887869</v>
      </c>
      <c r="B172" s="46" t="str">
        <f>IFERROR(__xludf.DUMMYFUNCTION("""COMPUTED_VALUE"""),"Preeti")</f>
        <v>Preeti</v>
      </c>
      <c r="C172" s="5" t="s">
        <v>2002</v>
      </c>
      <c r="D172" s="5"/>
      <c r="E172" s="5"/>
      <c r="F172" s="5"/>
      <c r="G172" s="5"/>
      <c r="H172" s="5"/>
      <c r="I172" s="5"/>
      <c r="J172" s="73"/>
      <c r="K172" s="75" t="str">
        <f>IFERROR(__xludf.DUMMYFUNCTION("""COMPUTED_VALUE"""),"")</f>
        <v/>
      </c>
      <c r="L172" s="48"/>
      <c r="M172" s="46" t="s">
        <v>2002</v>
      </c>
    </row>
    <row r="173">
      <c r="A173" s="70">
        <f>IFERROR(__xludf.DUMMYFUNCTION("""COMPUTED_VALUE"""),9.810050996E9)</f>
        <v>9810050996</v>
      </c>
      <c r="B173" s="46" t="str">
        <f>IFERROR(__xludf.DUMMYFUNCTION("""COMPUTED_VALUE"""),"Jitender ")</f>
        <v>Jitender </v>
      </c>
      <c r="C173" s="5" t="s">
        <v>2002</v>
      </c>
      <c r="D173" s="5"/>
      <c r="E173" s="5"/>
      <c r="F173" s="5"/>
      <c r="G173" s="5"/>
      <c r="H173" s="5"/>
      <c r="I173" s="5"/>
      <c r="J173" s="73"/>
      <c r="K173" s="75" t="str">
        <f>IFERROR(__xludf.DUMMYFUNCTION("""COMPUTED_VALUE"""),"")</f>
        <v/>
      </c>
      <c r="L173" s="48"/>
      <c r="M173" s="46" t="s">
        <v>2002</v>
      </c>
    </row>
    <row r="174">
      <c r="A174" s="70">
        <f>IFERROR(__xludf.DUMMYFUNCTION("""COMPUTED_VALUE"""),9.811788615E9)</f>
        <v>9811788615</v>
      </c>
      <c r="B174" s="46" t="str">
        <f>IFERROR(__xludf.DUMMYFUNCTION("""COMPUTED_VALUE"""),"Kamal ")</f>
        <v>Kamal </v>
      </c>
      <c r="C174" s="5" t="s">
        <v>2002</v>
      </c>
      <c r="D174" s="5"/>
      <c r="E174" s="5"/>
      <c r="F174" s="5"/>
      <c r="G174" s="5"/>
      <c r="H174" s="5"/>
      <c r="I174" s="5"/>
      <c r="J174" s="73"/>
      <c r="K174" s="75" t="str">
        <f>IFERROR(__xludf.DUMMYFUNCTION("""COMPUTED_VALUE"""),"")</f>
        <v/>
      </c>
      <c r="L174" s="48"/>
      <c r="M174" s="46" t="s">
        <v>2002</v>
      </c>
    </row>
    <row r="175">
      <c r="A175" s="70">
        <f>IFERROR(__xludf.DUMMYFUNCTION("""COMPUTED_VALUE"""),9.911269709E9)</f>
        <v>9911269709</v>
      </c>
      <c r="B175" s="46" t="str">
        <f>IFERROR(__xludf.DUMMYFUNCTION("""COMPUTED_VALUE"""),"Nipul ji")</f>
        <v>Nipul ji</v>
      </c>
      <c r="C175" s="5" t="s">
        <v>2002</v>
      </c>
      <c r="D175" s="5"/>
      <c r="E175" s="5"/>
      <c r="F175" s="5"/>
      <c r="G175" s="5"/>
      <c r="H175" s="5"/>
      <c r="I175" s="5"/>
      <c r="J175" s="73"/>
      <c r="K175" s="75" t="str">
        <f>IFERROR(__xludf.DUMMYFUNCTION("""COMPUTED_VALUE"""),"")</f>
        <v/>
      </c>
      <c r="L175" s="48"/>
      <c r="M175" s="46" t="s">
        <v>2002</v>
      </c>
    </row>
    <row r="176">
      <c r="A176" s="70">
        <f>IFERROR(__xludf.DUMMYFUNCTION("""COMPUTED_VALUE"""),8.595042093E9)</f>
        <v>8595042093</v>
      </c>
      <c r="B176" s="46" t="str">
        <f>IFERROR(__xludf.DUMMYFUNCTION("""COMPUTED_VALUE"""),"Radhika ji")</f>
        <v>Radhika ji</v>
      </c>
      <c r="C176" s="5" t="s">
        <v>2002</v>
      </c>
      <c r="D176" s="5"/>
      <c r="E176" s="5"/>
      <c r="F176" s="5"/>
      <c r="G176" s="5"/>
      <c r="H176" s="5"/>
      <c r="I176" s="5"/>
      <c r="J176" s="73"/>
      <c r="K176" s="75" t="str">
        <f>IFERROR(__xludf.DUMMYFUNCTION("""COMPUTED_VALUE"""),"")</f>
        <v/>
      </c>
      <c r="L176" s="48"/>
      <c r="M176" s="46" t="s">
        <v>2002</v>
      </c>
    </row>
    <row r="177">
      <c r="A177" s="70">
        <f>IFERROR(__xludf.DUMMYFUNCTION("""COMPUTED_VALUE"""),9.971145791E9)</f>
        <v>9971145791</v>
      </c>
      <c r="B177" s="46" t="str">
        <f>IFERROR(__xludf.DUMMYFUNCTION("""COMPUTED_VALUE"""),"Savita ji ")</f>
        <v>Savita ji </v>
      </c>
      <c r="C177" s="5" t="s">
        <v>2002</v>
      </c>
      <c r="D177" s="5"/>
      <c r="E177" s="5"/>
      <c r="F177" s="5"/>
      <c r="G177" s="5"/>
      <c r="H177" s="5"/>
      <c r="I177" s="5"/>
      <c r="J177" s="73"/>
      <c r="K177" s="75" t="str">
        <f>IFERROR(__xludf.DUMMYFUNCTION("""COMPUTED_VALUE"""),"")</f>
        <v/>
      </c>
      <c r="L177" s="48"/>
      <c r="M177" s="46" t="s">
        <v>2002</v>
      </c>
    </row>
    <row r="178">
      <c r="A178" s="70">
        <f>IFERROR(__xludf.DUMMYFUNCTION("""COMPUTED_VALUE"""),9.213380962E9)</f>
        <v>9213380962</v>
      </c>
      <c r="B178" s="46" t="str">
        <f>IFERROR(__xludf.DUMMYFUNCTION("""COMPUTED_VALUE"""),"Meena ji")</f>
        <v>Meena ji</v>
      </c>
      <c r="C178" s="5" t="s">
        <v>2002</v>
      </c>
      <c r="D178" s="5"/>
      <c r="E178" s="5"/>
      <c r="F178" s="5"/>
      <c r="G178" s="5"/>
      <c r="H178" s="5"/>
      <c r="I178" s="5"/>
      <c r="J178" s="73"/>
      <c r="K178" s="75" t="str">
        <f>IFERROR(__xludf.DUMMYFUNCTION("""COMPUTED_VALUE"""),"")</f>
        <v/>
      </c>
      <c r="L178" s="48"/>
      <c r="M178" s="46" t="s">
        <v>2002</v>
      </c>
    </row>
    <row r="179">
      <c r="A179" s="70">
        <f>IFERROR(__xludf.DUMMYFUNCTION("""COMPUTED_VALUE"""),7.703881613E9)</f>
        <v>7703881613</v>
      </c>
      <c r="B179" s="46" t="str">
        <f>IFERROR(__xludf.DUMMYFUNCTION("""COMPUTED_VALUE"""),"Geeta ji ")</f>
        <v>Geeta ji </v>
      </c>
      <c r="C179" s="5" t="s">
        <v>2002</v>
      </c>
      <c r="D179" s="5"/>
      <c r="E179" s="5"/>
      <c r="F179" s="5"/>
      <c r="G179" s="5"/>
      <c r="H179" s="5"/>
      <c r="I179" s="5"/>
      <c r="J179" s="73"/>
      <c r="K179" s="75" t="str">
        <f>IFERROR(__xludf.DUMMYFUNCTION("""COMPUTED_VALUE"""),"")</f>
        <v/>
      </c>
      <c r="L179" s="48"/>
      <c r="M179" s="46" t="s">
        <v>2002</v>
      </c>
    </row>
    <row r="180">
      <c r="A180" s="70">
        <f>IFERROR(__xludf.DUMMYFUNCTION("""COMPUTED_VALUE"""),8.452788288E9)</f>
        <v>8452788288</v>
      </c>
      <c r="B180" s="46" t="str">
        <f>IFERROR(__xludf.DUMMYFUNCTION("""COMPUTED_VALUE"""),"Ulga ji")</f>
        <v>Ulga ji</v>
      </c>
      <c r="C180" s="5" t="s">
        <v>2002</v>
      </c>
      <c r="D180" s="5"/>
      <c r="E180" s="5"/>
      <c r="F180" s="5"/>
      <c r="G180" s="5"/>
      <c r="H180" s="5"/>
      <c r="I180" s="5"/>
      <c r="J180" s="73"/>
      <c r="K180" s="75" t="str">
        <f>IFERROR(__xludf.DUMMYFUNCTION("""COMPUTED_VALUE"""),"")</f>
        <v/>
      </c>
      <c r="L180" s="48"/>
      <c r="M180" s="46" t="s">
        <v>2002</v>
      </c>
    </row>
    <row r="181">
      <c r="A181" s="70">
        <f>IFERROR(__xludf.DUMMYFUNCTION("""COMPUTED_VALUE"""),9.9025E9)</f>
        <v>9902500000</v>
      </c>
      <c r="B181" s="46" t="str">
        <f>IFERROR(__xludf.DUMMYFUNCTION("""COMPUTED_VALUE"""),"Sourav ji")</f>
        <v>Sourav ji</v>
      </c>
      <c r="C181" s="5" t="s">
        <v>2002</v>
      </c>
      <c r="D181" s="5"/>
      <c r="E181" s="5"/>
      <c r="F181" s="5"/>
      <c r="G181" s="5"/>
      <c r="H181" s="5"/>
      <c r="I181" s="5"/>
      <c r="J181" s="73"/>
      <c r="K181" s="75" t="str">
        <f>IFERROR(__xludf.DUMMYFUNCTION("""COMPUTED_VALUE"""),"")</f>
        <v/>
      </c>
      <c r="L181" s="48"/>
      <c r="M181" s="46" t="s">
        <v>2002</v>
      </c>
    </row>
    <row r="182">
      <c r="A182" s="70">
        <f>IFERROR(__xludf.DUMMYFUNCTION("""COMPUTED_VALUE"""),9.622214428E9)</f>
        <v>9622214428</v>
      </c>
      <c r="B182" s="46" t="str">
        <f>IFERROR(__xludf.DUMMYFUNCTION("""COMPUTED_VALUE"""),"Alka ji ")</f>
        <v>Alka ji </v>
      </c>
      <c r="C182" s="5" t="s">
        <v>2002</v>
      </c>
      <c r="D182" s="5"/>
      <c r="E182" s="5"/>
      <c r="F182" s="5"/>
      <c r="G182" s="5"/>
      <c r="H182" s="5"/>
      <c r="I182" s="5"/>
      <c r="J182" s="73"/>
      <c r="K182" s="75" t="str">
        <f>IFERROR(__xludf.DUMMYFUNCTION("""COMPUTED_VALUE"""),"")</f>
        <v/>
      </c>
      <c r="L182" s="48"/>
      <c r="M182" s="46" t="s">
        <v>2002</v>
      </c>
    </row>
    <row r="183">
      <c r="A183" s="70">
        <f>IFERROR(__xludf.DUMMYFUNCTION("""COMPUTED_VALUE"""),9.711947445E9)</f>
        <v>9711947445</v>
      </c>
      <c r="B183" s="46" t="str">
        <f>IFERROR(__xludf.DUMMYFUNCTION("""COMPUTED_VALUE"""),"Loventry")</f>
        <v>Loventry</v>
      </c>
      <c r="C183" s="5" t="s">
        <v>2002</v>
      </c>
      <c r="D183" s="5"/>
      <c r="E183" s="5"/>
      <c r="F183" s="5"/>
      <c r="G183" s="5"/>
      <c r="H183" s="5"/>
      <c r="I183" s="5"/>
      <c r="J183" s="73"/>
      <c r="K183" s="75" t="str">
        <f>IFERROR(__xludf.DUMMYFUNCTION("""COMPUTED_VALUE"""),"")</f>
        <v/>
      </c>
      <c r="L183" s="48"/>
      <c r="M183" s="46" t="s">
        <v>2002</v>
      </c>
    </row>
    <row r="184">
      <c r="A184" s="70">
        <f>IFERROR(__xludf.DUMMYFUNCTION("""COMPUTED_VALUE"""),7.683086454E9)</f>
        <v>7683086454</v>
      </c>
      <c r="B184" s="46" t="str">
        <f>IFERROR(__xludf.DUMMYFUNCTION("""COMPUTED_VALUE"""),"poonam sharma")</f>
        <v>poonam sharma</v>
      </c>
      <c r="C184" s="5" t="s">
        <v>2002</v>
      </c>
      <c r="D184" s="5"/>
      <c r="E184" s="5"/>
      <c r="F184" s="5"/>
      <c r="G184" s="5"/>
      <c r="H184" s="5"/>
      <c r="I184" s="5"/>
      <c r="J184" s="73"/>
      <c r="K184" s="75" t="str">
        <f>IFERROR(__xludf.DUMMYFUNCTION("""COMPUTED_VALUE"""),"")</f>
        <v/>
      </c>
      <c r="L184" s="48"/>
      <c r="M184" s="46" t="s">
        <v>2002</v>
      </c>
    </row>
    <row r="185">
      <c r="A185" s="70">
        <f>IFERROR(__xludf.DUMMYFUNCTION("""COMPUTED_VALUE"""),9.654114393E9)</f>
        <v>9654114393</v>
      </c>
      <c r="B185" s="46" t="str">
        <f>IFERROR(__xludf.DUMMYFUNCTION("""COMPUTED_VALUE"""),"Anuj ji")</f>
        <v>Anuj ji</v>
      </c>
      <c r="C185" s="5" t="s">
        <v>2002</v>
      </c>
      <c r="D185" s="5"/>
      <c r="E185" s="5"/>
      <c r="F185" s="5"/>
      <c r="G185" s="5"/>
      <c r="H185" s="5"/>
      <c r="I185" s="5"/>
      <c r="J185" s="73"/>
      <c r="K185" s="75" t="str">
        <f>IFERROR(__xludf.DUMMYFUNCTION("""COMPUTED_VALUE"""),"")</f>
        <v/>
      </c>
      <c r="L185" s="48"/>
      <c r="M185" s="46" t="s">
        <v>2002</v>
      </c>
    </row>
    <row r="186">
      <c r="A186" s="70">
        <f>IFERROR(__xludf.DUMMYFUNCTION("""COMPUTED_VALUE"""),9.711269061E9)</f>
        <v>9711269061</v>
      </c>
      <c r="B186" s="46" t="str">
        <f>IFERROR(__xludf.DUMMYFUNCTION("""COMPUTED_VALUE"""),"Himanshu")</f>
        <v>Himanshu</v>
      </c>
      <c r="C186" s="5" t="s">
        <v>2002</v>
      </c>
      <c r="D186" s="5"/>
      <c r="E186" s="5"/>
      <c r="F186" s="5"/>
      <c r="G186" s="5"/>
      <c r="H186" s="5"/>
      <c r="I186" s="5"/>
      <c r="J186" s="73"/>
      <c r="K186" s="75" t="str">
        <f>IFERROR(__xludf.DUMMYFUNCTION("""COMPUTED_VALUE"""),"")</f>
        <v/>
      </c>
      <c r="L186" s="48"/>
      <c r="M186" s="46" t="s">
        <v>2002</v>
      </c>
    </row>
    <row r="187">
      <c r="A187" s="70">
        <f>IFERROR(__xludf.DUMMYFUNCTION("""COMPUTED_VALUE"""),9.911565272E9)</f>
        <v>9911565272</v>
      </c>
      <c r="B187" s="46" t="str">
        <f>IFERROR(__xludf.DUMMYFUNCTION("""COMPUTED_VALUE"""),"Prashant ")</f>
        <v>Prashant </v>
      </c>
      <c r="C187" s="5" t="s">
        <v>2002</v>
      </c>
      <c r="D187" s="5"/>
      <c r="E187" s="5"/>
      <c r="F187" s="5"/>
      <c r="G187" s="5"/>
      <c r="H187" s="5"/>
      <c r="I187" s="5"/>
      <c r="J187" s="73"/>
      <c r="K187" s="75" t="str">
        <f>IFERROR(__xludf.DUMMYFUNCTION("""COMPUTED_VALUE"""),"")</f>
        <v/>
      </c>
      <c r="L187" s="48"/>
      <c r="M187" s="46" t="s">
        <v>2002</v>
      </c>
    </row>
    <row r="188">
      <c r="A188" s="70">
        <f>IFERROR(__xludf.DUMMYFUNCTION("""COMPUTED_VALUE"""),9.868921333E9)</f>
        <v>9868921333</v>
      </c>
      <c r="B188" s="46" t="str">
        <f>IFERROR(__xludf.DUMMYFUNCTION("""COMPUTED_VALUE"""),"Dr shipra jain")</f>
        <v>Dr shipra jain</v>
      </c>
      <c r="C188" s="5" t="s">
        <v>2002</v>
      </c>
      <c r="D188" s="5"/>
      <c r="E188" s="5"/>
      <c r="F188" s="5"/>
      <c r="G188" s="5"/>
      <c r="H188" s="5"/>
      <c r="I188" s="5"/>
      <c r="J188" s="73"/>
      <c r="K188" s="75" t="str">
        <f>IFERROR(__xludf.DUMMYFUNCTION("""COMPUTED_VALUE"""),"")</f>
        <v/>
      </c>
      <c r="L188" s="48"/>
      <c r="M188" s="46" t="s">
        <v>2002</v>
      </c>
    </row>
    <row r="189">
      <c r="A189" s="70">
        <f>IFERROR(__xludf.DUMMYFUNCTION("""COMPUTED_VALUE"""),9.810296558E9)</f>
        <v>9810296558</v>
      </c>
      <c r="B189" s="46" t="str">
        <f>IFERROR(__xludf.DUMMYFUNCTION("""COMPUTED_VALUE"""),"Narender")</f>
        <v>Narender</v>
      </c>
      <c r="C189" s="5" t="s">
        <v>2002</v>
      </c>
      <c r="D189" s="5"/>
      <c r="E189" s="5"/>
      <c r="F189" s="5"/>
      <c r="G189" s="5"/>
      <c r="H189" s="5"/>
      <c r="I189" s="5"/>
      <c r="J189" s="73"/>
      <c r="K189" s="75" t="str">
        <f>IFERROR(__xludf.DUMMYFUNCTION("""COMPUTED_VALUE"""),"")</f>
        <v/>
      </c>
      <c r="L189" s="48"/>
      <c r="M189" s="46" t="s">
        <v>2002</v>
      </c>
    </row>
    <row r="190">
      <c r="A190" s="70">
        <f>IFERROR(__xludf.DUMMYFUNCTION("""COMPUTED_VALUE"""),7.986913568E9)</f>
        <v>7986913568</v>
      </c>
      <c r="B190" s="46" t="str">
        <f>IFERROR(__xludf.DUMMYFUNCTION("""COMPUTED_VALUE"""),"Rijaaz ")</f>
        <v>Rijaaz </v>
      </c>
      <c r="C190" s="5" t="s">
        <v>2002</v>
      </c>
      <c r="D190" s="5"/>
      <c r="E190" s="5"/>
      <c r="F190" s="5"/>
      <c r="G190" s="5"/>
      <c r="H190" s="5"/>
      <c r="I190" s="5"/>
      <c r="J190" s="73"/>
      <c r="K190" s="75" t="str">
        <f>IFERROR(__xludf.DUMMYFUNCTION("""COMPUTED_VALUE"""),"")</f>
        <v/>
      </c>
      <c r="L190" s="48"/>
      <c r="M190" s="46" t="s">
        <v>2002</v>
      </c>
    </row>
    <row r="191">
      <c r="A191" s="70">
        <f>IFERROR(__xludf.DUMMYFUNCTION("""COMPUTED_VALUE"""),9.810477199E9)</f>
        <v>9810477199</v>
      </c>
      <c r="B191" s="46" t="str">
        <f>IFERROR(__xludf.DUMMYFUNCTION("""COMPUTED_VALUE"""),"Virender")</f>
        <v>Virender</v>
      </c>
      <c r="C191" s="5" t="s">
        <v>2002</v>
      </c>
      <c r="D191" s="5"/>
      <c r="E191" s="5"/>
      <c r="F191" s="5"/>
      <c r="G191" s="5"/>
      <c r="H191" s="5"/>
      <c r="I191" s="5"/>
      <c r="J191" s="73"/>
      <c r="K191" s="75" t="str">
        <f>IFERROR(__xludf.DUMMYFUNCTION("""COMPUTED_VALUE"""),"")</f>
        <v/>
      </c>
      <c r="L191" s="48"/>
      <c r="M191" s="46" t="s">
        <v>2002</v>
      </c>
    </row>
    <row r="192">
      <c r="A192" s="70">
        <f>IFERROR(__xludf.DUMMYFUNCTION("""COMPUTED_VALUE"""),9.654209028E9)</f>
        <v>9654209028</v>
      </c>
      <c r="B192" s="46" t="str">
        <f>IFERROR(__xludf.DUMMYFUNCTION("""COMPUTED_VALUE"""),"Monika ji")</f>
        <v>Monika ji</v>
      </c>
      <c r="C192" s="5" t="s">
        <v>2002</v>
      </c>
      <c r="D192" s="5"/>
      <c r="E192" s="5"/>
      <c r="F192" s="5"/>
      <c r="G192" s="5"/>
      <c r="H192" s="5"/>
      <c r="I192" s="5"/>
      <c r="J192" s="73"/>
      <c r="K192" s="75" t="str">
        <f>IFERROR(__xludf.DUMMYFUNCTION("""COMPUTED_VALUE"""),"")</f>
        <v/>
      </c>
      <c r="L192" s="48"/>
      <c r="M192" s="46" t="s">
        <v>2002</v>
      </c>
    </row>
    <row r="193">
      <c r="A193" s="70">
        <f>IFERROR(__xludf.DUMMYFUNCTION("""COMPUTED_VALUE"""),8.010604606E9)</f>
        <v>8010604606</v>
      </c>
      <c r="B193" s="46" t="str">
        <f>IFERROR(__xludf.DUMMYFUNCTION("""COMPUTED_VALUE"""),"Shubham ")</f>
        <v>Shubham </v>
      </c>
      <c r="C193" s="5" t="s">
        <v>2002</v>
      </c>
      <c r="D193" s="5"/>
      <c r="E193" s="5"/>
      <c r="F193" s="5"/>
      <c r="G193" s="5"/>
      <c r="H193" s="5"/>
      <c r="I193" s="5"/>
      <c r="J193" s="73"/>
      <c r="K193" s="75" t="str">
        <f>IFERROR(__xludf.DUMMYFUNCTION("""COMPUTED_VALUE"""),"")</f>
        <v/>
      </c>
      <c r="L193" s="48"/>
      <c r="M193" s="46" t="s">
        <v>2002</v>
      </c>
    </row>
    <row r="194">
      <c r="A194" s="70">
        <f>IFERROR(__xludf.DUMMYFUNCTION("""COMPUTED_VALUE"""),8.375980739E9)</f>
        <v>8375980739</v>
      </c>
      <c r="B194" s="46" t="str">
        <f>IFERROR(__xludf.DUMMYFUNCTION("""COMPUTED_VALUE"""),"Saveeta")</f>
        <v>Saveeta</v>
      </c>
      <c r="C194" s="5" t="s">
        <v>2002</v>
      </c>
      <c r="D194" s="5"/>
      <c r="E194" s="5"/>
      <c r="F194" s="5"/>
      <c r="G194" s="5"/>
      <c r="H194" s="5"/>
      <c r="I194" s="5"/>
      <c r="J194" s="73"/>
      <c r="K194" s="75" t="str">
        <f>IFERROR(__xludf.DUMMYFUNCTION("""COMPUTED_VALUE"""),"")</f>
        <v/>
      </c>
      <c r="L194" s="48"/>
      <c r="M194" s="46" t="s">
        <v>2002</v>
      </c>
    </row>
    <row r="195">
      <c r="A195" s="70">
        <f>IFERROR(__xludf.DUMMYFUNCTION("""COMPUTED_VALUE"""),9.717948003E9)</f>
        <v>9717948003</v>
      </c>
      <c r="B195" s="46" t="str">
        <f>IFERROR(__xludf.DUMMYFUNCTION("""COMPUTED_VALUE"""),"Sheli ")</f>
        <v>Sheli </v>
      </c>
      <c r="C195" s="5" t="s">
        <v>2002</v>
      </c>
      <c r="D195" s="5"/>
      <c r="E195" s="5"/>
      <c r="F195" s="5"/>
      <c r="G195" s="5"/>
      <c r="H195" s="5"/>
      <c r="I195" s="5"/>
      <c r="J195" s="73"/>
      <c r="K195" s="75" t="str">
        <f>IFERROR(__xludf.DUMMYFUNCTION("""COMPUTED_VALUE"""),"")</f>
        <v/>
      </c>
      <c r="L195" s="48"/>
      <c r="M195" s="46" t="s">
        <v>2002</v>
      </c>
    </row>
    <row r="196">
      <c r="A196" s="70">
        <f>IFERROR(__xludf.DUMMYFUNCTION("""COMPUTED_VALUE"""),7.7038744E9)</f>
        <v>7703874400</v>
      </c>
      <c r="B196" s="46" t="str">
        <f>IFERROR(__xludf.DUMMYFUNCTION("""COMPUTED_VALUE"""),"Keshab")</f>
        <v>Keshab</v>
      </c>
      <c r="C196" s="5" t="s">
        <v>2002</v>
      </c>
      <c r="D196" s="5"/>
      <c r="E196" s="5"/>
      <c r="F196" s="5"/>
      <c r="G196" s="5"/>
      <c r="H196" s="5"/>
      <c r="I196" s="5"/>
      <c r="J196" s="73"/>
      <c r="K196" s="75" t="str">
        <f>IFERROR(__xludf.DUMMYFUNCTION("""COMPUTED_VALUE"""),"")</f>
        <v/>
      </c>
      <c r="L196" s="48"/>
      <c r="M196" s="46" t="s">
        <v>2002</v>
      </c>
    </row>
    <row r="197">
      <c r="A197" s="70">
        <f>IFERROR(__xludf.DUMMYFUNCTION("""COMPUTED_VALUE"""),9.210151917E9)</f>
        <v>9210151917</v>
      </c>
      <c r="B197" s="46" t="str">
        <f>IFERROR(__xludf.DUMMYFUNCTION("""COMPUTED_VALUE"""),"Chandra ")</f>
        <v>Chandra </v>
      </c>
      <c r="C197" s="5" t="s">
        <v>2002</v>
      </c>
      <c r="D197" s="5"/>
      <c r="E197" s="5"/>
      <c r="F197" s="5"/>
      <c r="G197" s="5"/>
      <c r="H197" s="5"/>
      <c r="I197" s="5"/>
      <c r="J197" s="73"/>
      <c r="K197" s="75" t="str">
        <f>IFERROR(__xludf.DUMMYFUNCTION("""COMPUTED_VALUE"""),"")</f>
        <v/>
      </c>
      <c r="L197" s="48"/>
      <c r="M197" s="46" t="s">
        <v>2002</v>
      </c>
    </row>
    <row r="198">
      <c r="A198" s="70">
        <f>IFERROR(__xludf.DUMMYFUNCTION("""COMPUTED_VALUE"""),9.896137076E9)</f>
        <v>9896137076</v>
      </c>
      <c r="B198" s="46" t="str">
        <f>IFERROR(__xludf.DUMMYFUNCTION("""COMPUTED_VALUE"""),"Poonam ji")</f>
        <v>Poonam ji</v>
      </c>
      <c r="C198" s="5" t="s">
        <v>2002</v>
      </c>
      <c r="D198" s="5"/>
      <c r="E198" s="5"/>
      <c r="F198" s="5"/>
      <c r="G198" s="5"/>
      <c r="H198" s="5"/>
      <c r="I198" s="5"/>
      <c r="J198" s="73"/>
      <c r="K198" s="75" t="str">
        <f>IFERROR(__xludf.DUMMYFUNCTION("""COMPUTED_VALUE"""),"")</f>
        <v/>
      </c>
      <c r="L198" s="48"/>
      <c r="M198" s="46" t="s">
        <v>2002</v>
      </c>
    </row>
    <row r="199">
      <c r="A199" s="70">
        <f>IFERROR(__xludf.DUMMYFUNCTION("""COMPUTED_VALUE"""),9.3160776E9)</f>
        <v>9316077600</v>
      </c>
      <c r="B199" s="46" t="str">
        <f>IFERROR(__xludf.DUMMYFUNCTION("""COMPUTED_VALUE"""),"Sukhilnder ji")</f>
        <v>Sukhilnder ji</v>
      </c>
      <c r="C199" s="5" t="s">
        <v>2002</v>
      </c>
      <c r="D199" s="5"/>
      <c r="E199" s="5"/>
      <c r="F199" s="5"/>
      <c r="G199" s="5"/>
      <c r="H199" s="5"/>
      <c r="I199" s="5"/>
      <c r="J199" s="73"/>
      <c r="K199" s="75" t="str">
        <f>IFERROR(__xludf.DUMMYFUNCTION("""COMPUTED_VALUE"""),"")</f>
        <v/>
      </c>
      <c r="L199" s="48"/>
      <c r="M199" s="46" t="s">
        <v>2002</v>
      </c>
    </row>
    <row r="200">
      <c r="A200" s="70">
        <f>IFERROR(__xludf.DUMMYFUNCTION("""COMPUTED_VALUE"""),8.810420399E9)</f>
        <v>8810420399</v>
      </c>
      <c r="B200" s="46" t="str">
        <f>IFERROR(__xludf.DUMMYFUNCTION("""COMPUTED_VALUE"""),"Anuprama")</f>
        <v>Anuprama</v>
      </c>
      <c r="C200" s="5" t="s">
        <v>2002</v>
      </c>
      <c r="D200" s="5"/>
      <c r="E200" s="5"/>
      <c r="F200" s="5"/>
      <c r="G200" s="5"/>
      <c r="H200" s="5"/>
      <c r="I200" s="5"/>
      <c r="J200" s="73"/>
      <c r="K200" s="75" t="str">
        <f>IFERROR(__xludf.DUMMYFUNCTION("""COMPUTED_VALUE"""),"")</f>
        <v/>
      </c>
      <c r="L200" s="48"/>
      <c r="M200" s="46" t="s">
        <v>2002</v>
      </c>
    </row>
    <row r="201">
      <c r="A201" s="70">
        <f>IFERROR(__xludf.DUMMYFUNCTION("""COMPUTED_VALUE"""),9.21140601E9)</f>
        <v>9211406010</v>
      </c>
      <c r="B201" s="46" t="str">
        <f>IFERROR(__xludf.DUMMYFUNCTION("""COMPUTED_VALUE"""),"Akhil aggarwal")</f>
        <v>Akhil aggarwal</v>
      </c>
      <c r="C201" s="5" t="s">
        <v>2002</v>
      </c>
      <c r="D201" s="5"/>
      <c r="E201" s="5"/>
      <c r="F201" s="5"/>
      <c r="G201" s="5"/>
      <c r="H201" s="5"/>
      <c r="I201" s="5"/>
      <c r="J201" s="73"/>
      <c r="K201" s="75" t="str">
        <f>IFERROR(__xludf.DUMMYFUNCTION("""COMPUTED_VALUE"""),"")</f>
        <v/>
      </c>
      <c r="L201" s="48"/>
      <c r="M201" s="46" t="s">
        <v>2002</v>
      </c>
    </row>
    <row r="202">
      <c r="A202" s="70">
        <f>IFERROR(__xludf.DUMMYFUNCTION("""COMPUTED_VALUE"""),7.988178532E9)</f>
        <v>7988178532</v>
      </c>
      <c r="B202" s="46" t="str">
        <f>IFERROR(__xludf.DUMMYFUNCTION("""COMPUTED_VALUE"""),"neeraj")</f>
        <v>neeraj</v>
      </c>
      <c r="C202" s="5" t="s">
        <v>2002</v>
      </c>
      <c r="D202" s="5"/>
      <c r="E202" s="5"/>
      <c r="F202" s="5"/>
      <c r="G202" s="5"/>
      <c r="H202" s="5"/>
      <c r="I202" s="5"/>
      <c r="J202" s="73"/>
      <c r="K202" s="75" t="str">
        <f>IFERROR(__xludf.DUMMYFUNCTION("""COMPUTED_VALUE"""),"")</f>
        <v/>
      </c>
      <c r="L202" s="48"/>
      <c r="M202" s="46" t="s">
        <v>2002</v>
      </c>
    </row>
    <row r="203">
      <c r="A203" s="70">
        <f>IFERROR(__xludf.DUMMYFUNCTION("""COMPUTED_VALUE"""),9.265290879E9)</f>
        <v>9265290879</v>
      </c>
      <c r="B203" s="46" t="str">
        <f>IFERROR(__xludf.DUMMYFUNCTION("""COMPUTED_VALUE"""),"Amrik goel")</f>
        <v>Amrik goel</v>
      </c>
      <c r="C203" s="5" t="s">
        <v>2002</v>
      </c>
      <c r="D203" s="5"/>
      <c r="E203" s="5"/>
      <c r="F203" s="5"/>
      <c r="G203" s="5"/>
      <c r="H203" s="5"/>
      <c r="I203" s="5"/>
      <c r="J203" s="73"/>
      <c r="K203" s="75" t="str">
        <f>IFERROR(__xludf.DUMMYFUNCTION("""COMPUTED_VALUE"""),"")</f>
        <v/>
      </c>
      <c r="L203" s="75"/>
      <c r="M203" s="46" t="s">
        <v>2002</v>
      </c>
    </row>
    <row r="204">
      <c r="A204" s="70">
        <f>IFERROR(__xludf.DUMMYFUNCTION("""COMPUTED_VALUE"""),9.958114553E9)</f>
        <v>9958114553</v>
      </c>
      <c r="B204" s="46" t="str">
        <f>IFERROR(__xludf.DUMMYFUNCTION("""COMPUTED_VALUE"""),"Pooja")</f>
        <v>Pooja</v>
      </c>
      <c r="C204" s="5" t="s">
        <v>2002</v>
      </c>
      <c r="D204" s="5"/>
      <c r="E204" s="5"/>
      <c r="F204" s="5"/>
      <c r="G204" s="5"/>
      <c r="H204" s="5"/>
      <c r="I204" s="5"/>
      <c r="J204" s="73"/>
      <c r="K204" s="75" t="str">
        <f>IFERROR(__xludf.DUMMYFUNCTION("""COMPUTED_VALUE"""),"")</f>
        <v/>
      </c>
      <c r="L204" s="75"/>
      <c r="M204" s="46" t="s">
        <v>2002</v>
      </c>
    </row>
    <row r="205">
      <c r="A205" s="70">
        <f>IFERROR(__xludf.DUMMYFUNCTION("""COMPUTED_VALUE"""),7.060038887E9)</f>
        <v>7060038887</v>
      </c>
      <c r="B205" s="46" t="str">
        <f>IFERROR(__xludf.DUMMYFUNCTION("""COMPUTED_VALUE"""),"Saksham Chopra")</f>
        <v>Saksham Chopra</v>
      </c>
      <c r="C205" s="5" t="s">
        <v>2002</v>
      </c>
      <c r="D205" s="5"/>
      <c r="E205" s="5"/>
      <c r="F205" s="5"/>
      <c r="G205" s="5"/>
      <c r="H205" s="5"/>
      <c r="I205" s="5"/>
      <c r="J205" s="73"/>
      <c r="K205" s="75" t="str">
        <f>IFERROR(__xludf.DUMMYFUNCTION("""COMPUTED_VALUE"""),"")</f>
        <v/>
      </c>
      <c r="L205" s="75"/>
      <c r="M205" s="46" t="s">
        <v>2002</v>
      </c>
    </row>
    <row r="206">
      <c r="A206" s="70">
        <f>IFERROR(__xludf.DUMMYFUNCTION("""COMPUTED_VALUE"""),9.58224393E9)</f>
        <v>9582243930</v>
      </c>
      <c r="B206" s="46" t="str">
        <f>IFERROR(__xludf.DUMMYFUNCTION("""COMPUTED_VALUE"""),"Nidhi Gupta ")</f>
        <v>Nidhi Gupta </v>
      </c>
      <c r="C206" s="5" t="s">
        <v>2002</v>
      </c>
      <c r="D206" s="5"/>
      <c r="E206" s="5"/>
      <c r="F206" s="5"/>
      <c r="G206" s="5"/>
      <c r="H206" s="5"/>
      <c r="I206" s="5"/>
      <c r="J206" s="73"/>
      <c r="K206" s="75" t="str">
        <f>IFERROR(__xludf.DUMMYFUNCTION("""COMPUTED_VALUE"""),"")</f>
        <v/>
      </c>
      <c r="L206" s="75"/>
      <c r="M206" s="46" t="s">
        <v>2002</v>
      </c>
    </row>
    <row r="207">
      <c r="A207" s="70"/>
      <c r="C207" s="5" t="s">
        <v>2002</v>
      </c>
      <c r="D207" s="5"/>
      <c r="E207" s="5"/>
      <c r="F207" s="5"/>
      <c r="G207" s="5"/>
      <c r="H207" s="5"/>
      <c r="I207" s="5"/>
      <c r="J207" s="73"/>
      <c r="K207" s="75" t="str">
        <f>IFERROR(__xludf.DUMMYFUNCTION("""COMPUTED_VALUE"""),"")</f>
        <v/>
      </c>
      <c r="L207" s="75"/>
      <c r="M207" s="46" t="s">
        <v>2002</v>
      </c>
    </row>
    <row r="208">
      <c r="A208" s="70"/>
      <c r="C208" s="5" t="s">
        <v>2002</v>
      </c>
      <c r="D208" s="5"/>
      <c r="E208" s="5"/>
      <c r="F208" s="5"/>
      <c r="G208" s="5"/>
      <c r="H208" s="5"/>
      <c r="I208" s="5"/>
      <c r="J208" s="73"/>
      <c r="K208" s="75" t="str">
        <f>IFERROR(__xludf.DUMMYFUNCTION("""COMPUTED_VALUE"""),"")</f>
        <v/>
      </c>
      <c r="L208" s="75"/>
      <c r="M208" s="46" t="s">
        <v>2002</v>
      </c>
    </row>
    <row r="209">
      <c r="A209" s="70"/>
      <c r="C209" s="5" t="s">
        <v>2002</v>
      </c>
      <c r="D209" s="5"/>
      <c r="E209" s="5"/>
      <c r="F209" s="5"/>
      <c r="G209" s="5"/>
      <c r="H209" s="5"/>
      <c r="I209" s="5"/>
      <c r="J209" s="73"/>
      <c r="K209" s="75" t="str">
        <f>IFERROR(__xludf.DUMMYFUNCTION("""COMPUTED_VALUE"""),"")</f>
        <v/>
      </c>
      <c r="L209" s="75"/>
      <c r="M209" s="46" t="s">
        <v>2002</v>
      </c>
    </row>
    <row r="210">
      <c r="A210" s="70"/>
      <c r="C210" s="5" t="s">
        <v>2002</v>
      </c>
      <c r="D210" s="5"/>
      <c r="E210" s="5"/>
      <c r="F210" s="5"/>
      <c r="G210" s="5"/>
      <c r="H210" s="5"/>
      <c r="I210" s="5"/>
      <c r="J210" s="73"/>
      <c r="K210" s="75" t="str">
        <f>IFERROR(__xludf.DUMMYFUNCTION("""COMPUTED_VALUE"""),"")</f>
        <v/>
      </c>
      <c r="L210" s="75"/>
      <c r="M210" s="46" t="s">
        <v>2002</v>
      </c>
    </row>
    <row r="211">
      <c r="A211" s="70"/>
      <c r="C211" s="5" t="s">
        <v>2002</v>
      </c>
      <c r="D211" s="5"/>
      <c r="E211" s="5"/>
      <c r="F211" s="5"/>
      <c r="G211" s="5"/>
      <c r="H211" s="5"/>
      <c r="I211" s="5"/>
      <c r="J211" s="73"/>
      <c r="K211" s="75" t="str">
        <f>IFERROR(__xludf.DUMMYFUNCTION("""COMPUTED_VALUE"""),"")</f>
        <v/>
      </c>
      <c r="L211" s="75"/>
      <c r="M211" s="46" t="s">
        <v>2002</v>
      </c>
    </row>
    <row r="212">
      <c r="A212" s="70"/>
      <c r="C212" s="5" t="s">
        <v>2002</v>
      </c>
      <c r="D212" s="5"/>
      <c r="E212" s="5"/>
      <c r="F212" s="5"/>
      <c r="G212" s="5"/>
      <c r="H212" s="5"/>
      <c r="I212" s="5"/>
      <c r="J212" s="73"/>
      <c r="K212" s="75" t="str">
        <f>IFERROR(__xludf.DUMMYFUNCTION("""COMPUTED_VALUE"""),"")</f>
        <v/>
      </c>
      <c r="L212" s="75"/>
      <c r="M212" s="46" t="s">
        <v>2002</v>
      </c>
    </row>
    <row r="213">
      <c r="A213" s="70"/>
      <c r="C213" s="5" t="s">
        <v>2002</v>
      </c>
      <c r="D213" s="5"/>
      <c r="E213" s="5"/>
      <c r="F213" s="5"/>
      <c r="G213" s="5"/>
      <c r="H213" s="5"/>
      <c r="I213" s="5"/>
      <c r="J213" s="73"/>
      <c r="K213" s="75" t="str">
        <f>IFERROR(__xludf.DUMMYFUNCTION("""COMPUTED_VALUE"""),"")</f>
        <v/>
      </c>
      <c r="L213" s="75"/>
      <c r="M213" s="46" t="s">
        <v>2002</v>
      </c>
    </row>
    <row r="214">
      <c r="A214" s="70"/>
      <c r="C214" s="5" t="s">
        <v>2002</v>
      </c>
      <c r="D214" s="5"/>
      <c r="E214" s="5"/>
      <c r="F214" s="5"/>
      <c r="G214" s="5"/>
      <c r="H214" s="5"/>
      <c r="I214" s="5"/>
      <c r="J214" s="73"/>
      <c r="K214" s="75" t="str">
        <f>IFERROR(__xludf.DUMMYFUNCTION("""COMPUTED_VALUE"""),"")</f>
        <v/>
      </c>
      <c r="L214" s="75"/>
      <c r="M214" s="46" t="s">
        <v>2002</v>
      </c>
    </row>
    <row r="215">
      <c r="A215" s="70"/>
      <c r="C215" s="5" t="s">
        <v>2002</v>
      </c>
      <c r="D215" s="5"/>
      <c r="E215" s="5"/>
      <c r="F215" s="5"/>
      <c r="G215" s="5"/>
      <c r="H215" s="5"/>
      <c r="I215" s="5"/>
      <c r="J215" s="73"/>
      <c r="K215" s="75" t="str">
        <f>IFERROR(__xludf.DUMMYFUNCTION("""COMPUTED_VALUE"""),"")</f>
        <v/>
      </c>
      <c r="L215" s="75"/>
      <c r="M215" s="46" t="s">
        <v>2002</v>
      </c>
    </row>
    <row r="216">
      <c r="A216" s="70"/>
      <c r="C216" s="5" t="s">
        <v>2002</v>
      </c>
      <c r="D216" s="5"/>
      <c r="E216" s="5"/>
      <c r="F216" s="5"/>
      <c r="G216" s="5"/>
      <c r="H216" s="5"/>
      <c r="I216" s="5"/>
      <c r="J216" s="73"/>
      <c r="K216" s="75" t="str">
        <f>IFERROR(__xludf.DUMMYFUNCTION("""COMPUTED_VALUE"""),"")</f>
        <v/>
      </c>
      <c r="L216" s="75"/>
      <c r="M216" s="46" t="s">
        <v>2002</v>
      </c>
    </row>
    <row r="217">
      <c r="A217" s="70"/>
      <c r="C217" s="5" t="s">
        <v>2002</v>
      </c>
      <c r="D217" s="5"/>
      <c r="E217" s="5"/>
      <c r="F217" s="5"/>
      <c r="G217" s="5"/>
      <c r="H217" s="5"/>
      <c r="I217" s="5"/>
      <c r="J217" s="73"/>
      <c r="K217" s="75" t="str">
        <f>IFERROR(__xludf.DUMMYFUNCTION("""COMPUTED_VALUE"""),"")</f>
        <v/>
      </c>
      <c r="L217" s="75"/>
      <c r="M217" s="46" t="s">
        <v>2002</v>
      </c>
    </row>
    <row r="218">
      <c r="A218" s="70"/>
      <c r="C218" s="5" t="s">
        <v>2002</v>
      </c>
      <c r="D218" s="5"/>
      <c r="E218" s="5"/>
      <c r="F218" s="5"/>
      <c r="G218" s="5"/>
      <c r="H218" s="5"/>
      <c r="I218" s="5"/>
      <c r="J218" s="73"/>
      <c r="K218" s="75" t="str">
        <f>IFERROR(__xludf.DUMMYFUNCTION("""COMPUTED_VALUE"""),"")</f>
        <v/>
      </c>
      <c r="L218" s="75"/>
      <c r="M218" s="46" t="s">
        <v>2002</v>
      </c>
    </row>
    <row r="219">
      <c r="A219" s="70"/>
      <c r="C219" s="5" t="s">
        <v>2002</v>
      </c>
      <c r="D219" s="5"/>
      <c r="E219" s="5"/>
      <c r="F219" s="5"/>
      <c r="G219" s="5"/>
      <c r="H219" s="5"/>
      <c r="I219" s="5"/>
      <c r="J219" s="73"/>
      <c r="K219" s="75" t="str">
        <f>IFERROR(__xludf.DUMMYFUNCTION("""COMPUTED_VALUE"""),"")</f>
        <v/>
      </c>
      <c r="L219" s="75"/>
      <c r="M219" s="46" t="s">
        <v>2002</v>
      </c>
    </row>
    <row r="220">
      <c r="A220" s="70"/>
      <c r="C220" s="5" t="s">
        <v>2002</v>
      </c>
      <c r="D220" s="5"/>
      <c r="E220" s="5"/>
      <c r="F220" s="5"/>
      <c r="G220" s="5"/>
      <c r="H220" s="5"/>
      <c r="I220" s="5"/>
      <c r="J220" s="73"/>
      <c r="K220" s="75" t="str">
        <f>IFERROR(__xludf.DUMMYFUNCTION("""COMPUTED_VALUE"""),"")</f>
        <v/>
      </c>
      <c r="L220" s="75"/>
      <c r="M220" s="46" t="s">
        <v>2002</v>
      </c>
    </row>
    <row r="221">
      <c r="A221" s="70"/>
      <c r="C221" s="5" t="s">
        <v>2002</v>
      </c>
      <c r="D221" s="5"/>
      <c r="E221" s="5"/>
      <c r="F221" s="5"/>
      <c r="G221" s="5"/>
      <c r="H221" s="5"/>
      <c r="I221" s="5"/>
      <c r="J221" s="73"/>
      <c r="K221" s="75" t="str">
        <f>IFERROR(__xludf.DUMMYFUNCTION("""COMPUTED_VALUE"""),"")</f>
        <v/>
      </c>
      <c r="L221" s="75"/>
      <c r="M221" s="46" t="s">
        <v>2002</v>
      </c>
    </row>
    <row r="222">
      <c r="A222" s="70"/>
      <c r="C222" s="5" t="s">
        <v>2002</v>
      </c>
      <c r="D222" s="5"/>
      <c r="E222" s="5"/>
      <c r="F222" s="5"/>
      <c r="G222" s="5"/>
      <c r="H222" s="5"/>
      <c r="I222" s="5"/>
      <c r="J222" s="73"/>
      <c r="K222" s="75" t="str">
        <f>IFERROR(__xludf.DUMMYFUNCTION("""COMPUTED_VALUE"""),"")</f>
        <v/>
      </c>
      <c r="L222" s="75"/>
      <c r="M222" s="46" t="s">
        <v>2002</v>
      </c>
    </row>
    <row r="223">
      <c r="A223" s="70"/>
      <c r="C223" s="5" t="s">
        <v>2002</v>
      </c>
      <c r="D223" s="5"/>
      <c r="E223" s="5"/>
      <c r="F223" s="5"/>
      <c r="G223" s="5"/>
      <c r="H223" s="5"/>
      <c r="I223" s="5"/>
      <c r="J223" s="73"/>
      <c r="K223" s="75" t="str">
        <f>IFERROR(__xludf.DUMMYFUNCTION("""COMPUTED_VALUE"""),"")</f>
        <v/>
      </c>
      <c r="L223" s="75"/>
      <c r="M223" s="46" t="s">
        <v>2002</v>
      </c>
    </row>
    <row r="224">
      <c r="A224" s="70"/>
      <c r="C224" s="5" t="s">
        <v>2002</v>
      </c>
      <c r="D224" s="5"/>
      <c r="E224" s="5"/>
      <c r="F224" s="5"/>
      <c r="G224" s="5"/>
      <c r="H224" s="5"/>
      <c r="I224" s="5"/>
      <c r="J224" s="73"/>
      <c r="K224" s="75" t="str">
        <f>IFERROR(__xludf.DUMMYFUNCTION("""COMPUTED_VALUE"""),"")</f>
        <v/>
      </c>
      <c r="L224" s="75"/>
      <c r="M224" s="46" t="s">
        <v>2002</v>
      </c>
    </row>
    <row r="225">
      <c r="A225" s="70"/>
      <c r="C225" s="5" t="s">
        <v>2002</v>
      </c>
      <c r="D225" s="5"/>
      <c r="E225" s="5"/>
      <c r="F225" s="5"/>
      <c r="G225" s="5"/>
      <c r="H225" s="5"/>
      <c r="I225" s="5"/>
      <c r="J225" s="73"/>
      <c r="K225" s="75" t="str">
        <f>IFERROR(__xludf.DUMMYFUNCTION("""COMPUTED_VALUE"""),"")</f>
        <v/>
      </c>
      <c r="L225" s="75"/>
      <c r="M225" s="46" t="s">
        <v>2002</v>
      </c>
    </row>
    <row r="226">
      <c r="A226" s="70"/>
      <c r="C226" s="5" t="s">
        <v>2002</v>
      </c>
      <c r="D226" s="5"/>
      <c r="E226" s="5"/>
      <c r="F226" s="5"/>
      <c r="G226" s="5"/>
      <c r="H226" s="5"/>
      <c r="I226" s="5"/>
      <c r="J226" s="73"/>
      <c r="K226" s="75" t="str">
        <f>IFERROR(__xludf.DUMMYFUNCTION("""COMPUTED_VALUE"""),"")</f>
        <v/>
      </c>
      <c r="L226" s="75"/>
      <c r="M226" s="46" t="s">
        <v>2002</v>
      </c>
    </row>
    <row r="227">
      <c r="A227" s="70"/>
      <c r="C227" s="5" t="s">
        <v>2002</v>
      </c>
      <c r="D227" s="5"/>
      <c r="E227" s="5"/>
      <c r="F227" s="5"/>
      <c r="G227" s="5"/>
      <c r="H227" s="5"/>
      <c r="I227" s="5"/>
      <c r="J227" s="73"/>
      <c r="K227" s="75" t="str">
        <f>IFERROR(__xludf.DUMMYFUNCTION("""COMPUTED_VALUE"""),"")</f>
        <v/>
      </c>
      <c r="L227" s="75"/>
      <c r="M227" s="46" t="s">
        <v>2002</v>
      </c>
    </row>
    <row r="228">
      <c r="A228" s="70"/>
      <c r="C228" s="5" t="s">
        <v>2002</v>
      </c>
      <c r="D228" s="5"/>
      <c r="E228" s="5"/>
      <c r="F228" s="5"/>
      <c r="G228" s="5"/>
      <c r="H228" s="5"/>
      <c r="I228" s="5"/>
      <c r="J228" s="73"/>
      <c r="K228" s="75" t="str">
        <f>IFERROR(__xludf.DUMMYFUNCTION("""COMPUTED_VALUE"""),"")</f>
        <v/>
      </c>
      <c r="L228" s="75"/>
      <c r="M228" s="46" t="s">
        <v>2002</v>
      </c>
    </row>
    <row r="229">
      <c r="A229" s="70"/>
      <c r="C229" s="5" t="s">
        <v>2002</v>
      </c>
      <c r="D229" s="5"/>
      <c r="E229" s="5"/>
      <c r="F229" s="5"/>
      <c r="G229" s="5"/>
      <c r="H229" s="5"/>
      <c r="I229" s="5"/>
      <c r="J229" s="73"/>
      <c r="K229" s="75" t="str">
        <f>IFERROR(__xludf.DUMMYFUNCTION("""COMPUTED_VALUE"""),"")</f>
        <v/>
      </c>
      <c r="L229" s="75"/>
      <c r="M229" s="46" t="s">
        <v>2002</v>
      </c>
    </row>
    <row r="230">
      <c r="A230" s="70"/>
      <c r="C230" s="5" t="s">
        <v>2002</v>
      </c>
      <c r="D230" s="5"/>
      <c r="E230" s="5"/>
      <c r="F230" s="5"/>
      <c r="G230" s="5"/>
      <c r="H230" s="5"/>
      <c r="I230" s="5"/>
      <c r="J230" s="73"/>
      <c r="K230" s="75" t="str">
        <f>IFERROR(__xludf.DUMMYFUNCTION("""COMPUTED_VALUE"""),"")</f>
        <v/>
      </c>
      <c r="L230" s="75"/>
      <c r="M230" s="46" t="s">
        <v>2002</v>
      </c>
    </row>
    <row r="231">
      <c r="A231" s="70"/>
      <c r="C231" s="5" t="s">
        <v>2002</v>
      </c>
      <c r="D231" s="5"/>
      <c r="E231" s="5"/>
      <c r="F231" s="5"/>
      <c r="G231" s="5"/>
      <c r="H231" s="5"/>
      <c r="I231" s="5"/>
      <c r="J231" s="73"/>
      <c r="K231" s="75" t="str">
        <f>IFERROR(__xludf.DUMMYFUNCTION("""COMPUTED_VALUE"""),"")</f>
        <v/>
      </c>
      <c r="L231" s="75"/>
      <c r="M231" s="46" t="s">
        <v>2002</v>
      </c>
    </row>
    <row r="232">
      <c r="A232" s="70"/>
      <c r="C232" s="5" t="s">
        <v>2002</v>
      </c>
      <c r="D232" s="5"/>
      <c r="E232" s="5"/>
      <c r="F232" s="5"/>
      <c r="G232" s="5"/>
      <c r="H232" s="5"/>
      <c r="I232" s="5"/>
      <c r="J232" s="73"/>
      <c r="K232" s="75" t="str">
        <f>IFERROR(__xludf.DUMMYFUNCTION("""COMPUTED_VALUE"""),"")</f>
        <v/>
      </c>
      <c r="L232" s="75"/>
      <c r="M232" s="46" t="s">
        <v>2002</v>
      </c>
    </row>
    <row r="233">
      <c r="A233" s="70"/>
      <c r="C233" s="5" t="s">
        <v>2002</v>
      </c>
      <c r="D233" s="5"/>
      <c r="E233" s="5"/>
      <c r="F233" s="5"/>
      <c r="G233" s="5"/>
      <c r="H233" s="5"/>
      <c r="I233" s="5"/>
      <c r="J233" s="73"/>
      <c r="K233" s="75" t="str">
        <f>IFERROR(__xludf.DUMMYFUNCTION("""COMPUTED_VALUE"""),"")</f>
        <v/>
      </c>
      <c r="L233" s="75"/>
      <c r="M233" s="46" t="s">
        <v>2002</v>
      </c>
    </row>
    <row r="234">
      <c r="A234" s="70"/>
      <c r="C234" s="5" t="s">
        <v>2002</v>
      </c>
      <c r="D234" s="5"/>
      <c r="E234" s="5"/>
      <c r="F234" s="5"/>
      <c r="G234" s="5"/>
      <c r="H234" s="5"/>
      <c r="I234" s="5"/>
      <c r="J234" s="73"/>
      <c r="K234" s="75" t="str">
        <f>IFERROR(__xludf.DUMMYFUNCTION("""COMPUTED_VALUE"""),"")</f>
        <v/>
      </c>
      <c r="L234" s="75"/>
      <c r="M234" s="46" t="s">
        <v>2002</v>
      </c>
    </row>
    <row r="235">
      <c r="A235" s="70"/>
      <c r="C235" s="5" t="s">
        <v>2002</v>
      </c>
      <c r="D235" s="5"/>
      <c r="E235" s="5"/>
      <c r="F235" s="5"/>
      <c r="G235" s="5"/>
      <c r="H235" s="5"/>
      <c r="I235" s="5"/>
      <c r="J235" s="73"/>
      <c r="K235" s="75" t="str">
        <f>IFERROR(__xludf.DUMMYFUNCTION("""COMPUTED_VALUE"""),"")</f>
        <v/>
      </c>
      <c r="L235" s="75"/>
      <c r="M235" s="46" t="s">
        <v>2002</v>
      </c>
    </row>
    <row r="236">
      <c r="A236" s="70"/>
      <c r="C236" s="5" t="s">
        <v>2002</v>
      </c>
      <c r="D236" s="5"/>
      <c r="E236" s="5"/>
      <c r="F236" s="5"/>
      <c r="G236" s="5"/>
      <c r="H236" s="5"/>
      <c r="I236" s="5"/>
      <c r="J236" s="73"/>
      <c r="K236" s="75" t="str">
        <f>IFERROR(__xludf.DUMMYFUNCTION("""COMPUTED_VALUE"""),"")</f>
        <v/>
      </c>
      <c r="L236" s="75"/>
      <c r="M236" s="46" t="s">
        <v>2002</v>
      </c>
    </row>
    <row r="237">
      <c r="A237" s="70"/>
      <c r="C237" s="5" t="s">
        <v>2002</v>
      </c>
      <c r="D237" s="5"/>
      <c r="E237" s="5"/>
      <c r="F237" s="5"/>
      <c r="G237" s="5"/>
      <c r="H237" s="5"/>
      <c r="I237" s="5"/>
      <c r="J237" s="73"/>
      <c r="K237" s="75" t="str">
        <f>IFERROR(__xludf.DUMMYFUNCTION("""COMPUTED_VALUE"""),"")</f>
        <v/>
      </c>
      <c r="L237" s="75"/>
      <c r="M237" s="46" t="s">
        <v>2002</v>
      </c>
    </row>
    <row r="238">
      <c r="A238" s="70"/>
      <c r="C238" s="5" t="s">
        <v>2002</v>
      </c>
      <c r="D238" s="5"/>
      <c r="E238" s="5"/>
      <c r="F238" s="5"/>
      <c r="G238" s="5"/>
      <c r="H238" s="5"/>
      <c r="I238" s="5"/>
      <c r="J238" s="73"/>
      <c r="K238" s="75" t="str">
        <f>IFERROR(__xludf.DUMMYFUNCTION("""COMPUTED_VALUE"""),"")</f>
        <v/>
      </c>
      <c r="L238" s="75"/>
      <c r="M238" s="46" t="s">
        <v>2002</v>
      </c>
    </row>
    <row r="239">
      <c r="A239" s="70"/>
      <c r="C239" s="5" t="s">
        <v>2002</v>
      </c>
      <c r="D239" s="5"/>
      <c r="E239" s="5"/>
      <c r="F239" s="5"/>
      <c r="G239" s="5"/>
      <c r="H239" s="5"/>
      <c r="I239" s="5"/>
      <c r="J239" s="73"/>
      <c r="K239" s="75" t="str">
        <f>IFERROR(__xludf.DUMMYFUNCTION("""COMPUTED_VALUE"""),"")</f>
        <v/>
      </c>
      <c r="L239" s="75"/>
      <c r="M239" s="46" t="s">
        <v>2002</v>
      </c>
    </row>
    <row r="240">
      <c r="A240" s="70"/>
      <c r="C240" s="5" t="s">
        <v>2002</v>
      </c>
      <c r="D240" s="5"/>
      <c r="E240" s="5"/>
      <c r="F240" s="5"/>
      <c r="G240" s="5"/>
      <c r="H240" s="5"/>
      <c r="I240" s="5"/>
      <c r="J240" s="73"/>
      <c r="K240" s="75" t="str">
        <f>IFERROR(__xludf.DUMMYFUNCTION("""COMPUTED_VALUE"""),"")</f>
        <v/>
      </c>
      <c r="L240" s="75"/>
      <c r="M240" s="46" t="s">
        <v>2002</v>
      </c>
    </row>
    <row r="241">
      <c r="A241" s="70"/>
      <c r="C241" s="5" t="s">
        <v>2002</v>
      </c>
      <c r="D241" s="5"/>
      <c r="E241" s="5"/>
      <c r="F241" s="5"/>
      <c r="G241" s="5"/>
      <c r="H241" s="5"/>
      <c r="I241" s="5"/>
      <c r="J241" s="73"/>
      <c r="K241" s="75" t="str">
        <f>IFERROR(__xludf.DUMMYFUNCTION("""COMPUTED_VALUE"""),"")</f>
        <v/>
      </c>
      <c r="L241" s="75"/>
      <c r="M241" s="46" t="s">
        <v>2002</v>
      </c>
    </row>
    <row r="242">
      <c r="A242" s="70"/>
      <c r="C242" s="5" t="s">
        <v>2002</v>
      </c>
      <c r="D242" s="5"/>
      <c r="E242" s="5"/>
      <c r="F242" s="5"/>
      <c r="G242" s="5"/>
      <c r="H242" s="5"/>
      <c r="I242" s="5"/>
      <c r="J242" s="73"/>
      <c r="K242" s="75" t="str">
        <f>IFERROR(__xludf.DUMMYFUNCTION("""COMPUTED_VALUE"""),"")</f>
        <v/>
      </c>
      <c r="L242" s="75"/>
      <c r="M242" s="46" t="s">
        <v>2002</v>
      </c>
    </row>
    <row r="243">
      <c r="A243" s="70"/>
      <c r="C243" s="5" t="s">
        <v>2002</v>
      </c>
      <c r="D243" s="5"/>
      <c r="E243" s="5"/>
      <c r="F243" s="5"/>
      <c r="G243" s="5"/>
      <c r="H243" s="5"/>
      <c r="I243" s="5"/>
      <c r="J243" s="73"/>
      <c r="K243" s="75" t="str">
        <f>IFERROR(__xludf.DUMMYFUNCTION("""COMPUTED_VALUE"""),"")</f>
        <v/>
      </c>
      <c r="L243" s="75"/>
      <c r="M243" s="46" t="s">
        <v>2002</v>
      </c>
    </row>
    <row r="244">
      <c r="A244" s="70"/>
      <c r="C244" s="5" t="s">
        <v>2002</v>
      </c>
      <c r="D244" s="5"/>
      <c r="E244" s="5"/>
      <c r="F244" s="5"/>
      <c r="G244" s="5"/>
      <c r="H244" s="5"/>
      <c r="I244" s="5"/>
      <c r="J244" s="73"/>
      <c r="K244" s="75" t="str">
        <f>IFERROR(__xludf.DUMMYFUNCTION("""COMPUTED_VALUE"""),"")</f>
        <v/>
      </c>
      <c r="L244" s="75"/>
      <c r="M244" s="46" t="s">
        <v>2002</v>
      </c>
    </row>
    <row r="245">
      <c r="A245" s="70"/>
      <c r="C245" s="5" t="s">
        <v>2002</v>
      </c>
      <c r="D245" s="5"/>
      <c r="E245" s="5"/>
      <c r="F245" s="5"/>
      <c r="G245" s="5"/>
      <c r="H245" s="5"/>
      <c r="I245" s="5"/>
      <c r="J245" s="73"/>
      <c r="K245" s="75" t="str">
        <f>IFERROR(__xludf.DUMMYFUNCTION("""COMPUTED_VALUE"""),"")</f>
        <v/>
      </c>
      <c r="L245" s="75"/>
      <c r="M245" s="46" t="s">
        <v>2002</v>
      </c>
    </row>
    <row r="246">
      <c r="A246" s="70"/>
      <c r="C246" s="5" t="s">
        <v>2002</v>
      </c>
      <c r="D246" s="5"/>
      <c r="E246" s="5"/>
      <c r="F246" s="5"/>
      <c r="G246" s="5"/>
      <c r="H246" s="5"/>
      <c r="I246" s="5"/>
      <c r="J246" s="73"/>
      <c r="K246" s="75" t="str">
        <f>IFERROR(__xludf.DUMMYFUNCTION("""COMPUTED_VALUE"""),"")</f>
        <v/>
      </c>
      <c r="L246" s="75"/>
      <c r="M246" s="46" t="s">
        <v>2002</v>
      </c>
    </row>
    <row r="247">
      <c r="A247" s="70"/>
      <c r="C247" s="5" t="s">
        <v>2002</v>
      </c>
      <c r="D247" s="5"/>
      <c r="E247" s="5"/>
      <c r="F247" s="5"/>
      <c r="G247" s="5"/>
      <c r="H247" s="5"/>
      <c r="I247" s="5"/>
      <c r="J247" s="73"/>
      <c r="K247" s="75" t="str">
        <f>IFERROR(__xludf.DUMMYFUNCTION("""COMPUTED_VALUE"""),"")</f>
        <v/>
      </c>
      <c r="L247" s="75"/>
      <c r="M247" s="46" t="s">
        <v>2002</v>
      </c>
    </row>
    <row r="248">
      <c r="A248" s="70"/>
      <c r="C248" s="5" t="s">
        <v>2002</v>
      </c>
      <c r="D248" s="5"/>
      <c r="E248" s="5"/>
      <c r="F248" s="5"/>
      <c r="G248" s="5"/>
      <c r="H248" s="5"/>
      <c r="I248" s="5"/>
      <c r="J248" s="73"/>
      <c r="K248" s="75" t="str">
        <f>IFERROR(__xludf.DUMMYFUNCTION("""COMPUTED_VALUE"""),"")</f>
        <v/>
      </c>
      <c r="L248" s="75"/>
      <c r="M248" s="46" t="s">
        <v>2002</v>
      </c>
    </row>
    <row r="249">
      <c r="A249" s="70"/>
      <c r="C249" s="5" t="s">
        <v>2002</v>
      </c>
      <c r="D249" s="5"/>
      <c r="E249" s="5"/>
      <c r="F249" s="5"/>
      <c r="G249" s="5"/>
      <c r="H249" s="5"/>
      <c r="I249" s="5"/>
      <c r="J249" s="73"/>
      <c r="K249" s="75" t="str">
        <f>IFERROR(__xludf.DUMMYFUNCTION("""COMPUTED_VALUE"""),"")</f>
        <v/>
      </c>
      <c r="L249" s="75"/>
      <c r="M249" s="46" t="s">
        <v>2002</v>
      </c>
    </row>
    <row r="250">
      <c r="A250" s="70"/>
      <c r="C250" s="5" t="s">
        <v>2002</v>
      </c>
      <c r="D250" s="5"/>
      <c r="E250" s="5"/>
      <c r="F250" s="5"/>
      <c r="G250" s="5"/>
      <c r="H250" s="5"/>
      <c r="I250" s="5"/>
      <c r="J250" s="73"/>
      <c r="K250" s="75" t="str">
        <f>IFERROR(__xludf.DUMMYFUNCTION("""COMPUTED_VALUE"""),"")</f>
        <v/>
      </c>
      <c r="L250" s="75"/>
      <c r="M250" s="46" t="s">
        <v>2002</v>
      </c>
    </row>
    <row r="251">
      <c r="A251" s="70"/>
      <c r="C251" s="5" t="s">
        <v>2002</v>
      </c>
      <c r="D251" s="5"/>
      <c r="E251" s="5"/>
      <c r="F251" s="5"/>
      <c r="G251" s="5"/>
      <c r="H251" s="5"/>
      <c r="I251" s="5"/>
      <c r="J251" s="73"/>
      <c r="K251" s="75" t="str">
        <f>IFERROR(__xludf.DUMMYFUNCTION("""COMPUTED_VALUE"""),"")</f>
        <v/>
      </c>
      <c r="L251" s="75"/>
      <c r="M251" s="46" t="s">
        <v>2002</v>
      </c>
    </row>
    <row r="252">
      <c r="A252" s="70"/>
      <c r="C252" s="5" t="s">
        <v>2002</v>
      </c>
      <c r="D252" s="5"/>
      <c r="E252" s="5"/>
      <c r="F252" s="5"/>
      <c r="G252" s="5"/>
      <c r="H252" s="5"/>
      <c r="I252" s="5"/>
      <c r="J252" s="73"/>
      <c r="K252" s="75" t="str">
        <f>IFERROR(__xludf.DUMMYFUNCTION("""COMPUTED_VALUE"""),"")</f>
        <v/>
      </c>
      <c r="L252" s="75"/>
      <c r="M252" s="46" t="s">
        <v>2002</v>
      </c>
    </row>
    <row r="253">
      <c r="A253" s="70"/>
      <c r="C253" s="5" t="s">
        <v>2002</v>
      </c>
      <c r="D253" s="5"/>
      <c r="E253" s="5"/>
      <c r="F253" s="5"/>
      <c r="G253" s="5"/>
      <c r="H253" s="5"/>
      <c r="I253" s="5"/>
      <c r="J253" s="73"/>
      <c r="K253" s="75" t="str">
        <f>IFERROR(__xludf.DUMMYFUNCTION("""COMPUTED_VALUE"""),"")</f>
        <v/>
      </c>
      <c r="L253" s="75"/>
      <c r="M253" s="46" t="s">
        <v>2002</v>
      </c>
    </row>
    <row r="254">
      <c r="A254" s="70"/>
      <c r="C254" s="5" t="s">
        <v>2002</v>
      </c>
      <c r="D254" s="5"/>
      <c r="E254" s="5"/>
      <c r="F254" s="5"/>
      <c r="G254" s="5"/>
      <c r="H254" s="5"/>
      <c r="I254" s="5"/>
      <c r="J254" s="73"/>
      <c r="K254" s="75" t="str">
        <f>IFERROR(__xludf.DUMMYFUNCTION("""COMPUTED_VALUE"""),"")</f>
        <v/>
      </c>
      <c r="L254" s="75"/>
      <c r="M254" s="46" t="s">
        <v>2002</v>
      </c>
    </row>
    <row r="255">
      <c r="A255" s="70"/>
      <c r="C255" s="5" t="s">
        <v>2002</v>
      </c>
      <c r="D255" s="5"/>
      <c r="E255" s="5"/>
      <c r="F255" s="5"/>
      <c r="G255" s="5"/>
      <c r="H255" s="5"/>
      <c r="I255" s="5"/>
      <c r="J255" s="73"/>
      <c r="K255" s="75" t="str">
        <f>IFERROR(__xludf.DUMMYFUNCTION("""COMPUTED_VALUE"""),"")</f>
        <v/>
      </c>
      <c r="L255" s="75"/>
      <c r="M255" s="46" t="s">
        <v>2002</v>
      </c>
    </row>
    <row r="256">
      <c r="A256" s="70"/>
      <c r="C256" s="5" t="s">
        <v>2002</v>
      </c>
      <c r="D256" s="5"/>
      <c r="E256" s="5"/>
      <c r="F256" s="5"/>
      <c r="G256" s="5"/>
      <c r="H256" s="5"/>
      <c r="I256" s="5"/>
      <c r="J256" s="73"/>
      <c r="K256" s="75" t="str">
        <f>IFERROR(__xludf.DUMMYFUNCTION("""COMPUTED_VALUE"""),"")</f>
        <v/>
      </c>
      <c r="L256" s="75"/>
      <c r="M256" s="46" t="s">
        <v>2002</v>
      </c>
    </row>
    <row r="257">
      <c r="A257" s="70"/>
      <c r="C257" s="5" t="s">
        <v>2002</v>
      </c>
      <c r="D257" s="5"/>
      <c r="E257" s="5"/>
      <c r="F257" s="5"/>
      <c r="G257" s="5"/>
      <c r="H257" s="5"/>
      <c r="I257" s="5"/>
      <c r="J257" s="73"/>
      <c r="K257" s="75" t="str">
        <f>IFERROR(__xludf.DUMMYFUNCTION("""COMPUTED_VALUE"""),"")</f>
        <v/>
      </c>
      <c r="L257" s="75"/>
      <c r="M257" s="46" t="s">
        <v>2002</v>
      </c>
    </row>
    <row r="258">
      <c r="A258" s="70"/>
      <c r="C258" s="5" t="s">
        <v>2002</v>
      </c>
      <c r="D258" s="5"/>
      <c r="E258" s="5"/>
      <c r="F258" s="5"/>
      <c r="G258" s="5"/>
      <c r="H258" s="5"/>
      <c r="I258" s="5"/>
      <c r="J258" s="73"/>
      <c r="K258" s="75" t="str">
        <f>IFERROR(__xludf.DUMMYFUNCTION("""COMPUTED_VALUE"""),"")</f>
        <v/>
      </c>
      <c r="L258" s="75"/>
      <c r="M258" s="46" t="s">
        <v>2002</v>
      </c>
    </row>
    <row r="259">
      <c r="A259" s="70"/>
      <c r="C259" s="5" t="s">
        <v>2002</v>
      </c>
      <c r="D259" s="5"/>
      <c r="E259" s="5"/>
      <c r="F259" s="5"/>
      <c r="G259" s="5"/>
      <c r="H259" s="5"/>
      <c r="I259" s="5"/>
      <c r="J259" s="73"/>
      <c r="K259" s="75" t="str">
        <f>IFERROR(__xludf.DUMMYFUNCTION("""COMPUTED_VALUE"""),"")</f>
        <v/>
      </c>
      <c r="L259" s="75"/>
      <c r="M259" s="46" t="s">
        <v>2002</v>
      </c>
    </row>
    <row r="260">
      <c r="A260" s="70"/>
      <c r="C260" s="5" t="s">
        <v>2002</v>
      </c>
      <c r="D260" s="5"/>
      <c r="E260" s="5"/>
      <c r="F260" s="5"/>
      <c r="G260" s="5"/>
      <c r="H260" s="5"/>
      <c r="I260" s="5"/>
      <c r="J260" s="73"/>
      <c r="K260" s="75" t="str">
        <f>IFERROR(__xludf.DUMMYFUNCTION("""COMPUTED_VALUE"""),"")</f>
        <v/>
      </c>
      <c r="L260" s="75"/>
      <c r="M260" s="46" t="s">
        <v>2002</v>
      </c>
    </row>
    <row r="261">
      <c r="A261" s="70"/>
      <c r="C261" s="5" t="s">
        <v>2002</v>
      </c>
      <c r="D261" s="5"/>
      <c r="E261" s="5"/>
      <c r="F261" s="5"/>
      <c r="G261" s="5"/>
      <c r="H261" s="5"/>
      <c r="I261" s="5"/>
      <c r="J261" s="73"/>
      <c r="K261" s="75" t="str">
        <f>IFERROR(__xludf.DUMMYFUNCTION("""COMPUTED_VALUE"""),"")</f>
        <v/>
      </c>
      <c r="L261" s="75"/>
      <c r="M261" s="46" t="s">
        <v>2002</v>
      </c>
    </row>
    <row r="262">
      <c r="A262" s="70"/>
      <c r="C262" s="5" t="s">
        <v>2002</v>
      </c>
      <c r="D262" s="5"/>
      <c r="E262" s="5"/>
      <c r="F262" s="5"/>
      <c r="G262" s="5"/>
      <c r="H262" s="5"/>
      <c r="I262" s="5"/>
      <c r="J262" s="73"/>
      <c r="K262" s="75" t="str">
        <f>IFERROR(__xludf.DUMMYFUNCTION("""COMPUTED_VALUE"""),"")</f>
        <v/>
      </c>
      <c r="L262" s="75"/>
      <c r="M262" s="46" t="s">
        <v>2002</v>
      </c>
    </row>
    <row r="263">
      <c r="A263" s="70"/>
      <c r="C263" s="5" t="s">
        <v>2002</v>
      </c>
      <c r="D263" s="5"/>
      <c r="E263" s="5"/>
      <c r="F263" s="5"/>
      <c r="G263" s="5"/>
      <c r="H263" s="5"/>
      <c r="I263" s="5"/>
      <c r="J263" s="73"/>
      <c r="K263" s="75" t="str">
        <f>IFERROR(__xludf.DUMMYFUNCTION("""COMPUTED_VALUE"""),"")</f>
        <v/>
      </c>
      <c r="L263" s="75"/>
      <c r="M263" s="46" t="s">
        <v>2002</v>
      </c>
    </row>
    <row r="264">
      <c r="A264" s="70"/>
      <c r="C264" s="5" t="s">
        <v>2002</v>
      </c>
      <c r="D264" s="5"/>
      <c r="E264" s="5"/>
      <c r="F264" s="5"/>
      <c r="G264" s="5"/>
      <c r="H264" s="5"/>
      <c r="I264" s="5"/>
      <c r="J264" s="73"/>
      <c r="K264" s="75" t="str">
        <f>IFERROR(__xludf.DUMMYFUNCTION("""COMPUTED_VALUE"""),"")</f>
        <v/>
      </c>
      <c r="L264" s="75"/>
      <c r="M264" s="46" t="s">
        <v>2002</v>
      </c>
    </row>
    <row r="265">
      <c r="A265" s="70"/>
      <c r="C265" s="5" t="s">
        <v>2002</v>
      </c>
      <c r="D265" s="5"/>
      <c r="E265" s="5"/>
      <c r="F265" s="5"/>
      <c r="G265" s="5"/>
      <c r="H265" s="5"/>
      <c r="I265" s="5"/>
      <c r="J265" s="73"/>
      <c r="K265" s="75" t="str">
        <f>IFERROR(__xludf.DUMMYFUNCTION("""COMPUTED_VALUE"""),"")</f>
        <v/>
      </c>
      <c r="L265" s="75"/>
      <c r="M265" s="46" t="s">
        <v>2002</v>
      </c>
    </row>
    <row r="266">
      <c r="A266" s="70"/>
      <c r="C266" s="5" t="s">
        <v>2002</v>
      </c>
      <c r="D266" s="5"/>
      <c r="E266" s="5"/>
      <c r="F266" s="5"/>
      <c r="G266" s="5"/>
      <c r="H266" s="5"/>
      <c r="I266" s="5"/>
      <c r="J266" s="73"/>
      <c r="K266" s="75" t="str">
        <f>IFERROR(__xludf.DUMMYFUNCTION("""COMPUTED_VALUE"""),"")</f>
        <v/>
      </c>
      <c r="L266" s="75"/>
      <c r="M266" s="46" t="s">
        <v>2002</v>
      </c>
    </row>
    <row r="267">
      <c r="A267" s="70"/>
      <c r="C267" s="5" t="s">
        <v>2002</v>
      </c>
      <c r="D267" s="5"/>
      <c r="E267" s="5"/>
      <c r="F267" s="5"/>
      <c r="G267" s="5"/>
      <c r="H267" s="5"/>
      <c r="I267" s="5"/>
      <c r="J267" s="73"/>
      <c r="K267" s="75" t="str">
        <f>IFERROR(__xludf.DUMMYFUNCTION("""COMPUTED_VALUE"""),"")</f>
        <v/>
      </c>
      <c r="L267" s="75"/>
      <c r="M267" s="46" t="s">
        <v>2002</v>
      </c>
    </row>
    <row r="268">
      <c r="A268" s="70"/>
      <c r="C268" s="5" t="s">
        <v>2002</v>
      </c>
      <c r="D268" s="5"/>
      <c r="E268" s="5"/>
      <c r="F268" s="5"/>
      <c r="G268" s="5"/>
      <c r="H268" s="5"/>
      <c r="I268" s="5"/>
      <c r="J268" s="73"/>
      <c r="K268" s="75" t="str">
        <f>IFERROR(__xludf.DUMMYFUNCTION("""COMPUTED_VALUE"""),"")</f>
        <v/>
      </c>
      <c r="L268" s="75"/>
      <c r="M268" s="46" t="s">
        <v>2002</v>
      </c>
    </row>
    <row r="269">
      <c r="A269" s="70"/>
      <c r="C269" s="5" t="s">
        <v>2002</v>
      </c>
      <c r="D269" s="5"/>
      <c r="E269" s="5"/>
      <c r="F269" s="5"/>
      <c r="G269" s="5"/>
      <c r="H269" s="5"/>
      <c r="I269" s="5"/>
      <c r="J269" s="73"/>
      <c r="K269" s="75" t="str">
        <f>IFERROR(__xludf.DUMMYFUNCTION("""COMPUTED_VALUE"""),"")</f>
        <v/>
      </c>
      <c r="L269" s="75"/>
      <c r="M269" s="46" t="s">
        <v>2002</v>
      </c>
    </row>
    <row r="270">
      <c r="A270" s="70"/>
      <c r="C270" s="5" t="s">
        <v>2002</v>
      </c>
      <c r="D270" s="5"/>
      <c r="E270" s="5"/>
      <c r="F270" s="5"/>
      <c r="G270" s="5"/>
      <c r="H270" s="5"/>
      <c r="I270" s="5"/>
      <c r="J270" s="73"/>
      <c r="K270" s="75" t="str">
        <f>IFERROR(__xludf.DUMMYFUNCTION("""COMPUTED_VALUE"""),"")</f>
        <v/>
      </c>
      <c r="L270" s="75"/>
      <c r="M270" s="46" t="s">
        <v>2002</v>
      </c>
    </row>
    <row r="271">
      <c r="A271" s="70"/>
      <c r="C271" s="5" t="s">
        <v>2002</v>
      </c>
      <c r="D271" s="5"/>
      <c r="E271" s="5"/>
      <c r="F271" s="5"/>
      <c r="G271" s="5"/>
      <c r="H271" s="5"/>
      <c r="I271" s="5"/>
      <c r="J271" s="73"/>
      <c r="K271" s="75" t="str">
        <f>IFERROR(__xludf.DUMMYFUNCTION("""COMPUTED_VALUE"""),"")</f>
        <v/>
      </c>
      <c r="L271" s="75"/>
      <c r="M271" s="46" t="s">
        <v>2002</v>
      </c>
    </row>
    <row r="272">
      <c r="A272" s="70"/>
      <c r="C272" s="5" t="s">
        <v>2002</v>
      </c>
      <c r="D272" s="5"/>
      <c r="E272" s="5"/>
      <c r="F272" s="5"/>
      <c r="G272" s="5"/>
      <c r="H272" s="5"/>
      <c r="I272" s="5"/>
      <c r="J272" s="73"/>
      <c r="K272" s="75" t="str">
        <f>IFERROR(__xludf.DUMMYFUNCTION("""COMPUTED_VALUE"""),"")</f>
        <v/>
      </c>
      <c r="L272" s="75"/>
      <c r="M272" s="46" t="s">
        <v>2002</v>
      </c>
    </row>
    <row r="273">
      <c r="A273" s="70"/>
      <c r="C273" s="5" t="s">
        <v>2002</v>
      </c>
      <c r="D273" s="5"/>
      <c r="E273" s="5"/>
      <c r="F273" s="5"/>
      <c r="G273" s="5"/>
      <c r="H273" s="5"/>
      <c r="I273" s="5"/>
      <c r="J273" s="73"/>
      <c r="K273" s="75" t="str">
        <f>IFERROR(__xludf.DUMMYFUNCTION("""COMPUTED_VALUE"""),"")</f>
        <v/>
      </c>
      <c r="L273" s="75"/>
      <c r="M273" s="46" t="s">
        <v>2002</v>
      </c>
    </row>
    <row r="274">
      <c r="A274" s="70"/>
      <c r="C274" s="5" t="s">
        <v>2002</v>
      </c>
      <c r="D274" s="5"/>
      <c r="E274" s="5"/>
      <c r="F274" s="5"/>
      <c r="G274" s="5"/>
      <c r="H274" s="5"/>
      <c r="I274" s="5"/>
      <c r="J274" s="73"/>
      <c r="K274" s="75" t="str">
        <f>IFERROR(__xludf.DUMMYFUNCTION("""COMPUTED_VALUE"""),"")</f>
        <v/>
      </c>
      <c r="L274" s="75"/>
      <c r="M274" s="46" t="s">
        <v>2002</v>
      </c>
    </row>
    <row r="275">
      <c r="A275" s="70"/>
      <c r="C275" s="5" t="s">
        <v>2002</v>
      </c>
      <c r="D275" s="5"/>
      <c r="E275" s="5"/>
      <c r="F275" s="5"/>
      <c r="G275" s="5"/>
      <c r="H275" s="5"/>
      <c r="I275" s="5"/>
      <c r="J275" s="73"/>
      <c r="K275" s="75" t="str">
        <f>IFERROR(__xludf.DUMMYFUNCTION("""COMPUTED_VALUE"""),"")</f>
        <v/>
      </c>
      <c r="L275" s="75"/>
      <c r="M275" s="46" t="s">
        <v>2002</v>
      </c>
    </row>
    <row r="276">
      <c r="A276" s="70"/>
      <c r="C276" s="5" t="s">
        <v>2002</v>
      </c>
      <c r="D276" s="5"/>
      <c r="E276" s="5"/>
      <c r="F276" s="5"/>
      <c r="G276" s="5"/>
      <c r="H276" s="5"/>
      <c r="I276" s="5"/>
      <c r="J276" s="73"/>
      <c r="K276" s="75" t="str">
        <f>IFERROR(__xludf.DUMMYFUNCTION("""COMPUTED_VALUE"""),"")</f>
        <v/>
      </c>
      <c r="L276" s="75"/>
      <c r="M276" s="46" t="s">
        <v>2002</v>
      </c>
    </row>
    <row r="277">
      <c r="A277" s="70"/>
      <c r="C277" s="5" t="s">
        <v>2002</v>
      </c>
      <c r="D277" s="5"/>
      <c r="E277" s="5"/>
      <c r="F277" s="5"/>
      <c r="G277" s="5"/>
      <c r="H277" s="5"/>
      <c r="I277" s="5"/>
      <c r="J277" s="73"/>
      <c r="K277" s="75" t="str">
        <f>IFERROR(__xludf.DUMMYFUNCTION("""COMPUTED_VALUE"""),"")</f>
        <v/>
      </c>
      <c r="L277" s="75"/>
      <c r="M277" s="46" t="s">
        <v>2002</v>
      </c>
    </row>
    <row r="278">
      <c r="A278" s="70"/>
      <c r="C278" s="5" t="s">
        <v>2002</v>
      </c>
      <c r="D278" s="5"/>
      <c r="E278" s="5"/>
      <c r="F278" s="5"/>
      <c r="G278" s="5"/>
      <c r="H278" s="5"/>
      <c r="I278" s="5"/>
      <c r="J278" s="73"/>
      <c r="K278" s="75" t="str">
        <f>IFERROR(__xludf.DUMMYFUNCTION("""COMPUTED_VALUE"""),"")</f>
        <v/>
      </c>
      <c r="L278" s="75"/>
      <c r="M278" s="46" t="s">
        <v>2002</v>
      </c>
    </row>
    <row r="279">
      <c r="A279" s="70"/>
      <c r="C279" s="5" t="s">
        <v>2002</v>
      </c>
      <c r="D279" s="5"/>
      <c r="E279" s="5"/>
      <c r="F279" s="5"/>
      <c r="G279" s="5"/>
      <c r="H279" s="5"/>
      <c r="I279" s="5"/>
      <c r="J279" s="73"/>
      <c r="K279" s="75" t="str">
        <f>IFERROR(__xludf.DUMMYFUNCTION("""COMPUTED_VALUE"""),"")</f>
        <v/>
      </c>
      <c r="L279" s="75"/>
      <c r="M279" s="46" t="s">
        <v>2002</v>
      </c>
    </row>
    <row r="280">
      <c r="A280" s="70"/>
      <c r="C280" s="5" t="s">
        <v>2002</v>
      </c>
      <c r="D280" s="5"/>
      <c r="E280" s="5"/>
      <c r="F280" s="5"/>
      <c r="G280" s="5"/>
      <c r="H280" s="5"/>
      <c r="I280" s="5"/>
      <c r="J280" s="73"/>
      <c r="K280" s="75" t="str">
        <f>IFERROR(__xludf.DUMMYFUNCTION("""COMPUTED_VALUE"""),"")</f>
        <v/>
      </c>
      <c r="L280" s="75"/>
      <c r="M280" s="46" t="s">
        <v>2002</v>
      </c>
    </row>
    <row r="281">
      <c r="A281" s="70"/>
      <c r="C281" s="5" t="s">
        <v>2002</v>
      </c>
      <c r="D281" s="5"/>
      <c r="E281" s="5"/>
      <c r="F281" s="5"/>
      <c r="G281" s="5"/>
      <c r="H281" s="5"/>
      <c r="I281" s="5"/>
      <c r="J281" s="73"/>
      <c r="K281" s="75" t="str">
        <f>IFERROR(__xludf.DUMMYFUNCTION("""COMPUTED_VALUE"""),"")</f>
        <v/>
      </c>
      <c r="L281" s="75"/>
      <c r="M281" s="46" t="s">
        <v>2002</v>
      </c>
    </row>
    <row r="282">
      <c r="A282" s="70"/>
      <c r="C282" s="5" t="s">
        <v>2002</v>
      </c>
      <c r="D282" s="5"/>
      <c r="E282" s="5"/>
      <c r="F282" s="5"/>
      <c r="G282" s="5"/>
      <c r="H282" s="5"/>
      <c r="I282" s="5"/>
      <c r="J282" s="73"/>
      <c r="K282" s="75" t="str">
        <f>IFERROR(__xludf.DUMMYFUNCTION("""COMPUTED_VALUE"""),"")</f>
        <v/>
      </c>
      <c r="L282" s="75"/>
      <c r="M282" s="46" t="s">
        <v>2002</v>
      </c>
    </row>
    <row r="283">
      <c r="A283" s="70"/>
      <c r="C283" s="5" t="s">
        <v>2002</v>
      </c>
      <c r="D283" s="5"/>
      <c r="E283" s="5"/>
      <c r="F283" s="5"/>
      <c r="G283" s="5"/>
      <c r="H283" s="5"/>
      <c r="I283" s="5"/>
      <c r="J283" s="73"/>
      <c r="K283" s="75" t="str">
        <f>IFERROR(__xludf.DUMMYFUNCTION("""COMPUTED_VALUE"""),"")</f>
        <v/>
      </c>
      <c r="L283" s="75"/>
      <c r="M283" s="46" t="s">
        <v>2002</v>
      </c>
    </row>
    <row r="284">
      <c r="A284" s="70"/>
      <c r="C284" s="5" t="s">
        <v>2002</v>
      </c>
      <c r="D284" s="5"/>
      <c r="E284" s="5"/>
      <c r="F284" s="5"/>
      <c r="G284" s="5"/>
      <c r="H284" s="5"/>
      <c r="I284" s="5"/>
      <c r="J284" s="73"/>
      <c r="K284" s="75" t="str">
        <f>IFERROR(__xludf.DUMMYFUNCTION("""COMPUTED_VALUE"""),"")</f>
        <v/>
      </c>
      <c r="L284" s="75"/>
      <c r="M284" s="46" t="s">
        <v>2002</v>
      </c>
    </row>
    <row r="285">
      <c r="A285" s="70"/>
      <c r="C285" s="5" t="s">
        <v>2002</v>
      </c>
      <c r="D285" s="5"/>
      <c r="E285" s="5"/>
      <c r="F285" s="5"/>
      <c r="G285" s="5"/>
      <c r="H285" s="5"/>
      <c r="I285" s="5"/>
      <c r="J285" s="73"/>
      <c r="K285" s="75" t="str">
        <f>IFERROR(__xludf.DUMMYFUNCTION("""COMPUTED_VALUE"""),"")</f>
        <v/>
      </c>
      <c r="L285" s="75"/>
      <c r="M285" s="46" t="s">
        <v>2002</v>
      </c>
    </row>
    <row r="286">
      <c r="A286" s="70"/>
      <c r="C286" s="5" t="s">
        <v>2002</v>
      </c>
      <c r="D286" s="5"/>
      <c r="E286" s="5"/>
      <c r="F286" s="5"/>
      <c r="G286" s="5"/>
      <c r="H286" s="5"/>
      <c r="I286" s="5"/>
      <c r="J286" s="73"/>
      <c r="K286" s="75" t="str">
        <f>IFERROR(__xludf.DUMMYFUNCTION("""COMPUTED_VALUE"""),"")</f>
        <v/>
      </c>
      <c r="L286" s="75"/>
      <c r="M286" s="46" t="s">
        <v>2002</v>
      </c>
    </row>
    <row r="287">
      <c r="A287" s="70"/>
      <c r="C287" s="5" t="s">
        <v>2002</v>
      </c>
      <c r="D287" s="5"/>
      <c r="E287" s="5"/>
      <c r="F287" s="5"/>
      <c r="G287" s="5"/>
      <c r="H287" s="5"/>
      <c r="I287" s="5"/>
      <c r="J287" s="73"/>
      <c r="K287" s="75" t="str">
        <f>IFERROR(__xludf.DUMMYFUNCTION("""COMPUTED_VALUE"""),"")</f>
        <v/>
      </c>
      <c r="L287" s="75"/>
      <c r="M287" s="46" t="s">
        <v>2002</v>
      </c>
    </row>
    <row r="288">
      <c r="A288" s="70"/>
      <c r="C288" s="5" t="s">
        <v>2002</v>
      </c>
      <c r="D288" s="5"/>
      <c r="E288" s="5"/>
      <c r="F288" s="5"/>
      <c r="G288" s="5"/>
      <c r="H288" s="5"/>
      <c r="I288" s="5"/>
      <c r="J288" s="73"/>
      <c r="K288" s="75" t="str">
        <f>IFERROR(__xludf.DUMMYFUNCTION("""COMPUTED_VALUE"""),"")</f>
        <v/>
      </c>
      <c r="L288" s="75"/>
      <c r="M288" s="46" t="s">
        <v>2002</v>
      </c>
    </row>
    <row r="289">
      <c r="A289" s="70"/>
      <c r="C289" s="5" t="s">
        <v>2002</v>
      </c>
      <c r="D289" s="5"/>
      <c r="E289" s="5"/>
      <c r="F289" s="5"/>
      <c r="G289" s="5"/>
      <c r="H289" s="5"/>
      <c r="I289" s="5"/>
      <c r="J289" s="73"/>
      <c r="K289" s="75" t="str">
        <f>IFERROR(__xludf.DUMMYFUNCTION("""COMPUTED_VALUE"""),"")</f>
        <v/>
      </c>
      <c r="L289" s="75"/>
      <c r="M289" s="46" t="s">
        <v>2002</v>
      </c>
    </row>
    <row r="290">
      <c r="A290" s="70"/>
      <c r="C290" s="5" t="s">
        <v>2002</v>
      </c>
      <c r="D290" s="5"/>
      <c r="E290" s="5"/>
      <c r="F290" s="5"/>
      <c r="G290" s="5"/>
      <c r="H290" s="5"/>
      <c r="I290" s="5"/>
      <c r="J290" s="73"/>
      <c r="K290" s="75" t="str">
        <f>IFERROR(__xludf.DUMMYFUNCTION("""COMPUTED_VALUE"""),"")</f>
        <v/>
      </c>
      <c r="L290" s="75"/>
      <c r="M290" s="46" t="s">
        <v>2002</v>
      </c>
    </row>
    <row r="291">
      <c r="A291" s="70"/>
      <c r="C291" s="5" t="s">
        <v>2002</v>
      </c>
      <c r="D291" s="5"/>
      <c r="E291" s="5"/>
      <c r="F291" s="5"/>
      <c r="G291" s="5"/>
      <c r="H291" s="5"/>
      <c r="I291" s="5"/>
      <c r="J291" s="73"/>
      <c r="K291" s="75" t="str">
        <f>IFERROR(__xludf.DUMMYFUNCTION("""COMPUTED_VALUE"""),"")</f>
        <v/>
      </c>
      <c r="L291" s="75"/>
      <c r="M291" s="46" t="s">
        <v>2002</v>
      </c>
    </row>
    <row r="292">
      <c r="A292" s="70"/>
      <c r="C292" s="5" t="s">
        <v>2002</v>
      </c>
      <c r="D292" s="5"/>
      <c r="E292" s="5"/>
      <c r="F292" s="5"/>
      <c r="G292" s="5"/>
      <c r="H292" s="5"/>
      <c r="I292" s="5"/>
      <c r="J292" s="73"/>
      <c r="K292" s="75" t="str">
        <f>IFERROR(__xludf.DUMMYFUNCTION("""COMPUTED_VALUE"""),"")</f>
        <v/>
      </c>
      <c r="L292" s="75"/>
      <c r="M292" s="46" t="s">
        <v>2002</v>
      </c>
    </row>
    <row r="293">
      <c r="A293" s="70"/>
      <c r="C293" s="5" t="s">
        <v>2002</v>
      </c>
      <c r="D293" s="5"/>
      <c r="E293" s="5"/>
      <c r="F293" s="5"/>
      <c r="G293" s="5"/>
      <c r="H293" s="5"/>
      <c r="I293" s="5"/>
      <c r="J293" s="73"/>
      <c r="K293" s="75" t="str">
        <f>IFERROR(__xludf.DUMMYFUNCTION("""COMPUTED_VALUE"""),"")</f>
        <v/>
      </c>
      <c r="L293" s="75"/>
      <c r="M293" s="46" t="s">
        <v>2002</v>
      </c>
    </row>
    <row r="294">
      <c r="A294" s="70"/>
      <c r="C294" s="5" t="s">
        <v>2002</v>
      </c>
      <c r="D294" s="5"/>
      <c r="E294" s="5"/>
      <c r="F294" s="5"/>
      <c r="G294" s="5"/>
      <c r="H294" s="5"/>
      <c r="I294" s="5"/>
      <c r="J294" s="73"/>
      <c r="K294" s="75" t="str">
        <f>IFERROR(__xludf.DUMMYFUNCTION("""COMPUTED_VALUE"""),"")</f>
        <v/>
      </c>
      <c r="L294" s="75"/>
      <c r="M294" s="46" t="s">
        <v>2002</v>
      </c>
    </row>
    <row r="295">
      <c r="A295" s="70"/>
      <c r="C295" s="5" t="s">
        <v>2002</v>
      </c>
      <c r="D295" s="5"/>
      <c r="E295" s="5"/>
      <c r="F295" s="5"/>
      <c r="G295" s="5"/>
      <c r="H295" s="5"/>
      <c r="I295" s="5"/>
      <c r="J295" s="73"/>
      <c r="K295" s="75" t="str">
        <f>IFERROR(__xludf.DUMMYFUNCTION("""COMPUTED_VALUE"""),"")</f>
        <v/>
      </c>
      <c r="L295" s="75"/>
      <c r="M295" s="46" t="s">
        <v>2002</v>
      </c>
    </row>
    <row r="296">
      <c r="A296" s="70"/>
      <c r="C296" s="5" t="s">
        <v>2002</v>
      </c>
      <c r="D296" s="5"/>
      <c r="E296" s="5"/>
      <c r="F296" s="5"/>
      <c r="G296" s="5"/>
      <c r="H296" s="5"/>
      <c r="I296" s="5"/>
      <c r="J296" s="73"/>
      <c r="K296" s="75" t="str">
        <f>IFERROR(__xludf.DUMMYFUNCTION("""COMPUTED_VALUE"""),"")</f>
        <v/>
      </c>
      <c r="L296" s="75"/>
      <c r="M296" s="46" t="s">
        <v>2002</v>
      </c>
    </row>
    <row r="297">
      <c r="A297" s="70"/>
      <c r="C297" s="5" t="s">
        <v>2002</v>
      </c>
      <c r="D297" s="5"/>
      <c r="E297" s="5"/>
      <c r="F297" s="5"/>
      <c r="G297" s="5"/>
      <c r="H297" s="5"/>
      <c r="I297" s="5"/>
      <c r="J297" s="73"/>
      <c r="K297" s="75" t="str">
        <f>IFERROR(__xludf.DUMMYFUNCTION("""COMPUTED_VALUE"""),"")</f>
        <v/>
      </c>
      <c r="L297" s="75"/>
      <c r="M297" s="46" t="s">
        <v>2002</v>
      </c>
    </row>
    <row r="298">
      <c r="A298" s="70"/>
      <c r="C298" s="5" t="s">
        <v>2002</v>
      </c>
      <c r="D298" s="5"/>
      <c r="E298" s="5"/>
      <c r="F298" s="5"/>
      <c r="G298" s="5"/>
      <c r="H298" s="5"/>
      <c r="I298" s="5"/>
      <c r="J298" s="73"/>
      <c r="K298" s="75" t="str">
        <f>IFERROR(__xludf.DUMMYFUNCTION("""COMPUTED_VALUE"""),"")</f>
        <v/>
      </c>
      <c r="L298" s="75"/>
      <c r="M298" s="46" t="s">
        <v>2002</v>
      </c>
    </row>
    <row r="299">
      <c r="A299" s="70"/>
      <c r="C299" s="5" t="s">
        <v>2002</v>
      </c>
      <c r="D299" s="5"/>
      <c r="E299" s="5"/>
      <c r="F299" s="5"/>
      <c r="G299" s="5"/>
      <c r="H299" s="5"/>
      <c r="I299" s="5"/>
      <c r="J299" s="73"/>
      <c r="K299" s="75" t="str">
        <f>IFERROR(__xludf.DUMMYFUNCTION("""COMPUTED_VALUE"""),"")</f>
        <v/>
      </c>
      <c r="L299" s="75"/>
      <c r="M299" s="46" t="s">
        <v>2002</v>
      </c>
    </row>
    <row r="300">
      <c r="A300" s="70"/>
      <c r="C300" s="5" t="s">
        <v>2002</v>
      </c>
      <c r="D300" s="5"/>
      <c r="E300" s="5"/>
      <c r="F300" s="5"/>
      <c r="G300" s="5"/>
      <c r="H300" s="5"/>
      <c r="I300" s="5"/>
      <c r="J300" s="73"/>
      <c r="K300" s="75" t="str">
        <f>IFERROR(__xludf.DUMMYFUNCTION("""COMPUTED_VALUE"""),"")</f>
        <v/>
      </c>
      <c r="L300" s="75"/>
      <c r="M300" s="46" t="s">
        <v>2002</v>
      </c>
    </row>
    <row r="301">
      <c r="A301" s="70"/>
      <c r="C301" s="5" t="s">
        <v>2002</v>
      </c>
      <c r="D301" s="5"/>
      <c r="E301" s="5"/>
      <c r="F301" s="5"/>
      <c r="G301" s="5"/>
      <c r="H301" s="5"/>
      <c r="I301" s="5"/>
      <c r="J301" s="73"/>
      <c r="K301" s="75" t="str">
        <f>IFERROR(__xludf.DUMMYFUNCTION("""COMPUTED_VALUE"""),"")</f>
        <v/>
      </c>
      <c r="L301" s="75"/>
      <c r="M301" s="46" t="s">
        <v>2002</v>
      </c>
    </row>
    <row r="302">
      <c r="A302" s="70"/>
      <c r="C302" s="5" t="s">
        <v>2002</v>
      </c>
      <c r="D302" s="5"/>
      <c r="E302" s="5"/>
      <c r="F302" s="5"/>
      <c r="G302" s="5"/>
      <c r="H302" s="5"/>
      <c r="I302" s="5"/>
      <c r="J302" s="73"/>
      <c r="K302" s="75" t="str">
        <f>IFERROR(__xludf.DUMMYFUNCTION("""COMPUTED_VALUE"""),"")</f>
        <v/>
      </c>
      <c r="L302" s="75"/>
      <c r="M302" s="46" t="s">
        <v>2002</v>
      </c>
    </row>
    <row r="303">
      <c r="A303" s="70"/>
      <c r="C303" s="5" t="s">
        <v>2002</v>
      </c>
      <c r="D303" s="5"/>
      <c r="E303" s="5"/>
      <c r="F303" s="5"/>
      <c r="G303" s="5"/>
      <c r="H303" s="5"/>
      <c r="I303" s="5"/>
      <c r="J303" s="73"/>
      <c r="K303" s="75" t="str">
        <f>IFERROR(__xludf.DUMMYFUNCTION("""COMPUTED_VALUE"""),"")</f>
        <v/>
      </c>
      <c r="L303" s="75"/>
      <c r="M303" s="46" t="s">
        <v>2002</v>
      </c>
    </row>
    <row r="304">
      <c r="A304" s="70"/>
      <c r="C304" s="5" t="s">
        <v>2002</v>
      </c>
      <c r="D304" s="5"/>
      <c r="E304" s="5"/>
      <c r="F304" s="5"/>
      <c r="G304" s="5"/>
      <c r="H304" s="5"/>
      <c r="I304" s="5"/>
      <c r="J304" s="73"/>
      <c r="K304" s="75" t="str">
        <f>IFERROR(__xludf.DUMMYFUNCTION("""COMPUTED_VALUE"""),"")</f>
        <v/>
      </c>
      <c r="L304" s="75"/>
      <c r="M304" s="46" t="s">
        <v>2002</v>
      </c>
    </row>
    <row r="305">
      <c r="A305" s="70"/>
      <c r="C305" s="5" t="s">
        <v>2002</v>
      </c>
      <c r="D305" s="5"/>
      <c r="E305" s="5"/>
      <c r="F305" s="5"/>
      <c r="G305" s="5"/>
      <c r="H305" s="5"/>
      <c r="I305" s="5"/>
      <c r="J305" s="73"/>
      <c r="K305" s="75" t="str">
        <f>IFERROR(__xludf.DUMMYFUNCTION("""COMPUTED_VALUE"""),"")</f>
        <v/>
      </c>
      <c r="L305" s="75"/>
      <c r="M305" s="46" t="s">
        <v>2002</v>
      </c>
    </row>
    <row r="306">
      <c r="A306" s="70"/>
      <c r="C306" s="5" t="s">
        <v>2002</v>
      </c>
      <c r="D306" s="5"/>
      <c r="E306" s="5"/>
      <c r="F306" s="5"/>
      <c r="G306" s="5"/>
      <c r="H306" s="5"/>
      <c r="I306" s="5"/>
      <c r="J306" s="73"/>
      <c r="K306" s="75" t="str">
        <f>IFERROR(__xludf.DUMMYFUNCTION("""COMPUTED_VALUE"""),"")</f>
        <v/>
      </c>
      <c r="L306" s="75"/>
      <c r="M306" s="46" t="s">
        <v>2002</v>
      </c>
    </row>
    <row r="307">
      <c r="A307" s="70"/>
      <c r="C307" s="5" t="s">
        <v>2002</v>
      </c>
      <c r="D307" s="5"/>
      <c r="E307" s="5"/>
      <c r="F307" s="5"/>
      <c r="G307" s="5"/>
      <c r="H307" s="5"/>
      <c r="I307" s="5"/>
      <c r="J307" s="73"/>
      <c r="K307" s="75" t="str">
        <f>IFERROR(__xludf.DUMMYFUNCTION("""COMPUTED_VALUE"""),"")</f>
        <v/>
      </c>
      <c r="L307" s="75"/>
      <c r="M307" s="46" t="s">
        <v>2002</v>
      </c>
    </row>
    <row r="308">
      <c r="A308" s="70"/>
      <c r="C308" s="5" t="s">
        <v>2002</v>
      </c>
      <c r="D308" s="5"/>
      <c r="E308" s="5"/>
      <c r="F308" s="5"/>
      <c r="G308" s="5"/>
      <c r="H308" s="5"/>
      <c r="I308" s="5"/>
      <c r="J308" s="73"/>
      <c r="K308" s="75" t="str">
        <f>IFERROR(__xludf.DUMMYFUNCTION("""COMPUTED_VALUE"""),"")</f>
        <v/>
      </c>
      <c r="L308" s="75"/>
      <c r="M308" s="46" t="s">
        <v>2002</v>
      </c>
    </row>
    <row r="309">
      <c r="A309" s="70"/>
      <c r="C309" s="5" t="s">
        <v>2002</v>
      </c>
      <c r="D309" s="5"/>
      <c r="E309" s="5"/>
      <c r="F309" s="5"/>
      <c r="G309" s="5"/>
      <c r="H309" s="5"/>
      <c r="I309" s="5"/>
      <c r="J309" s="73"/>
      <c r="K309" s="75" t="str">
        <f>IFERROR(__xludf.DUMMYFUNCTION("""COMPUTED_VALUE"""),"")</f>
        <v/>
      </c>
      <c r="L309" s="75"/>
      <c r="M309" s="46" t="s">
        <v>2002</v>
      </c>
    </row>
    <row r="310">
      <c r="A310" s="70"/>
      <c r="C310" s="5" t="s">
        <v>2002</v>
      </c>
      <c r="D310" s="5"/>
      <c r="E310" s="5"/>
      <c r="F310" s="5"/>
      <c r="G310" s="5"/>
      <c r="H310" s="5"/>
      <c r="I310" s="5"/>
      <c r="J310" s="73"/>
      <c r="K310" s="75" t="str">
        <f>IFERROR(__xludf.DUMMYFUNCTION("""COMPUTED_VALUE"""),"")</f>
        <v/>
      </c>
      <c r="L310" s="75"/>
      <c r="M310" s="46" t="s">
        <v>2002</v>
      </c>
    </row>
    <row r="311">
      <c r="A311" s="70"/>
      <c r="C311" s="5" t="s">
        <v>2002</v>
      </c>
      <c r="D311" s="5"/>
      <c r="E311" s="5"/>
      <c r="F311" s="5"/>
      <c r="G311" s="5"/>
      <c r="H311" s="5"/>
      <c r="I311" s="5"/>
      <c r="J311" s="73"/>
      <c r="K311" s="75" t="str">
        <f>IFERROR(__xludf.DUMMYFUNCTION("""COMPUTED_VALUE"""),"")</f>
        <v/>
      </c>
      <c r="L311" s="75"/>
      <c r="M311" s="46" t="s">
        <v>2002</v>
      </c>
    </row>
    <row r="312">
      <c r="A312" s="70"/>
      <c r="C312" s="5" t="s">
        <v>2002</v>
      </c>
      <c r="D312" s="5"/>
      <c r="E312" s="5"/>
      <c r="F312" s="5"/>
      <c r="G312" s="5"/>
      <c r="H312" s="5"/>
      <c r="I312" s="5"/>
      <c r="J312" s="73"/>
      <c r="K312" s="75" t="str">
        <f>IFERROR(__xludf.DUMMYFUNCTION("""COMPUTED_VALUE"""),"")</f>
        <v/>
      </c>
      <c r="L312" s="75"/>
      <c r="M312" s="46" t="s">
        <v>2002</v>
      </c>
    </row>
    <row r="313">
      <c r="A313" s="70"/>
      <c r="C313" s="5" t="s">
        <v>2002</v>
      </c>
      <c r="D313" s="5"/>
      <c r="E313" s="5"/>
      <c r="F313" s="5"/>
      <c r="G313" s="5"/>
      <c r="H313" s="5"/>
      <c r="I313" s="5"/>
      <c r="J313" s="73"/>
      <c r="K313" s="75" t="str">
        <f>IFERROR(__xludf.DUMMYFUNCTION("""COMPUTED_VALUE"""),"")</f>
        <v/>
      </c>
      <c r="L313" s="75"/>
      <c r="M313" s="46" t="s">
        <v>2002</v>
      </c>
    </row>
    <row r="314">
      <c r="A314" s="70"/>
      <c r="C314" s="5" t="s">
        <v>2002</v>
      </c>
      <c r="D314" s="5"/>
      <c r="E314" s="5"/>
      <c r="F314" s="5"/>
      <c r="G314" s="5"/>
      <c r="H314" s="5"/>
      <c r="I314" s="5"/>
      <c r="J314" s="73"/>
      <c r="K314" s="75" t="str">
        <f>IFERROR(__xludf.DUMMYFUNCTION("""COMPUTED_VALUE"""),"")</f>
        <v/>
      </c>
      <c r="L314" s="75"/>
      <c r="M314" s="46" t="s">
        <v>2002</v>
      </c>
    </row>
    <row r="315">
      <c r="A315" s="70"/>
      <c r="C315" s="5" t="s">
        <v>2002</v>
      </c>
      <c r="D315" s="5"/>
      <c r="E315" s="5"/>
      <c r="F315" s="5"/>
      <c r="G315" s="5"/>
      <c r="H315" s="5"/>
      <c r="I315" s="5"/>
      <c r="J315" s="73"/>
      <c r="K315" s="75" t="str">
        <f>IFERROR(__xludf.DUMMYFUNCTION("""COMPUTED_VALUE"""),"")</f>
        <v/>
      </c>
      <c r="L315" s="75"/>
      <c r="M315" s="46" t="s">
        <v>2002</v>
      </c>
    </row>
    <row r="316">
      <c r="A316" s="70"/>
      <c r="C316" s="5" t="s">
        <v>2002</v>
      </c>
      <c r="D316" s="5"/>
      <c r="E316" s="5"/>
      <c r="F316" s="5"/>
      <c r="G316" s="5"/>
      <c r="H316" s="5"/>
      <c r="I316" s="5"/>
      <c r="J316" s="73"/>
      <c r="K316" s="75" t="str">
        <f>IFERROR(__xludf.DUMMYFUNCTION("""COMPUTED_VALUE"""),"")</f>
        <v/>
      </c>
      <c r="L316" s="75"/>
      <c r="M316" s="46" t="s">
        <v>2002</v>
      </c>
    </row>
    <row r="317">
      <c r="A317" s="70"/>
      <c r="C317" s="5" t="s">
        <v>2002</v>
      </c>
      <c r="D317" s="5"/>
      <c r="E317" s="5"/>
      <c r="F317" s="5"/>
      <c r="G317" s="5"/>
      <c r="H317" s="5"/>
      <c r="I317" s="5"/>
      <c r="J317" s="73"/>
      <c r="K317" s="75" t="str">
        <f>IFERROR(__xludf.DUMMYFUNCTION("""COMPUTED_VALUE"""),"")</f>
        <v/>
      </c>
      <c r="L317" s="75"/>
      <c r="M317" s="46" t="s">
        <v>2002</v>
      </c>
    </row>
    <row r="318">
      <c r="A318" s="70"/>
      <c r="C318" s="5" t="s">
        <v>2002</v>
      </c>
      <c r="D318" s="5"/>
      <c r="E318" s="5"/>
      <c r="F318" s="5"/>
      <c r="G318" s="5"/>
      <c r="H318" s="5"/>
      <c r="I318" s="5"/>
      <c r="J318" s="73"/>
      <c r="K318" s="75" t="str">
        <f>IFERROR(__xludf.DUMMYFUNCTION("""COMPUTED_VALUE"""),"")</f>
        <v/>
      </c>
      <c r="L318" s="75"/>
      <c r="M318" s="46" t="s">
        <v>2002</v>
      </c>
    </row>
    <row r="319">
      <c r="A319" s="70"/>
      <c r="C319" s="5" t="s">
        <v>2002</v>
      </c>
      <c r="D319" s="5"/>
      <c r="E319" s="5"/>
      <c r="F319" s="5"/>
      <c r="G319" s="5"/>
      <c r="H319" s="5"/>
      <c r="I319" s="5"/>
      <c r="J319" s="73"/>
      <c r="K319" s="75" t="str">
        <f>IFERROR(__xludf.DUMMYFUNCTION("""COMPUTED_VALUE"""),"")</f>
        <v/>
      </c>
      <c r="L319" s="75"/>
      <c r="M319" s="46" t="s">
        <v>2002</v>
      </c>
    </row>
    <row r="320">
      <c r="A320" s="70"/>
      <c r="C320" s="5" t="s">
        <v>2002</v>
      </c>
      <c r="D320" s="5"/>
      <c r="E320" s="5"/>
      <c r="F320" s="5"/>
      <c r="G320" s="5"/>
      <c r="H320" s="5"/>
      <c r="I320" s="5"/>
      <c r="J320" s="73"/>
      <c r="K320" s="75" t="str">
        <f>IFERROR(__xludf.DUMMYFUNCTION("""COMPUTED_VALUE"""),"")</f>
        <v/>
      </c>
      <c r="L320" s="75"/>
      <c r="M320" s="46" t="s">
        <v>2002</v>
      </c>
    </row>
    <row r="321">
      <c r="A321" s="70"/>
      <c r="C321" s="5" t="s">
        <v>2002</v>
      </c>
      <c r="D321" s="5"/>
      <c r="E321" s="5"/>
      <c r="F321" s="5"/>
      <c r="G321" s="5"/>
      <c r="H321" s="5"/>
      <c r="I321" s="5"/>
      <c r="J321" s="73"/>
      <c r="K321" s="75" t="str">
        <f>IFERROR(__xludf.DUMMYFUNCTION("""COMPUTED_VALUE"""),"")</f>
        <v/>
      </c>
      <c r="L321" s="75"/>
      <c r="M321" s="46" t="s">
        <v>2002</v>
      </c>
    </row>
    <row r="322">
      <c r="A322" s="70"/>
      <c r="C322" s="5" t="s">
        <v>2002</v>
      </c>
      <c r="D322" s="5"/>
      <c r="E322" s="5"/>
      <c r="F322" s="5"/>
      <c r="G322" s="5"/>
      <c r="H322" s="5"/>
      <c r="I322" s="5"/>
      <c r="J322" s="73"/>
      <c r="K322" s="75" t="str">
        <f>IFERROR(__xludf.DUMMYFUNCTION("""COMPUTED_VALUE"""),"")</f>
        <v/>
      </c>
      <c r="L322" s="75"/>
      <c r="M322" s="46" t="s">
        <v>2002</v>
      </c>
    </row>
    <row r="323">
      <c r="A323" s="70"/>
      <c r="C323" s="5" t="s">
        <v>2002</v>
      </c>
      <c r="D323" s="5"/>
      <c r="E323" s="5"/>
      <c r="F323" s="5"/>
      <c r="G323" s="5"/>
      <c r="H323" s="5"/>
      <c r="I323" s="5"/>
      <c r="J323" s="73"/>
      <c r="K323" s="75" t="str">
        <f>IFERROR(__xludf.DUMMYFUNCTION("""COMPUTED_VALUE"""),"")</f>
        <v/>
      </c>
      <c r="L323" s="75"/>
      <c r="M323" s="46" t="s">
        <v>2002</v>
      </c>
    </row>
    <row r="324">
      <c r="A324" s="70"/>
      <c r="C324" s="5" t="s">
        <v>2002</v>
      </c>
      <c r="D324" s="5"/>
      <c r="E324" s="5"/>
      <c r="F324" s="5"/>
      <c r="G324" s="5"/>
      <c r="H324" s="5"/>
      <c r="I324" s="5"/>
      <c r="J324" s="73"/>
      <c r="K324" s="75" t="str">
        <f>IFERROR(__xludf.DUMMYFUNCTION("""COMPUTED_VALUE"""),"")</f>
        <v/>
      </c>
      <c r="L324" s="75"/>
      <c r="M324" s="46" t="s">
        <v>2002</v>
      </c>
    </row>
    <row r="325">
      <c r="A325" s="70"/>
      <c r="C325" s="5" t="s">
        <v>2002</v>
      </c>
      <c r="D325" s="5"/>
      <c r="E325" s="5"/>
      <c r="F325" s="5"/>
      <c r="G325" s="5"/>
      <c r="H325" s="5"/>
      <c r="I325" s="5"/>
      <c r="J325" s="73"/>
      <c r="K325" s="75" t="str">
        <f>IFERROR(__xludf.DUMMYFUNCTION("""COMPUTED_VALUE"""),"")</f>
        <v/>
      </c>
      <c r="L325" s="75"/>
      <c r="M325" s="46" t="s">
        <v>2002</v>
      </c>
    </row>
    <row r="326">
      <c r="A326" s="70"/>
      <c r="C326" s="5" t="s">
        <v>2002</v>
      </c>
      <c r="D326" s="5"/>
      <c r="E326" s="5"/>
      <c r="F326" s="5"/>
      <c r="G326" s="5"/>
      <c r="H326" s="5"/>
      <c r="I326" s="5"/>
      <c r="J326" s="73"/>
      <c r="K326" s="75" t="str">
        <f>IFERROR(__xludf.DUMMYFUNCTION("""COMPUTED_VALUE"""),"")</f>
        <v/>
      </c>
      <c r="L326" s="75"/>
      <c r="M326" s="46" t="s">
        <v>2002</v>
      </c>
    </row>
    <row r="327">
      <c r="A327" s="70"/>
      <c r="C327" s="5" t="s">
        <v>2002</v>
      </c>
      <c r="D327" s="5"/>
      <c r="E327" s="5"/>
      <c r="F327" s="5"/>
      <c r="G327" s="5"/>
      <c r="H327" s="5"/>
      <c r="I327" s="5"/>
      <c r="J327" s="73"/>
      <c r="K327" s="75" t="str">
        <f>IFERROR(__xludf.DUMMYFUNCTION("""COMPUTED_VALUE"""),"")</f>
        <v/>
      </c>
      <c r="L327" s="75"/>
      <c r="M327" s="46" t="s">
        <v>2002</v>
      </c>
    </row>
    <row r="328">
      <c r="A328" s="70"/>
      <c r="C328" s="5" t="s">
        <v>2002</v>
      </c>
      <c r="D328" s="5"/>
      <c r="E328" s="5"/>
      <c r="F328" s="5"/>
      <c r="G328" s="5"/>
      <c r="H328" s="5"/>
      <c r="I328" s="5"/>
      <c r="J328" s="73"/>
      <c r="K328" s="75" t="str">
        <f>IFERROR(__xludf.DUMMYFUNCTION("""COMPUTED_VALUE"""),"")</f>
        <v/>
      </c>
      <c r="L328" s="75"/>
      <c r="M328" s="46" t="s">
        <v>2002</v>
      </c>
    </row>
    <row r="329">
      <c r="A329" s="70"/>
      <c r="C329" s="5" t="s">
        <v>2002</v>
      </c>
      <c r="D329" s="5"/>
      <c r="E329" s="5"/>
      <c r="F329" s="5"/>
      <c r="G329" s="5"/>
      <c r="H329" s="5"/>
      <c r="I329" s="5"/>
      <c r="J329" s="73"/>
      <c r="K329" s="75" t="str">
        <f>IFERROR(__xludf.DUMMYFUNCTION("""COMPUTED_VALUE"""),"")</f>
        <v/>
      </c>
      <c r="L329" s="75"/>
      <c r="M329" s="46" t="s">
        <v>2002</v>
      </c>
    </row>
    <row r="330">
      <c r="A330" s="70"/>
      <c r="C330" s="5" t="s">
        <v>2002</v>
      </c>
      <c r="D330" s="5"/>
      <c r="E330" s="5"/>
      <c r="F330" s="5"/>
      <c r="G330" s="5"/>
      <c r="H330" s="5"/>
      <c r="I330" s="5"/>
      <c r="J330" s="73"/>
      <c r="K330" s="75" t="str">
        <f>IFERROR(__xludf.DUMMYFUNCTION("""COMPUTED_VALUE"""),"")</f>
        <v/>
      </c>
      <c r="L330" s="75"/>
      <c r="M330" s="46" t="s">
        <v>2002</v>
      </c>
    </row>
    <row r="331">
      <c r="A331" s="70"/>
      <c r="C331" s="5" t="s">
        <v>2002</v>
      </c>
      <c r="D331" s="5"/>
      <c r="E331" s="5"/>
      <c r="F331" s="5"/>
      <c r="G331" s="5"/>
      <c r="H331" s="5"/>
      <c r="I331" s="5"/>
      <c r="J331" s="73"/>
      <c r="K331" s="75" t="str">
        <f>IFERROR(__xludf.DUMMYFUNCTION("""COMPUTED_VALUE"""),"")</f>
        <v/>
      </c>
      <c r="L331" s="75"/>
      <c r="M331" s="46" t="s">
        <v>2002</v>
      </c>
    </row>
    <row r="332">
      <c r="A332" s="70"/>
      <c r="C332" s="5" t="s">
        <v>2002</v>
      </c>
      <c r="D332" s="5"/>
      <c r="E332" s="5"/>
      <c r="F332" s="5"/>
      <c r="G332" s="5"/>
      <c r="H332" s="5"/>
      <c r="I332" s="5"/>
      <c r="J332" s="73"/>
      <c r="K332" s="75" t="str">
        <f>IFERROR(__xludf.DUMMYFUNCTION("""COMPUTED_VALUE"""),"")</f>
        <v/>
      </c>
      <c r="L332" s="75"/>
      <c r="M332" s="46" t="s">
        <v>2002</v>
      </c>
    </row>
    <row r="333">
      <c r="A333" s="70"/>
      <c r="C333" s="5" t="s">
        <v>2002</v>
      </c>
      <c r="D333" s="5"/>
      <c r="E333" s="5"/>
      <c r="F333" s="5"/>
      <c r="G333" s="5"/>
      <c r="H333" s="5"/>
      <c r="I333" s="5"/>
      <c r="J333" s="73"/>
      <c r="K333" s="75" t="str">
        <f>IFERROR(__xludf.DUMMYFUNCTION("""COMPUTED_VALUE"""),"")</f>
        <v/>
      </c>
      <c r="L333" s="75"/>
      <c r="M333" s="46" t="s">
        <v>2002</v>
      </c>
    </row>
    <row r="334">
      <c r="A334" s="70"/>
      <c r="C334" s="5" t="s">
        <v>2002</v>
      </c>
      <c r="D334" s="5"/>
      <c r="E334" s="5"/>
      <c r="F334" s="5"/>
      <c r="G334" s="5"/>
      <c r="H334" s="5"/>
      <c r="I334" s="5"/>
      <c r="J334" s="73"/>
      <c r="K334" s="75" t="str">
        <f>IFERROR(__xludf.DUMMYFUNCTION("""COMPUTED_VALUE"""),"")</f>
        <v/>
      </c>
      <c r="L334" s="75"/>
      <c r="M334" s="46" t="s">
        <v>2002</v>
      </c>
    </row>
    <row r="335">
      <c r="A335" s="70"/>
      <c r="C335" s="5" t="s">
        <v>2002</v>
      </c>
      <c r="D335" s="5"/>
      <c r="E335" s="5"/>
      <c r="F335" s="5"/>
      <c r="G335" s="5"/>
      <c r="H335" s="5"/>
      <c r="I335" s="5"/>
      <c r="J335" s="73"/>
      <c r="K335" s="75" t="str">
        <f>IFERROR(__xludf.DUMMYFUNCTION("""COMPUTED_VALUE"""),"")</f>
        <v/>
      </c>
      <c r="L335" s="75"/>
      <c r="M335" s="46" t="s">
        <v>2002</v>
      </c>
    </row>
    <row r="336">
      <c r="A336" s="70"/>
      <c r="C336" s="5" t="s">
        <v>2002</v>
      </c>
      <c r="D336" s="5"/>
      <c r="E336" s="5"/>
      <c r="F336" s="5"/>
      <c r="G336" s="5"/>
      <c r="H336" s="5"/>
      <c r="I336" s="5"/>
      <c r="J336" s="73"/>
      <c r="K336" s="75" t="str">
        <f>IFERROR(__xludf.DUMMYFUNCTION("""COMPUTED_VALUE"""),"")</f>
        <v/>
      </c>
      <c r="L336" s="75"/>
      <c r="M336" s="46" t="s">
        <v>2002</v>
      </c>
    </row>
    <row r="337">
      <c r="A337" s="70"/>
      <c r="C337" s="5" t="s">
        <v>2002</v>
      </c>
      <c r="D337" s="5"/>
      <c r="E337" s="5"/>
      <c r="F337" s="5"/>
      <c r="G337" s="5"/>
      <c r="H337" s="5"/>
      <c r="I337" s="5"/>
      <c r="J337" s="73"/>
      <c r="K337" s="75" t="str">
        <f>IFERROR(__xludf.DUMMYFUNCTION("""COMPUTED_VALUE"""),"")</f>
        <v/>
      </c>
      <c r="L337" s="75"/>
      <c r="M337" s="46" t="s">
        <v>2002</v>
      </c>
    </row>
    <row r="338">
      <c r="A338" s="70"/>
      <c r="C338" s="5" t="s">
        <v>2002</v>
      </c>
      <c r="D338" s="5"/>
      <c r="E338" s="5"/>
      <c r="F338" s="5"/>
      <c r="G338" s="5"/>
      <c r="H338" s="5"/>
      <c r="I338" s="5"/>
      <c r="J338" s="73"/>
      <c r="K338" s="75" t="str">
        <f>IFERROR(__xludf.DUMMYFUNCTION("""COMPUTED_VALUE"""),"")</f>
        <v/>
      </c>
      <c r="L338" s="75"/>
      <c r="M338" s="46" t="s">
        <v>2002</v>
      </c>
    </row>
    <row r="339">
      <c r="A339" s="70"/>
      <c r="C339" s="5" t="s">
        <v>2002</v>
      </c>
      <c r="D339" s="5"/>
      <c r="E339" s="5"/>
      <c r="F339" s="5"/>
      <c r="G339" s="5"/>
      <c r="H339" s="5"/>
      <c r="I339" s="5"/>
      <c r="J339" s="73"/>
      <c r="K339" s="75" t="str">
        <f>IFERROR(__xludf.DUMMYFUNCTION("""COMPUTED_VALUE"""),"")</f>
        <v/>
      </c>
      <c r="L339" s="75"/>
      <c r="M339" s="46" t="s">
        <v>2002</v>
      </c>
    </row>
    <row r="340">
      <c r="A340" s="70"/>
      <c r="C340" s="5" t="s">
        <v>2002</v>
      </c>
      <c r="D340" s="5"/>
      <c r="E340" s="5"/>
      <c r="F340" s="5"/>
      <c r="G340" s="5"/>
      <c r="H340" s="5"/>
      <c r="I340" s="5"/>
      <c r="J340" s="73"/>
      <c r="K340" s="75" t="str">
        <f>IFERROR(__xludf.DUMMYFUNCTION("""COMPUTED_VALUE"""),"")</f>
        <v/>
      </c>
      <c r="L340" s="75"/>
      <c r="M340" s="46" t="s">
        <v>2002</v>
      </c>
    </row>
    <row r="341">
      <c r="A341" s="70"/>
      <c r="C341" s="5" t="s">
        <v>2002</v>
      </c>
      <c r="D341" s="5"/>
      <c r="E341" s="5"/>
      <c r="F341" s="5"/>
      <c r="G341" s="5"/>
      <c r="H341" s="5"/>
      <c r="I341" s="5"/>
      <c r="J341" s="73"/>
      <c r="K341" s="75" t="str">
        <f>IFERROR(__xludf.DUMMYFUNCTION("""COMPUTED_VALUE"""),"")</f>
        <v/>
      </c>
      <c r="L341" s="75"/>
      <c r="M341" s="46" t="s">
        <v>2002</v>
      </c>
    </row>
    <row r="342">
      <c r="A342" s="70"/>
      <c r="C342" s="5" t="s">
        <v>2002</v>
      </c>
      <c r="D342" s="5"/>
      <c r="E342" s="5"/>
      <c r="F342" s="5"/>
      <c r="G342" s="5"/>
      <c r="H342" s="5"/>
      <c r="I342" s="5"/>
      <c r="J342" s="73"/>
      <c r="K342" s="75" t="str">
        <f>IFERROR(__xludf.DUMMYFUNCTION("""COMPUTED_VALUE"""),"")</f>
        <v/>
      </c>
      <c r="L342" s="75"/>
      <c r="M342" s="46" t="s">
        <v>2002</v>
      </c>
    </row>
    <row r="343">
      <c r="A343" s="70"/>
      <c r="C343" s="5" t="s">
        <v>2002</v>
      </c>
      <c r="D343" s="5"/>
      <c r="E343" s="5"/>
      <c r="F343" s="5"/>
      <c r="G343" s="5"/>
      <c r="H343" s="5"/>
      <c r="I343" s="5"/>
      <c r="J343" s="73"/>
      <c r="K343" s="75" t="str">
        <f>IFERROR(__xludf.DUMMYFUNCTION("""COMPUTED_VALUE"""),"")</f>
        <v/>
      </c>
      <c r="L343" s="75"/>
      <c r="M343" s="46" t="s">
        <v>2002</v>
      </c>
    </row>
    <row r="344">
      <c r="A344" s="70"/>
      <c r="C344" s="5" t="s">
        <v>2002</v>
      </c>
      <c r="D344" s="5"/>
      <c r="E344" s="5"/>
      <c r="F344" s="5"/>
      <c r="G344" s="5"/>
      <c r="H344" s="5"/>
      <c r="I344" s="5"/>
      <c r="J344" s="73"/>
      <c r="K344" s="75" t="str">
        <f>IFERROR(__xludf.DUMMYFUNCTION("""COMPUTED_VALUE"""),"")</f>
        <v/>
      </c>
      <c r="L344" s="75"/>
      <c r="M344" s="46" t="s">
        <v>2002</v>
      </c>
    </row>
    <row r="345">
      <c r="A345" s="70"/>
      <c r="C345" s="5" t="s">
        <v>2002</v>
      </c>
      <c r="D345" s="5"/>
      <c r="E345" s="5"/>
      <c r="F345" s="5"/>
      <c r="G345" s="5"/>
      <c r="H345" s="5"/>
      <c r="I345" s="5"/>
      <c r="J345" s="73"/>
      <c r="K345" s="75" t="str">
        <f>IFERROR(__xludf.DUMMYFUNCTION("""COMPUTED_VALUE"""),"")</f>
        <v/>
      </c>
      <c r="L345" s="75"/>
      <c r="M345" s="46" t="s">
        <v>2002</v>
      </c>
    </row>
    <row r="346">
      <c r="A346" s="70"/>
      <c r="C346" s="5" t="s">
        <v>2002</v>
      </c>
      <c r="D346" s="5"/>
      <c r="E346" s="5"/>
      <c r="F346" s="5"/>
      <c r="G346" s="5"/>
      <c r="H346" s="5"/>
      <c r="I346" s="5"/>
      <c r="J346" s="73"/>
      <c r="K346" s="75" t="str">
        <f>IFERROR(__xludf.DUMMYFUNCTION("""COMPUTED_VALUE"""),"")</f>
        <v/>
      </c>
      <c r="L346" s="75"/>
      <c r="M346" s="46" t="s">
        <v>2002</v>
      </c>
    </row>
    <row r="347">
      <c r="A347" s="70"/>
      <c r="C347" s="5" t="s">
        <v>2002</v>
      </c>
      <c r="D347" s="5"/>
      <c r="E347" s="5"/>
      <c r="F347" s="5"/>
      <c r="G347" s="5"/>
      <c r="H347" s="5"/>
      <c r="I347" s="5"/>
      <c r="J347" s="73"/>
      <c r="K347" s="75" t="str">
        <f>IFERROR(__xludf.DUMMYFUNCTION("""COMPUTED_VALUE"""),"")</f>
        <v/>
      </c>
      <c r="L347" s="75"/>
      <c r="M347" s="46" t="s">
        <v>2002</v>
      </c>
    </row>
    <row r="348">
      <c r="A348" s="70"/>
      <c r="C348" s="5" t="s">
        <v>2002</v>
      </c>
      <c r="D348" s="5"/>
      <c r="E348" s="5"/>
      <c r="F348" s="5"/>
      <c r="G348" s="5"/>
      <c r="H348" s="5"/>
      <c r="I348" s="5"/>
      <c r="J348" s="73"/>
      <c r="K348" s="75" t="str">
        <f>IFERROR(__xludf.DUMMYFUNCTION("""COMPUTED_VALUE"""),"")</f>
        <v/>
      </c>
      <c r="L348" s="75"/>
      <c r="M348" s="46" t="s">
        <v>2002</v>
      </c>
    </row>
    <row r="349">
      <c r="A349" s="70"/>
      <c r="C349" s="5" t="s">
        <v>2002</v>
      </c>
      <c r="D349" s="5"/>
      <c r="E349" s="5"/>
      <c r="F349" s="5"/>
      <c r="G349" s="5"/>
      <c r="H349" s="5"/>
      <c r="I349" s="5"/>
      <c r="J349" s="73"/>
      <c r="K349" s="75" t="str">
        <f>IFERROR(__xludf.DUMMYFUNCTION("""COMPUTED_VALUE"""),"")</f>
        <v/>
      </c>
      <c r="L349" s="75"/>
      <c r="M349" s="46" t="s">
        <v>2002</v>
      </c>
    </row>
    <row r="350">
      <c r="A350" s="70"/>
      <c r="C350" s="5" t="s">
        <v>2002</v>
      </c>
      <c r="D350" s="5"/>
      <c r="E350" s="5"/>
      <c r="F350" s="5"/>
      <c r="G350" s="5"/>
      <c r="H350" s="5"/>
      <c r="I350" s="5"/>
      <c r="J350" s="73"/>
      <c r="K350" s="75" t="str">
        <f>IFERROR(__xludf.DUMMYFUNCTION("""COMPUTED_VALUE"""),"")</f>
        <v/>
      </c>
      <c r="L350" s="75"/>
      <c r="M350" s="46" t="s">
        <v>2002</v>
      </c>
    </row>
    <row r="351">
      <c r="A351" s="70"/>
      <c r="C351" s="5" t="s">
        <v>2002</v>
      </c>
      <c r="D351" s="5"/>
      <c r="E351" s="5"/>
      <c r="F351" s="5"/>
      <c r="G351" s="5"/>
      <c r="H351" s="5"/>
      <c r="I351" s="5"/>
      <c r="J351" s="73"/>
      <c r="K351" s="75" t="str">
        <f>IFERROR(__xludf.DUMMYFUNCTION("""COMPUTED_VALUE"""),"")</f>
        <v/>
      </c>
      <c r="L351" s="75"/>
      <c r="M351" s="46" t="s">
        <v>2002</v>
      </c>
    </row>
    <row r="352">
      <c r="A352" s="70"/>
      <c r="C352" s="5" t="s">
        <v>2002</v>
      </c>
      <c r="D352" s="5"/>
      <c r="E352" s="5"/>
      <c r="F352" s="5"/>
      <c r="G352" s="5"/>
      <c r="H352" s="5"/>
      <c r="I352" s="5"/>
      <c r="J352" s="73"/>
      <c r="K352" s="75" t="str">
        <f>IFERROR(__xludf.DUMMYFUNCTION("""COMPUTED_VALUE"""),"")</f>
        <v/>
      </c>
      <c r="L352" s="75"/>
      <c r="M352" s="46" t="s">
        <v>2002</v>
      </c>
    </row>
    <row r="353">
      <c r="A353" s="70"/>
      <c r="C353" s="5" t="s">
        <v>2002</v>
      </c>
      <c r="D353" s="5"/>
      <c r="E353" s="5"/>
      <c r="F353" s="5"/>
      <c r="G353" s="5"/>
      <c r="H353" s="5"/>
      <c r="I353" s="5"/>
      <c r="J353" s="73"/>
      <c r="K353" s="75" t="str">
        <f>IFERROR(__xludf.DUMMYFUNCTION("""COMPUTED_VALUE"""),"")</f>
        <v/>
      </c>
      <c r="L353" s="75"/>
      <c r="M353" s="46" t="s">
        <v>2002</v>
      </c>
    </row>
    <row r="354">
      <c r="A354" s="70"/>
      <c r="C354" s="5" t="s">
        <v>2002</v>
      </c>
      <c r="D354" s="5"/>
      <c r="E354" s="5"/>
      <c r="F354" s="5"/>
      <c r="G354" s="5"/>
      <c r="H354" s="5"/>
      <c r="I354" s="5"/>
      <c r="J354" s="73"/>
      <c r="K354" s="75" t="str">
        <f>IFERROR(__xludf.DUMMYFUNCTION("""COMPUTED_VALUE"""),"")</f>
        <v/>
      </c>
      <c r="L354" s="75"/>
      <c r="M354" s="46" t="s">
        <v>2002</v>
      </c>
    </row>
    <row r="355">
      <c r="A355" s="70"/>
      <c r="C355" s="5" t="s">
        <v>2002</v>
      </c>
      <c r="D355" s="5"/>
      <c r="E355" s="5"/>
      <c r="F355" s="5"/>
      <c r="G355" s="5"/>
      <c r="H355" s="5"/>
      <c r="I355" s="5"/>
      <c r="J355" s="73"/>
      <c r="K355" s="75" t="str">
        <f>IFERROR(__xludf.DUMMYFUNCTION("""COMPUTED_VALUE"""),"")</f>
        <v/>
      </c>
      <c r="L355" s="75"/>
      <c r="M355" s="46" t="s">
        <v>2002</v>
      </c>
    </row>
    <row r="356">
      <c r="A356" s="70"/>
      <c r="C356" s="5" t="s">
        <v>2002</v>
      </c>
      <c r="D356" s="5"/>
      <c r="E356" s="5"/>
      <c r="F356" s="5"/>
      <c r="G356" s="5"/>
      <c r="H356" s="5"/>
      <c r="I356" s="5"/>
      <c r="J356" s="73"/>
      <c r="K356" s="75" t="str">
        <f>IFERROR(__xludf.DUMMYFUNCTION("""COMPUTED_VALUE"""),"")</f>
        <v/>
      </c>
      <c r="L356" s="75"/>
      <c r="M356" s="46" t="s">
        <v>2002</v>
      </c>
    </row>
    <row r="357">
      <c r="A357" s="70"/>
      <c r="C357" s="5" t="s">
        <v>2002</v>
      </c>
      <c r="D357" s="5"/>
      <c r="E357" s="5"/>
      <c r="F357" s="5"/>
      <c r="G357" s="5"/>
      <c r="H357" s="5"/>
      <c r="I357" s="5"/>
      <c r="J357" s="73"/>
      <c r="K357" s="75" t="str">
        <f>IFERROR(__xludf.DUMMYFUNCTION("""COMPUTED_VALUE"""),"")</f>
        <v/>
      </c>
      <c r="L357" s="75"/>
      <c r="M357" s="46" t="s">
        <v>2002</v>
      </c>
    </row>
    <row r="358">
      <c r="A358" s="70"/>
      <c r="C358" s="5" t="s">
        <v>2002</v>
      </c>
      <c r="D358" s="5"/>
      <c r="E358" s="5"/>
      <c r="F358" s="5"/>
      <c r="G358" s="5"/>
      <c r="H358" s="5"/>
      <c r="I358" s="5"/>
      <c r="J358" s="73"/>
      <c r="K358" s="75" t="str">
        <f>IFERROR(__xludf.DUMMYFUNCTION("""COMPUTED_VALUE"""),"")</f>
        <v/>
      </c>
      <c r="L358" s="75"/>
      <c r="M358" s="46" t="s">
        <v>2002</v>
      </c>
    </row>
    <row r="359">
      <c r="A359" s="70"/>
      <c r="C359" s="5" t="s">
        <v>2002</v>
      </c>
      <c r="D359" s="5"/>
      <c r="E359" s="5"/>
      <c r="F359" s="5"/>
      <c r="G359" s="5"/>
      <c r="H359" s="5"/>
      <c r="I359" s="5"/>
      <c r="J359" s="73"/>
      <c r="K359" s="75" t="str">
        <f>IFERROR(__xludf.DUMMYFUNCTION("""COMPUTED_VALUE"""),"")</f>
        <v/>
      </c>
      <c r="L359" s="75"/>
      <c r="M359" s="46" t="s">
        <v>2002</v>
      </c>
    </row>
    <row r="360">
      <c r="A360" s="70"/>
      <c r="C360" s="5" t="s">
        <v>2002</v>
      </c>
      <c r="D360" s="5"/>
      <c r="E360" s="5"/>
      <c r="F360" s="5"/>
      <c r="G360" s="5"/>
      <c r="H360" s="5"/>
      <c r="I360" s="5"/>
      <c r="J360" s="73"/>
      <c r="K360" s="75" t="str">
        <f>IFERROR(__xludf.DUMMYFUNCTION("""COMPUTED_VALUE"""),"")</f>
        <v/>
      </c>
      <c r="L360" s="75"/>
      <c r="M360" s="46" t="s">
        <v>2002</v>
      </c>
    </row>
    <row r="361">
      <c r="A361" s="70"/>
      <c r="C361" s="5" t="s">
        <v>2002</v>
      </c>
      <c r="D361" s="5"/>
      <c r="E361" s="5"/>
      <c r="F361" s="5"/>
      <c r="G361" s="5"/>
      <c r="H361" s="5"/>
      <c r="I361" s="5"/>
      <c r="J361" s="73"/>
      <c r="K361" s="75" t="str">
        <f>IFERROR(__xludf.DUMMYFUNCTION("""COMPUTED_VALUE"""),"")</f>
        <v/>
      </c>
      <c r="L361" s="75"/>
      <c r="M361" s="46" t="s">
        <v>2002</v>
      </c>
    </row>
    <row r="362">
      <c r="A362" s="70"/>
      <c r="C362" s="5" t="s">
        <v>2002</v>
      </c>
      <c r="D362" s="5"/>
      <c r="E362" s="5"/>
      <c r="F362" s="5"/>
      <c r="G362" s="5"/>
      <c r="H362" s="5"/>
      <c r="I362" s="5"/>
      <c r="J362" s="73"/>
      <c r="K362" s="75" t="str">
        <f>IFERROR(__xludf.DUMMYFUNCTION("""COMPUTED_VALUE"""),"")</f>
        <v/>
      </c>
      <c r="L362" s="75"/>
      <c r="M362" s="46" t="s">
        <v>2002</v>
      </c>
    </row>
    <row r="363">
      <c r="A363" s="70"/>
      <c r="C363" s="5" t="s">
        <v>2002</v>
      </c>
      <c r="D363" s="5"/>
      <c r="E363" s="5"/>
      <c r="F363" s="5"/>
      <c r="G363" s="5"/>
      <c r="H363" s="5"/>
      <c r="I363" s="5"/>
      <c r="J363" s="73"/>
      <c r="K363" s="75" t="str">
        <f>IFERROR(__xludf.DUMMYFUNCTION("""COMPUTED_VALUE"""),"")</f>
        <v/>
      </c>
      <c r="L363" s="75"/>
      <c r="M363" s="46" t="s">
        <v>2002</v>
      </c>
    </row>
    <row r="364">
      <c r="A364" s="70"/>
      <c r="C364" s="5" t="s">
        <v>2002</v>
      </c>
      <c r="D364" s="5"/>
      <c r="E364" s="5"/>
      <c r="F364" s="5"/>
      <c r="G364" s="5"/>
      <c r="H364" s="5"/>
      <c r="I364" s="5"/>
      <c r="J364" s="73"/>
      <c r="K364" s="75" t="str">
        <f>IFERROR(__xludf.DUMMYFUNCTION("""COMPUTED_VALUE"""),"")</f>
        <v/>
      </c>
      <c r="L364" s="75"/>
      <c r="M364" s="46" t="s">
        <v>2002</v>
      </c>
    </row>
    <row r="365">
      <c r="A365" s="70"/>
      <c r="C365" s="5" t="s">
        <v>2002</v>
      </c>
      <c r="D365" s="5"/>
      <c r="E365" s="5"/>
      <c r="F365" s="5"/>
      <c r="G365" s="5"/>
      <c r="H365" s="5"/>
      <c r="I365" s="5"/>
      <c r="J365" s="73"/>
      <c r="K365" s="75" t="str">
        <f>IFERROR(__xludf.DUMMYFUNCTION("""COMPUTED_VALUE"""),"")</f>
        <v/>
      </c>
      <c r="L365" s="75"/>
      <c r="M365" s="46" t="s">
        <v>2002</v>
      </c>
    </row>
    <row r="366">
      <c r="A366" s="70"/>
      <c r="C366" s="5" t="s">
        <v>2002</v>
      </c>
      <c r="D366" s="5"/>
      <c r="E366" s="5"/>
      <c r="F366" s="5"/>
      <c r="G366" s="5"/>
      <c r="H366" s="5"/>
      <c r="I366" s="5"/>
      <c r="J366" s="73"/>
      <c r="K366" s="75" t="str">
        <f>IFERROR(__xludf.DUMMYFUNCTION("""COMPUTED_VALUE"""),"")</f>
        <v/>
      </c>
      <c r="L366" s="75"/>
      <c r="M366" s="46" t="s">
        <v>2002</v>
      </c>
    </row>
    <row r="367">
      <c r="A367" s="70"/>
      <c r="C367" s="5" t="s">
        <v>2002</v>
      </c>
      <c r="D367" s="5"/>
      <c r="E367" s="5"/>
      <c r="F367" s="5"/>
      <c r="G367" s="5"/>
      <c r="H367" s="5"/>
      <c r="I367" s="5"/>
      <c r="J367" s="73"/>
      <c r="K367" s="75" t="str">
        <f>IFERROR(__xludf.DUMMYFUNCTION("""COMPUTED_VALUE"""),"")</f>
        <v/>
      </c>
      <c r="L367" s="75"/>
      <c r="M367" s="46" t="s">
        <v>2002</v>
      </c>
    </row>
    <row r="368">
      <c r="A368" s="70"/>
      <c r="C368" s="5" t="s">
        <v>2002</v>
      </c>
      <c r="D368" s="5"/>
      <c r="E368" s="5"/>
      <c r="F368" s="5"/>
      <c r="G368" s="5"/>
      <c r="H368" s="5"/>
      <c r="I368" s="5"/>
      <c r="J368" s="73"/>
      <c r="K368" s="75" t="str">
        <f>IFERROR(__xludf.DUMMYFUNCTION("""COMPUTED_VALUE"""),"")</f>
        <v/>
      </c>
      <c r="L368" s="75"/>
      <c r="M368" s="46" t="s">
        <v>2002</v>
      </c>
    </row>
    <row r="369">
      <c r="A369" s="70"/>
      <c r="C369" s="5" t="s">
        <v>2002</v>
      </c>
      <c r="D369" s="5"/>
      <c r="E369" s="5"/>
      <c r="F369" s="5"/>
      <c r="G369" s="5"/>
      <c r="H369" s="5"/>
      <c r="I369" s="5"/>
      <c r="J369" s="73"/>
      <c r="K369" s="75" t="str">
        <f>IFERROR(__xludf.DUMMYFUNCTION("""COMPUTED_VALUE"""),"")</f>
        <v/>
      </c>
      <c r="L369" s="75"/>
      <c r="M369" s="46" t="s">
        <v>2002</v>
      </c>
    </row>
    <row r="370">
      <c r="A370" s="70"/>
      <c r="C370" s="5" t="s">
        <v>2002</v>
      </c>
      <c r="D370" s="5"/>
      <c r="E370" s="5"/>
      <c r="F370" s="5"/>
      <c r="G370" s="5"/>
      <c r="H370" s="5"/>
      <c r="I370" s="5"/>
      <c r="J370" s="73"/>
      <c r="K370" s="75" t="str">
        <f>IFERROR(__xludf.DUMMYFUNCTION("""COMPUTED_VALUE"""),"")</f>
        <v/>
      </c>
      <c r="L370" s="75"/>
      <c r="M370" s="46" t="s">
        <v>2002</v>
      </c>
    </row>
    <row r="371">
      <c r="A371" s="70"/>
      <c r="C371" s="5" t="s">
        <v>2002</v>
      </c>
      <c r="D371" s="5"/>
      <c r="E371" s="5"/>
      <c r="F371" s="5"/>
      <c r="G371" s="5"/>
      <c r="H371" s="5"/>
      <c r="I371" s="5"/>
      <c r="J371" s="73"/>
      <c r="K371" s="75" t="str">
        <f>IFERROR(__xludf.DUMMYFUNCTION("""COMPUTED_VALUE"""),"")</f>
        <v/>
      </c>
      <c r="L371" s="75"/>
      <c r="M371" s="46" t="s">
        <v>2002</v>
      </c>
    </row>
    <row r="372">
      <c r="A372" s="70"/>
      <c r="C372" s="5" t="s">
        <v>2002</v>
      </c>
      <c r="D372" s="5"/>
      <c r="E372" s="5"/>
      <c r="F372" s="5"/>
      <c r="G372" s="5"/>
      <c r="H372" s="5"/>
      <c r="I372" s="5"/>
      <c r="J372" s="73"/>
      <c r="K372" s="75" t="str">
        <f>IFERROR(__xludf.DUMMYFUNCTION("""COMPUTED_VALUE"""),"")</f>
        <v/>
      </c>
      <c r="L372" s="75"/>
      <c r="M372" s="46" t="s">
        <v>2002</v>
      </c>
    </row>
    <row r="373">
      <c r="A373" s="70"/>
      <c r="C373" s="5" t="s">
        <v>2002</v>
      </c>
      <c r="D373" s="5"/>
      <c r="E373" s="5"/>
      <c r="F373" s="5"/>
      <c r="G373" s="5"/>
      <c r="H373" s="5"/>
      <c r="I373" s="5"/>
      <c r="J373" s="73"/>
      <c r="K373" s="75" t="str">
        <f>IFERROR(__xludf.DUMMYFUNCTION("""COMPUTED_VALUE"""),"")</f>
        <v/>
      </c>
      <c r="L373" s="75"/>
      <c r="M373" s="46" t="s">
        <v>2002</v>
      </c>
    </row>
    <row r="374">
      <c r="A374" s="70"/>
      <c r="C374" s="5" t="s">
        <v>2002</v>
      </c>
      <c r="D374" s="5"/>
      <c r="E374" s="5"/>
      <c r="F374" s="5"/>
      <c r="G374" s="5"/>
      <c r="H374" s="5"/>
      <c r="I374" s="5"/>
      <c r="J374" s="73"/>
      <c r="K374" s="75" t="str">
        <f>IFERROR(__xludf.DUMMYFUNCTION("""COMPUTED_VALUE"""),"")</f>
        <v/>
      </c>
      <c r="L374" s="75"/>
      <c r="M374" s="46" t="s">
        <v>2002</v>
      </c>
    </row>
    <row r="375">
      <c r="A375" s="70"/>
      <c r="C375" s="5" t="s">
        <v>2002</v>
      </c>
      <c r="D375" s="5"/>
      <c r="E375" s="5"/>
      <c r="F375" s="5"/>
      <c r="G375" s="5"/>
      <c r="H375" s="5"/>
      <c r="I375" s="5"/>
      <c r="J375" s="73"/>
      <c r="K375" s="75" t="str">
        <f>IFERROR(__xludf.DUMMYFUNCTION("""COMPUTED_VALUE"""),"")</f>
        <v/>
      </c>
      <c r="L375" s="75"/>
      <c r="M375" s="46" t="s">
        <v>2002</v>
      </c>
    </row>
    <row r="376">
      <c r="A376" s="70"/>
      <c r="C376" s="5" t="s">
        <v>2002</v>
      </c>
      <c r="D376" s="5"/>
      <c r="E376" s="5"/>
      <c r="F376" s="5"/>
      <c r="G376" s="5"/>
      <c r="H376" s="5"/>
      <c r="I376" s="5"/>
      <c r="J376" s="73"/>
      <c r="K376" s="75" t="str">
        <f>IFERROR(__xludf.DUMMYFUNCTION("""COMPUTED_VALUE"""),"")</f>
        <v/>
      </c>
      <c r="L376" s="75"/>
      <c r="M376" s="46" t="s">
        <v>2002</v>
      </c>
    </row>
    <row r="377">
      <c r="A377" s="70"/>
      <c r="C377" s="5" t="s">
        <v>2002</v>
      </c>
      <c r="D377" s="5"/>
      <c r="E377" s="5"/>
      <c r="F377" s="5"/>
      <c r="G377" s="5"/>
      <c r="H377" s="5"/>
      <c r="I377" s="5"/>
      <c r="J377" s="73"/>
      <c r="K377" s="75" t="str">
        <f>IFERROR(__xludf.DUMMYFUNCTION("""COMPUTED_VALUE"""),"")</f>
        <v/>
      </c>
      <c r="L377" s="75"/>
      <c r="M377" s="46" t="s">
        <v>2002</v>
      </c>
    </row>
    <row r="378">
      <c r="A378" s="70"/>
      <c r="C378" s="5" t="s">
        <v>2002</v>
      </c>
      <c r="D378" s="5"/>
      <c r="E378" s="5"/>
      <c r="F378" s="5"/>
      <c r="G378" s="5"/>
      <c r="H378" s="5"/>
      <c r="I378" s="5"/>
      <c r="J378" s="73"/>
      <c r="K378" s="75" t="str">
        <f>IFERROR(__xludf.DUMMYFUNCTION("""COMPUTED_VALUE"""),"")</f>
        <v/>
      </c>
      <c r="L378" s="75"/>
      <c r="M378" s="46" t="s">
        <v>2002</v>
      </c>
    </row>
    <row r="379">
      <c r="A379" s="70"/>
      <c r="C379" s="5" t="s">
        <v>2002</v>
      </c>
      <c r="D379" s="5"/>
      <c r="E379" s="5"/>
      <c r="F379" s="5"/>
      <c r="G379" s="5"/>
      <c r="H379" s="5"/>
      <c r="I379" s="5"/>
      <c r="J379" s="73"/>
      <c r="K379" s="75" t="str">
        <f>IFERROR(__xludf.DUMMYFUNCTION("""COMPUTED_VALUE"""),"")</f>
        <v/>
      </c>
      <c r="L379" s="75"/>
      <c r="M379" s="46" t="s">
        <v>2002</v>
      </c>
    </row>
    <row r="380">
      <c r="A380" s="70"/>
      <c r="C380" s="5" t="s">
        <v>2002</v>
      </c>
      <c r="D380" s="5"/>
      <c r="E380" s="5"/>
      <c r="F380" s="5"/>
      <c r="G380" s="5"/>
      <c r="H380" s="5"/>
      <c r="I380" s="5"/>
      <c r="J380" s="73"/>
      <c r="K380" s="75" t="str">
        <f>IFERROR(__xludf.DUMMYFUNCTION("""COMPUTED_VALUE"""),"")</f>
        <v/>
      </c>
      <c r="L380" s="75"/>
      <c r="M380" s="46" t="s">
        <v>2002</v>
      </c>
    </row>
    <row r="381">
      <c r="A381" s="70"/>
      <c r="C381" s="5" t="s">
        <v>2002</v>
      </c>
      <c r="D381" s="5"/>
      <c r="E381" s="5"/>
      <c r="F381" s="5"/>
      <c r="G381" s="5"/>
      <c r="H381" s="5"/>
      <c r="I381" s="5"/>
      <c r="J381" s="73"/>
      <c r="K381" s="75" t="str">
        <f>IFERROR(__xludf.DUMMYFUNCTION("""COMPUTED_VALUE"""),"")</f>
        <v/>
      </c>
      <c r="L381" s="75"/>
      <c r="M381" s="46" t="s">
        <v>2002</v>
      </c>
    </row>
    <row r="382">
      <c r="A382" s="70"/>
      <c r="C382" s="5" t="s">
        <v>2002</v>
      </c>
      <c r="D382" s="5"/>
      <c r="E382" s="5"/>
      <c r="F382" s="5"/>
      <c r="G382" s="5"/>
      <c r="H382" s="5"/>
      <c r="I382" s="5"/>
      <c r="J382" s="73"/>
      <c r="K382" s="75" t="str">
        <f>IFERROR(__xludf.DUMMYFUNCTION("""COMPUTED_VALUE"""),"")</f>
        <v/>
      </c>
      <c r="L382" s="75"/>
      <c r="M382" s="46" t="s">
        <v>2002</v>
      </c>
    </row>
    <row r="383">
      <c r="A383" s="70"/>
      <c r="C383" s="5" t="s">
        <v>2002</v>
      </c>
      <c r="D383" s="5"/>
      <c r="E383" s="5"/>
      <c r="F383" s="5"/>
      <c r="G383" s="5"/>
      <c r="H383" s="5"/>
      <c r="I383" s="5"/>
      <c r="J383" s="73"/>
      <c r="K383" s="75" t="str">
        <f>IFERROR(__xludf.DUMMYFUNCTION("""COMPUTED_VALUE"""),"")</f>
        <v/>
      </c>
      <c r="L383" s="75"/>
      <c r="M383" s="46" t="s">
        <v>2002</v>
      </c>
    </row>
    <row r="384">
      <c r="A384" s="70"/>
      <c r="C384" s="5" t="s">
        <v>2002</v>
      </c>
      <c r="D384" s="5"/>
      <c r="E384" s="5"/>
      <c r="F384" s="5"/>
      <c r="G384" s="5"/>
      <c r="H384" s="5"/>
      <c r="I384" s="5"/>
      <c r="J384" s="73"/>
      <c r="K384" s="75" t="str">
        <f>IFERROR(__xludf.DUMMYFUNCTION("""COMPUTED_VALUE"""),"")</f>
        <v/>
      </c>
      <c r="L384" s="75"/>
      <c r="M384" s="46" t="s">
        <v>2002</v>
      </c>
    </row>
    <row r="385">
      <c r="A385" s="70"/>
      <c r="C385" s="5" t="s">
        <v>2002</v>
      </c>
      <c r="D385" s="5"/>
      <c r="E385" s="5"/>
      <c r="F385" s="5"/>
      <c r="G385" s="5"/>
      <c r="H385" s="5"/>
      <c r="I385" s="5"/>
      <c r="J385" s="73"/>
      <c r="K385" s="75" t="str">
        <f>IFERROR(__xludf.DUMMYFUNCTION("""COMPUTED_VALUE"""),"")</f>
        <v/>
      </c>
      <c r="L385" s="75"/>
      <c r="M385" s="46" t="s">
        <v>2002</v>
      </c>
    </row>
    <row r="386">
      <c r="A386" s="70"/>
      <c r="C386" s="5" t="s">
        <v>2002</v>
      </c>
      <c r="D386" s="5"/>
      <c r="E386" s="5"/>
      <c r="F386" s="5"/>
      <c r="G386" s="5"/>
      <c r="H386" s="5"/>
      <c r="I386" s="5"/>
      <c r="J386" s="73"/>
      <c r="K386" s="75" t="str">
        <f>IFERROR(__xludf.DUMMYFUNCTION("""COMPUTED_VALUE"""),"")</f>
        <v/>
      </c>
      <c r="L386" s="75"/>
      <c r="M386" s="46" t="s">
        <v>2002</v>
      </c>
    </row>
    <row r="387">
      <c r="A387" s="70"/>
      <c r="C387" s="5" t="s">
        <v>2002</v>
      </c>
      <c r="D387" s="5"/>
      <c r="E387" s="5"/>
      <c r="F387" s="5"/>
      <c r="G387" s="5"/>
      <c r="H387" s="5"/>
      <c r="I387" s="5"/>
      <c r="J387" s="73"/>
      <c r="K387" s="75" t="str">
        <f>IFERROR(__xludf.DUMMYFUNCTION("""COMPUTED_VALUE"""),"")</f>
        <v/>
      </c>
      <c r="L387" s="75"/>
      <c r="M387" s="46" t="s">
        <v>2002</v>
      </c>
    </row>
    <row r="388">
      <c r="A388" s="70"/>
      <c r="C388" s="5" t="s">
        <v>2002</v>
      </c>
      <c r="D388" s="5"/>
      <c r="E388" s="5"/>
      <c r="F388" s="5"/>
      <c r="G388" s="5"/>
      <c r="H388" s="5"/>
      <c r="I388" s="5"/>
      <c r="J388" s="73"/>
      <c r="K388" s="75" t="str">
        <f>IFERROR(__xludf.DUMMYFUNCTION("""COMPUTED_VALUE"""),"")</f>
        <v/>
      </c>
      <c r="L388" s="75"/>
      <c r="M388" s="46" t="s">
        <v>2002</v>
      </c>
    </row>
    <row r="389">
      <c r="A389" s="70"/>
      <c r="C389" s="5" t="s">
        <v>2002</v>
      </c>
      <c r="D389" s="5"/>
      <c r="E389" s="5"/>
      <c r="F389" s="5"/>
      <c r="G389" s="5"/>
      <c r="H389" s="5"/>
      <c r="I389" s="5"/>
      <c r="J389" s="73"/>
      <c r="K389" s="75" t="str">
        <f>IFERROR(__xludf.DUMMYFUNCTION("""COMPUTED_VALUE"""),"")</f>
        <v/>
      </c>
      <c r="L389" s="75"/>
      <c r="M389" s="46" t="s">
        <v>2002</v>
      </c>
    </row>
    <row r="390">
      <c r="A390" s="70"/>
      <c r="C390" s="5" t="s">
        <v>2002</v>
      </c>
      <c r="D390" s="5"/>
      <c r="E390" s="5"/>
      <c r="F390" s="5"/>
      <c r="G390" s="5"/>
      <c r="H390" s="5"/>
      <c r="I390" s="5"/>
      <c r="J390" s="73"/>
      <c r="K390" s="75" t="str">
        <f>IFERROR(__xludf.DUMMYFUNCTION("""COMPUTED_VALUE"""),"")</f>
        <v/>
      </c>
      <c r="L390" s="75"/>
      <c r="M390" s="46" t="s">
        <v>2002</v>
      </c>
    </row>
    <row r="391">
      <c r="A391" s="70"/>
      <c r="C391" s="5" t="s">
        <v>2002</v>
      </c>
      <c r="D391" s="5"/>
      <c r="E391" s="5"/>
      <c r="F391" s="5"/>
      <c r="G391" s="5"/>
      <c r="H391" s="5"/>
      <c r="I391" s="5"/>
      <c r="J391" s="73"/>
      <c r="K391" s="75" t="str">
        <f>IFERROR(__xludf.DUMMYFUNCTION("""COMPUTED_VALUE"""),"")</f>
        <v/>
      </c>
      <c r="L391" s="75"/>
      <c r="M391" s="46" t="s">
        <v>2002</v>
      </c>
    </row>
    <row r="392">
      <c r="A392" s="70"/>
      <c r="C392" s="5" t="s">
        <v>2002</v>
      </c>
      <c r="D392" s="5"/>
      <c r="E392" s="5"/>
      <c r="F392" s="5"/>
      <c r="G392" s="5"/>
      <c r="H392" s="5"/>
      <c r="I392" s="5"/>
      <c r="J392" s="73"/>
      <c r="K392" s="75" t="str">
        <f>IFERROR(__xludf.DUMMYFUNCTION("""COMPUTED_VALUE"""),"")</f>
        <v/>
      </c>
      <c r="L392" s="75"/>
      <c r="M392" s="46" t="s">
        <v>2002</v>
      </c>
    </row>
    <row r="393">
      <c r="A393" s="70"/>
      <c r="C393" s="5" t="s">
        <v>2002</v>
      </c>
      <c r="D393" s="5"/>
      <c r="E393" s="5"/>
      <c r="F393" s="5"/>
      <c r="G393" s="5"/>
      <c r="H393" s="5"/>
      <c r="I393" s="5"/>
      <c r="J393" s="73"/>
      <c r="K393" s="75" t="str">
        <f>IFERROR(__xludf.DUMMYFUNCTION("""COMPUTED_VALUE"""),"")</f>
        <v/>
      </c>
      <c r="L393" s="75"/>
      <c r="M393" s="46" t="s">
        <v>2002</v>
      </c>
    </row>
    <row r="394">
      <c r="A394" s="70"/>
      <c r="C394" s="5" t="s">
        <v>2002</v>
      </c>
      <c r="D394" s="5"/>
      <c r="E394" s="5"/>
      <c r="F394" s="5"/>
      <c r="G394" s="5"/>
      <c r="H394" s="5"/>
      <c r="I394" s="5"/>
      <c r="J394" s="73"/>
      <c r="K394" s="75" t="str">
        <f>IFERROR(__xludf.DUMMYFUNCTION("""COMPUTED_VALUE"""),"")</f>
        <v/>
      </c>
      <c r="L394" s="75"/>
      <c r="M394" s="46" t="s">
        <v>2002</v>
      </c>
    </row>
    <row r="395">
      <c r="A395" s="70"/>
      <c r="C395" s="5" t="s">
        <v>2002</v>
      </c>
      <c r="D395" s="5"/>
      <c r="E395" s="5"/>
      <c r="F395" s="5"/>
      <c r="G395" s="5"/>
      <c r="H395" s="5"/>
      <c r="I395" s="5"/>
      <c r="J395" s="73"/>
      <c r="K395" s="75" t="str">
        <f>IFERROR(__xludf.DUMMYFUNCTION("""COMPUTED_VALUE"""),"")</f>
        <v/>
      </c>
      <c r="L395" s="75"/>
      <c r="M395" s="46" t="s">
        <v>2002</v>
      </c>
    </row>
    <row r="396">
      <c r="A396" s="70"/>
      <c r="C396" s="5" t="s">
        <v>2002</v>
      </c>
      <c r="D396" s="5"/>
      <c r="E396" s="5"/>
      <c r="F396" s="5"/>
      <c r="G396" s="5"/>
      <c r="H396" s="5"/>
      <c r="I396" s="5"/>
      <c r="J396" s="73"/>
      <c r="K396" s="75" t="str">
        <f>IFERROR(__xludf.DUMMYFUNCTION("""COMPUTED_VALUE"""),"")</f>
        <v/>
      </c>
      <c r="L396" s="75"/>
      <c r="M396" s="46" t="s">
        <v>2002</v>
      </c>
    </row>
    <row r="397">
      <c r="A397" s="70"/>
      <c r="C397" s="5" t="s">
        <v>2002</v>
      </c>
      <c r="D397" s="5"/>
      <c r="E397" s="5"/>
      <c r="F397" s="5"/>
      <c r="G397" s="5"/>
      <c r="H397" s="5"/>
      <c r="I397" s="5"/>
      <c r="J397" s="73"/>
      <c r="K397" s="75" t="str">
        <f>IFERROR(__xludf.DUMMYFUNCTION("""COMPUTED_VALUE"""),"")</f>
        <v/>
      </c>
      <c r="L397" s="75"/>
      <c r="M397" s="46" t="s">
        <v>2002</v>
      </c>
    </row>
    <row r="398">
      <c r="A398" s="70"/>
      <c r="C398" s="5" t="s">
        <v>2002</v>
      </c>
      <c r="D398" s="5"/>
      <c r="E398" s="5"/>
      <c r="F398" s="5"/>
      <c r="G398" s="5"/>
      <c r="H398" s="5"/>
      <c r="I398" s="5"/>
      <c r="J398" s="73"/>
      <c r="K398" s="75" t="str">
        <f>IFERROR(__xludf.DUMMYFUNCTION("""COMPUTED_VALUE"""),"")</f>
        <v/>
      </c>
      <c r="L398" s="75"/>
      <c r="M398" s="46" t="s">
        <v>2002</v>
      </c>
    </row>
    <row r="399">
      <c r="A399" s="70"/>
      <c r="C399" s="5" t="s">
        <v>2002</v>
      </c>
      <c r="D399" s="5"/>
      <c r="E399" s="5"/>
      <c r="F399" s="5"/>
      <c r="G399" s="5"/>
      <c r="H399" s="5"/>
      <c r="I399" s="5"/>
      <c r="J399" s="73"/>
      <c r="K399" s="75" t="str">
        <f>IFERROR(__xludf.DUMMYFUNCTION("""COMPUTED_VALUE"""),"")</f>
        <v/>
      </c>
      <c r="L399" s="75"/>
      <c r="M399" s="46" t="s">
        <v>2002</v>
      </c>
    </row>
    <row r="400">
      <c r="A400" s="70"/>
      <c r="C400" s="5" t="s">
        <v>2002</v>
      </c>
      <c r="D400" s="5"/>
      <c r="E400" s="5"/>
      <c r="F400" s="5"/>
      <c r="G400" s="5"/>
      <c r="H400" s="5"/>
      <c r="I400" s="5"/>
      <c r="J400" s="73"/>
      <c r="K400" s="75" t="str">
        <f>IFERROR(__xludf.DUMMYFUNCTION("""COMPUTED_VALUE"""),"")</f>
        <v/>
      </c>
      <c r="L400" s="75"/>
      <c r="M400" s="46" t="s">
        <v>2002</v>
      </c>
    </row>
    <row r="401">
      <c r="A401" s="70"/>
      <c r="C401" s="5" t="s">
        <v>2002</v>
      </c>
      <c r="D401" s="5"/>
      <c r="E401" s="5"/>
      <c r="F401" s="5"/>
      <c r="G401" s="5"/>
      <c r="H401" s="5"/>
      <c r="I401" s="5"/>
      <c r="J401" s="73"/>
      <c r="K401" s="75" t="str">
        <f>IFERROR(__xludf.DUMMYFUNCTION("""COMPUTED_VALUE"""),"")</f>
        <v/>
      </c>
      <c r="L401" s="75"/>
      <c r="M401" s="46" t="s">
        <v>2002</v>
      </c>
    </row>
    <row r="402">
      <c r="A402" s="70"/>
      <c r="C402" s="5" t="s">
        <v>2002</v>
      </c>
      <c r="D402" s="5"/>
      <c r="E402" s="5"/>
      <c r="F402" s="5"/>
      <c r="G402" s="5"/>
      <c r="H402" s="5"/>
      <c r="I402" s="5"/>
      <c r="J402" s="73"/>
      <c r="K402" s="75" t="str">
        <f>IFERROR(__xludf.DUMMYFUNCTION("""COMPUTED_VALUE"""),"")</f>
        <v/>
      </c>
      <c r="L402" s="75"/>
      <c r="M402" s="46" t="s">
        <v>2002</v>
      </c>
    </row>
    <row r="403">
      <c r="A403" s="70"/>
      <c r="C403" s="5" t="s">
        <v>2002</v>
      </c>
      <c r="D403" s="5"/>
      <c r="E403" s="5"/>
      <c r="F403" s="5"/>
      <c r="G403" s="5"/>
      <c r="H403" s="5"/>
      <c r="I403" s="5"/>
      <c r="J403" s="73"/>
      <c r="K403" s="75" t="str">
        <f>IFERROR(__xludf.DUMMYFUNCTION("""COMPUTED_VALUE"""),"")</f>
        <v/>
      </c>
      <c r="L403" s="75"/>
      <c r="M403" s="46" t="s">
        <v>2002</v>
      </c>
    </row>
    <row r="404">
      <c r="A404" s="70"/>
      <c r="C404" s="5" t="s">
        <v>2002</v>
      </c>
      <c r="D404" s="5"/>
      <c r="E404" s="5"/>
      <c r="F404" s="5"/>
      <c r="G404" s="5"/>
      <c r="H404" s="5"/>
      <c r="I404" s="5"/>
      <c r="J404" s="73"/>
      <c r="K404" s="75" t="str">
        <f>IFERROR(__xludf.DUMMYFUNCTION("""COMPUTED_VALUE"""),"")</f>
        <v/>
      </c>
      <c r="L404" s="75"/>
      <c r="M404" s="46" t="s">
        <v>2002</v>
      </c>
    </row>
    <row r="405">
      <c r="A405" s="70"/>
      <c r="C405" s="5" t="s">
        <v>2002</v>
      </c>
      <c r="D405" s="5"/>
      <c r="E405" s="5"/>
      <c r="F405" s="5"/>
      <c r="G405" s="5"/>
      <c r="H405" s="5"/>
      <c r="I405" s="5"/>
      <c r="J405" s="73"/>
      <c r="K405" s="75" t="str">
        <f>IFERROR(__xludf.DUMMYFUNCTION("""COMPUTED_VALUE"""),"")</f>
        <v/>
      </c>
      <c r="L405" s="75"/>
      <c r="M405" s="46" t="s">
        <v>2002</v>
      </c>
    </row>
    <row r="406">
      <c r="A406" s="70"/>
      <c r="C406" s="5" t="s">
        <v>2002</v>
      </c>
      <c r="D406" s="5"/>
      <c r="E406" s="5"/>
      <c r="F406" s="5"/>
      <c r="G406" s="5"/>
      <c r="H406" s="5"/>
      <c r="I406" s="5"/>
      <c r="J406" s="73"/>
      <c r="K406" s="75" t="str">
        <f>IFERROR(__xludf.DUMMYFUNCTION("""COMPUTED_VALUE"""),"")</f>
        <v/>
      </c>
      <c r="L406" s="75"/>
      <c r="M406" s="46" t="s">
        <v>2002</v>
      </c>
    </row>
    <row r="407">
      <c r="A407" s="70"/>
      <c r="C407" s="5" t="s">
        <v>2002</v>
      </c>
      <c r="D407" s="5"/>
      <c r="E407" s="5"/>
      <c r="F407" s="5"/>
      <c r="G407" s="5"/>
      <c r="H407" s="5"/>
      <c r="I407" s="5"/>
      <c r="J407" s="73"/>
      <c r="K407" s="75" t="str">
        <f>IFERROR(__xludf.DUMMYFUNCTION("""COMPUTED_VALUE"""),"")</f>
        <v/>
      </c>
      <c r="L407" s="75"/>
      <c r="M407" s="46" t="s">
        <v>2002</v>
      </c>
    </row>
    <row r="408">
      <c r="A408" s="70"/>
      <c r="C408" s="5" t="s">
        <v>2002</v>
      </c>
      <c r="D408" s="5"/>
      <c r="E408" s="5"/>
      <c r="F408" s="5"/>
      <c r="G408" s="5"/>
      <c r="H408" s="5"/>
      <c r="I408" s="5"/>
      <c r="J408" s="73"/>
      <c r="K408" s="75" t="str">
        <f>IFERROR(__xludf.DUMMYFUNCTION("""COMPUTED_VALUE"""),"")</f>
        <v/>
      </c>
      <c r="L408" s="75"/>
      <c r="M408" s="46" t="s">
        <v>2002</v>
      </c>
    </row>
    <row r="409">
      <c r="A409" s="70"/>
      <c r="C409" s="5" t="s">
        <v>2002</v>
      </c>
      <c r="D409" s="5"/>
      <c r="E409" s="5"/>
      <c r="F409" s="5"/>
      <c r="G409" s="5"/>
      <c r="H409" s="5"/>
      <c r="I409" s="5"/>
      <c r="J409" s="73"/>
      <c r="K409" s="75" t="str">
        <f>IFERROR(__xludf.DUMMYFUNCTION("""COMPUTED_VALUE"""),"")</f>
        <v/>
      </c>
      <c r="L409" s="75"/>
      <c r="M409" s="46" t="s">
        <v>2002</v>
      </c>
    </row>
    <row r="410">
      <c r="A410" s="70"/>
      <c r="C410" s="5" t="s">
        <v>2002</v>
      </c>
      <c r="D410" s="5"/>
      <c r="E410" s="5"/>
      <c r="F410" s="5"/>
      <c r="G410" s="5"/>
      <c r="H410" s="5"/>
      <c r="I410" s="5"/>
      <c r="J410" s="73"/>
      <c r="K410" s="75" t="str">
        <f>IFERROR(__xludf.DUMMYFUNCTION("""COMPUTED_VALUE"""),"")</f>
        <v/>
      </c>
      <c r="L410" s="75"/>
      <c r="M410" s="46" t="s">
        <v>2002</v>
      </c>
    </row>
    <row r="411">
      <c r="A411" s="70"/>
      <c r="C411" s="5" t="s">
        <v>2002</v>
      </c>
      <c r="D411" s="5"/>
      <c r="E411" s="5"/>
      <c r="F411" s="5"/>
      <c r="G411" s="5"/>
      <c r="H411" s="5"/>
      <c r="I411" s="5"/>
      <c r="J411" s="73"/>
      <c r="K411" s="75" t="str">
        <f>IFERROR(__xludf.DUMMYFUNCTION("""COMPUTED_VALUE"""),"")</f>
        <v/>
      </c>
      <c r="L411" s="75"/>
      <c r="M411" s="46" t="s">
        <v>2002</v>
      </c>
    </row>
    <row r="412">
      <c r="A412" s="70"/>
      <c r="C412" s="5" t="s">
        <v>2002</v>
      </c>
      <c r="D412" s="5"/>
      <c r="E412" s="5"/>
      <c r="F412" s="5"/>
      <c r="G412" s="5"/>
      <c r="H412" s="5"/>
      <c r="I412" s="5"/>
      <c r="J412" s="73"/>
      <c r="K412" s="75" t="str">
        <f>IFERROR(__xludf.DUMMYFUNCTION("""COMPUTED_VALUE"""),"")</f>
        <v/>
      </c>
      <c r="L412" s="75"/>
      <c r="M412" s="46" t="s">
        <v>2002</v>
      </c>
    </row>
    <row r="413">
      <c r="A413" s="70"/>
      <c r="C413" s="5" t="s">
        <v>2002</v>
      </c>
      <c r="D413" s="5"/>
      <c r="E413" s="5"/>
      <c r="F413" s="5"/>
      <c r="G413" s="5"/>
      <c r="H413" s="5"/>
      <c r="I413" s="5"/>
      <c r="J413" s="73"/>
      <c r="K413" s="75" t="str">
        <f>IFERROR(__xludf.DUMMYFUNCTION("""COMPUTED_VALUE"""),"")</f>
        <v/>
      </c>
      <c r="L413" s="75"/>
      <c r="M413" s="46" t="s">
        <v>2002</v>
      </c>
    </row>
    <row r="414">
      <c r="A414" s="70"/>
      <c r="C414" s="5" t="s">
        <v>2002</v>
      </c>
      <c r="D414" s="5"/>
      <c r="E414" s="5"/>
      <c r="F414" s="5"/>
      <c r="G414" s="5"/>
      <c r="H414" s="5"/>
      <c r="I414" s="5"/>
      <c r="J414" s="73"/>
      <c r="K414" s="75" t="str">
        <f>IFERROR(__xludf.DUMMYFUNCTION("""COMPUTED_VALUE"""),"")</f>
        <v/>
      </c>
      <c r="L414" s="75"/>
      <c r="M414" s="46" t="s">
        <v>2002</v>
      </c>
    </row>
    <row r="415">
      <c r="A415" s="70"/>
      <c r="C415" s="5" t="s">
        <v>2002</v>
      </c>
      <c r="D415" s="5"/>
      <c r="E415" s="5"/>
      <c r="F415" s="5"/>
      <c r="G415" s="5"/>
      <c r="H415" s="5"/>
      <c r="I415" s="5"/>
      <c r="J415" s="73"/>
      <c r="K415" s="75" t="str">
        <f>IFERROR(__xludf.DUMMYFUNCTION("""COMPUTED_VALUE"""),"")</f>
        <v/>
      </c>
      <c r="L415" s="75"/>
      <c r="M415" s="46" t="s">
        <v>2002</v>
      </c>
    </row>
    <row r="416">
      <c r="A416" s="70"/>
      <c r="C416" s="5" t="s">
        <v>2002</v>
      </c>
      <c r="D416" s="5"/>
      <c r="E416" s="5"/>
      <c r="F416" s="5"/>
      <c r="G416" s="5"/>
      <c r="H416" s="5"/>
      <c r="I416" s="5"/>
      <c r="J416" s="73"/>
      <c r="K416" s="75" t="str">
        <f>IFERROR(__xludf.DUMMYFUNCTION("""COMPUTED_VALUE"""),"")</f>
        <v/>
      </c>
      <c r="L416" s="75"/>
      <c r="M416" s="46" t="s">
        <v>2002</v>
      </c>
    </row>
    <row r="417">
      <c r="A417" s="70"/>
      <c r="C417" s="5" t="s">
        <v>2002</v>
      </c>
      <c r="D417" s="5"/>
      <c r="E417" s="5"/>
      <c r="F417" s="5"/>
      <c r="G417" s="5"/>
      <c r="H417" s="5"/>
      <c r="I417" s="5"/>
      <c r="J417" s="73"/>
      <c r="K417" s="75" t="str">
        <f>IFERROR(__xludf.DUMMYFUNCTION("""COMPUTED_VALUE"""),"")</f>
        <v/>
      </c>
      <c r="L417" s="75"/>
      <c r="M417" s="46" t="s">
        <v>2002</v>
      </c>
    </row>
    <row r="418">
      <c r="A418" s="70"/>
      <c r="C418" s="5" t="s">
        <v>2002</v>
      </c>
      <c r="D418" s="5"/>
      <c r="E418" s="5"/>
      <c r="F418" s="5"/>
      <c r="G418" s="5"/>
      <c r="H418" s="5"/>
      <c r="I418" s="5"/>
      <c r="J418" s="73"/>
      <c r="K418" s="75" t="str">
        <f>IFERROR(__xludf.DUMMYFUNCTION("""COMPUTED_VALUE"""),"")</f>
        <v/>
      </c>
      <c r="L418" s="75"/>
      <c r="M418" s="46" t="s">
        <v>2002</v>
      </c>
    </row>
    <row r="419">
      <c r="A419" s="70"/>
      <c r="C419" s="5" t="s">
        <v>2002</v>
      </c>
      <c r="D419" s="5"/>
      <c r="E419" s="5"/>
      <c r="F419" s="5"/>
      <c r="G419" s="5"/>
      <c r="H419" s="5"/>
      <c r="I419" s="5"/>
      <c r="J419" s="73"/>
      <c r="K419" s="75" t="str">
        <f>IFERROR(__xludf.DUMMYFUNCTION("""COMPUTED_VALUE"""),"")</f>
        <v/>
      </c>
      <c r="L419" s="75"/>
      <c r="M419" s="46" t="s">
        <v>2002</v>
      </c>
    </row>
    <row r="420">
      <c r="A420" s="70"/>
      <c r="C420" s="5" t="s">
        <v>2002</v>
      </c>
      <c r="D420" s="5"/>
      <c r="E420" s="5"/>
      <c r="F420" s="5"/>
      <c r="G420" s="5"/>
      <c r="H420" s="5"/>
      <c r="I420" s="5"/>
      <c r="J420" s="73"/>
      <c r="K420" s="75" t="str">
        <f>IFERROR(__xludf.DUMMYFUNCTION("""COMPUTED_VALUE"""),"")</f>
        <v/>
      </c>
      <c r="L420" s="75"/>
      <c r="M420" s="46" t="s">
        <v>2002</v>
      </c>
    </row>
    <row r="421">
      <c r="A421" s="70"/>
      <c r="C421" s="5" t="s">
        <v>2002</v>
      </c>
      <c r="D421" s="5"/>
      <c r="E421" s="5"/>
      <c r="F421" s="5"/>
      <c r="G421" s="5"/>
      <c r="H421" s="5"/>
      <c r="I421" s="5"/>
      <c r="J421" s="73"/>
      <c r="K421" s="75" t="str">
        <f>IFERROR(__xludf.DUMMYFUNCTION("""COMPUTED_VALUE"""),"")</f>
        <v/>
      </c>
      <c r="L421" s="75"/>
      <c r="M421" s="46" t="s">
        <v>2002</v>
      </c>
    </row>
    <row r="422">
      <c r="A422" s="70"/>
      <c r="C422" s="5" t="s">
        <v>2002</v>
      </c>
      <c r="D422" s="5"/>
      <c r="E422" s="5"/>
      <c r="F422" s="5"/>
      <c r="G422" s="5"/>
      <c r="H422" s="5"/>
      <c r="I422" s="5"/>
      <c r="J422" s="73"/>
      <c r="K422" s="75" t="str">
        <f>IFERROR(__xludf.DUMMYFUNCTION("""COMPUTED_VALUE"""),"")</f>
        <v/>
      </c>
      <c r="L422" s="75"/>
      <c r="M422" s="46" t="s">
        <v>2002</v>
      </c>
    </row>
    <row r="423">
      <c r="A423" s="70"/>
      <c r="C423" s="5" t="s">
        <v>2002</v>
      </c>
      <c r="D423" s="5"/>
      <c r="E423" s="5"/>
      <c r="F423" s="5"/>
      <c r="G423" s="5"/>
      <c r="H423" s="5"/>
      <c r="I423" s="5"/>
      <c r="J423" s="73"/>
      <c r="K423" s="75" t="str">
        <f>IFERROR(__xludf.DUMMYFUNCTION("""COMPUTED_VALUE"""),"")</f>
        <v/>
      </c>
      <c r="L423" s="75"/>
      <c r="M423" s="46" t="s">
        <v>2002</v>
      </c>
    </row>
    <row r="424">
      <c r="A424" s="70"/>
      <c r="C424" s="5" t="s">
        <v>2002</v>
      </c>
      <c r="D424" s="5"/>
      <c r="E424" s="5"/>
      <c r="F424" s="5"/>
      <c r="G424" s="5"/>
      <c r="H424" s="5"/>
      <c r="I424" s="5"/>
      <c r="J424" s="73"/>
      <c r="K424" s="75" t="str">
        <f>IFERROR(__xludf.DUMMYFUNCTION("""COMPUTED_VALUE"""),"")</f>
        <v/>
      </c>
      <c r="L424" s="75"/>
      <c r="M424" s="46" t="s">
        <v>2002</v>
      </c>
    </row>
    <row r="425">
      <c r="A425" s="70"/>
      <c r="C425" s="5" t="s">
        <v>2002</v>
      </c>
      <c r="D425" s="5"/>
      <c r="E425" s="5"/>
      <c r="F425" s="5"/>
      <c r="G425" s="5"/>
      <c r="H425" s="5"/>
      <c r="I425" s="5"/>
      <c r="J425" s="73"/>
      <c r="K425" s="75" t="str">
        <f>IFERROR(__xludf.DUMMYFUNCTION("""COMPUTED_VALUE"""),"")</f>
        <v/>
      </c>
      <c r="L425" s="75"/>
      <c r="M425" s="46" t="s">
        <v>2002</v>
      </c>
    </row>
    <row r="426">
      <c r="A426" s="70"/>
      <c r="C426" s="5" t="s">
        <v>2002</v>
      </c>
      <c r="D426" s="5"/>
      <c r="E426" s="5"/>
      <c r="F426" s="5"/>
      <c r="G426" s="5"/>
      <c r="H426" s="5"/>
      <c r="I426" s="5"/>
      <c r="J426" s="73"/>
      <c r="K426" s="75" t="str">
        <f>IFERROR(__xludf.DUMMYFUNCTION("""COMPUTED_VALUE"""),"")</f>
        <v/>
      </c>
      <c r="L426" s="75"/>
      <c r="M426" s="46" t="s">
        <v>2002</v>
      </c>
    </row>
    <row r="427">
      <c r="A427" s="70"/>
      <c r="C427" s="5" t="s">
        <v>2002</v>
      </c>
      <c r="D427" s="5"/>
      <c r="E427" s="5"/>
      <c r="F427" s="5"/>
      <c r="G427" s="5"/>
      <c r="H427" s="5"/>
      <c r="I427" s="5"/>
      <c r="J427" s="73"/>
      <c r="K427" s="75" t="str">
        <f>IFERROR(__xludf.DUMMYFUNCTION("""COMPUTED_VALUE"""),"")</f>
        <v/>
      </c>
      <c r="L427" s="75"/>
      <c r="M427" s="46" t="s">
        <v>2002</v>
      </c>
    </row>
    <row r="428">
      <c r="A428" s="70"/>
      <c r="C428" s="5" t="s">
        <v>2002</v>
      </c>
      <c r="D428" s="5"/>
      <c r="E428" s="5"/>
      <c r="F428" s="5"/>
      <c r="G428" s="5"/>
      <c r="H428" s="5"/>
      <c r="I428" s="5"/>
      <c r="J428" s="73"/>
      <c r="K428" s="75" t="str">
        <f>IFERROR(__xludf.DUMMYFUNCTION("""COMPUTED_VALUE"""),"")</f>
        <v/>
      </c>
      <c r="L428" s="75"/>
      <c r="M428" s="46" t="s">
        <v>2002</v>
      </c>
    </row>
    <row r="429">
      <c r="A429" s="70"/>
      <c r="C429" s="5" t="s">
        <v>2002</v>
      </c>
      <c r="D429" s="5"/>
      <c r="E429" s="5"/>
      <c r="F429" s="5"/>
      <c r="G429" s="5"/>
      <c r="H429" s="5"/>
      <c r="I429" s="5"/>
      <c r="J429" s="73"/>
      <c r="K429" s="75" t="str">
        <f>IFERROR(__xludf.DUMMYFUNCTION("""COMPUTED_VALUE"""),"")</f>
        <v/>
      </c>
      <c r="L429" s="75"/>
      <c r="M429" s="46" t="s">
        <v>2002</v>
      </c>
    </row>
    <row r="430">
      <c r="A430" s="70"/>
      <c r="C430" s="5" t="s">
        <v>2002</v>
      </c>
      <c r="D430" s="5"/>
      <c r="E430" s="5"/>
      <c r="F430" s="5"/>
      <c r="G430" s="5"/>
      <c r="H430" s="5"/>
      <c r="I430" s="5"/>
      <c r="J430" s="73"/>
      <c r="K430" s="75" t="str">
        <f>IFERROR(__xludf.DUMMYFUNCTION("""COMPUTED_VALUE"""),"")</f>
        <v/>
      </c>
      <c r="L430" s="75"/>
      <c r="M430" s="46" t="s">
        <v>2002</v>
      </c>
    </row>
    <row r="431">
      <c r="A431" s="70"/>
      <c r="C431" s="5" t="s">
        <v>2002</v>
      </c>
      <c r="D431" s="5"/>
      <c r="E431" s="5"/>
      <c r="F431" s="5"/>
      <c r="G431" s="5"/>
      <c r="H431" s="5"/>
      <c r="I431" s="5"/>
      <c r="J431" s="73"/>
      <c r="K431" s="75" t="str">
        <f>IFERROR(__xludf.DUMMYFUNCTION("""COMPUTED_VALUE"""),"")</f>
        <v/>
      </c>
      <c r="L431" s="75"/>
      <c r="M431" s="46" t="s">
        <v>2002</v>
      </c>
    </row>
    <row r="432">
      <c r="A432" s="70"/>
      <c r="C432" s="5" t="s">
        <v>2002</v>
      </c>
      <c r="D432" s="5"/>
      <c r="E432" s="5"/>
      <c r="F432" s="5"/>
      <c r="G432" s="5"/>
      <c r="H432" s="5"/>
      <c r="I432" s="5"/>
      <c r="J432" s="73"/>
      <c r="K432" s="75" t="str">
        <f>IFERROR(__xludf.DUMMYFUNCTION("""COMPUTED_VALUE"""),"")</f>
        <v/>
      </c>
      <c r="L432" s="75"/>
      <c r="M432" s="46" t="s">
        <v>2002</v>
      </c>
    </row>
    <row r="433">
      <c r="A433" s="70"/>
      <c r="C433" s="5" t="s">
        <v>2002</v>
      </c>
      <c r="D433" s="5"/>
      <c r="E433" s="5"/>
      <c r="F433" s="5"/>
      <c r="G433" s="5"/>
      <c r="H433" s="5"/>
      <c r="I433" s="5"/>
      <c r="J433" s="73"/>
      <c r="K433" s="75" t="str">
        <f>IFERROR(__xludf.DUMMYFUNCTION("""COMPUTED_VALUE"""),"")</f>
        <v/>
      </c>
      <c r="L433" s="75"/>
      <c r="M433" s="46" t="s">
        <v>2002</v>
      </c>
    </row>
    <row r="434">
      <c r="A434" s="70"/>
      <c r="C434" s="5" t="s">
        <v>2002</v>
      </c>
      <c r="D434" s="5"/>
      <c r="E434" s="5"/>
      <c r="F434" s="5"/>
      <c r="G434" s="5"/>
      <c r="H434" s="5"/>
      <c r="I434" s="5"/>
      <c r="J434" s="73"/>
      <c r="K434" s="75" t="str">
        <f>IFERROR(__xludf.DUMMYFUNCTION("""COMPUTED_VALUE"""),"")</f>
        <v/>
      </c>
      <c r="L434" s="75"/>
      <c r="M434" s="46" t="s">
        <v>2002</v>
      </c>
    </row>
    <row r="435">
      <c r="A435" s="70"/>
      <c r="C435" s="5" t="s">
        <v>2002</v>
      </c>
      <c r="D435" s="5"/>
      <c r="E435" s="5"/>
      <c r="F435" s="5"/>
      <c r="G435" s="5"/>
      <c r="H435" s="5"/>
      <c r="I435" s="5"/>
      <c r="J435" s="73"/>
      <c r="K435" s="75" t="str">
        <f>IFERROR(__xludf.DUMMYFUNCTION("""COMPUTED_VALUE"""),"")</f>
        <v/>
      </c>
      <c r="L435" s="75"/>
      <c r="M435" s="46" t="s">
        <v>2002</v>
      </c>
    </row>
    <row r="436">
      <c r="A436" s="70"/>
      <c r="C436" s="5" t="s">
        <v>2002</v>
      </c>
      <c r="D436" s="5"/>
      <c r="E436" s="5"/>
      <c r="F436" s="5"/>
      <c r="G436" s="5"/>
      <c r="H436" s="5"/>
      <c r="I436" s="5"/>
      <c r="J436" s="73"/>
      <c r="K436" s="75" t="str">
        <f>IFERROR(__xludf.DUMMYFUNCTION("""COMPUTED_VALUE"""),"")</f>
        <v/>
      </c>
      <c r="L436" s="75"/>
      <c r="M436" s="46" t="s">
        <v>2002</v>
      </c>
    </row>
    <row r="437">
      <c r="A437" s="70"/>
      <c r="C437" s="5" t="s">
        <v>2002</v>
      </c>
      <c r="D437" s="5"/>
      <c r="E437" s="5"/>
      <c r="F437" s="5"/>
      <c r="G437" s="5"/>
      <c r="H437" s="5"/>
      <c r="I437" s="5"/>
      <c r="J437" s="73"/>
      <c r="K437" s="75" t="str">
        <f>IFERROR(__xludf.DUMMYFUNCTION("""COMPUTED_VALUE"""),"")</f>
        <v/>
      </c>
      <c r="L437" s="75"/>
      <c r="M437" s="46" t="s">
        <v>2002</v>
      </c>
    </row>
    <row r="438">
      <c r="A438" s="70"/>
      <c r="C438" s="5" t="s">
        <v>2002</v>
      </c>
      <c r="D438" s="5"/>
      <c r="E438" s="5"/>
      <c r="F438" s="5"/>
      <c r="G438" s="5"/>
      <c r="H438" s="5"/>
      <c r="I438" s="5"/>
      <c r="J438" s="73"/>
      <c r="K438" s="75" t="str">
        <f>IFERROR(__xludf.DUMMYFUNCTION("""COMPUTED_VALUE"""),"")</f>
        <v/>
      </c>
      <c r="L438" s="75"/>
      <c r="M438" s="46" t="s">
        <v>2002</v>
      </c>
    </row>
    <row r="439">
      <c r="A439" s="70"/>
      <c r="C439" s="5" t="s">
        <v>2002</v>
      </c>
      <c r="D439" s="5"/>
      <c r="E439" s="5"/>
      <c r="F439" s="5"/>
      <c r="G439" s="5"/>
      <c r="H439" s="5"/>
      <c r="I439" s="5"/>
      <c r="J439" s="73"/>
      <c r="K439" s="75" t="str">
        <f>IFERROR(__xludf.DUMMYFUNCTION("""COMPUTED_VALUE"""),"")</f>
        <v/>
      </c>
      <c r="L439" s="75"/>
      <c r="M439" s="46" t="s">
        <v>2002</v>
      </c>
    </row>
    <row r="440">
      <c r="A440" s="70"/>
      <c r="C440" s="5" t="s">
        <v>2002</v>
      </c>
      <c r="D440" s="5"/>
      <c r="E440" s="5"/>
      <c r="F440" s="5"/>
      <c r="G440" s="5"/>
      <c r="H440" s="5"/>
      <c r="I440" s="5"/>
      <c r="J440" s="73"/>
      <c r="K440" s="75" t="str">
        <f>IFERROR(__xludf.DUMMYFUNCTION("""COMPUTED_VALUE"""),"")</f>
        <v/>
      </c>
      <c r="L440" s="75"/>
      <c r="M440" s="46" t="s">
        <v>2002</v>
      </c>
    </row>
    <row r="441">
      <c r="A441" s="70"/>
      <c r="C441" s="5" t="s">
        <v>2002</v>
      </c>
      <c r="D441" s="5"/>
      <c r="E441" s="5"/>
      <c r="F441" s="5"/>
      <c r="G441" s="5"/>
      <c r="H441" s="5"/>
      <c r="I441" s="5"/>
      <c r="J441" s="73"/>
      <c r="K441" s="75" t="str">
        <f>IFERROR(__xludf.DUMMYFUNCTION("""COMPUTED_VALUE"""),"")</f>
        <v/>
      </c>
      <c r="L441" s="75"/>
      <c r="M441" s="46" t="s">
        <v>2002</v>
      </c>
    </row>
    <row r="442">
      <c r="A442" s="70"/>
      <c r="C442" s="5" t="s">
        <v>2002</v>
      </c>
      <c r="D442" s="5"/>
      <c r="E442" s="5"/>
      <c r="F442" s="5"/>
      <c r="G442" s="5"/>
      <c r="H442" s="5"/>
      <c r="I442" s="5"/>
      <c r="J442" s="73"/>
      <c r="K442" s="75" t="str">
        <f>IFERROR(__xludf.DUMMYFUNCTION("""COMPUTED_VALUE"""),"")</f>
        <v/>
      </c>
      <c r="L442" s="75"/>
      <c r="M442" s="46" t="s">
        <v>2002</v>
      </c>
    </row>
    <row r="443">
      <c r="A443" s="70"/>
      <c r="C443" s="5" t="s">
        <v>2002</v>
      </c>
      <c r="D443" s="5"/>
      <c r="E443" s="5"/>
      <c r="F443" s="5"/>
      <c r="G443" s="5"/>
      <c r="H443" s="5"/>
      <c r="I443" s="5"/>
      <c r="J443" s="73"/>
      <c r="K443" s="75" t="str">
        <f>IFERROR(__xludf.DUMMYFUNCTION("""COMPUTED_VALUE"""),"")</f>
        <v/>
      </c>
      <c r="L443" s="75"/>
      <c r="M443" s="46" t="s">
        <v>2002</v>
      </c>
    </row>
    <row r="444">
      <c r="A444" s="70"/>
      <c r="C444" s="5" t="s">
        <v>2002</v>
      </c>
      <c r="D444" s="5"/>
      <c r="E444" s="5"/>
      <c r="F444" s="5"/>
      <c r="G444" s="5"/>
      <c r="H444" s="5"/>
      <c r="I444" s="5"/>
      <c r="J444" s="73"/>
      <c r="K444" s="75" t="str">
        <f>IFERROR(__xludf.DUMMYFUNCTION("""COMPUTED_VALUE"""),"")</f>
        <v/>
      </c>
      <c r="L444" s="75"/>
      <c r="M444" s="46" t="s">
        <v>2002</v>
      </c>
    </row>
    <row r="445">
      <c r="A445" s="70"/>
      <c r="C445" s="5" t="s">
        <v>2002</v>
      </c>
      <c r="D445" s="5"/>
      <c r="E445" s="5"/>
      <c r="F445" s="5"/>
      <c r="G445" s="5"/>
      <c r="H445" s="5"/>
      <c r="I445" s="5"/>
      <c r="J445" s="73"/>
      <c r="K445" s="75" t="str">
        <f>IFERROR(__xludf.DUMMYFUNCTION("""COMPUTED_VALUE"""),"")</f>
        <v/>
      </c>
      <c r="L445" s="75"/>
      <c r="M445" s="46" t="s">
        <v>2002</v>
      </c>
    </row>
    <row r="446">
      <c r="A446" s="70"/>
      <c r="C446" s="5" t="s">
        <v>2002</v>
      </c>
      <c r="D446" s="5"/>
      <c r="E446" s="5"/>
      <c r="F446" s="5"/>
      <c r="G446" s="5"/>
      <c r="H446" s="5"/>
      <c r="I446" s="5"/>
      <c r="J446" s="73"/>
      <c r="K446" s="75" t="str">
        <f>IFERROR(__xludf.DUMMYFUNCTION("""COMPUTED_VALUE"""),"")</f>
        <v/>
      </c>
      <c r="L446" s="75"/>
      <c r="M446" s="46" t="s">
        <v>2002</v>
      </c>
    </row>
    <row r="447">
      <c r="A447" s="70"/>
      <c r="C447" s="5" t="s">
        <v>2002</v>
      </c>
      <c r="D447" s="5"/>
      <c r="E447" s="5"/>
      <c r="F447" s="5"/>
      <c r="G447" s="5"/>
      <c r="H447" s="5"/>
      <c r="I447" s="5"/>
      <c r="J447" s="73"/>
      <c r="K447" s="75" t="str">
        <f>IFERROR(__xludf.DUMMYFUNCTION("""COMPUTED_VALUE"""),"")</f>
        <v/>
      </c>
      <c r="L447" s="75"/>
      <c r="M447" s="46" t="s">
        <v>2002</v>
      </c>
    </row>
    <row r="448">
      <c r="A448" s="70"/>
      <c r="C448" s="5" t="s">
        <v>2002</v>
      </c>
      <c r="D448" s="5"/>
      <c r="E448" s="5"/>
      <c r="F448" s="5"/>
      <c r="G448" s="5"/>
      <c r="H448" s="5"/>
      <c r="I448" s="5"/>
      <c r="J448" s="73"/>
      <c r="K448" s="75" t="str">
        <f>IFERROR(__xludf.DUMMYFUNCTION("""COMPUTED_VALUE"""),"")</f>
        <v/>
      </c>
      <c r="L448" s="75"/>
      <c r="M448" s="46" t="s">
        <v>2002</v>
      </c>
    </row>
    <row r="449">
      <c r="A449" s="70"/>
      <c r="C449" s="5" t="s">
        <v>2002</v>
      </c>
      <c r="D449" s="5"/>
      <c r="E449" s="5"/>
      <c r="F449" s="5"/>
      <c r="G449" s="5"/>
      <c r="H449" s="5"/>
      <c r="I449" s="5"/>
      <c r="J449" s="73"/>
      <c r="K449" s="75" t="str">
        <f>IFERROR(__xludf.DUMMYFUNCTION("""COMPUTED_VALUE"""),"")</f>
        <v/>
      </c>
      <c r="L449" s="75"/>
      <c r="M449" s="46" t="s">
        <v>2002</v>
      </c>
    </row>
    <row r="450">
      <c r="A450" s="70"/>
      <c r="C450" s="5" t="s">
        <v>2002</v>
      </c>
      <c r="D450" s="5"/>
      <c r="E450" s="5"/>
      <c r="F450" s="5"/>
      <c r="G450" s="5"/>
      <c r="H450" s="5"/>
      <c r="I450" s="5"/>
      <c r="J450" s="73"/>
      <c r="K450" s="75" t="str">
        <f>IFERROR(__xludf.DUMMYFUNCTION("""COMPUTED_VALUE"""),"")</f>
        <v/>
      </c>
      <c r="L450" s="75"/>
      <c r="M450" s="46" t="s">
        <v>2002</v>
      </c>
    </row>
    <row r="451">
      <c r="A451" s="70"/>
      <c r="C451" s="5" t="s">
        <v>2002</v>
      </c>
      <c r="D451" s="5"/>
      <c r="E451" s="5"/>
      <c r="F451" s="5"/>
      <c r="G451" s="5"/>
      <c r="H451" s="5"/>
      <c r="I451" s="5"/>
      <c r="J451" s="73"/>
      <c r="K451" s="75" t="str">
        <f>IFERROR(__xludf.DUMMYFUNCTION("""COMPUTED_VALUE"""),"")</f>
        <v/>
      </c>
      <c r="L451" s="75"/>
      <c r="M451" s="46" t="s">
        <v>2002</v>
      </c>
    </row>
    <row r="452">
      <c r="A452" s="70"/>
      <c r="C452" s="5" t="s">
        <v>2002</v>
      </c>
      <c r="D452" s="5"/>
      <c r="E452" s="5"/>
      <c r="F452" s="5"/>
      <c r="G452" s="5"/>
      <c r="H452" s="5"/>
      <c r="I452" s="5"/>
      <c r="J452" s="73"/>
      <c r="K452" s="75" t="str">
        <f>IFERROR(__xludf.DUMMYFUNCTION("""COMPUTED_VALUE"""),"")</f>
        <v/>
      </c>
      <c r="L452" s="75"/>
      <c r="M452" s="46" t="s">
        <v>2002</v>
      </c>
    </row>
    <row r="453">
      <c r="A453" s="70"/>
      <c r="C453" s="5" t="s">
        <v>2002</v>
      </c>
      <c r="D453" s="5"/>
      <c r="E453" s="5"/>
      <c r="F453" s="5"/>
      <c r="G453" s="5"/>
      <c r="H453" s="5"/>
      <c r="I453" s="5"/>
      <c r="J453" s="73"/>
      <c r="K453" s="75" t="str">
        <f>IFERROR(__xludf.DUMMYFUNCTION("""COMPUTED_VALUE"""),"")</f>
        <v/>
      </c>
      <c r="L453" s="75"/>
      <c r="M453" s="46" t="s">
        <v>2002</v>
      </c>
    </row>
    <row r="454">
      <c r="A454" s="70"/>
      <c r="C454" s="5" t="s">
        <v>2002</v>
      </c>
      <c r="D454" s="5"/>
      <c r="E454" s="5"/>
      <c r="F454" s="5"/>
      <c r="G454" s="5"/>
      <c r="H454" s="5"/>
      <c r="I454" s="5"/>
      <c r="J454" s="73"/>
      <c r="K454" s="75" t="str">
        <f>IFERROR(__xludf.DUMMYFUNCTION("""COMPUTED_VALUE"""),"")</f>
        <v/>
      </c>
      <c r="L454" s="75"/>
      <c r="M454" s="46" t="s">
        <v>2002</v>
      </c>
    </row>
    <row r="455">
      <c r="A455" s="70"/>
      <c r="C455" s="5" t="s">
        <v>2002</v>
      </c>
      <c r="D455" s="5"/>
      <c r="E455" s="5"/>
      <c r="F455" s="5"/>
      <c r="G455" s="5"/>
      <c r="H455" s="5"/>
      <c r="I455" s="5"/>
      <c r="J455" s="73"/>
      <c r="K455" s="75" t="str">
        <f>IFERROR(__xludf.DUMMYFUNCTION("""COMPUTED_VALUE"""),"")</f>
        <v/>
      </c>
      <c r="L455" s="75"/>
      <c r="M455" s="46" t="s">
        <v>2002</v>
      </c>
    </row>
    <row r="456">
      <c r="A456" s="70"/>
      <c r="C456" s="5" t="s">
        <v>2002</v>
      </c>
      <c r="D456" s="5"/>
      <c r="E456" s="5"/>
      <c r="F456" s="5"/>
      <c r="G456" s="5"/>
      <c r="H456" s="5"/>
      <c r="I456" s="5"/>
      <c r="J456" s="73"/>
      <c r="K456" s="75" t="str">
        <f>IFERROR(__xludf.DUMMYFUNCTION("""COMPUTED_VALUE"""),"")</f>
        <v/>
      </c>
      <c r="L456" s="75"/>
      <c r="M456" s="46" t="s">
        <v>2002</v>
      </c>
    </row>
    <row r="457">
      <c r="A457" s="70"/>
      <c r="C457" s="5" t="s">
        <v>2002</v>
      </c>
      <c r="D457" s="5"/>
      <c r="E457" s="5"/>
      <c r="F457" s="5"/>
      <c r="G457" s="5"/>
      <c r="H457" s="5"/>
      <c r="I457" s="5"/>
      <c r="J457" s="73"/>
      <c r="K457" s="75" t="str">
        <f>IFERROR(__xludf.DUMMYFUNCTION("""COMPUTED_VALUE"""),"")</f>
        <v/>
      </c>
      <c r="L457" s="75"/>
      <c r="M457" s="46" t="s">
        <v>2002</v>
      </c>
    </row>
    <row r="458">
      <c r="A458" s="70"/>
      <c r="C458" s="5" t="s">
        <v>2002</v>
      </c>
      <c r="D458" s="5"/>
      <c r="E458" s="5"/>
      <c r="F458" s="5"/>
      <c r="G458" s="5"/>
      <c r="H458" s="5"/>
      <c r="I458" s="5"/>
      <c r="J458" s="73"/>
      <c r="K458" s="75" t="str">
        <f>IFERROR(__xludf.DUMMYFUNCTION("""COMPUTED_VALUE"""),"")</f>
        <v/>
      </c>
      <c r="L458" s="75"/>
      <c r="M458" s="46" t="s">
        <v>2002</v>
      </c>
    </row>
    <row r="459">
      <c r="A459" s="70"/>
      <c r="C459" s="5" t="s">
        <v>2002</v>
      </c>
      <c r="D459" s="5"/>
      <c r="E459" s="5"/>
      <c r="F459" s="5"/>
      <c r="G459" s="5"/>
      <c r="H459" s="5"/>
      <c r="I459" s="5"/>
      <c r="J459" s="73"/>
      <c r="K459" s="75" t="str">
        <f>IFERROR(__xludf.DUMMYFUNCTION("""COMPUTED_VALUE"""),"")</f>
        <v/>
      </c>
      <c r="L459" s="75"/>
      <c r="M459" s="46" t="s">
        <v>2002</v>
      </c>
    </row>
    <row r="460">
      <c r="A460" s="70"/>
      <c r="C460" s="5" t="s">
        <v>2002</v>
      </c>
      <c r="D460" s="5"/>
      <c r="E460" s="5"/>
      <c r="F460" s="5"/>
      <c r="G460" s="5"/>
      <c r="H460" s="5"/>
      <c r="I460" s="5"/>
      <c r="J460" s="73"/>
      <c r="K460" s="75" t="str">
        <f>IFERROR(__xludf.DUMMYFUNCTION("""COMPUTED_VALUE"""),"")</f>
        <v/>
      </c>
      <c r="L460" s="75"/>
      <c r="M460" s="46" t="s">
        <v>2002</v>
      </c>
    </row>
    <row r="461">
      <c r="A461" s="70"/>
      <c r="C461" s="5" t="s">
        <v>2002</v>
      </c>
      <c r="D461" s="5"/>
      <c r="E461" s="5"/>
      <c r="F461" s="5"/>
      <c r="G461" s="5"/>
      <c r="H461" s="5"/>
      <c r="I461" s="5"/>
      <c r="J461" s="73"/>
      <c r="K461" s="75" t="str">
        <f>IFERROR(__xludf.DUMMYFUNCTION("""COMPUTED_VALUE"""),"")</f>
        <v/>
      </c>
      <c r="L461" s="75"/>
      <c r="M461" s="46" t="s">
        <v>2002</v>
      </c>
    </row>
    <row r="462">
      <c r="A462" s="70"/>
      <c r="C462" s="5" t="s">
        <v>2002</v>
      </c>
      <c r="D462" s="5"/>
      <c r="E462" s="5"/>
      <c r="F462" s="5"/>
      <c r="G462" s="5"/>
      <c r="H462" s="5"/>
      <c r="I462" s="5"/>
      <c r="J462" s="73"/>
      <c r="K462" s="75" t="str">
        <f>IFERROR(__xludf.DUMMYFUNCTION("""COMPUTED_VALUE"""),"")</f>
        <v/>
      </c>
      <c r="L462" s="75"/>
      <c r="M462" s="46" t="s">
        <v>2002</v>
      </c>
    </row>
    <row r="463">
      <c r="A463" s="70"/>
      <c r="C463" s="5" t="s">
        <v>2002</v>
      </c>
      <c r="D463" s="5"/>
      <c r="E463" s="5"/>
      <c r="F463" s="5"/>
      <c r="G463" s="5"/>
      <c r="H463" s="5"/>
      <c r="I463" s="5"/>
      <c r="J463" s="73"/>
      <c r="K463" s="75" t="str">
        <f>IFERROR(__xludf.DUMMYFUNCTION("""COMPUTED_VALUE"""),"")</f>
        <v/>
      </c>
      <c r="L463" s="75"/>
      <c r="M463" s="46" t="s">
        <v>2002</v>
      </c>
    </row>
    <row r="464">
      <c r="A464" s="70"/>
      <c r="C464" s="5" t="s">
        <v>2002</v>
      </c>
      <c r="D464" s="5"/>
      <c r="E464" s="5"/>
      <c r="F464" s="5"/>
      <c r="G464" s="5"/>
      <c r="H464" s="5"/>
      <c r="I464" s="5"/>
      <c r="J464" s="73"/>
      <c r="K464" s="75" t="str">
        <f>IFERROR(__xludf.DUMMYFUNCTION("""COMPUTED_VALUE"""),"")</f>
        <v/>
      </c>
      <c r="L464" s="75"/>
      <c r="M464" s="46" t="s">
        <v>2002</v>
      </c>
    </row>
    <row r="465">
      <c r="A465" s="70"/>
      <c r="C465" s="5" t="s">
        <v>2002</v>
      </c>
      <c r="D465" s="5"/>
      <c r="E465" s="5"/>
      <c r="F465" s="5"/>
      <c r="G465" s="5"/>
      <c r="H465" s="5"/>
      <c r="I465" s="5"/>
      <c r="J465" s="73"/>
      <c r="K465" s="75" t="str">
        <f>IFERROR(__xludf.DUMMYFUNCTION("""COMPUTED_VALUE"""),"")</f>
        <v/>
      </c>
      <c r="L465" s="75"/>
      <c r="M465" s="46" t="s">
        <v>2002</v>
      </c>
    </row>
    <row r="466">
      <c r="A466" s="70"/>
      <c r="C466" s="5" t="s">
        <v>2002</v>
      </c>
      <c r="D466" s="5"/>
      <c r="E466" s="5"/>
      <c r="F466" s="5"/>
      <c r="G466" s="5"/>
      <c r="H466" s="5"/>
      <c r="I466" s="5"/>
      <c r="J466" s="73"/>
      <c r="K466" s="75" t="str">
        <f>IFERROR(__xludf.DUMMYFUNCTION("""COMPUTED_VALUE"""),"")</f>
        <v/>
      </c>
      <c r="L466" s="75"/>
      <c r="M466" s="46" t="s">
        <v>2002</v>
      </c>
    </row>
    <row r="467">
      <c r="A467" s="70"/>
      <c r="C467" s="5" t="s">
        <v>2002</v>
      </c>
      <c r="D467" s="5"/>
      <c r="E467" s="5"/>
      <c r="F467" s="5"/>
      <c r="G467" s="5"/>
      <c r="H467" s="5"/>
      <c r="I467" s="5"/>
      <c r="J467" s="73"/>
      <c r="K467" s="75" t="str">
        <f>IFERROR(__xludf.DUMMYFUNCTION("""COMPUTED_VALUE"""),"")</f>
        <v/>
      </c>
      <c r="L467" s="75"/>
      <c r="M467" s="46" t="s">
        <v>2002</v>
      </c>
    </row>
    <row r="468">
      <c r="A468" s="70"/>
      <c r="C468" s="5" t="s">
        <v>2002</v>
      </c>
      <c r="D468" s="5"/>
      <c r="E468" s="5"/>
      <c r="F468" s="5"/>
      <c r="G468" s="5"/>
      <c r="H468" s="5"/>
      <c r="I468" s="5"/>
      <c r="J468" s="73"/>
      <c r="K468" s="75" t="str">
        <f>IFERROR(__xludf.DUMMYFUNCTION("""COMPUTED_VALUE"""),"")</f>
        <v/>
      </c>
      <c r="L468" s="75"/>
      <c r="M468" s="46" t="s">
        <v>2002</v>
      </c>
    </row>
    <row r="469">
      <c r="A469" s="70"/>
      <c r="C469" s="5" t="s">
        <v>2002</v>
      </c>
      <c r="D469" s="5"/>
      <c r="E469" s="5"/>
      <c r="F469" s="5"/>
      <c r="G469" s="5"/>
      <c r="H469" s="5"/>
      <c r="I469" s="5"/>
      <c r="J469" s="73"/>
      <c r="K469" s="75" t="str">
        <f>IFERROR(__xludf.DUMMYFUNCTION("""COMPUTED_VALUE"""),"")</f>
        <v/>
      </c>
      <c r="L469" s="75"/>
      <c r="M469" s="46" t="s">
        <v>2002</v>
      </c>
    </row>
    <row r="470">
      <c r="A470" s="70"/>
      <c r="C470" s="5" t="s">
        <v>2002</v>
      </c>
      <c r="D470" s="5"/>
      <c r="E470" s="5"/>
      <c r="F470" s="5"/>
      <c r="G470" s="5"/>
      <c r="H470" s="5"/>
      <c r="I470" s="5"/>
      <c r="J470" s="73"/>
      <c r="K470" s="75" t="str">
        <f>IFERROR(__xludf.DUMMYFUNCTION("""COMPUTED_VALUE"""),"")</f>
        <v/>
      </c>
      <c r="L470" s="75"/>
      <c r="M470" s="46" t="s">
        <v>2002</v>
      </c>
    </row>
    <row r="471">
      <c r="A471" s="70"/>
      <c r="C471" s="5" t="s">
        <v>2002</v>
      </c>
      <c r="D471" s="5"/>
      <c r="E471" s="5"/>
      <c r="F471" s="5"/>
      <c r="G471" s="5"/>
      <c r="H471" s="5"/>
      <c r="I471" s="5"/>
      <c r="J471" s="73"/>
      <c r="K471" s="75" t="str">
        <f>IFERROR(__xludf.DUMMYFUNCTION("""COMPUTED_VALUE"""),"")</f>
        <v/>
      </c>
      <c r="L471" s="75"/>
      <c r="M471" s="46" t="s">
        <v>2002</v>
      </c>
    </row>
    <row r="472">
      <c r="A472" s="70"/>
      <c r="C472" s="5" t="s">
        <v>2002</v>
      </c>
      <c r="D472" s="5"/>
      <c r="E472" s="5"/>
      <c r="F472" s="5"/>
      <c r="G472" s="5"/>
      <c r="H472" s="5"/>
      <c r="I472" s="5"/>
      <c r="J472" s="73"/>
      <c r="K472" s="75" t="str">
        <f>IFERROR(__xludf.DUMMYFUNCTION("""COMPUTED_VALUE"""),"")</f>
        <v/>
      </c>
      <c r="L472" s="75"/>
      <c r="M472" s="46" t="s">
        <v>2002</v>
      </c>
    </row>
    <row r="473">
      <c r="A473" s="70"/>
      <c r="C473" s="5" t="s">
        <v>2002</v>
      </c>
      <c r="D473" s="5"/>
      <c r="E473" s="5"/>
      <c r="F473" s="5"/>
      <c r="G473" s="5"/>
      <c r="H473" s="5"/>
      <c r="I473" s="5"/>
      <c r="J473" s="73"/>
      <c r="K473" s="75" t="str">
        <f>IFERROR(__xludf.DUMMYFUNCTION("""COMPUTED_VALUE"""),"")</f>
        <v/>
      </c>
      <c r="L473" s="75"/>
      <c r="M473" s="46" t="s">
        <v>2002</v>
      </c>
    </row>
    <row r="474">
      <c r="A474" s="70"/>
      <c r="C474" s="5" t="s">
        <v>2002</v>
      </c>
      <c r="D474" s="5"/>
      <c r="E474" s="5"/>
      <c r="F474" s="5"/>
      <c r="G474" s="5"/>
      <c r="H474" s="5"/>
      <c r="I474" s="5"/>
      <c r="J474" s="73"/>
      <c r="K474" s="75" t="str">
        <f>IFERROR(__xludf.DUMMYFUNCTION("""COMPUTED_VALUE"""),"")</f>
        <v/>
      </c>
      <c r="L474" s="75"/>
      <c r="M474" s="46" t="s">
        <v>2002</v>
      </c>
    </row>
    <row r="475">
      <c r="A475" s="70"/>
      <c r="C475" s="5" t="s">
        <v>2002</v>
      </c>
      <c r="D475" s="5"/>
      <c r="E475" s="5"/>
      <c r="F475" s="5"/>
      <c r="G475" s="5"/>
      <c r="H475" s="5"/>
      <c r="I475" s="5"/>
      <c r="J475" s="73"/>
      <c r="K475" s="75" t="str">
        <f>IFERROR(__xludf.DUMMYFUNCTION("""COMPUTED_VALUE"""),"")</f>
        <v/>
      </c>
      <c r="L475" s="75"/>
      <c r="M475" s="46" t="s">
        <v>2002</v>
      </c>
    </row>
    <row r="476">
      <c r="A476" s="70"/>
      <c r="C476" s="5" t="s">
        <v>2002</v>
      </c>
      <c r="D476" s="5"/>
      <c r="E476" s="5"/>
      <c r="F476" s="5"/>
      <c r="G476" s="5"/>
      <c r="H476" s="5"/>
      <c r="I476" s="5"/>
      <c r="J476" s="73"/>
      <c r="K476" s="75" t="str">
        <f>IFERROR(__xludf.DUMMYFUNCTION("""COMPUTED_VALUE"""),"")</f>
        <v/>
      </c>
      <c r="L476" s="75"/>
      <c r="M476" s="46" t="s">
        <v>2002</v>
      </c>
    </row>
    <row r="477">
      <c r="A477" s="70"/>
      <c r="C477" s="5" t="s">
        <v>2002</v>
      </c>
      <c r="D477" s="5"/>
      <c r="E477" s="5"/>
      <c r="F477" s="5"/>
      <c r="G477" s="5"/>
      <c r="H477" s="5"/>
      <c r="I477" s="5"/>
      <c r="J477" s="73"/>
      <c r="K477" s="75" t="str">
        <f>IFERROR(__xludf.DUMMYFUNCTION("""COMPUTED_VALUE"""),"")</f>
        <v/>
      </c>
      <c r="L477" s="75"/>
      <c r="M477" s="46" t="s">
        <v>2002</v>
      </c>
    </row>
    <row r="478">
      <c r="A478" s="70"/>
      <c r="C478" s="5" t="s">
        <v>2002</v>
      </c>
      <c r="D478" s="5"/>
      <c r="E478" s="5"/>
      <c r="F478" s="5"/>
      <c r="G478" s="5"/>
      <c r="H478" s="5"/>
      <c r="I478" s="5"/>
      <c r="J478" s="73"/>
      <c r="K478" s="75" t="str">
        <f>IFERROR(__xludf.DUMMYFUNCTION("""COMPUTED_VALUE"""),"")</f>
        <v/>
      </c>
      <c r="L478" s="75"/>
      <c r="M478" s="46" t="s">
        <v>2002</v>
      </c>
    </row>
    <row r="479">
      <c r="A479" s="70"/>
      <c r="C479" s="5" t="s">
        <v>2002</v>
      </c>
      <c r="D479" s="5"/>
      <c r="E479" s="5"/>
      <c r="F479" s="5"/>
      <c r="G479" s="5"/>
      <c r="H479" s="5"/>
      <c r="I479" s="5"/>
      <c r="J479" s="73"/>
      <c r="K479" s="75" t="str">
        <f>IFERROR(__xludf.DUMMYFUNCTION("""COMPUTED_VALUE"""),"")</f>
        <v/>
      </c>
      <c r="L479" s="75"/>
      <c r="M479" s="46" t="s">
        <v>2002</v>
      </c>
    </row>
    <row r="480">
      <c r="A480" s="70"/>
      <c r="C480" s="5" t="s">
        <v>2002</v>
      </c>
      <c r="D480" s="5"/>
      <c r="E480" s="5"/>
      <c r="F480" s="5"/>
      <c r="G480" s="5"/>
      <c r="H480" s="5"/>
      <c r="I480" s="5"/>
      <c r="J480" s="73"/>
      <c r="K480" s="75" t="str">
        <f>IFERROR(__xludf.DUMMYFUNCTION("""COMPUTED_VALUE"""),"")</f>
        <v/>
      </c>
      <c r="L480" s="75"/>
      <c r="M480" s="46" t="s">
        <v>2002</v>
      </c>
    </row>
    <row r="481">
      <c r="A481" s="70"/>
      <c r="C481" s="5" t="s">
        <v>2002</v>
      </c>
      <c r="D481" s="5"/>
      <c r="E481" s="5"/>
      <c r="F481" s="5"/>
      <c r="G481" s="5"/>
      <c r="H481" s="5"/>
      <c r="I481" s="5"/>
      <c r="J481" s="73"/>
      <c r="K481" s="75" t="str">
        <f>IFERROR(__xludf.DUMMYFUNCTION("""COMPUTED_VALUE"""),"")</f>
        <v/>
      </c>
      <c r="L481" s="75"/>
      <c r="M481" s="46" t="s">
        <v>2002</v>
      </c>
    </row>
    <row r="482">
      <c r="A482" s="70"/>
      <c r="C482" s="5" t="s">
        <v>2002</v>
      </c>
      <c r="D482" s="5"/>
      <c r="E482" s="5"/>
      <c r="F482" s="5"/>
      <c r="G482" s="5"/>
      <c r="H482" s="5"/>
      <c r="I482" s="5"/>
      <c r="J482" s="73"/>
      <c r="K482" s="75" t="str">
        <f>IFERROR(__xludf.DUMMYFUNCTION("""COMPUTED_VALUE"""),"")</f>
        <v/>
      </c>
      <c r="L482" s="75"/>
      <c r="M482" s="46" t="s">
        <v>2002</v>
      </c>
    </row>
    <row r="483">
      <c r="A483" s="70"/>
      <c r="C483" s="5" t="s">
        <v>2002</v>
      </c>
      <c r="D483" s="5"/>
      <c r="E483" s="5"/>
      <c r="F483" s="5"/>
      <c r="G483" s="5"/>
      <c r="H483" s="5"/>
      <c r="I483" s="5"/>
      <c r="J483" s="73"/>
      <c r="K483" s="75" t="str">
        <f>IFERROR(__xludf.DUMMYFUNCTION("""COMPUTED_VALUE"""),"")</f>
        <v/>
      </c>
      <c r="L483" s="75"/>
      <c r="M483" s="46" t="s">
        <v>2002</v>
      </c>
    </row>
    <row r="484">
      <c r="A484" s="70"/>
      <c r="C484" s="5" t="s">
        <v>2002</v>
      </c>
      <c r="D484" s="5"/>
      <c r="E484" s="5"/>
      <c r="F484" s="5"/>
      <c r="G484" s="5"/>
      <c r="H484" s="5"/>
      <c r="I484" s="5"/>
      <c r="J484" s="73"/>
      <c r="K484" s="75" t="str">
        <f>IFERROR(__xludf.DUMMYFUNCTION("""COMPUTED_VALUE"""),"")</f>
        <v/>
      </c>
      <c r="L484" s="75"/>
      <c r="M484" s="46" t="s">
        <v>2002</v>
      </c>
    </row>
    <row r="485">
      <c r="A485" s="70"/>
      <c r="C485" s="5" t="s">
        <v>2002</v>
      </c>
      <c r="D485" s="5"/>
      <c r="E485" s="5"/>
      <c r="F485" s="5"/>
      <c r="G485" s="5"/>
      <c r="H485" s="5"/>
      <c r="I485" s="5"/>
      <c r="J485" s="73"/>
      <c r="K485" s="75" t="str">
        <f>IFERROR(__xludf.DUMMYFUNCTION("""COMPUTED_VALUE"""),"")</f>
        <v/>
      </c>
      <c r="L485" s="75"/>
      <c r="M485" s="46" t="s">
        <v>2002</v>
      </c>
    </row>
    <row r="486">
      <c r="A486" s="70"/>
      <c r="C486" s="5" t="s">
        <v>2002</v>
      </c>
      <c r="D486" s="5"/>
      <c r="E486" s="5"/>
      <c r="F486" s="5"/>
      <c r="G486" s="5"/>
      <c r="H486" s="5"/>
      <c r="I486" s="5"/>
      <c r="J486" s="73"/>
      <c r="K486" s="75" t="str">
        <f>IFERROR(__xludf.DUMMYFUNCTION("""COMPUTED_VALUE"""),"")</f>
        <v/>
      </c>
      <c r="L486" s="75"/>
      <c r="M486" s="46" t="s">
        <v>2002</v>
      </c>
    </row>
    <row r="487">
      <c r="A487" s="70"/>
      <c r="C487" s="5" t="s">
        <v>2002</v>
      </c>
      <c r="D487" s="5"/>
      <c r="E487" s="5"/>
      <c r="F487" s="5"/>
      <c r="G487" s="5"/>
      <c r="H487" s="5"/>
      <c r="I487" s="5"/>
      <c r="J487" s="73"/>
      <c r="K487" s="75" t="str">
        <f>IFERROR(__xludf.DUMMYFUNCTION("""COMPUTED_VALUE"""),"")</f>
        <v/>
      </c>
      <c r="L487" s="75"/>
      <c r="M487" s="46" t="s">
        <v>2002</v>
      </c>
    </row>
    <row r="488">
      <c r="A488" s="70"/>
      <c r="C488" s="5" t="s">
        <v>2002</v>
      </c>
      <c r="D488" s="5"/>
      <c r="E488" s="5"/>
      <c r="F488" s="5"/>
      <c r="G488" s="5"/>
      <c r="H488" s="5"/>
      <c r="I488" s="5"/>
      <c r="J488" s="73"/>
      <c r="K488" s="75" t="str">
        <f>IFERROR(__xludf.DUMMYFUNCTION("""COMPUTED_VALUE"""),"")</f>
        <v/>
      </c>
      <c r="L488" s="75"/>
      <c r="M488" s="46" t="s">
        <v>2002</v>
      </c>
    </row>
    <row r="489">
      <c r="A489" s="70"/>
      <c r="C489" s="5" t="s">
        <v>2002</v>
      </c>
      <c r="D489" s="5"/>
      <c r="E489" s="5"/>
      <c r="F489" s="5"/>
      <c r="G489" s="5"/>
      <c r="H489" s="5"/>
      <c r="I489" s="5"/>
      <c r="J489" s="73"/>
      <c r="K489" s="75" t="str">
        <f>IFERROR(__xludf.DUMMYFUNCTION("""COMPUTED_VALUE"""),"")</f>
        <v/>
      </c>
      <c r="L489" s="75"/>
      <c r="M489" s="46" t="s">
        <v>2002</v>
      </c>
    </row>
    <row r="490">
      <c r="A490" s="70"/>
      <c r="C490" s="5" t="s">
        <v>2002</v>
      </c>
      <c r="D490" s="5"/>
      <c r="E490" s="5"/>
      <c r="F490" s="5"/>
      <c r="G490" s="5"/>
      <c r="H490" s="5"/>
      <c r="I490" s="5"/>
      <c r="J490" s="73"/>
      <c r="K490" s="75" t="str">
        <f>IFERROR(__xludf.DUMMYFUNCTION("""COMPUTED_VALUE"""),"")</f>
        <v/>
      </c>
      <c r="L490" s="75"/>
      <c r="M490" s="46" t="s">
        <v>2002</v>
      </c>
    </row>
    <row r="491">
      <c r="A491" s="70"/>
      <c r="C491" s="5" t="s">
        <v>2002</v>
      </c>
      <c r="D491" s="5"/>
      <c r="E491" s="5"/>
      <c r="F491" s="5"/>
      <c r="G491" s="5"/>
      <c r="H491" s="5"/>
      <c r="I491" s="5"/>
      <c r="J491" s="73"/>
      <c r="K491" s="75" t="str">
        <f>IFERROR(__xludf.DUMMYFUNCTION("""COMPUTED_VALUE"""),"")</f>
        <v/>
      </c>
      <c r="L491" s="75"/>
      <c r="M491" s="46" t="s">
        <v>2002</v>
      </c>
    </row>
    <row r="492">
      <c r="A492" s="70"/>
      <c r="C492" s="5" t="s">
        <v>2002</v>
      </c>
      <c r="D492" s="5"/>
      <c r="E492" s="5"/>
      <c r="F492" s="5"/>
      <c r="G492" s="5"/>
      <c r="H492" s="5"/>
      <c r="I492" s="5"/>
      <c r="J492" s="73"/>
      <c r="K492" s="75" t="str">
        <f>IFERROR(__xludf.DUMMYFUNCTION("""COMPUTED_VALUE"""),"")</f>
        <v/>
      </c>
      <c r="L492" s="75"/>
      <c r="M492" s="46" t="s">
        <v>2002</v>
      </c>
    </row>
    <row r="493">
      <c r="A493" s="70"/>
      <c r="C493" s="5" t="s">
        <v>2002</v>
      </c>
      <c r="D493" s="5"/>
      <c r="E493" s="5"/>
      <c r="F493" s="5"/>
      <c r="G493" s="5"/>
      <c r="H493" s="5"/>
      <c r="I493" s="5"/>
      <c r="J493" s="73"/>
      <c r="K493" s="75" t="str">
        <f>IFERROR(__xludf.DUMMYFUNCTION("""COMPUTED_VALUE"""),"")</f>
        <v/>
      </c>
      <c r="L493" s="75"/>
      <c r="M493" s="46" t="s">
        <v>2002</v>
      </c>
    </row>
    <row r="494">
      <c r="A494" s="70"/>
      <c r="C494" s="5" t="s">
        <v>2002</v>
      </c>
      <c r="D494" s="5"/>
      <c r="E494" s="5"/>
      <c r="F494" s="5"/>
      <c r="G494" s="5"/>
      <c r="H494" s="5"/>
      <c r="I494" s="5"/>
      <c r="J494" s="73"/>
      <c r="K494" s="75" t="str">
        <f>IFERROR(__xludf.DUMMYFUNCTION("""COMPUTED_VALUE"""),"")</f>
        <v/>
      </c>
      <c r="L494" s="75"/>
      <c r="M494" s="46" t="s">
        <v>2002</v>
      </c>
    </row>
    <row r="495">
      <c r="A495" s="70"/>
      <c r="C495" s="5" t="s">
        <v>2002</v>
      </c>
      <c r="D495" s="5"/>
      <c r="E495" s="5"/>
      <c r="F495" s="5"/>
      <c r="G495" s="5"/>
      <c r="H495" s="5"/>
      <c r="I495" s="5"/>
      <c r="J495" s="73"/>
      <c r="K495" s="75" t="str">
        <f>IFERROR(__xludf.DUMMYFUNCTION("""COMPUTED_VALUE"""),"")</f>
        <v/>
      </c>
      <c r="L495" s="75"/>
      <c r="M495" s="46" t="s">
        <v>2002</v>
      </c>
    </row>
    <row r="496">
      <c r="A496" s="70"/>
      <c r="C496" s="5" t="s">
        <v>2002</v>
      </c>
      <c r="D496" s="5"/>
      <c r="E496" s="5"/>
      <c r="F496" s="5"/>
      <c r="G496" s="5"/>
      <c r="H496" s="5"/>
      <c r="I496" s="5"/>
      <c r="J496" s="73"/>
      <c r="K496" s="75" t="str">
        <f>IFERROR(__xludf.DUMMYFUNCTION("""COMPUTED_VALUE"""),"")</f>
        <v/>
      </c>
      <c r="L496" s="75"/>
      <c r="M496" s="46" t="s">
        <v>2002</v>
      </c>
    </row>
    <row r="497">
      <c r="A497" s="70"/>
      <c r="C497" s="5" t="s">
        <v>2002</v>
      </c>
      <c r="D497" s="5"/>
      <c r="E497" s="5"/>
      <c r="F497" s="5"/>
      <c r="G497" s="5"/>
      <c r="H497" s="5"/>
      <c r="I497" s="5"/>
      <c r="J497" s="73"/>
      <c r="K497" s="75" t="str">
        <f>IFERROR(__xludf.DUMMYFUNCTION("""COMPUTED_VALUE"""),"")</f>
        <v/>
      </c>
      <c r="L497" s="75"/>
      <c r="M497" s="46" t="s">
        <v>2002</v>
      </c>
    </row>
    <row r="498">
      <c r="A498" s="70"/>
      <c r="C498" s="5" t="s">
        <v>2002</v>
      </c>
      <c r="D498" s="5"/>
      <c r="E498" s="5"/>
      <c r="F498" s="5"/>
      <c r="G498" s="5"/>
      <c r="H498" s="5"/>
      <c r="I498" s="5"/>
      <c r="J498" s="73"/>
      <c r="K498" s="75" t="str">
        <f>IFERROR(__xludf.DUMMYFUNCTION("""COMPUTED_VALUE"""),"")</f>
        <v/>
      </c>
      <c r="L498" s="75"/>
      <c r="M498" s="46" t="s">
        <v>2002</v>
      </c>
    </row>
    <row r="499">
      <c r="A499" s="70"/>
      <c r="C499" s="5" t="s">
        <v>2002</v>
      </c>
      <c r="D499" s="5"/>
      <c r="E499" s="5"/>
      <c r="F499" s="5"/>
      <c r="G499" s="5"/>
      <c r="H499" s="5"/>
      <c r="I499" s="5"/>
      <c r="J499" s="73"/>
      <c r="K499" s="75" t="str">
        <f>IFERROR(__xludf.DUMMYFUNCTION("""COMPUTED_VALUE"""),"")</f>
        <v/>
      </c>
      <c r="L499" s="75"/>
      <c r="M499" s="46" t="s">
        <v>2002</v>
      </c>
    </row>
    <row r="500">
      <c r="A500" s="70"/>
      <c r="C500" s="5" t="s">
        <v>2002</v>
      </c>
      <c r="D500" s="5"/>
      <c r="E500" s="5"/>
      <c r="F500" s="5"/>
      <c r="G500" s="5"/>
      <c r="H500" s="5"/>
      <c r="I500" s="5"/>
      <c r="J500" s="73"/>
      <c r="K500" s="75" t="str">
        <f>IFERROR(__xludf.DUMMYFUNCTION("""COMPUTED_VALUE"""),"")</f>
        <v/>
      </c>
      <c r="L500" s="75"/>
      <c r="M500" s="46" t="s">
        <v>2002</v>
      </c>
    </row>
    <row r="501">
      <c r="A501" s="70"/>
      <c r="C501" s="5" t="s">
        <v>2002</v>
      </c>
      <c r="D501" s="5"/>
      <c r="E501" s="5"/>
      <c r="F501" s="5"/>
      <c r="G501" s="5"/>
      <c r="H501" s="5"/>
      <c r="I501" s="5"/>
      <c r="J501" s="73"/>
      <c r="K501" s="75" t="str">
        <f>IFERROR(__xludf.DUMMYFUNCTION("""COMPUTED_VALUE"""),"")</f>
        <v/>
      </c>
      <c r="L501" s="75"/>
      <c r="M501" s="46" t="s">
        <v>2002</v>
      </c>
    </row>
    <row r="502">
      <c r="A502" s="70"/>
      <c r="C502" s="5" t="s">
        <v>2002</v>
      </c>
      <c r="D502" s="5"/>
      <c r="E502" s="5"/>
      <c r="F502" s="5"/>
      <c r="G502" s="5"/>
      <c r="H502" s="5"/>
      <c r="I502" s="5"/>
      <c r="J502" s="73"/>
      <c r="K502" s="75" t="str">
        <f>IFERROR(__xludf.DUMMYFUNCTION("""COMPUTED_VALUE"""),"")</f>
        <v/>
      </c>
      <c r="L502" s="75"/>
      <c r="M502" s="46" t="s">
        <v>2002</v>
      </c>
    </row>
    <row r="503">
      <c r="A503" s="70"/>
      <c r="C503" s="5" t="s">
        <v>2002</v>
      </c>
      <c r="D503" s="5"/>
      <c r="E503" s="5"/>
      <c r="F503" s="5"/>
      <c r="G503" s="5"/>
      <c r="H503" s="5"/>
      <c r="I503" s="5"/>
      <c r="J503" s="73"/>
      <c r="K503" s="75" t="str">
        <f>IFERROR(__xludf.DUMMYFUNCTION("""COMPUTED_VALUE"""),"")</f>
        <v/>
      </c>
      <c r="L503" s="75"/>
      <c r="M503" s="46" t="s">
        <v>2002</v>
      </c>
    </row>
    <row r="504">
      <c r="A504" s="70"/>
      <c r="C504" s="5" t="s">
        <v>2002</v>
      </c>
      <c r="D504" s="5"/>
      <c r="E504" s="5"/>
      <c r="F504" s="5"/>
      <c r="G504" s="5"/>
      <c r="H504" s="5"/>
      <c r="I504" s="5"/>
      <c r="J504" s="73"/>
      <c r="K504" s="75" t="str">
        <f>IFERROR(__xludf.DUMMYFUNCTION("""COMPUTED_VALUE"""),"")</f>
        <v/>
      </c>
      <c r="L504" s="75"/>
      <c r="M504" s="46" t="s">
        <v>2002</v>
      </c>
    </row>
    <row r="505">
      <c r="A505" s="70"/>
      <c r="C505" s="5" t="s">
        <v>2002</v>
      </c>
      <c r="D505" s="5"/>
      <c r="E505" s="5"/>
      <c r="F505" s="5"/>
      <c r="G505" s="5"/>
      <c r="H505" s="5"/>
      <c r="I505" s="5"/>
      <c r="J505" s="73"/>
      <c r="K505" s="75" t="str">
        <f>IFERROR(__xludf.DUMMYFUNCTION("""COMPUTED_VALUE"""),"")</f>
        <v/>
      </c>
      <c r="L505" s="75"/>
      <c r="M505" s="46" t="s">
        <v>2002</v>
      </c>
    </row>
    <row r="506">
      <c r="A506" s="70"/>
      <c r="C506" s="5" t="s">
        <v>2002</v>
      </c>
      <c r="D506" s="5"/>
      <c r="E506" s="5"/>
      <c r="F506" s="5"/>
      <c r="G506" s="5"/>
      <c r="H506" s="5"/>
      <c r="I506" s="5"/>
      <c r="J506" s="73"/>
      <c r="K506" s="75" t="str">
        <f>IFERROR(__xludf.DUMMYFUNCTION("""COMPUTED_VALUE"""),"")</f>
        <v/>
      </c>
      <c r="L506" s="75"/>
      <c r="M506" s="46" t="s">
        <v>2002</v>
      </c>
    </row>
    <row r="507">
      <c r="A507" s="70"/>
      <c r="C507" s="5" t="s">
        <v>2002</v>
      </c>
      <c r="D507" s="5"/>
      <c r="E507" s="5"/>
      <c r="F507" s="5"/>
      <c r="G507" s="5"/>
      <c r="H507" s="5"/>
      <c r="I507" s="5"/>
      <c r="J507" s="73"/>
      <c r="K507" s="75" t="str">
        <f>IFERROR(__xludf.DUMMYFUNCTION("""COMPUTED_VALUE"""),"")</f>
        <v/>
      </c>
      <c r="L507" s="75"/>
      <c r="M507" s="46" t="s">
        <v>2002</v>
      </c>
    </row>
    <row r="508">
      <c r="A508" s="70"/>
      <c r="C508" s="5" t="s">
        <v>2002</v>
      </c>
      <c r="D508" s="5"/>
      <c r="E508" s="5"/>
      <c r="F508" s="5"/>
      <c r="G508" s="5"/>
      <c r="H508" s="5"/>
      <c r="I508" s="5"/>
      <c r="J508" s="73"/>
      <c r="K508" s="75" t="str">
        <f>IFERROR(__xludf.DUMMYFUNCTION("""COMPUTED_VALUE"""),"")</f>
        <v/>
      </c>
      <c r="L508" s="75"/>
      <c r="M508" s="46" t="s">
        <v>2002</v>
      </c>
    </row>
    <row r="509">
      <c r="A509" s="70"/>
      <c r="C509" s="5" t="s">
        <v>2002</v>
      </c>
      <c r="D509" s="5"/>
      <c r="E509" s="5"/>
      <c r="F509" s="5"/>
      <c r="G509" s="5"/>
      <c r="H509" s="5"/>
      <c r="I509" s="5"/>
      <c r="J509" s="73"/>
      <c r="K509" s="75" t="str">
        <f>IFERROR(__xludf.DUMMYFUNCTION("""COMPUTED_VALUE"""),"")</f>
        <v/>
      </c>
      <c r="L509" s="75"/>
      <c r="M509" s="46" t="s">
        <v>2002</v>
      </c>
    </row>
    <row r="510">
      <c r="A510" s="70"/>
      <c r="C510" s="5" t="s">
        <v>2002</v>
      </c>
      <c r="D510" s="5"/>
      <c r="E510" s="5"/>
      <c r="F510" s="5"/>
      <c r="G510" s="5"/>
      <c r="H510" s="5"/>
      <c r="I510" s="5"/>
      <c r="J510" s="73"/>
      <c r="K510" s="75" t="str">
        <f>IFERROR(__xludf.DUMMYFUNCTION("""COMPUTED_VALUE"""),"")</f>
        <v/>
      </c>
      <c r="L510" s="75"/>
      <c r="M510" s="46" t="s">
        <v>2002</v>
      </c>
    </row>
    <row r="511">
      <c r="A511" s="70"/>
      <c r="C511" s="5" t="s">
        <v>2002</v>
      </c>
      <c r="D511" s="5"/>
      <c r="E511" s="5"/>
      <c r="F511" s="5"/>
      <c r="G511" s="5"/>
      <c r="H511" s="5"/>
      <c r="I511" s="5"/>
      <c r="J511" s="73"/>
      <c r="K511" s="75" t="str">
        <f>IFERROR(__xludf.DUMMYFUNCTION("""COMPUTED_VALUE"""),"")</f>
        <v/>
      </c>
      <c r="L511" s="75"/>
      <c r="M511" s="46" t="s">
        <v>2002</v>
      </c>
    </row>
    <row r="512">
      <c r="A512" s="70"/>
      <c r="C512" s="5" t="s">
        <v>2002</v>
      </c>
      <c r="D512" s="5"/>
      <c r="E512" s="5"/>
      <c r="F512" s="5"/>
      <c r="G512" s="5"/>
      <c r="H512" s="5"/>
      <c r="I512" s="5"/>
      <c r="J512" s="73"/>
      <c r="K512" s="75" t="str">
        <f>IFERROR(__xludf.DUMMYFUNCTION("""COMPUTED_VALUE"""),"")</f>
        <v/>
      </c>
      <c r="L512" s="75"/>
      <c r="M512" s="46" t="s">
        <v>2002</v>
      </c>
    </row>
    <row r="513">
      <c r="A513" s="70"/>
      <c r="C513" s="5" t="s">
        <v>2002</v>
      </c>
      <c r="D513" s="5"/>
      <c r="E513" s="5"/>
      <c r="F513" s="5"/>
      <c r="G513" s="5"/>
      <c r="H513" s="5"/>
      <c r="I513" s="5"/>
      <c r="J513" s="73"/>
      <c r="K513" s="75" t="str">
        <f>IFERROR(__xludf.DUMMYFUNCTION("""COMPUTED_VALUE"""),"")</f>
        <v/>
      </c>
      <c r="L513" s="75"/>
      <c r="M513" s="46" t="s">
        <v>2002</v>
      </c>
    </row>
    <row r="514">
      <c r="A514" s="70"/>
      <c r="C514" s="5" t="s">
        <v>2002</v>
      </c>
      <c r="D514" s="5"/>
      <c r="E514" s="5"/>
      <c r="F514" s="5"/>
      <c r="G514" s="5"/>
      <c r="H514" s="5"/>
      <c r="I514" s="5"/>
      <c r="J514" s="73"/>
      <c r="K514" s="75" t="str">
        <f>IFERROR(__xludf.DUMMYFUNCTION("""COMPUTED_VALUE"""),"")</f>
        <v/>
      </c>
      <c r="L514" s="75"/>
      <c r="M514" s="46" t="s">
        <v>2002</v>
      </c>
    </row>
    <row r="515">
      <c r="A515" s="70"/>
      <c r="C515" s="5" t="s">
        <v>2002</v>
      </c>
      <c r="D515" s="5"/>
      <c r="E515" s="5"/>
      <c r="F515" s="5"/>
      <c r="G515" s="5"/>
      <c r="H515" s="5"/>
      <c r="I515" s="5"/>
      <c r="J515" s="73"/>
      <c r="K515" s="75" t="str">
        <f>IFERROR(__xludf.DUMMYFUNCTION("""COMPUTED_VALUE"""),"")</f>
        <v/>
      </c>
      <c r="L515" s="75"/>
      <c r="M515" s="46" t="s">
        <v>2002</v>
      </c>
    </row>
    <row r="516">
      <c r="A516" s="70"/>
      <c r="C516" s="5" t="s">
        <v>2002</v>
      </c>
      <c r="D516" s="5"/>
      <c r="E516" s="5"/>
      <c r="F516" s="5"/>
      <c r="G516" s="5"/>
      <c r="H516" s="5"/>
      <c r="I516" s="5"/>
      <c r="J516" s="73"/>
      <c r="K516" s="75" t="str">
        <f>IFERROR(__xludf.DUMMYFUNCTION("""COMPUTED_VALUE"""),"")</f>
        <v/>
      </c>
      <c r="L516" s="75"/>
      <c r="M516" s="46" t="s">
        <v>2002</v>
      </c>
    </row>
    <row r="517">
      <c r="A517" s="70"/>
      <c r="C517" s="5" t="s">
        <v>2002</v>
      </c>
      <c r="D517" s="5"/>
      <c r="E517" s="5"/>
      <c r="F517" s="5"/>
      <c r="G517" s="5"/>
      <c r="H517" s="5"/>
      <c r="I517" s="5"/>
      <c r="J517" s="73"/>
      <c r="K517" s="75" t="str">
        <f>IFERROR(__xludf.DUMMYFUNCTION("""COMPUTED_VALUE"""),"")</f>
        <v/>
      </c>
      <c r="L517" s="75"/>
      <c r="M517" s="46" t="s">
        <v>2002</v>
      </c>
    </row>
    <row r="518">
      <c r="A518" s="70"/>
      <c r="C518" s="5" t="s">
        <v>2002</v>
      </c>
      <c r="D518" s="5"/>
      <c r="E518" s="5"/>
      <c r="F518" s="5"/>
      <c r="G518" s="5"/>
      <c r="H518" s="5"/>
      <c r="I518" s="5"/>
      <c r="J518" s="73"/>
      <c r="K518" s="75" t="str">
        <f>IFERROR(__xludf.DUMMYFUNCTION("""COMPUTED_VALUE"""),"")</f>
        <v/>
      </c>
      <c r="L518" s="75"/>
      <c r="M518" s="46" t="s">
        <v>2002</v>
      </c>
    </row>
    <row r="519">
      <c r="A519" s="70"/>
      <c r="C519" s="5" t="s">
        <v>2002</v>
      </c>
      <c r="D519" s="5"/>
      <c r="E519" s="5"/>
      <c r="F519" s="5"/>
      <c r="G519" s="5"/>
      <c r="H519" s="5"/>
      <c r="I519" s="5"/>
      <c r="J519" s="73"/>
      <c r="K519" s="75" t="str">
        <f>IFERROR(__xludf.DUMMYFUNCTION("""COMPUTED_VALUE"""),"")</f>
        <v/>
      </c>
      <c r="L519" s="75"/>
      <c r="M519" s="46" t="s">
        <v>2002</v>
      </c>
    </row>
    <row r="520">
      <c r="A520" s="70"/>
      <c r="C520" s="5" t="s">
        <v>2002</v>
      </c>
      <c r="D520" s="5"/>
      <c r="E520" s="5"/>
      <c r="F520" s="5"/>
      <c r="G520" s="5"/>
      <c r="H520" s="5"/>
      <c r="I520" s="5"/>
      <c r="J520" s="73"/>
      <c r="K520" s="75" t="str">
        <f>IFERROR(__xludf.DUMMYFUNCTION("""COMPUTED_VALUE"""),"")</f>
        <v/>
      </c>
      <c r="L520" s="75"/>
      <c r="M520" s="46" t="s">
        <v>2002</v>
      </c>
    </row>
    <row r="521">
      <c r="A521" s="70"/>
      <c r="C521" s="5" t="s">
        <v>2002</v>
      </c>
      <c r="D521" s="5"/>
      <c r="E521" s="5"/>
      <c r="F521" s="5"/>
      <c r="G521" s="5"/>
      <c r="H521" s="5"/>
      <c r="I521" s="5"/>
      <c r="J521" s="73"/>
      <c r="K521" s="75" t="str">
        <f>IFERROR(__xludf.DUMMYFUNCTION("""COMPUTED_VALUE"""),"")</f>
        <v/>
      </c>
      <c r="L521" s="75"/>
      <c r="M521" s="46" t="s">
        <v>2002</v>
      </c>
    </row>
    <row r="522">
      <c r="A522" s="70"/>
      <c r="C522" s="5" t="s">
        <v>2002</v>
      </c>
      <c r="D522" s="5"/>
      <c r="E522" s="5"/>
      <c r="F522" s="5"/>
      <c r="G522" s="5"/>
      <c r="H522" s="5"/>
      <c r="I522" s="5"/>
      <c r="J522" s="73"/>
      <c r="K522" s="75" t="str">
        <f>IFERROR(__xludf.DUMMYFUNCTION("""COMPUTED_VALUE"""),"")</f>
        <v/>
      </c>
      <c r="L522" s="75"/>
      <c r="M522" s="46" t="s">
        <v>2002</v>
      </c>
    </row>
    <row r="523">
      <c r="A523" s="70"/>
      <c r="C523" s="5" t="s">
        <v>2002</v>
      </c>
      <c r="D523" s="5"/>
      <c r="E523" s="5"/>
      <c r="F523" s="5"/>
      <c r="G523" s="5"/>
      <c r="H523" s="5"/>
      <c r="I523" s="5"/>
      <c r="J523" s="73"/>
      <c r="K523" s="75" t="str">
        <f>IFERROR(__xludf.DUMMYFUNCTION("""COMPUTED_VALUE"""),"")</f>
        <v/>
      </c>
      <c r="L523" s="75"/>
      <c r="M523" s="46" t="s">
        <v>2002</v>
      </c>
    </row>
    <row r="524">
      <c r="A524" s="70"/>
      <c r="C524" s="5" t="s">
        <v>2002</v>
      </c>
      <c r="D524" s="5"/>
      <c r="E524" s="5"/>
      <c r="F524" s="5"/>
      <c r="G524" s="5"/>
      <c r="H524" s="5"/>
      <c r="I524" s="5"/>
      <c r="J524" s="73"/>
      <c r="K524" s="75" t="str">
        <f>IFERROR(__xludf.DUMMYFUNCTION("""COMPUTED_VALUE"""),"")</f>
        <v/>
      </c>
      <c r="L524" s="75"/>
      <c r="M524" s="46" t="s">
        <v>2002</v>
      </c>
    </row>
    <row r="525">
      <c r="A525" s="70"/>
      <c r="C525" s="5" t="s">
        <v>2002</v>
      </c>
      <c r="D525" s="5"/>
      <c r="E525" s="5"/>
      <c r="F525" s="5"/>
      <c r="G525" s="5"/>
      <c r="H525" s="5"/>
      <c r="I525" s="5"/>
      <c r="J525" s="73"/>
      <c r="K525" s="75" t="str">
        <f>IFERROR(__xludf.DUMMYFUNCTION("""COMPUTED_VALUE"""),"")</f>
        <v/>
      </c>
      <c r="L525" s="75"/>
      <c r="M525" s="46" t="s">
        <v>2002</v>
      </c>
    </row>
    <row r="526">
      <c r="A526" s="70"/>
      <c r="C526" s="5" t="s">
        <v>2002</v>
      </c>
      <c r="D526" s="5"/>
      <c r="E526" s="5"/>
      <c r="F526" s="5"/>
      <c r="G526" s="5"/>
      <c r="H526" s="5"/>
      <c r="I526" s="5"/>
      <c r="J526" s="73"/>
      <c r="K526" s="75" t="str">
        <f>IFERROR(__xludf.DUMMYFUNCTION("""COMPUTED_VALUE"""),"")</f>
        <v/>
      </c>
      <c r="L526" s="75"/>
      <c r="M526" s="46" t="s">
        <v>2002</v>
      </c>
    </row>
    <row r="527">
      <c r="A527" s="70"/>
      <c r="C527" s="5" t="s">
        <v>2002</v>
      </c>
      <c r="D527" s="5"/>
      <c r="E527" s="5"/>
      <c r="F527" s="5"/>
      <c r="G527" s="5"/>
      <c r="H527" s="5"/>
      <c r="I527" s="5"/>
      <c r="J527" s="73"/>
      <c r="K527" s="75" t="str">
        <f>IFERROR(__xludf.DUMMYFUNCTION("""COMPUTED_VALUE"""),"")</f>
        <v/>
      </c>
      <c r="L527" s="75"/>
      <c r="M527" s="46" t="s">
        <v>2002</v>
      </c>
    </row>
    <row r="528">
      <c r="A528" s="70"/>
      <c r="C528" s="5" t="s">
        <v>2002</v>
      </c>
      <c r="D528" s="5"/>
      <c r="E528" s="5"/>
      <c r="F528" s="5"/>
      <c r="G528" s="5"/>
      <c r="H528" s="5"/>
      <c r="I528" s="5"/>
      <c r="J528" s="73"/>
      <c r="K528" s="75" t="str">
        <f>IFERROR(__xludf.DUMMYFUNCTION("""COMPUTED_VALUE"""),"")</f>
        <v/>
      </c>
      <c r="L528" s="75"/>
      <c r="M528" s="46" t="s">
        <v>2002</v>
      </c>
    </row>
    <row r="529">
      <c r="A529" s="70"/>
      <c r="C529" s="5" t="s">
        <v>2002</v>
      </c>
      <c r="D529" s="5"/>
      <c r="E529" s="5"/>
      <c r="F529" s="5"/>
      <c r="G529" s="5"/>
      <c r="H529" s="5"/>
      <c r="I529" s="5"/>
      <c r="J529" s="73"/>
      <c r="K529" s="75" t="str">
        <f>IFERROR(__xludf.DUMMYFUNCTION("""COMPUTED_VALUE"""),"")</f>
        <v/>
      </c>
      <c r="L529" s="75"/>
      <c r="M529" s="46" t="s">
        <v>2002</v>
      </c>
    </row>
    <row r="530">
      <c r="A530" s="70"/>
      <c r="C530" s="5" t="s">
        <v>2002</v>
      </c>
      <c r="D530" s="5"/>
      <c r="E530" s="5"/>
      <c r="F530" s="5"/>
      <c r="G530" s="5"/>
      <c r="H530" s="5"/>
      <c r="I530" s="5"/>
      <c r="J530" s="73"/>
      <c r="K530" s="75" t="str">
        <f>IFERROR(__xludf.DUMMYFUNCTION("""COMPUTED_VALUE"""),"")</f>
        <v/>
      </c>
      <c r="L530" s="75"/>
      <c r="M530" s="46" t="s">
        <v>2002</v>
      </c>
    </row>
    <row r="531">
      <c r="A531" s="70"/>
      <c r="C531" s="5" t="s">
        <v>2002</v>
      </c>
      <c r="D531" s="5"/>
      <c r="E531" s="5"/>
      <c r="F531" s="5"/>
      <c r="G531" s="5"/>
      <c r="H531" s="5"/>
      <c r="I531" s="5"/>
      <c r="J531" s="73"/>
      <c r="K531" s="75" t="str">
        <f>IFERROR(__xludf.DUMMYFUNCTION("""COMPUTED_VALUE"""),"")</f>
        <v/>
      </c>
      <c r="L531" s="75"/>
      <c r="M531" s="46" t="s">
        <v>2002</v>
      </c>
    </row>
    <row r="532">
      <c r="A532" s="70"/>
      <c r="C532" s="5" t="s">
        <v>2002</v>
      </c>
      <c r="D532" s="5"/>
      <c r="E532" s="5"/>
      <c r="F532" s="5"/>
      <c r="G532" s="5"/>
      <c r="H532" s="5"/>
      <c r="I532" s="5"/>
      <c r="J532" s="73"/>
      <c r="K532" s="75" t="str">
        <f>IFERROR(__xludf.DUMMYFUNCTION("""COMPUTED_VALUE"""),"")</f>
        <v/>
      </c>
      <c r="L532" s="75"/>
      <c r="M532" s="46" t="s">
        <v>2002</v>
      </c>
    </row>
    <row r="533">
      <c r="A533" s="70"/>
      <c r="C533" s="5" t="s">
        <v>2002</v>
      </c>
      <c r="D533" s="5"/>
      <c r="E533" s="5"/>
      <c r="F533" s="5"/>
      <c r="G533" s="5"/>
      <c r="H533" s="5"/>
      <c r="I533" s="5"/>
      <c r="J533" s="73"/>
      <c r="K533" s="75" t="str">
        <f>IFERROR(__xludf.DUMMYFUNCTION("""COMPUTED_VALUE"""),"")</f>
        <v/>
      </c>
      <c r="L533" s="75"/>
      <c r="M533" s="46" t="s">
        <v>2002</v>
      </c>
    </row>
    <row r="534">
      <c r="A534" s="70"/>
      <c r="C534" s="5" t="s">
        <v>2002</v>
      </c>
      <c r="D534" s="5"/>
      <c r="E534" s="5"/>
      <c r="F534" s="5"/>
      <c r="G534" s="5"/>
      <c r="H534" s="5"/>
      <c r="I534" s="5"/>
      <c r="J534" s="73"/>
      <c r="K534" s="75" t="str">
        <f>IFERROR(__xludf.DUMMYFUNCTION("""COMPUTED_VALUE"""),"")</f>
        <v/>
      </c>
      <c r="L534" s="75"/>
      <c r="M534" s="46" t="s">
        <v>2002</v>
      </c>
    </row>
    <row r="535">
      <c r="A535" s="70"/>
      <c r="C535" s="5" t="s">
        <v>2002</v>
      </c>
      <c r="D535" s="5"/>
      <c r="E535" s="5"/>
      <c r="F535" s="5"/>
      <c r="G535" s="5"/>
      <c r="H535" s="5"/>
      <c r="I535" s="5"/>
      <c r="J535" s="73"/>
      <c r="K535" s="75" t="str">
        <f>IFERROR(__xludf.DUMMYFUNCTION("""COMPUTED_VALUE"""),"")</f>
        <v/>
      </c>
      <c r="L535" s="75"/>
      <c r="M535" s="46" t="s">
        <v>2002</v>
      </c>
    </row>
    <row r="536">
      <c r="A536" s="70"/>
      <c r="C536" s="5" t="s">
        <v>2002</v>
      </c>
      <c r="D536" s="5"/>
      <c r="E536" s="5"/>
      <c r="F536" s="5"/>
      <c r="G536" s="5"/>
      <c r="H536" s="5"/>
      <c r="I536" s="5"/>
      <c r="J536" s="73"/>
      <c r="K536" s="75" t="str">
        <f>IFERROR(__xludf.DUMMYFUNCTION("""COMPUTED_VALUE"""),"")</f>
        <v/>
      </c>
      <c r="L536" s="75"/>
      <c r="M536" s="46" t="s">
        <v>2002</v>
      </c>
    </row>
    <row r="537">
      <c r="A537" s="70"/>
      <c r="C537" s="5" t="s">
        <v>2002</v>
      </c>
      <c r="D537" s="5"/>
      <c r="E537" s="5"/>
      <c r="F537" s="5"/>
      <c r="G537" s="5"/>
      <c r="H537" s="5"/>
      <c r="I537" s="5"/>
      <c r="J537" s="73"/>
      <c r="K537" s="75" t="str">
        <f>IFERROR(__xludf.DUMMYFUNCTION("""COMPUTED_VALUE"""),"")</f>
        <v/>
      </c>
      <c r="L537" s="75"/>
      <c r="M537" s="46" t="s">
        <v>2002</v>
      </c>
    </row>
    <row r="538">
      <c r="A538" s="70"/>
      <c r="C538" s="5" t="s">
        <v>2002</v>
      </c>
      <c r="D538" s="5"/>
      <c r="E538" s="5"/>
      <c r="F538" s="5"/>
      <c r="G538" s="5"/>
      <c r="H538" s="5"/>
      <c r="I538" s="5"/>
      <c r="J538" s="73"/>
      <c r="K538" s="75" t="str">
        <f>IFERROR(__xludf.DUMMYFUNCTION("""COMPUTED_VALUE"""),"")</f>
        <v/>
      </c>
      <c r="L538" s="75"/>
      <c r="M538" s="46" t="s">
        <v>2002</v>
      </c>
    </row>
    <row r="539">
      <c r="A539" s="70"/>
      <c r="C539" s="5" t="s">
        <v>2002</v>
      </c>
      <c r="D539" s="5"/>
      <c r="E539" s="5"/>
      <c r="F539" s="5"/>
      <c r="G539" s="5"/>
      <c r="H539" s="5"/>
      <c r="I539" s="5"/>
      <c r="J539" s="73"/>
      <c r="K539" s="75" t="str">
        <f>IFERROR(__xludf.DUMMYFUNCTION("""COMPUTED_VALUE"""),"")</f>
        <v/>
      </c>
      <c r="L539" s="75"/>
      <c r="M539" s="46" t="s">
        <v>2002</v>
      </c>
    </row>
    <row r="540">
      <c r="A540" s="70"/>
      <c r="C540" s="5" t="s">
        <v>2002</v>
      </c>
      <c r="D540" s="5"/>
      <c r="E540" s="5"/>
      <c r="F540" s="5"/>
      <c r="G540" s="5"/>
      <c r="H540" s="5"/>
      <c r="I540" s="5"/>
      <c r="J540" s="73"/>
      <c r="K540" s="75" t="str">
        <f>IFERROR(__xludf.DUMMYFUNCTION("""COMPUTED_VALUE"""),"")</f>
        <v/>
      </c>
      <c r="L540" s="75"/>
      <c r="M540" s="46" t="s">
        <v>2002</v>
      </c>
    </row>
    <row r="541">
      <c r="A541" s="70"/>
      <c r="C541" s="5" t="s">
        <v>2002</v>
      </c>
      <c r="D541" s="5"/>
      <c r="E541" s="5"/>
      <c r="F541" s="5"/>
      <c r="G541" s="5"/>
      <c r="H541" s="5"/>
      <c r="I541" s="5"/>
      <c r="J541" s="73"/>
      <c r="K541" s="75" t="str">
        <f>IFERROR(__xludf.DUMMYFUNCTION("""COMPUTED_VALUE"""),"")</f>
        <v/>
      </c>
      <c r="L541" s="75"/>
      <c r="M541" s="46" t="s">
        <v>2002</v>
      </c>
    </row>
    <row r="542">
      <c r="A542" s="70"/>
      <c r="C542" s="5" t="s">
        <v>2002</v>
      </c>
      <c r="D542" s="5"/>
      <c r="E542" s="5"/>
      <c r="F542" s="5"/>
      <c r="G542" s="5"/>
      <c r="H542" s="5"/>
      <c r="I542" s="5"/>
      <c r="J542" s="73"/>
      <c r="K542" s="75" t="str">
        <f>IFERROR(__xludf.DUMMYFUNCTION("""COMPUTED_VALUE"""),"")</f>
        <v/>
      </c>
      <c r="L542" s="75"/>
      <c r="M542" s="46" t="s">
        <v>2002</v>
      </c>
    </row>
    <row r="543">
      <c r="A543" s="70"/>
      <c r="C543" s="5" t="s">
        <v>2002</v>
      </c>
      <c r="D543" s="5"/>
      <c r="E543" s="5"/>
      <c r="F543" s="5"/>
      <c r="G543" s="5"/>
      <c r="H543" s="5"/>
      <c r="I543" s="5"/>
      <c r="J543" s="73"/>
      <c r="K543" s="75" t="str">
        <f>IFERROR(__xludf.DUMMYFUNCTION("""COMPUTED_VALUE"""),"")</f>
        <v/>
      </c>
      <c r="L543" s="75"/>
      <c r="M543" s="46" t="s">
        <v>2002</v>
      </c>
    </row>
    <row r="544">
      <c r="A544" s="70"/>
      <c r="C544" s="5" t="s">
        <v>2002</v>
      </c>
      <c r="D544" s="5"/>
      <c r="E544" s="5"/>
      <c r="F544" s="5"/>
      <c r="G544" s="5"/>
      <c r="H544" s="5"/>
      <c r="I544" s="5"/>
      <c r="J544" s="73"/>
      <c r="K544" s="75" t="str">
        <f>IFERROR(__xludf.DUMMYFUNCTION("""COMPUTED_VALUE"""),"")</f>
        <v/>
      </c>
      <c r="L544" s="75"/>
      <c r="M544" s="46" t="s">
        <v>2002</v>
      </c>
    </row>
    <row r="545">
      <c r="A545" s="70"/>
      <c r="C545" s="5" t="s">
        <v>2002</v>
      </c>
      <c r="D545" s="5"/>
      <c r="E545" s="5"/>
      <c r="F545" s="5"/>
      <c r="G545" s="5"/>
      <c r="H545" s="5"/>
      <c r="I545" s="5"/>
      <c r="J545" s="73"/>
      <c r="K545" s="75" t="str">
        <f>IFERROR(__xludf.DUMMYFUNCTION("""COMPUTED_VALUE"""),"")</f>
        <v/>
      </c>
      <c r="L545" s="75"/>
      <c r="M545" s="46" t="s">
        <v>2002</v>
      </c>
    </row>
    <row r="546">
      <c r="A546" s="70"/>
      <c r="C546" s="5" t="s">
        <v>2002</v>
      </c>
      <c r="D546" s="5"/>
      <c r="E546" s="5"/>
      <c r="F546" s="5"/>
      <c r="G546" s="5"/>
      <c r="H546" s="5"/>
      <c r="I546" s="5"/>
      <c r="J546" s="73"/>
      <c r="K546" s="75" t="str">
        <f>IFERROR(__xludf.DUMMYFUNCTION("""COMPUTED_VALUE"""),"")</f>
        <v/>
      </c>
      <c r="L546" s="75"/>
      <c r="M546" s="46" t="s">
        <v>2002</v>
      </c>
    </row>
    <row r="547">
      <c r="A547" s="70"/>
      <c r="C547" s="5" t="s">
        <v>2002</v>
      </c>
      <c r="D547" s="5"/>
      <c r="E547" s="5"/>
      <c r="F547" s="5"/>
      <c r="G547" s="5"/>
      <c r="H547" s="5"/>
      <c r="I547" s="5"/>
      <c r="J547" s="73"/>
      <c r="K547" s="75" t="str">
        <f>IFERROR(__xludf.DUMMYFUNCTION("""COMPUTED_VALUE"""),"")</f>
        <v/>
      </c>
      <c r="L547" s="75"/>
      <c r="M547" s="46" t="s">
        <v>2002</v>
      </c>
    </row>
    <row r="548">
      <c r="A548" s="70"/>
      <c r="C548" s="5" t="s">
        <v>2002</v>
      </c>
      <c r="D548" s="5"/>
      <c r="E548" s="5"/>
      <c r="F548" s="5"/>
      <c r="G548" s="5"/>
      <c r="H548" s="5"/>
      <c r="I548" s="5"/>
      <c r="J548" s="73"/>
      <c r="K548" s="75" t="str">
        <f>IFERROR(__xludf.DUMMYFUNCTION("""COMPUTED_VALUE"""),"")</f>
        <v/>
      </c>
      <c r="L548" s="75"/>
      <c r="M548" s="46" t="s">
        <v>2002</v>
      </c>
    </row>
    <row r="549">
      <c r="A549" s="70"/>
      <c r="C549" s="5" t="s">
        <v>2002</v>
      </c>
      <c r="D549" s="5"/>
      <c r="E549" s="5"/>
      <c r="F549" s="5"/>
      <c r="G549" s="5"/>
      <c r="H549" s="5"/>
      <c r="I549" s="5"/>
      <c r="J549" s="73"/>
      <c r="K549" s="75" t="str">
        <f>IFERROR(__xludf.DUMMYFUNCTION("""COMPUTED_VALUE"""),"")</f>
        <v/>
      </c>
      <c r="L549" s="75"/>
      <c r="M549" s="46" t="s">
        <v>2002</v>
      </c>
    </row>
    <row r="550">
      <c r="A550" s="70"/>
      <c r="C550" s="5" t="s">
        <v>2002</v>
      </c>
      <c r="D550" s="5"/>
      <c r="E550" s="5"/>
      <c r="F550" s="5"/>
      <c r="G550" s="5"/>
      <c r="H550" s="5"/>
      <c r="I550" s="5"/>
      <c r="J550" s="73"/>
      <c r="K550" s="75" t="str">
        <f>IFERROR(__xludf.DUMMYFUNCTION("""COMPUTED_VALUE"""),"")</f>
        <v/>
      </c>
      <c r="L550" s="75"/>
      <c r="M550" s="46" t="s">
        <v>2002</v>
      </c>
    </row>
    <row r="551">
      <c r="A551" s="70"/>
      <c r="C551" s="5" t="s">
        <v>2002</v>
      </c>
      <c r="D551" s="5"/>
      <c r="E551" s="5"/>
      <c r="F551" s="5"/>
      <c r="G551" s="5"/>
      <c r="H551" s="5"/>
      <c r="I551" s="5"/>
      <c r="J551" s="73"/>
      <c r="K551" s="75" t="str">
        <f>IFERROR(__xludf.DUMMYFUNCTION("""COMPUTED_VALUE"""),"")</f>
        <v/>
      </c>
      <c r="L551" s="75"/>
      <c r="M551" s="46" t="s">
        <v>2002</v>
      </c>
    </row>
    <row r="552">
      <c r="A552" s="70"/>
      <c r="C552" s="5" t="s">
        <v>2002</v>
      </c>
      <c r="D552" s="5"/>
      <c r="E552" s="5"/>
      <c r="F552" s="5"/>
      <c r="G552" s="5"/>
      <c r="H552" s="5"/>
      <c r="I552" s="5"/>
      <c r="J552" s="73"/>
      <c r="K552" s="75" t="str">
        <f>IFERROR(__xludf.DUMMYFUNCTION("""COMPUTED_VALUE"""),"")</f>
        <v/>
      </c>
      <c r="L552" s="75"/>
      <c r="M552" s="46" t="s">
        <v>2002</v>
      </c>
    </row>
    <row r="553">
      <c r="A553" s="70"/>
      <c r="C553" s="5" t="s">
        <v>2002</v>
      </c>
      <c r="D553" s="5"/>
      <c r="E553" s="5"/>
      <c r="F553" s="5"/>
      <c r="G553" s="5"/>
      <c r="H553" s="5"/>
      <c r="I553" s="5"/>
      <c r="J553" s="73"/>
      <c r="K553" s="75" t="str">
        <f>IFERROR(__xludf.DUMMYFUNCTION("""COMPUTED_VALUE"""),"")</f>
        <v/>
      </c>
      <c r="L553" s="75"/>
      <c r="M553" s="46" t="s">
        <v>2002</v>
      </c>
    </row>
    <row r="554">
      <c r="A554" s="70"/>
      <c r="C554" s="5" t="s">
        <v>2002</v>
      </c>
      <c r="D554" s="5"/>
      <c r="E554" s="5"/>
      <c r="F554" s="5"/>
      <c r="G554" s="5"/>
      <c r="H554" s="5"/>
      <c r="I554" s="5"/>
      <c r="J554" s="73"/>
      <c r="K554" s="75" t="str">
        <f>IFERROR(__xludf.DUMMYFUNCTION("""COMPUTED_VALUE"""),"")</f>
        <v/>
      </c>
      <c r="L554" s="75"/>
      <c r="M554" s="46" t="s">
        <v>2002</v>
      </c>
    </row>
    <row r="555">
      <c r="A555" s="70"/>
      <c r="C555" s="5" t="s">
        <v>2002</v>
      </c>
      <c r="D555" s="5"/>
      <c r="E555" s="5"/>
      <c r="F555" s="5"/>
      <c r="G555" s="5"/>
      <c r="H555" s="5"/>
      <c r="I555" s="5"/>
      <c r="J555" s="73"/>
      <c r="K555" s="75" t="str">
        <f>IFERROR(__xludf.DUMMYFUNCTION("""COMPUTED_VALUE"""),"")</f>
        <v/>
      </c>
      <c r="L555" s="75"/>
      <c r="M555" s="46" t="s">
        <v>2002</v>
      </c>
    </row>
    <row r="556">
      <c r="A556" s="70"/>
      <c r="C556" s="5" t="s">
        <v>2002</v>
      </c>
      <c r="D556" s="5"/>
      <c r="E556" s="5"/>
      <c r="F556" s="5"/>
      <c r="G556" s="5"/>
      <c r="H556" s="5"/>
      <c r="I556" s="5"/>
      <c r="J556" s="73"/>
      <c r="K556" s="75" t="str">
        <f>IFERROR(__xludf.DUMMYFUNCTION("""COMPUTED_VALUE"""),"")</f>
        <v/>
      </c>
      <c r="L556" s="75"/>
      <c r="M556" s="46" t="s">
        <v>2002</v>
      </c>
    </row>
    <row r="557">
      <c r="A557" s="70"/>
      <c r="C557" s="5" t="s">
        <v>2002</v>
      </c>
      <c r="D557" s="5"/>
      <c r="E557" s="5"/>
      <c r="F557" s="5"/>
      <c r="G557" s="5"/>
      <c r="H557" s="5"/>
      <c r="I557" s="5"/>
      <c r="J557" s="73"/>
      <c r="K557" s="75" t="str">
        <f>IFERROR(__xludf.DUMMYFUNCTION("""COMPUTED_VALUE"""),"")</f>
        <v/>
      </c>
      <c r="L557" s="75"/>
      <c r="M557" s="46" t="s">
        <v>2002</v>
      </c>
    </row>
    <row r="558">
      <c r="A558" s="70"/>
      <c r="C558" s="5" t="s">
        <v>2002</v>
      </c>
      <c r="D558" s="5"/>
      <c r="E558" s="5"/>
      <c r="F558" s="5"/>
      <c r="G558" s="5"/>
      <c r="H558" s="5"/>
      <c r="I558" s="5"/>
      <c r="J558" s="73"/>
      <c r="K558" s="75" t="str">
        <f>IFERROR(__xludf.DUMMYFUNCTION("""COMPUTED_VALUE"""),"")</f>
        <v/>
      </c>
      <c r="L558" s="75"/>
      <c r="M558" s="46" t="s">
        <v>2002</v>
      </c>
    </row>
    <row r="559">
      <c r="A559" s="70"/>
      <c r="C559" s="5" t="s">
        <v>2002</v>
      </c>
      <c r="D559" s="5"/>
      <c r="E559" s="5"/>
      <c r="F559" s="5"/>
      <c r="G559" s="5"/>
      <c r="H559" s="5"/>
      <c r="I559" s="5"/>
      <c r="J559" s="73"/>
      <c r="K559" s="75" t="str">
        <f>IFERROR(__xludf.DUMMYFUNCTION("""COMPUTED_VALUE"""),"")</f>
        <v/>
      </c>
      <c r="L559" s="75"/>
      <c r="M559" s="46" t="s">
        <v>2002</v>
      </c>
    </row>
    <row r="560">
      <c r="A560" s="70"/>
      <c r="C560" s="5" t="s">
        <v>2002</v>
      </c>
      <c r="D560" s="5"/>
      <c r="E560" s="5"/>
      <c r="F560" s="5"/>
      <c r="G560" s="5"/>
      <c r="H560" s="5"/>
      <c r="I560" s="5"/>
      <c r="J560" s="73"/>
      <c r="K560" s="75" t="str">
        <f>IFERROR(__xludf.DUMMYFUNCTION("""COMPUTED_VALUE"""),"")</f>
        <v/>
      </c>
      <c r="L560" s="75"/>
      <c r="M560" s="46" t="s">
        <v>2002</v>
      </c>
    </row>
    <row r="561">
      <c r="A561" s="70"/>
      <c r="C561" s="5" t="s">
        <v>2002</v>
      </c>
      <c r="D561" s="5"/>
      <c r="E561" s="5"/>
      <c r="F561" s="5"/>
      <c r="G561" s="5"/>
      <c r="H561" s="5"/>
      <c r="I561" s="5"/>
      <c r="J561" s="73"/>
      <c r="K561" s="75" t="str">
        <f>IFERROR(__xludf.DUMMYFUNCTION("""COMPUTED_VALUE"""),"")</f>
        <v/>
      </c>
      <c r="L561" s="75"/>
      <c r="M561" s="46" t="s">
        <v>2002</v>
      </c>
    </row>
    <row r="562">
      <c r="A562" s="70"/>
      <c r="C562" s="5" t="s">
        <v>2002</v>
      </c>
      <c r="D562" s="5"/>
      <c r="E562" s="5"/>
      <c r="F562" s="5"/>
      <c r="G562" s="5"/>
      <c r="H562" s="5"/>
      <c r="I562" s="5"/>
      <c r="J562" s="73"/>
      <c r="K562" s="75" t="str">
        <f>IFERROR(__xludf.DUMMYFUNCTION("""COMPUTED_VALUE"""),"")</f>
        <v/>
      </c>
      <c r="L562" s="75"/>
      <c r="M562" s="46" t="s">
        <v>2002</v>
      </c>
    </row>
    <row r="563">
      <c r="A563" s="70"/>
      <c r="C563" s="5" t="s">
        <v>2002</v>
      </c>
      <c r="D563" s="5"/>
      <c r="E563" s="5"/>
      <c r="F563" s="5"/>
      <c r="G563" s="5"/>
      <c r="H563" s="5"/>
      <c r="I563" s="5"/>
      <c r="J563" s="73"/>
      <c r="K563" s="75" t="str">
        <f>IFERROR(__xludf.DUMMYFUNCTION("""COMPUTED_VALUE"""),"")</f>
        <v/>
      </c>
      <c r="L563" s="75"/>
      <c r="M563" s="46" t="s">
        <v>2002</v>
      </c>
    </row>
    <row r="564">
      <c r="A564" s="70"/>
      <c r="C564" s="5" t="s">
        <v>2002</v>
      </c>
      <c r="D564" s="5"/>
      <c r="E564" s="5"/>
      <c r="F564" s="5"/>
      <c r="G564" s="5"/>
      <c r="H564" s="5"/>
      <c r="I564" s="5"/>
      <c r="J564" s="73"/>
      <c r="K564" s="75" t="str">
        <f>IFERROR(__xludf.DUMMYFUNCTION("""COMPUTED_VALUE"""),"")</f>
        <v/>
      </c>
      <c r="L564" s="75"/>
      <c r="M564" s="46" t="s">
        <v>2002</v>
      </c>
    </row>
    <row r="565">
      <c r="A565" s="70"/>
      <c r="C565" s="5" t="s">
        <v>2002</v>
      </c>
      <c r="D565" s="5"/>
      <c r="E565" s="5"/>
      <c r="F565" s="5"/>
      <c r="G565" s="5"/>
      <c r="H565" s="5"/>
      <c r="I565" s="5"/>
      <c r="J565" s="73"/>
      <c r="K565" s="75" t="str">
        <f>IFERROR(__xludf.DUMMYFUNCTION("""COMPUTED_VALUE"""),"")</f>
        <v/>
      </c>
      <c r="L565" s="75"/>
      <c r="M565" s="46" t="s">
        <v>2002</v>
      </c>
    </row>
    <row r="566">
      <c r="A566" s="70"/>
      <c r="C566" s="5" t="s">
        <v>2002</v>
      </c>
      <c r="D566" s="5"/>
      <c r="E566" s="5"/>
      <c r="F566" s="5"/>
      <c r="G566" s="5"/>
      <c r="H566" s="5"/>
      <c r="I566" s="5"/>
      <c r="J566" s="73"/>
      <c r="K566" s="75" t="str">
        <f>IFERROR(__xludf.DUMMYFUNCTION("""COMPUTED_VALUE"""),"")</f>
        <v/>
      </c>
      <c r="L566" s="75"/>
      <c r="M566" s="46" t="s">
        <v>2002</v>
      </c>
    </row>
    <row r="567">
      <c r="A567" s="70"/>
      <c r="C567" s="5" t="s">
        <v>2002</v>
      </c>
      <c r="D567" s="5"/>
      <c r="E567" s="5"/>
      <c r="F567" s="5"/>
      <c r="G567" s="5"/>
      <c r="H567" s="5"/>
      <c r="I567" s="5"/>
      <c r="J567" s="73"/>
      <c r="K567" s="75" t="str">
        <f>IFERROR(__xludf.DUMMYFUNCTION("""COMPUTED_VALUE"""),"")</f>
        <v/>
      </c>
      <c r="L567" s="75"/>
      <c r="M567" s="46" t="s">
        <v>2002</v>
      </c>
    </row>
    <row r="568">
      <c r="A568" s="70"/>
      <c r="C568" s="5" t="s">
        <v>2002</v>
      </c>
      <c r="D568" s="5"/>
      <c r="E568" s="5"/>
      <c r="F568" s="5"/>
      <c r="G568" s="5"/>
      <c r="H568" s="5"/>
      <c r="I568" s="5"/>
      <c r="J568" s="73"/>
      <c r="K568" s="75" t="str">
        <f>IFERROR(__xludf.DUMMYFUNCTION("""COMPUTED_VALUE"""),"")</f>
        <v/>
      </c>
      <c r="L568" s="75"/>
      <c r="M568" s="46" t="s">
        <v>2002</v>
      </c>
    </row>
    <row r="569">
      <c r="A569" s="70"/>
      <c r="C569" s="5" t="s">
        <v>2002</v>
      </c>
      <c r="D569" s="5"/>
      <c r="E569" s="5"/>
      <c r="F569" s="5"/>
      <c r="G569" s="5"/>
      <c r="H569" s="5"/>
      <c r="I569" s="5"/>
      <c r="J569" s="73"/>
      <c r="K569" s="75" t="str">
        <f>IFERROR(__xludf.DUMMYFUNCTION("""COMPUTED_VALUE"""),"")</f>
        <v/>
      </c>
      <c r="L569" s="75"/>
      <c r="M569" s="46" t="s">
        <v>2002</v>
      </c>
    </row>
    <row r="570">
      <c r="A570" s="70"/>
      <c r="C570" s="5" t="s">
        <v>2002</v>
      </c>
      <c r="D570" s="5"/>
      <c r="E570" s="5"/>
      <c r="F570" s="5"/>
      <c r="G570" s="5"/>
      <c r="H570" s="5"/>
      <c r="I570" s="5"/>
      <c r="J570" s="73"/>
      <c r="K570" s="75" t="str">
        <f>IFERROR(__xludf.DUMMYFUNCTION("""COMPUTED_VALUE"""),"")</f>
        <v/>
      </c>
      <c r="L570" s="75"/>
      <c r="M570" s="46" t="s">
        <v>2002</v>
      </c>
    </row>
    <row r="571">
      <c r="A571" s="70"/>
      <c r="C571" s="5" t="s">
        <v>2002</v>
      </c>
      <c r="D571" s="5"/>
      <c r="E571" s="5"/>
      <c r="F571" s="5"/>
      <c r="G571" s="5"/>
      <c r="H571" s="5"/>
      <c r="I571" s="5"/>
      <c r="J571" s="73"/>
      <c r="K571" s="75" t="str">
        <f>IFERROR(__xludf.DUMMYFUNCTION("""COMPUTED_VALUE"""),"")</f>
        <v/>
      </c>
      <c r="L571" s="75"/>
      <c r="M571" s="46" t="s">
        <v>2002</v>
      </c>
    </row>
    <row r="572">
      <c r="A572" s="70"/>
      <c r="C572" s="5" t="s">
        <v>2002</v>
      </c>
      <c r="D572" s="5"/>
      <c r="E572" s="5"/>
      <c r="F572" s="5"/>
      <c r="G572" s="5"/>
      <c r="H572" s="5"/>
      <c r="I572" s="5"/>
      <c r="J572" s="73"/>
      <c r="K572" s="75" t="str">
        <f>IFERROR(__xludf.DUMMYFUNCTION("""COMPUTED_VALUE"""),"")</f>
        <v/>
      </c>
      <c r="L572" s="75"/>
      <c r="M572" s="46" t="s">
        <v>2002</v>
      </c>
    </row>
    <row r="573">
      <c r="A573" s="70"/>
      <c r="C573" s="5" t="s">
        <v>2002</v>
      </c>
      <c r="D573" s="5"/>
      <c r="E573" s="5"/>
      <c r="F573" s="5"/>
      <c r="G573" s="5"/>
      <c r="H573" s="5"/>
      <c r="I573" s="5"/>
      <c r="J573" s="73"/>
      <c r="K573" s="75" t="str">
        <f>IFERROR(__xludf.DUMMYFUNCTION("""COMPUTED_VALUE"""),"")</f>
        <v/>
      </c>
      <c r="L573" s="75"/>
      <c r="M573" s="46" t="s">
        <v>2002</v>
      </c>
    </row>
    <row r="574">
      <c r="A574" s="70"/>
      <c r="C574" s="5" t="s">
        <v>2002</v>
      </c>
      <c r="D574" s="5"/>
      <c r="E574" s="5"/>
      <c r="F574" s="5"/>
      <c r="G574" s="5"/>
      <c r="H574" s="5"/>
      <c r="I574" s="5"/>
      <c r="J574" s="73"/>
      <c r="K574" s="75" t="str">
        <f>IFERROR(__xludf.DUMMYFUNCTION("""COMPUTED_VALUE"""),"")</f>
        <v/>
      </c>
      <c r="L574" s="75"/>
      <c r="M574" s="46" t="s">
        <v>2002</v>
      </c>
    </row>
    <row r="575">
      <c r="A575" s="70"/>
      <c r="C575" s="5" t="s">
        <v>2002</v>
      </c>
      <c r="D575" s="5"/>
      <c r="E575" s="5"/>
      <c r="F575" s="5"/>
      <c r="G575" s="5"/>
      <c r="H575" s="5"/>
      <c r="I575" s="5"/>
      <c r="J575" s="73"/>
      <c r="K575" s="75" t="str">
        <f>IFERROR(__xludf.DUMMYFUNCTION("""COMPUTED_VALUE"""),"")</f>
        <v/>
      </c>
      <c r="L575" s="75"/>
      <c r="M575" s="46" t="s">
        <v>2002</v>
      </c>
    </row>
    <row r="576">
      <c r="A576" s="70"/>
      <c r="C576" s="5" t="s">
        <v>2002</v>
      </c>
      <c r="D576" s="5"/>
      <c r="E576" s="5"/>
      <c r="F576" s="5"/>
      <c r="G576" s="5"/>
      <c r="H576" s="5"/>
      <c r="I576" s="5"/>
      <c r="J576" s="73"/>
      <c r="K576" s="75" t="str">
        <f>IFERROR(__xludf.DUMMYFUNCTION("""COMPUTED_VALUE"""),"")</f>
        <v/>
      </c>
      <c r="L576" s="75"/>
      <c r="M576" s="46" t="s">
        <v>2002</v>
      </c>
    </row>
    <row r="577">
      <c r="A577" s="70"/>
      <c r="C577" s="5" t="s">
        <v>2002</v>
      </c>
      <c r="D577" s="5"/>
      <c r="E577" s="5"/>
      <c r="F577" s="5"/>
      <c r="G577" s="5"/>
      <c r="H577" s="5"/>
      <c r="I577" s="5"/>
      <c r="J577" s="73"/>
      <c r="K577" s="75" t="str">
        <f>IFERROR(__xludf.DUMMYFUNCTION("""COMPUTED_VALUE"""),"")</f>
        <v/>
      </c>
      <c r="L577" s="75"/>
      <c r="M577" s="46" t="s">
        <v>2002</v>
      </c>
    </row>
    <row r="578">
      <c r="A578" s="70"/>
      <c r="C578" s="5" t="s">
        <v>2002</v>
      </c>
      <c r="D578" s="5"/>
      <c r="E578" s="5"/>
      <c r="F578" s="5"/>
      <c r="G578" s="5"/>
      <c r="H578" s="5"/>
      <c r="I578" s="5"/>
      <c r="J578" s="73"/>
      <c r="K578" s="75" t="str">
        <f>IFERROR(__xludf.DUMMYFUNCTION("""COMPUTED_VALUE"""),"")</f>
        <v/>
      </c>
      <c r="L578" s="75"/>
      <c r="M578" s="46" t="s">
        <v>2002</v>
      </c>
    </row>
    <row r="579">
      <c r="A579" s="70"/>
      <c r="C579" s="5" t="s">
        <v>2002</v>
      </c>
      <c r="D579" s="5"/>
      <c r="E579" s="5"/>
      <c r="F579" s="5"/>
      <c r="G579" s="5"/>
      <c r="H579" s="5"/>
      <c r="I579" s="5"/>
      <c r="J579" s="73"/>
      <c r="K579" s="75" t="str">
        <f>IFERROR(__xludf.DUMMYFUNCTION("""COMPUTED_VALUE"""),"")</f>
        <v/>
      </c>
      <c r="L579" s="75"/>
      <c r="M579" s="46" t="s">
        <v>2002</v>
      </c>
    </row>
    <row r="580">
      <c r="A580" s="70"/>
      <c r="C580" s="5" t="s">
        <v>2002</v>
      </c>
      <c r="D580" s="5"/>
      <c r="E580" s="5"/>
      <c r="F580" s="5"/>
      <c r="G580" s="5"/>
      <c r="H580" s="5"/>
      <c r="I580" s="5"/>
      <c r="J580" s="73"/>
      <c r="K580" s="75" t="str">
        <f>IFERROR(__xludf.DUMMYFUNCTION("""COMPUTED_VALUE"""),"")</f>
        <v/>
      </c>
      <c r="L580" s="75"/>
      <c r="M580" s="46" t="s">
        <v>2002</v>
      </c>
    </row>
    <row r="581">
      <c r="A581" s="70"/>
      <c r="C581" s="5" t="s">
        <v>2002</v>
      </c>
      <c r="D581" s="5"/>
      <c r="E581" s="5"/>
      <c r="F581" s="5"/>
      <c r="G581" s="5"/>
      <c r="H581" s="5"/>
      <c r="I581" s="5"/>
      <c r="J581" s="73"/>
      <c r="K581" s="75" t="str">
        <f>IFERROR(__xludf.DUMMYFUNCTION("""COMPUTED_VALUE"""),"")</f>
        <v/>
      </c>
      <c r="L581" s="75"/>
      <c r="M581" s="46" t="s">
        <v>2002</v>
      </c>
    </row>
    <row r="582">
      <c r="A582" s="70"/>
      <c r="C582" s="5" t="s">
        <v>2002</v>
      </c>
      <c r="D582" s="5"/>
      <c r="E582" s="5"/>
      <c r="F582" s="5"/>
      <c r="G582" s="5"/>
      <c r="H582" s="5"/>
      <c r="I582" s="5"/>
      <c r="J582" s="73"/>
      <c r="K582" s="75" t="str">
        <f>IFERROR(__xludf.DUMMYFUNCTION("""COMPUTED_VALUE"""),"")</f>
        <v/>
      </c>
      <c r="L582" s="75"/>
      <c r="M582" s="46" t="s">
        <v>2002</v>
      </c>
    </row>
    <row r="583">
      <c r="A583" s="70"/>
      <c r="C583" s="5" t="s">
        <v>2002</v>
      </c>
      <c r="D583" s="5"/>
      <c r="E583" s="5"/>
      <c r="F583" s="5"/>
      <c r="G583" s="5"/>
      <c r="H583" s="5"/>
      <c r="I583" s="5"/>
      <c r="J583" s="73"/>
      <c r="K583" s="75" t="str">
        <f>IFERROR(__xludf.DUMMYFUNCTION("""COMPUTED_VALUE"""),"")</f>
        <v/>
      </c>
      <c r="L583" s="75"/>
      <c r="M583" s="46" t="s">
        <v>2002</v>
      </c>
    </row>
    <row r="584">
      <c r="A584" s="70"/>
      <c r="C584" s="5" t="s">
        <v>2002</v>
      </c>
      <c r="D584" s="5"/>
      <c r="E584" s="5"/>
      <c r="F584" s="5"/>
      <c r="G584" s="5"/>
      <c r="H584" s="5"/>
      <c r="I584" s="5"/>
      <c r="J584" s="73"/>
      <c r="K584" s="75" t="str">
        <f>IFERROR(__xludf.DUMMYFUNCTION("""COMPUTED_VALUE"""),"")</f>
        <v/>
      </c>
      <c r="L584" s="75"/>
      <c r="M584" s="46" t="s">
        <v>2002</v>
      </c>
    </row>
    <row r="585">
      <c r="A585" s="70"/>
      <c r="C585" s="5" t="s">
        <v>2002</v>
      </c>
      <c r="D585" s="5"/>
      <c r="E585" s="5"/>
      <c r="F585" s="5"/>
      <c r="G585" s="5"/>
      <c r="H585" s="5"/>
      <c r="I585" s="5"/>
      <c r="J585" s="73"/>
      <c r="K585" s="75" t="str">
        <f>IFERROR(__xludf.DUMMYFUNCTION("""COMPUTED_VALUE"""),"")</f>
        <v/>
      </c>
      <c r="L585" s="75"/>
      <c r="M585" s="46" t="s">
        <v>2002</v>
      </c>
    </row>
    <row r="586">
      <c r="A586" s="70"/>
      <c r="C586" s="5" t="s">
        <v>2002</v>
      </c>
      <c r="D586" s="5"/>
      <c r="E586" s="5"/>
      <c r="F586" s="5"/>
      <c r="G586" s="5"/>
      <c r="H586" s="5"/>
      <c r="I586" s="5"/>
      <c r="J586" s="73"/>
      <c r="K586" s="75" t="str">
        <f>IFERROR(__xludf.DUMMYFUNCTION("""COMPUTED_VALUE"""),"")</f>
        <v/>
      </c>
      <c r="L586" s="75"/>
      <c r="M586" s="46" t="s">
        <v>2002</v>
      </c>
    </row>
    <row r="587">
      <c r="A587" s="70"/>
      <c r="C587" s="5" t="s">
        <v>2002</v>
      </c>
      <c r="D587" s="5"/>
      <c r="E587" s="5"/>
      <c r="F587" s="5"/>
      <c r="G587" s="5"/>
      <c r="H587" s="5"/>
      <c r="I587" s="5"/>
      <c r="J587" s="73"/>
      <c r="K587" s="75" t="str">
        <f>IFERROR(__xludf.DUMMYFUNCTION("""COMPUTED_VALUE"""),"")</f>
        <v/>
      </c>
      <c r="L587" s="75"/>
      <c r="M587" s="46" t="s">
        <v>2002</v>
      </c>
    </row>
    <row r="588">
      <c r="A588" s="70"/>
      <c r="C588" s="5" t="s">
        <v>2002</v>
      </c>
      <c r="D588" s="5"/>
      <c r="E588" s="5"/>
      <c r="F588" s="5"/>
      <c r="G588" s="5"/>
      <c r="H588" s="5"/>
      <c r="I588" s="5"/>
      <c r="J588" s="73"/>
      <c r="K588" s="75" t="str">
        <f>IFERROR(__xludf.DUMMYFUNCTION("""COMPUTED_VALUE"""),"")</f>
        <v/>
      </c>
      <c r="L588" s="75"/>
      <c r="M588" s="46" t="s">
        <v>2002</v>
      </c>
    </row>
    <row r="589">
      <c r="A589" s="70"/>
      <c r="C589" s="5" t="s">
        <v>2002</v>
      </c>
      <c r="D589" s="5"/>
      <c r="E589" s="5"/>
      <c r="F589" s="5"/>
      <c r="G589" s="5"/>
      <c r="H589" s="5"/>
      <c r="I589" s="5"/>
      <c r="J589" s="73"/>
      <c r="K589" s="75" t="str">
        <f>IFERROR(__xludf.DUMMYFUNCTION("""COMPUTED_VALUE"""),"")</f>
        <v/>
      </c>
      <c r="L589" s="75"/>
      <c r="M589" s="46" t="s">
        <v>2002</v>
      </c>
    </row>
    <row r="590">
      <c r="A590" s="70"/>
      <c r="C590" s="5" t="s">
        <v>2002</v>
      </c>
      <c r="D590" s="5"/>
      <c r="E590" s="5"/>
      <c r="F590" s="5"/>
      <c r="G590" s="5"/>
      <c r="H590" s="5"/>
      <c r="I590" s="5"/>
      <c r="J590" s="73"/>
      <c r="K590" s="75" t="str">
        <f>IFERROR(__xludf.DUMMYFUNCTION("""COMPUTED_VALUE"""),"")</f>
        <v/>
      </c>
      <c r="L590" s="75"/>
      <c r="M590" s="46" t="s">
        <v>2002</v>
      </c>
    </row>
    <row r="591">
      <c r="A591" s="70"/>
      <c r="C591" s="5" t="s">
        <v>2002</v>
      </c>
      <c r="D591" s="5"/>
      <c r="E591" s="5"/>
      <c r="F591" s="5"/>
      <c r="G591" s="5"/>
      <c r="H591" s="5"/>
      <c r="I591" s="5"/>
      <c r="J591" s="73"/>
      <c r="K591" s="75" t="str">
        <f>IFERROR(__xludf.DUMMYFUNCTION("""COMPUTED_VALUE"""),"")</f>
        <v/>
      </c>
      <c r="L591" s="75"/>
      <c r="M591" s="46" t="s">
        <v>2002</v>
      </c>
    </row>
    <row r="592">
      <c r="A592" s="70"/>
      <c r="C592" s="5" t="s">
        <v>2002</v>
      </c>
      <c r="D592" s="5"/>
      <c r="E592" s="5"/>
      <c r="F592" s="5"/>
      <c r="G592" s="5"/>
      <c r="H592" s="5"/>
      <c r="I592" s="5"/>
      <c r="J592" s="73"/>
      <c r="K592" s="75" t="str">
        <f>IFERROR(__xludf.DUMMYFUNCTION("""COMPUTED_VALUE"""),"")</f>
        <v/>
      </c>
      <c r="L592" s="75"/>
      <c r="M592" s="46" t="s">
        <v>2002</v>
      </c>
    </row>
    <row r="593">
      <c r="A593" s="70"/>
      <c r="C593" s="5" t="s">
        <v>2002</v>
      </c>
      <c r="D593" s="5"/>
      <c r="E593" s="5"/>
      <c r="F593" s="5"/>
      <c r="G593" s="5"/>
      <c r="H593" s="5"/>
      <c r="I593" s="5"/>
      <c r="J593" s="73"/>
      <c r="K593" s="75" t="str">
        <f>IFERROR(__xludf.DUMMYFUNCTION("""COMPUTED_VALUE"""),"")</f>
        <v/>
      </c>
      <c r="L593" s="75"/>
      <c r="M593" s="46" t="s">
        <v>2002</v>
      </c>
    </row>
    <row r="594">
      <c r="A594" s="70"/>
      <c r="C594" s="5" t="s">
        <v>2002</v>
      </c>
      <c r="D594" s="5"/>
      <c r="E594" s="5"/>
      <c r="F594" s="5"/>
      <c r="G594" s="5"/>
      <c r="H594" s="5"/>
      <c r="I594" s="5"/>
      <c r="J594" s="73"/>
      <c r="K594" s="75" t="str">
        <f>IFERROR(__xludf.DUMMYFUNCTION("""COMPUTED_VALUE"""),"")</f>
        <v/>
      </c>
      <c r="L594" s="75"/>
      <c r="M594" s="46" t="s">
        <v>2002</v>
      </c>
    </row>
    <row r="595">
      <c r="A595" s="70"/>
      <c r="C595" s="5" t="s">
        <v>2002</v>
      </c>
      <c r="D595" s="5"/>
      <c r="E595" s="5"/>
      <c r="F595" s="5"/>
      <c r="G595" s="5"/>
      <c r="H595" s="5"/>
      <c r="I595" s="5"/>
      <c r="J595" s="73"/>
      <c r="K595" s="75" t="str">
        <f>IFERROR(__xludf.DUMMYFUNCTION("""COMPUTED_VALUE"""),"")</f>
        <v/>
      </c>
      <c r="L595" s="75"/>
      <c r="M595" s="46" t="s">
        <v>2002</v>
      </c>
    </row>
    <row r="596">
      <c r="A596" s="70"/>
      <c r="C596" s="5" t="s">
        <v>2002</v>
      </c>
      <c r="D596" s="5"/>
      <c r="E596" s="5"/>
      <c r="F596" s="5"/>
      <c r="G596" s="5"/>
      <c r="H596" s="5"/>
      <c r="I596" s="5"/>
      <c r="J596" s="73"/>
      <c r="K596" s="75" t="str">
        <f>IFERROR(__xludf.DUMMYFUNCTION("""COMPUTED_VALUE"""),"")</f>
        <v/>
      </c>
      <c r="L596" s="75"/>
      <c r="M596" s="46" t="s">
        <v>2002</v>
      </c>
    </row>
    <row r="597">
      <c r="A597" s="70"/>
      <c r="C597" s="5" t="s">
        <v>2002</v>
      </c>
      <c r="D597" s="5"/>
      <c r="E597" s="5"/>
      <c r="F597" s="5"/>
      <c r="G597" s="5"/>
      <c r="H597" s="5"/>
      <c r="I597" s="5"/>
      <c r="J597" s="73"/>
      <c r="K597" s="75" t="str">
        <f>IFERROR(__xludf.DUMMYFUNCTION("""COMPUTED_VALUE"""),"")</f>
        <v/>
      </c>
      <c r="L597" s="75"/>
      <c r="M597" s="46" t="s">
        <v>2002</v>
      </c>
    </row>
    <row r="598">
      <c r="A598" s="70"/>
      <c r="C598" s="5" t="s">
        <v>2002</v>
      </c>
      <c r="D598" s="5"/>
      <c r="E598" s="5"/>
      <c r="F598" s="5"/>
      <c r="G598" s="5"/>
      <c r="H598" s="5"/>
      <c r="I598" s="5"/>
      <c r="J598" s="73"/>
      <c r="K598" s="75" t="str">
        <f>IFERROR(__xludf.DUMMYFUNCTION("""COMPUTED_VALUE"""),"")</f>
        <v/>
      </c>
      <c r="L598" s="75"/>
      <c r="M598" s="46" t="s">
        <v>2002</v>
      </c>
    </row>
    <row r="599">
      <c r="A599" s="70"/>
      <c r="C599" s="5" t="s">
        <v>2002</v>
      </c>
      <c r="D599" s="5"/>
      <c r="E599" s="5"/>
      <c r="F599" s="5"/>
      <c r="G599" s="5"/>
      <c r="H599" s="5"/>
      <c r="I599" s="5"/>
      <c r="J599" s="73"/>
      <c r="K599" s="75" t="str">
        <f>IFERROR(__xludf.DUMMYFUNCTION("""COMPUTED_VALUE"""),"")</f>
        <v/>
      </c>
      <c r="L599" s="75"/>
      <c r="M599" s="46" t="s">
        <v>2002</v>
      </c>
    </row>
    <row r="600">
      <c r="A600" s="70"/>
      <c r="C600" s="5" t="s">
        <v>2002</v>
      </c>
      <c r="D600" s="5"/>
      <c r="E600" s="5"/>
      <c r="F600" s="5"/>
      <c r="G600" s="5"/>
      <c r="H600" s="5"/>
      <c r="I600" s="5"/>
      <c r="J600" s="73"/>
      <c r="K600" s="75" t="str">
        <f>IFERROR(__xludf.DUMMYFUNCTION("""COMPUTED_VALUE"""),"")</f>
        <v/>
      </c>
      <c r="L600" s="75"/>
      <c r="M600" s="46" t="s">
        <v>2002</v>
      </c>
    </row>
    <row r="601">
      <c r="A601" s="70"/>
      <c r="C601" s="5" t="s">
        <v>2002</v>
      </c>
      <c r="D601" s="5"/>
      <c r="E601" s="5"/>
      <c r="F601" s="5"/>
      <c r="G601" s="5"/>
      <c r="H601" s="5"/>
      <c r="I601" s="5"/>
      <c r="J601" s="73"/>
      <c r="K601" s="75" t="str">
        <f>IFERROR(__xludf.DUMMYFUNCTION("""COMPUTED_VALUE"""),"")</f>
        <v/>
      </c>
      <c r="L601" s="75"/>
      <c r="M601" s="46" t="s">
        <v>2002</v>
      </c>
    </row>
    <row r="602">
      <c r="A602" s="70"/>
      <c r="C602" s="5" t="s">
        <v>2002</v>
      </c>
      <c r="D602" s="5"/>
      <c r="E602" s="5"/>
      <c r="F602" s="5"/>
      <c r="G602" s="5"/>
      <c r="H602" s="5"/>
      <c r="I602" s="5"/>
      <c r="J602" s="73"/>
      <c r="K602" s="75" t="str">
        <f>IFERROR(__xludf.DUMMYFUNCTION("""COMPUTED_VALUE"""),"")</f>
        <v/>
      </c>
      <c r="L602" s="75"/>
      <c r="M602" s="46" t="s">
        <v>2002</v>
      </c>
    </row>
    <row r="603">
      <c r="A603" s="70"/>
      <c r="C603" s="5" t="s">
        <v>2002</v>
      </c>
      <c r="D603" s="5"/>
      <c r="E603" s="5"/>
      <c r="F603" s="5"/>
      <c r="G603" s="5"/>
      <c r="H603" s="5"/>
      <c r="I603" s="5"/>
      <c r="J603" s="73"/>
      <c r="K603" s="75" t="str">
        <f>IFERROR(__xludf.DUMMYFUNCTION("""COMPUTED_VALUE"""),"")</f>
        <v/>
      </c>
      <c r="L603" s="75"/>
      <c r="M603" s="46" t="s">
        <v>2002</v>
      </c>
    </row>
    <row r="604">
      <c r="A604" s="70"/>
      <c r="C604" s="5" t="s">
        <v>2002</v>
      </c>
      <c r="D604" s="5"/>
      <c r="E604" s="5"/>
      <c r="F604" s="5"/>
      <c r="G604" s="5"/>
      <c r="H604" s="5"/>
      <c r="I604" s="5"/>
      <c r="J604" s="73"/>
      <c r="K604" s="75" t="str">
        <f>IFERROR(__xludf.DUMMYFUNCTION("""COMPUTED_VALUE"""),"")</f>
        <v/>
      </c>
      <c r="L604" s="75"/>
      <c r="M604" s="46" t="s">
        <v>2002</v>
      </c>
    </row>
    <row r="605">
      <c r="A605" s="70"/>
      <c r="C605" s="5" t="s">
        <v>2002</v>
      </c>
      <c r="D605" s="5"/>
      <c r="E605" s="5"/>
      <c r="F605" s="5"/>
      <c r="G605" s="5"/>
      <c r="H605" s="5"/>
      <c r="I605" s="5"/>
      <c r="J605" s="73"/>
      <c r="K605" s="75" t="str">
        <f>IFERROR(__xludf.DUMMYFUNCTION("""COMPUTED_VALUE"""),"")</f>
        <v/>
      </c>
      <c r="L605" s="75"/>
      <c r="M605" s="46" t="s">
        <v>2002</v>
      </c>
    </row>
    <row r="606">
      <c r="A606" s="70"/>
      <c r="C606" s="5" t="s">
        <v>2002</v>
      </c>
      <c r="D606" s="5"/>
      <c r="E606" s="5"/>
      <c r="F606" s="5"/>
      <c r="G606" s="5"/>
      <c r="H606" s="5"/>
      <c r="I606" s="5"/>
      <c r="J606" s="73"/>
      <c r="K606" s="75" t="str">
        <f>IFERROR(__xludf.DUMMYFUNCTION("""COMPUTED_VALUE"""),"")</f>
        <v/>
      </c>
      <c r="L606" s="75"/>
      <c r="M606" s="46" t="s">
        <v>2002</v>
      </c>
    </row>
    <row r="607">
      <c r="A607" s="70"/>
      <c r="C607" s="5" t="s">
        <v>2002</v>
      </c>
      <c r="D607" s="5"/>
      <c r="E607" s="5"/>
      <c r="F607" s="5"/>
      <c r="G607" s="5"/>
      <c r="H607" s="5"/>
      <c r="I607" s="5"/>
      <c r="J607" s="73"/>
      <c r="K607" s="75" t="str">
        <f>IFERROR(__xludf.DUMMYFUNCTION("""COMPUTED_VALUE"""),"")</f>
        <v/>
      </c>
      <c r="L607" s="75"/>
      <c r="M607" s="46" t="s">
        <v>2002</v>
      </c>
    </row>
    <row r="608">
      <c r="A608" s="70"/>
      <c r="C608" s="5" t="s">
        <v>2002</v>
      </c>
      <c r="D608" s="5"/>
      <c r="E608" s="5"/>
      <c r="F608" s="5"/>
      <c r="G608" s="5"/>
      <c r="H608" s="5"/>
      <c r="I608" s="5"/>
      <c r="J608" s="73"/>
      <c r="K608" s="75" t="str">
        <f>IFERROR(__xludf.DUMMYFUNCTION("""COMPUTED_VALUE"""),"")</f>
        <v/>
      </c>
      <c r="L608" s="75"/>
      <c r="M608" s="46" t="s">
        <v>2002</v>
      </c>
    </row>
    <row r="609">
      <c r="A609" s="70"/>
      <c r="C609" s="5" t="s">
        <v>2002</v>
      </c>
      <c r="D609" s="5"/>
      <c r="E609" s="5"/>
      <c r="F609" s="5"/>
      <c r="G609" s="5"/>
      <c r="H609" s="5"/>
      <c r="I609" s="5"/>
      <c r="J609" s="73"/>
      <c r="K609" s="75" t="str">
        <f>IFERROR(__xludf.DUMMYFUNCTION("""COMPUTED_VALUE"""),"")</f>
        <v/>
      </c>
      <c r="L609" s="75"/>
      <c r="M609" s="46" t="s">
        <v>2002</v>
      </c>
    </row>
    <row r="610">
      <c r="A610" s="70"/>
      <c r="C610" s="5" t="s">
        <v>2002</v>
      </c>
      <c r="D610" s="5"/>
      <c r="E610" s="5"/>
      <c r="F610" s="5"/>
      <c r="G610" s="5"/>
      <c r="H610" s="5"/>
      <c r="I610" s="5"/>
      <c r="J610" s="73"/>
      <c r="K610" s="75" t="str">
        <f>IFERROR(__xludf.DUMMYFUNCTION("""COMPUTED_VALUE"""),"")</f>
        <v/>
      </c>
      <c r="L610" s="75"/>
      <c r="M610" s="46" t="s">
        <v>2002</v>
      </c>
    </row>
    <row r="611">
      <c r="A611" s="70"/>
      <c r="C611" s="5" t="s">
        <v>2002</v>
      </c>
      <c r="D611" s="5"/>
      <c r="E611" s="5"/>
      <c r="F611" s="5"/>
      <c r="G611" s="5"/>
      <c r="H611" s="5"/>
      <c r="I611" s="5"/>
      <c r="J611" s="73"/>
      <c r="K611" s="75" t="str">
        <f>IFERROR(__xludf.DUMMYFUNCTION("""COMPUTED_VALUE"""),"")</f>
        <v/>
      </c>
      <c r="L611" s="75"/>
      <c r="M611" s="46" t="s">
        <v>2002</v>
      </c>
    </row>
    <row r="612">
      <c r="A612" s="70"/>
      <c r="C612" s="5" t="s">
        <v>2002</v>
      </c>
      <c r="D612" s="5"/>
      <c r="E612" s="5"/>
      <c r="F612" s="5"/>
      <c r="G612" s="5"/>
      <c r="H612" s="5"/>
      <c r="I612" s="5"/>
      <c r="J612" s="73"/>
      <c r="K612" s="75" t="str">
        <f>IFERROR(__xludf.DUMMYFUNCTION("""COMPUTED_VALUE"""),"")</f>
        <v/>
      </c>
      <c r="L612" s="75"/>
      <c r="M612" s="46" t="s">
        <v>2002</v>
      </c>
    </row>
    <row r="613">
      <c r="A613" s="70"/>
      <c r="C613" s="5" t="s">
        <v>2002</v>
      </c>
      <c r="D613" s="5"/>
      <c r="E613" s="5"/>
      <c r="F613" s="5"/>
      <c r="G613" s="5"/>
      <c r="H613" s="5"/>
      <c r="I613" s="5"/>
      <c r="J613" s="73"/>
      <c r="K613" s="75" t="str">
        <f>IFERROR(__xludf.DUMMYFUNCTION("""COMPUTED_VALUE"""),"")</f>
        <v/>
      </c>
      <c r="L613" s="75"/>
      <c r="M613" s="46" t="s">
        <v>2002</v>
      </c>
    </row>
    <row r="614">
      <c r="A614" s="70"/>
      <c r="C614" s="5" t="s">
        <v>2002</v>
      </c>
      <c r="D614" s="5"/>
      <c r="E614" s="5"/>
      <c r="F614" s="5"/>
      <c r="G614" s="5"/>
      <c r="H614" s="5"/>
      <c r="I614" s="5"/>
      <c r="J614" s="73"/>
      <c r="K614" s="75" t="str">
        <f>IFERROR(__xludf.DUMMYFUNCTION("""COMPUTED_VALUE"""),"")</f>
        <v/>
      </c>
      <c r="L614" s="75"/>
      <c r="M614" s="46" t="s">
        <v>2002</v>
      </c>
    </row>
    <row r="615">
      <c r="A615" s="70"/>
      <c r="C615" s="5" t="s">
        <v>2002</v>
      </c>
      <c r="D615" s="5"/>
      <c r="E615" s="5"/>
      <c r="F615" s="5"/>
      <c r="G615" s="5"/>
      <c r="H615" s="5"/>
      <c r="I615" s="5"/>
      <c r="J615" s="73"/>
      <c r="K615" s="75" t="str">
        <f>IFERROR(__xludf.DUMMYFUNCTION("""COMPUTED_VALUE"""),"")</f>
        <v/>
      </c>
      <c r="L615" s="75"/>
      <c r="M615" s="46" t="s">
        <v>2002</v>
      </c>
    </row>
    <row r="616">
      <c r="A616" s="70"/>
      <c r="C616" s="5" t="s">
        <v>2002</v>
      </c>
      <c r="D616" s="5"/>
      <c r="E616" s="5"/>
      <c r="F616" s="5"/>
      <c r="G616" s="5"/>
      <c r="H616" s="5"/>
      <c r="I616" s="5"/>
      <c r="J616" s="73"/>
      <c r="K616" s="75" t="str">
        <f>IFERROR(__xludf.DUMMYFUNCTION("""COMPUTED_VALUE"""),"")</f>
        <v/>
      </c>
      <c r="L616" s="75"/>
      <c r="M616" s="46" t="s">
        <v>2002</v>
      </c>
    </row>
    <row r="617">
      <c r="A617" s="70"/>
      <c r="C617" s="5" t="s">
        <v>2002</v>
      </c>
      <c r="D617" s="5"/>
      <c r="E617" s="5"/>
      <c r="F617" s="5"/>
      <c r="G617" s="5"/>
      <c r="H617" s="5"/>
      <c r="I617" s="5"/>
      <c r="J617" s="73"/>
      <c r="K617" s="75" t="str">
        <f>IFERROR(__xludf.DUMMYFUNCTION("""COMPUTED_VALUE"""),"")</f>
        <v/>
      </c>
      <c r="L617" s="75"/>
      <c r="M617" s="46" t="s">
        <v>2002</v>
      </c>
    </row>
    <row r="618">
      <c r="A618" s="70"/>
      <c r="C618" s="5" t="s">
        <v>2002</v>
      </c>
      <c r="D618" s="5"/>
      <c r="E618" s="5"/>
      <c r="F618" s="5"/>
      <c r="G618" s="5"/>
      <c r="H618" s="5"/>
      <c r="I618" s="5"/>
      <c r="J618" s="73"/>
      <c r="K618" s="75" t="str">
        <f>IFERROR(__xludf.DUMMYFUNCTION("""COMPUTED_VALUE"""),"")</f>
        <v/>
      </c>
      <c r="L618" s="75"/>
      <c r="M618" s="46" t="s">
        <v>2002</v>
      </c>
    </row>
    <row r="619">
      <c r="A619" s="70"/>
      <c r="C619" s="5" t="s">
        <v>2002</v>
      </c>
      <c r="D619" s="5"/>
      <c r="E619" s="5"/>
      <c r="F619" s="5"/>
      <c r="G619" s="5"/>
      <c r="H619" s="5"/>
      <c r="I619" s="5"/>
      <c r="J619" s="73"/>
      <c r="K619" s="75" t="str">
        <f>IFERROR(__xludf.DUMMYFUNCTION("""COMPUTED_VALUE"""),"")</f>
        <v/>
      </c>
      <c r="L619" s="75"/>
      <c r="M619" s="46" t="s">
        <v>2002</v>
      </c>
    </row>
    <row r="620">
      <c r="A620" s="70"/>
      <c r="C620" s="5" t="s">
        <v>2002</v>
      </c>
      <c r="D620" s="5"/>
      <c r="E620" s="5"/>
      <c r="F620" s="5"/>
      <c r="G620" s="5"/>
      <c r="H620" s="5"/>
      <c r="I620" s="5"/>
      <c r="J620" s="73"/>
      <c r="K620" s="75" t="str">
        <f>IFERROR(__xludf.DUMMYFUNCTION("""COMPUTED_VALUE"""),"")</f>
        <v/>
      </c>
      <c r="L620" s="75"/>
      <c r="M620" s="46" t="s">
        <v>2002</v>
      </c>
    </row>
    <row r="621">
      <c r="A621" s="70"/>
      <c r="C621" s="5" t="s">
        <v>2002</v>
      </c>
      <c r="D621" s="5"/>
      <c r="E621" s="5"/>
      <c r="F621" s="5"/>
      <c r="G621" s="5"/>
      <c r="H621" s="5"/>
      <c r="I621" s="5"/>
      <c r="J621" s="73"/>
      <c r="K621" s="75" t="str">
        <f>IFERROR(__xludf.DUMMYFUNCTION("""COMPUTED_VALUE"""),"")</f>
        <v/>
      </c>
      <c r="L621" s="75"/>
      <c r="M621" s="46" t="s">
        <v>2002</v>
      </c>
    </row>
    <row r="622">
      <c r="A622" s="70"/>
      <c r="C622" s="5" t="s">
        <v>2002</v>
      </c>
      <c r="D622" s="5"/>
      <c r="E622" s="5"/>
      <c r="F622" s="5"/>
      <c r="G622" s="5"/>
      <c r="H622" s="5"/>
      <c r="I622" s="5"/>
      <c r="J622" s="73"/>
      <c r="K622" s="75" t="str">
        <f>IFERROR(__xludf.DUMMYFUNCTION("""COMPUTED_VALUE"""),"")</f>
        <v/>
      </c>
      <c r="L622" s="75"/>
      <c r="M622" s="46" t="s">
        <v>2002</v>
      </c>
    </row>
    <row r="623">
      <c r="A623" s="70"/>
      <c r="C623" s="5" t="s">
        <v>2002</v>
      </c>
      <c r="D623" s="5"/>
      <c r="E623" s="5"/>
      <c r="F623" s="5"/>
      <c r="G623" s="5"/>
      <c r="H623" s="5"/>
      <c r="I623" s="5"/>
      <c r="J623" s="73"/>
      <c r="K623" s="75" t="str">
        <f>IFERROR(__xludf.DUMMYFUNCTION("""COMPUTED_VALUE"""),"")</f>
        <v/>
      </c>
      <c r="L623" s="75"/>
      <c r="M623" s="46" t="s">
        <v>2002</v>
      </c>
    </row>
    <row r="624">
      <c r="A624" s="70"/>
      <c r="C624" s="5" t="s">
        <v>2002</v>
      </c>
      <c r="D624" s="5"/>
      <c r="E624" s="5"/>
      <c r="F624" s="5"/>
      <c r="G624" s="5"/>
      <c r="H624" s="5"/>
      <c r="I624" s="5"/>
      <c r="J624" s="73"/>
      <c r="K624" s="75" t="str">
        <f>IFERROR(__xludf.DUMMYFUNCTION("""COMPUTED_VALUE"""),"")</f>
        <v/>
      </c>
      <c r="L624" s="75"/>
      <c r="M624" s="46" t="s">
        <v>2002</v>
      </c>
    </row>
    <row r="625">
      <c r="A625" s="70"/>
      <c r="C625" s="5" t="s">
        <v>2002</v>
      </c>
      <c r="D625" s="5"/>
      <c r="E625" s="5"/>
      <c r="F625" s="5"/>
      <c r="G625" s="5"/>
      <c r="H625" s="5"/>
      <c r="I625" s="5"/>
      <c r="J625" s="73"/>
      <c r="K625" s="75" t="str">
        <f>IFERROR(__xludf.DUMMYFUNCTION("""COMPUTED_VALUE"""),"")</f>
        <v/>
      </c>
      <c r="L625" s="75"/>
      <c r="M625" s="46" t="s">
        <v>2002</v>
      </c>
    </row>
    <row r="626">
      <c r="A626" s="70"/>
      <c r="C626" s="5" t="s">
        <v>2002</v>
      </c>
      <c r="D626" s="5"/>
      <c r="E626" s="5"/>
      <c r="F626" s="5"/>
      <c r="G626" s="5"/>
      <c r="H626" s="5"/>
      <c r="I626" s="5"/>
      <c r="J626" s="73"/>
      <c r="K626" s="75" t="str">
        <f>IFERROR(__xludf.DUMMYFUNCTION("""COMPUTED_VALUE"""),"")</f>
        <v/>
      </c>
      <c r="L626" s="75"/>
      <c r="M626" s="46" t="s">
        <v>2002</v>
      </c>
    </row>
    <row r="627">
      <c r="A627" s="70"/>
      <c r="C627" s="5" t="s">
        <v>2002</v>
      </c>
      <c r="D627" s="5"/>
      <c r="E627" s="5"/>
      <c r="F627" s="5"/>
      <c r="G627" s="5"/>
      <c r="H627" s="5"/>
      <c r="I627" s="5"/>
      <c r="J627" s="73"/>
      <c r="K627" s="75" t="str">
        <f>IFERROR(__xludf.DUMMYFUNCTION("""COMPUTED_VALUE"""),"")</f>
        <v/>
      </c>
      <c r="L627" s="75"/>
      <c r="M627" s="46" t="s">
        <v>2002</v>
      </c>
    </row>
    <row r="628">
      <c r="A628" s="70"/>
      <c r="C628" s="5" t="s">
        <v>2002</v>
      </c>
      <c r="D628" s="5"/>
      <c r="E628" s="5"/>
      <c r="F628" s="5"/>
      <c r="G628" s="5"/>
      <c r="H628" s="5"/>
      <c r="I628" s="5"/>
      <c r="J628" s="73"/>
      <c r="K628" s="75" t="str">
        <f>IFERROR(__xludf.DUMMYFUNCTION("""COMPUTED_VALUE"""),"")</f>
        <v/>
      </c>
      <c r="L628" s="75"/>
      <c r="M628" s="46" t="s">
        <v>2002</v>
      </c>
    </row>
    <row r="629">
      <c r="A629" s="70"/>
      <c r="C629" s="5" t="s">
        <v>2002</v>
      </c>
      <c r="D629" s="5"/>
      <c r="E629" s="5"/>
      <c r="F629" s="5"/>
      <c r="G629" s="5"/>
      <c r="H629" s="5"/>
      <c r="I629" s="5"/>
      <c r="J629" s="73"/>
      <c r="K629" s="75" t="str">
        <f>IFERROR(__xludf.DUMMYFUNCTION("""COMPUTED_VALUE"""),"")</f>
        <v/>
      </c>
      <c r="L629" s="75"/>
      <c r="M629" s="46" t="s">
        <v>2002</v>
      </c>
    </row>
    <row r="630">
      <c r="A630" s="70"/>
      <c r="C630" s="5" t="s">
        <v>2002</v>
      </c>
      <c r="D630" s="5"/>
      <c r="E630" s="5"/>
      <c r="F630" s="5"/>
      <c r="G630" s="5"/>
      <c r="H630" s="5"/>
      <c r="I630" s="5"/>
      <c r="J630" s="73"/>
      <c r="K630" s="75" t="str">
        <f>IFERROR(__xludf.DUMMYFUNCTION("""COMPUTED_VALUE"""),"")</f>
        <v/>
      </c>
      <c r="L630" s="75"/>
      <c r="M630" s="46" t="s">
        <v>2002</v>
      </c>
    </row>
    <row r="631">
      <c r="A631" s="70"/>
      <c r="C631" s="5" t="s">
        <v>2002</v>
      </c>
      <c r="D631" s="5"/>
      <c r="E631" s="5"/>
      <c r="F631" s="5"/>
      <c r="G631" s="5"/>
      <c r="H631" s="5"/>
      <c r="I631" s="5"/>
      <c r="J631" s="73"/>
      <c r="K631" s="75" t="str">
        <f>IFERROR(__xludf.DUMMYFUNCTION("""COMPUTED_VALUE"""),"")</f>
        <v/>
      </c>
      <c r="L631" s="75"/>
      <c r="M631" s="46" t="s">
        <v>2002</v>
      </c>
    </row>
    <row r="632">
      <c r="A632" s="70"/>
      <c r="C632" s="5" t="s">
        <v>2002</v>
      </c>
      <c r="D632" s="5"/>
      <c r="E632" s="5"/>
      <c r="F632" s="5"/>
      <c r="G632" s="5"/>
      <c r="H632" s="5"/>
      <c r="I632" s="5"/>
      <c r="J632" s="73"/>
      <c r="K632" s="75" t="str">
        <f>IFERROR(__xludf.DUMMYFUNCTION("""COMPUTED_VALUE"""),"")</f>
        <v/>
      </c>
      <c r="L632" s="75"/>
      <c r="M632" s="46" t="s">
        <v>2002</v>
      </c>
    </row>
    <row r="633">
      <c r="A633" s="70"/>
      <c r="C633" s="5" t="s">
        <v>2002</v>
      </c>
      <c r="D633" s="5"/>
      <c r="E633" s="5"/>
      <c r="F633" s="5"/>
      <c r="G633" s="5"/>
      <c r="H633" s="5"/>
      <c r="I633" s="5"/>
      <c r="J633" s="73"/>
      <c r="K633" s="75" t="str">
        <f>IFERROR(__xludf.DUMMYFUNCTION("""COMPUTED_VALUE"""),"")</f>
        <v/>
      </c>
      <c r="L633" s="75"/>
      <c r="M633" s="46" t="s">
        <v>2002</v>
      </c>
    </row>
    <row r="634">
      <c r="A634" s="70"/>
      <c r="C634" s="5" t="s">
        <v>2002</v>
      </c>
      <c r="D634" s="5"/>
      <c r="E634" s="5"/>
      <c r="F634" s="5"/>
      <c r="G634" s="5"/>
      <c r="H634" s="5"/>
      <c r="I634" s="5"/>
      <c r="J634" s="73"/>
      <c r="K634" s="75" t="str">
        <f>IFERROR(__xludf.DUMMYFUNCTION("""COMPUTED_VALUE"""),"")</f>
        <v/>
      </c>
      <c r="L634" s="75"/>
      <c r="M634" s="46" t="s">
        <v>2002</v>
      </c>
    </row>
    <row r="635">
      <c r="A635" s="70"/>
      <c r="C635" s="5" t="s">
        <v>2002</v>
      </c>
      <c r="D635" s="5"/>
      <c r="E635" s="5"/>
      <c r="F635" s="5"/>
      <c r="G635" s="5"/>
      <c r="H635" s="5"/>
      <c r="I635" s="5"/>
      <c r="J635" s="73"/>
      <c r="K635" s="75" t="str">
        <f>IFERROR(__xludf.DUMMYFUNCTION("""COMPUTED_VALUE"""),"")</f>
        <v/>
      </c>
      <c r="L635" s="75"/>
      <c r="M635" s="46" t="s">
        <v>2002</v>
      </c>
    </row>
    <row r="636">
      <c r="A636" s="70"/>
      <c r="C636" s="5" t="s">
        <v>2002</v>
      </c>
      <c r="D636" s="5"/>
      <c r="E636" s="5"/>
      <c r="F636" s="5"/>
      <c r="G636" s="5"/>
      <c r="H636" s="5"/>
      <c r="I636" s="5"/>
      <c r="J636" s="73"/>
      <c r="K636" s="75" t="str">
        <f>IFERROR(__xludf.DUMMYFUNCTION("""COMPUTED_VALUE"""),"")</f>
        <v/>
      </c>
      <c r="L636" s="75"/>
      <c r="M636" s="46" t="s">
        <v>2002</v>
      </c>
    </row>
    <row r="637">
      <c r="A637" s="70"/>
      <c r="C637" s="5" t="s">
        <v>2002</v>
      </c>
      <c r="D637" s="5"/>
      <c r="E637" s="5"/>
      <c r="F637" s="5"/>
      <c r="G637" s="5"/>
      <c r="H637" s="5"/>
      <c r="I637" s="5"/>
      <c r="J637" s="73"/>
      <c r="K637" s="75" t="str">
        <f>IFERROR(__xludf.DUMMYFUNCTION("""COMPUTED_VALUE"""),"")</f>
        <v/>
      </c>
      <c r="L637" s="75"/>
      <c r="M637" s="46" t="s">
        <v>2002</v>
      </c>
    </row>
    <row r="638">
      <c r="A638" s="70"/>
      <c r="C638" s="5" t="s">
        <v>2002</v>
      </c>
      <c r="D638" s="5"/>
      <c r="E638" s="5"/>
      <c r="F638" s="5"/>
      <c r="G638" s="5"/>
      <c r="H638" s="5"/>
      <c r="I638" s="5"/>
      <c r="J638" s="73"/>
      <c r="K638" s="75" t="str">
        <f>IFERROR(__xludf.DUMMYFUNCTION("""COMPUTED_VALUE"""),"")</f>
        <v/>
      </c>
      <c r="L638" s="75"/>
      <c r="M638" s="46" t="s">
        <v>2002</v>
      </c>
    </row>
    <row r="639">
      <c r="A639" s="70"/>
      <c r="C639" s="5" t="s">
        <v>2002</v>
      </c>
      <c r="D639" s="5"/>
      <c r="E639" s="5"/>
      <c r="F639" s="5"/>
      <c r="G639" s="5"/>
      <c r="H639" s="5"/>
      <c r="I639" s="5"/>
      <c r="J639" s="73"/>
      <c r="K639" s="75" t="str">
        <f>IFERROR(__xludf.DUMMYFUNCTION("""COMPUTED_VALUE"""),"")</f>
        <v/>
      </c>
      <c r="L639" s="75"/>
      <c r="M639" s="46" t="s">
        <v>2002</v>
      </c>
    </row>
    <row r="640">
      <c r="A640" s="70"/>
      <c r="C640" s="5" t="s">
        <v>2002</v>
      </c>
      <c r="D640" s="5"/>
      <c r="E640" s="5"/>
      <c r="F640" s="5"/>
      <c r="G640" s="5"/>
      <c r="H640" s="5"/>
      <c r="I640" s="5"/>
      <c r="J640" s="73"/>
      <c r="K640" s="75" t="str">
        <f>IFERROR(__xludf.DUMMYFUNCTION("""COMPUTED_VALUE"""),"")</f>
        <v/>
      </c>
      <c r="L640" s="75"/>
      <c r="M640" s="46" t="s">
        <v>2002</v>
      </c>
    </row>
    <row r="641">
      <c r="A641" s="70"/>
      <c r="C641" s="5" t="s">
        <v>2002</v>
      </c>
      <c r="D641" s="5"/>
      <c r="E641" s="5"/>
      <c r="F641" s="5"/>
      <c r="G641" s="5"/>
      <c r="H641" s="5"/>
      <c r="I641" s="5"/>
      <c r="J641" s="73"/>
      <c r="K641" s="75" t="str">
        <f>IFERROR(__xludf.DUMMYFUNCTION("""COMPUTED_VALUE"""),"")</f>
        <v/>
      </c>
      <c r="L641" s="75"/>
      <c r="M641" s="46" t="s">
        <v>2002</v>
      </c>
    </row>
    <row r="642">
      <c r="A642" s="70"/>
      <c r="C642" s="5" t="s">
        <v>2002</v>
      </c>
      <c r="D642" s="5"/>
      <c r="E642" s="5"/>
      <c r="F642" s="5"/>
      <c r="G642" s="5"/>
      <c r="H642" s="5"/>
      <c r="I642" s="5"/>
      <c r="J642" s="73"/>
      <c r="K642" s="75" t="str">
        <f>IFERROR(__xludf.DUMMYFUNCTION("""COMPUTED_VALUE"""),"")</f>
        <v/>
      </c>
      <c r="L642" s="75"/>
      <c r="M642" s="46" t="s">
        <v>2002</v>
      </c>
    </row>
    <row r="643">
      <c r="A643" s="70"/>
      <c r="C643" s="5" t="s">
        <v>2002</v>
      </c>
      <c r="D643" s="5"/>
      <c r="E643" s="5"/>
      <c r="F643" s="5"/>
      <c r="G643" s="5"/>
      <c r="H643" s="5"/>
      <c r="I643" s="5"/>
      <c r="J643" s="73"/>
      <c r="K643" s="75" t="str">
        <f>IFERROR(__xludf.DUMMYFUNCTION("""COMPUTED_VALUE"""),"")</f>
        <v/>
      </c>
      <c r="L643" s="75"/>
      <c r="M643" s="46" t="s">
        <v>2002</v>
      </c>
    </row>
    <row r="644">
      <c r="A644" s="70"/>
      <c r="C644" s="5" t="s">
        <v>2002</v>
      </c>
      <c r="D644" s="5"/>
      <c r="E644" s="5"/>
      <c r="F644" s="5"/>
      <c r="G644" s="5"/>
      <c r="H644" s="5"/>
      <c r="I644" s="5"/>
      <c r="J644" s="73"/>
      <c r="K644" s="75" t="str">
        <f>IFERROR(__xludf.DUMMYFUNCTION("""COMPUTED_VALUE"""),"")</f>
        <v/>
      </c>
      <c r="L644" s="75"/>
      <c r="M644" s="46" t="s">
        <v>2002</v>
      </c>
    </row>
    <row r="645">
      <c r="A645" s="70"/>
      <c r="C645" s="5" t="s">
        <v>2002</v>
      </c>
      <c r="D645" s="5"/>
      <c r="E645" s="5"/>
      <c r="F645" s="5"/>
      <c r="G645" s="5"/>
      <c r="H645" s="5"/>
      <c r="I645" s="5"/>
      <c r="J645" s="73"/>
      <c r="K645" s="75" t="str">
        <f>IFERROR(__xludf.DUMMYFUNCTION("""COMPUTED_VALUE"""),"")</f>
        <v/>
      </c>
      <c r="L645" s="75"/>
      <c r="M645" s="46" t="s">
        <v>2002</v>
      </c>
    </row>
    <row r="646">
      <c r="A646" s="70"/>
      <c r="C646" s="5" t="s">
        <v>2002</v>
      </c>
      <c r="D646" s="5"/>
      <c r="E646" s="5"/>
      <c r="F646" s="5"/>
      <c r="G646" s="5"/>
      <c r="H646" s="5"/>
      <c r="I646" s="5"/>
      <c r="J646" s="73"/>
      <c r="K646" s="75" t="str">
        <f>IFERROR(__xludf.DUMMYFUNCTION("""COMPUTED_VALUE"""),"")</f>
        <v/>
      </c>
      <c r="L646" s="75"/>
      <c r="M646" s="46" t="s">
        <v>2002</v>
      </c>
    </row>
    <row r="647">
      <c r="A647" s="70"/>
      <c r="C647" s="5" t="s">
        <v>2002</v>
      </c>
      <c r="D647" s="5"/>
      <c r="E647" s="5"/>
      <c r="F647" s="5"/>
      <c r="G647" s="5"/>
      <c r="H647" s="5"/>
      <c r="I647" s="5"/>
      <c r="J647" s="73"/>
      <c r="K647" s="75" t="str">
        <f>IFERROR(__xludf.DUMMYFUNCTION("""COMPUTED_VALUE"""),"")</f>
        <v/>
      </c>
      <c r="L647" s="75"/>
      <c r="M647" s="46" t="s">
        <v>2002</v>
      </c>
    </row>
    <row r="648">
      <c r="A648" s="70"/>
      <c r="C648" s="5" t="s">
        <v>2002</v>
      </c>
      <c r="D648" s="5"/>
      <c r="E648" s="5"/>
      <c r="F648" s="5"/>
      <c r="G648" s="5"/>
      <c r="H648" s="5"/>
      <c r="I648" s="5"/>
      <c r="J648" s="73"/>
      <c r="K648" s="75" t="str">
        <f>IFERROR(__xludf.DUMMYFUNCTION("""COMPUTED_VALUE"""),"")</f>
        <v/>
      </c>
      <c r="L648" s="75"/>
      <c r="M648" s="46" t="s">
        <v>2002</v>
      </c>
    </row>
    <row r="649">
      <c r="A649" s="70"/>
      <c r="C649" s="5" t="s">
        <v>2002</v>
      </c>
      <c r="D649" s="5"/>
      <c r="E649" s="5"/>
      <c r="F649" s="5"/>
      <c r="G649" s="5"/>
      <c r="H649" s="5"/>
      <c r="I649" s="5"/>
      <c r="J649" s="73"/>
      <c r="K649" s="75" t="str">
        <f>IFERROR(__xludf.DUMMYFUNCTION("""COMPUTED_VALUE"""),"")</f>
        <v/>
      </c>
      <c r="L649" s="75"/>
      <c r="M649" s="46" t="s">
        <v>2002</v>
      </c>
    </row>
    <row r="650">
      <c r="A650" s="70"/>
      <c r="C650" s="5" t="s">
        <v>2002</v>
      </c>
      <c r="D650" s="5"/>
      <c r="E650" s="5"/>
      <c r="F650" s="5"/>
      <c r="G650" s="5"/>
      <c r="H650" s="5"/>
      <c r="I650" s="5"/>
      <c r="J650" s="73"/>
      <c r="K650" s="75" t="str">
        <f>IFERROR(__xludf.DUMMYFUNCTION("""COMPUTED_VALUE"""),"")</f>
        <v/>
      </c>
      <c r="L650" s="75"/>
      <c r="M650" s="46" t="s">
        <v>2002</v>
      </c>
    </row>
    <row r="651">
      <c r="A651" s="70"/>
      <c r="C651" s="5" t="s">
        <v>2002</v>
      </c>
      <c r="D651" s="5"/>
      <c r="E651" s="5"/>
      <c r="F651" s="5"/>
      <c r="G651" s="5"/>
      <c r="H651" s="5"/>
      <c r="I651" s="5"/>
      <c r="J651" s="73"/>
      <c r="K651" s="75" t="str">
        <f>IFERROR(__xludf.DUMMYFUNCTION("""COMPUTED_VALUE"""),"")</f>
        <v/>
      </c>
      <c r="L651" s="75"/>
      <c r="M651" s="46" t="s">
        <v>2002</v>
      </c>
    </row>
    <row r="652">
      <c r="A652" s="70"/>
      <c r="C652" s="5" t="s">
        <v>2002</v>
      </c>
      <c r="D652" s="5"/>
      <c r="E652" s="5"/>
      <c r="F652" s="5"/>
      <c r="G652" s="5"/>
      <c r="H652" s="5"/>
      <c r="I652" s="5"/>
      <c r="J652" s="73"/>
      <c r="K652" s="75" t="str">
        <f>IFERROR(__xludf.DUMMYFUNCTION("""COMPUTED_VALUE"""),"")</f>
        <v/>
      </c>
      <c r="L652" s="75"/>
      <c r="M652" s="46" t="s">
        <v>2002</v>
      </c>
    </row>
    <row r="653">
      <c r="A653" s="70"/>
      <c r="C653" s="5" t="s">
        <v>2002</v>
      </c>
      <c r="D653" s="5"/>
      <c r="E653" s="5"/>
      <c r="F653" s="5"/>
      <c r="G653" s="5"/>
      <c r="H653" s="5"/>
      <c r="I653" s="5"/>
      <c r="J653" s="73"/>
      <c r="K653" s="75" t="str">
        <f>IFERROR(__xludf.DUMMYFUNCTION("""COMPUTED_VALUE"""),"")</f>
        <v/>
      </c>
      <c r="L653" s="75"/>
      <c r="M653" s="46" t="s">
        <v>2002</v>
      </c>
    </row>
    <row r="654">
      <c r="A654" s="70"/>
      <c r="C654" s="5" t="s">
        <v>2002</v>
      </c>
      <c r="D654" s="5"/>
      <c r="E654" s="5"/>
      <c r="F654" s="5"/>
      <c r="G654" s="5"/>
      <c r="H654" s="5"/>
      <c r="I654" s="5"/>
      <c r="J654" s="73"/>
      <c r="K654" s="75" t="str">
        <f>IFERROR(__xludf.DUMMYFUNCTION("""COMPUTED_VALUE"""),"")</f>
        <v/>
      </c>
      <c r="L654" s="75"/>
      <c r="M654" s="46" t="s">
        <v>2002</v>
      </c>
    </row>
    <row r="655">
      <c r="A655" s="70"/>
      <c r="C655" s="5" t="s">
        <v>2002</v>
      </c>
      <c r="D655" s="5"/>
      <c r="E655" s="5"/>
      <c r="F655" s="5"/>
      <c r="G655" s="5"/>
      <c r="H655" s="5"/>
      <c r="I655" s="5"/>
      <c r="J655" s="73"/>
      <c r="K655" s="75" t="str">
        <f>IFERROR(__xludf.DUMMYFUNCTION("""COMPUTED_VALUE"""),"")</f>
        <v/>
      </c>
      <c r="L655" s="75"/>
      <c r="M655" s="46" t="s">
        <v>2002</v>
      </c>
    </row>
    <row r="656">
      <c r="A656" s="70"/>
      <c r="C656" s="5" t="s">
        <v>2002</v>
      </c>
      <c r="D656" s="5"/>
      <c r="E656" s="5"/>
      <c r="F656" s="5"/>
      <c r="G656" s="5"/>
      <c r="H656" s="5"/>
      <c r="I656" s="5"/>
      <c r="J656" s="73"/>
      <c r="K656" s="75" t="str">
        <f>IFERROR(__xludf.DUMMYFUNCTION("""COMPUTED_VALUE"""),"")</f>
        <v/>
      </c>
      <c r="L656" s="75"/>
      <c r="M656" s="46" t="s">
        <v>2002</v>
      </c>
    </row>
    <row r="657">
      <c r="A657" s="70"/>
      <c r="C657" s="5" t="s">
        <v>2002</v>
      </c>
      <c r="D657" s="5"/>
      <c r="E657" s="5"/>
      <c r="F657" s="5"/>
      <c r="G657" s="5"/>
      <c r="H657" s="5"/>
      <c r="I657" s="5"/>
      <c r="J657" s="73"/>
      <c r="K657" s="75" t="str">
        <f>IFERROR(__xludf.DUMMYFUNCTION("""COMPUTED_VALUE"""),"")</f>
        <v/>
      </c>
      <c r="L657" s="75"/>
      <c r="M657" s="46" t="s">
        <v>2002</v>
      </c>
    </row>
    <row r="658">
      <c r="A658" s="70"/>
      <c r="C658" s="5" t="s">
        <v>2002</v>
      </c>
      <c r="D658" s="5"/>
      <c r="E658" s="5"/>
      <c r="F658" s="5"/>
      <c r="G658" s="5"/>
      <c r="H658" s="5"/>
      <c r="I658" s="5"/>
      <c r="J658" s="73"/>
      <c r="K658" s="75" t="str">
        <f>IFERROR(__xludf.DUMMYFUNCTION("""COMPUTED_VALUE"""),"")</f>
        <v/>
      </c>
      <c r="L658" s="75"/>
      <c r="M658" s="46" t="s">
        <v>2002</v>
      </c>
    </row>
    <row r="659">
      <c r="A659" s="70"/>
      <c r="C659" s="5" t="s">
        <v>2002</v>
      </c>
      <c r="D659" s="5"/>
      <c r="E659" s="5"/>
      <c r="F659" s="5"/>
      <c r="G659" s="5"/>
      <c r="H659" s="5"/>
      <c r="I659" s="5"/>
      <c r="J659" s="73"/>
      <c r="K659" s="75" t="str">
        <f>IFERROR(__xludf.DUMMYFUNCTION("""COMPUTED_VALUE"""),"")</f>
        <v/>
      </c>
      <c r="L659" s="75"/>
      <c r="M659" s="46" t="s">
        <v>2002</v>
      </c>
    </row>
    <row r="660">
      <c r="A660" s="70"/>
      <c r="C660" s="5" t="s">
        <v>2002</v>
      </c>
      <c r="D660" s="5"/>
      <c r="E660" s="5"/>
      <c r="F660" s="5"/>
      <c r="G660" s="5"/>
      <c r="H660" s="5"/>
      <c r="I660" s="5"/>
      <c r="J660" s="73"/>
      <c r="K660" s="75" t="str">
        <f>IFERROR(__xludf.DUMMYFUNCTION("""COMPUTED_VALUE"""),"")</f>
        <v/>
      </c>
      <c r="L660" s="75"/>
      <c r="M660" s="46" t="s">
        <v>2002</v>
      </c>
    </row>
    <row r="661">
      <c r="A661" s="70"/>
      <c r="C661" s="5" t="s">
        <v>2002</v>
      </c>
      <c r="D661" s="5"/>
      <c r="E661" s="5"/>
      <c r="F661" s="5"/>
      <c r="G661" s="5"/>
      <c r="H661" s="5"/>
      <c r="I661" s="5"/>
      <c r="J661" s="73"/>
      <c r="K661" s="75" t="str">
        <f>IFERROR(__xludf.DUMMYFUNCTION("""COMPUTED_VALUE"""),"")</f>
        <v/>
      </c>
      <c r="L661" s="75"/>
      <c r="M661" s="46" t="s">
        <v>2002</v>
      </c>
    </row>
    <row r="662">
      <c r="A662" s="70"/>
      <c r="C662" s="5" t="s">
        <v>2002</v>
      </c>
      <c r="D662" s="5"/>
      <c r="E662" s="5"/>
      <c r="F662" s="5"/>
      <c r="G662" s="5"/>
      <c r="H662" s="5"/>
      <c r="I662" s="5"/>
      <c r="J662" s="73"/>
      <c r="K662" s="75" t="str">
        <f>IFERROR(__xludf.DUMMYFUNCTION("""COMPUTED_VALUE"""),"")</f>
        <v/>
      </c>
      <c r="L662" s="75"/>
      <c r="M662" s="46" t="s">
        <v>2002</v>
      </c>
    </row>
    <row r="663">
      <c r="A663" s="70"/>
      <c r="C663" s="5" t="s">
        <v>2002</v>
      </c>
      <c r="D663" s="5"/>
      <c r="E663" s="5"/>
      <c r="F663" s="5"/>
      <c r="G663" s="5"/>
      <c r="H663" s="5"/>
      <c r="I663" s="5"/>
      <c r="J663" s="73"/>
      <c r="K663" s="75" t="str">
        <f>IFERROR(__xludf.DUMMYFUNCTION("""COMPUTED_VALUE"""),"")</f>
        <v/>
      </c>
      <c r="L663" s="75"/>
      <c r="M663" s="46" t="s">
        <v>2002</v>
      </c>
    </row>
    <row r="664">
      <c r="A664" s="70"/>
      <c r="C664" s="5" t="s">
        <v>2002</v>
      </c>
      <c r="D664" s="5"/>
      <c r="E664" s="5"/>
      <c r="F664" s="5"/>
      <c r="G664" s="5"/>
      <c r="H664" s="5"/>
      <c r="I664" s="5"/>
      <c r="J664" s="73"/>
      <c r="K664" s="75" t="str">
        <f>IFERROR(__xludf.DUMMYFUNCTION("""COMPUTED_VALUE"""),"")</f>
        <v/>
      </c>
      <c r="L664" s="75"/>
      <c r="M664" s="46" t="s">
        <v>2002</v>
      </c>
    </row>
    <row r="665">
      <c r="A665" s="70"/>
      <c r="C665" s="5" t="s">
        <v>2002</v>
      </c>
      <c r="D665" s="5"/>
      <c r="E665" s="5"/>
      <c r="F665" s="5"/>
      <c r="G665" s="5"/>
      <c r="H665" s="5"/>
      <c r="I665" s="5"/>
      <c r="J665" s="73"/>
      <c r="K665" s="75" t="str">
        <f>IFERROR(__xludf.DUMMYFUNCTION("""COMPUTED_VALUE"""),"")</f>
        <v/>
      </c>
      <c r="L665" s="75"/>
      <c r="M665" s="46" t="s">
        <v>2002</v>
      </c>
    </row>
    <row r="666">
      <c r="A666" s="70"/>
      <c r="C666" s="5" t="s">
        <v>2002</v>
      </c>
      <c r="D666" s="5"/>
      <c r="E666" s="5"/>
      <c r="F666" s="5"/>
      <c r="G666" s="5"/>
      <c r="H666" s="5"/>
      <c r="I666" s="5"/>
      <c r="J666" s="73"/>
      <c r="K666" s="75" t="str">
        <f>IFERROR(__xludf.DUMMYFUNCTION("""COMPUTED_VALUE"""),"")</f>
        <v/>
      </c>
      <c r="L666" s="75"/>
      <c r="M666" s="46" t="s">
        <v>2002</v>
      </c>
    </row>
    <row r="667">
      <c r="A667" s="70"/>
      <c r="C667" s="5" t="s">
        <v>2002</v>
      </c>
      <c r="D667" s="5"/>
      <c r="E667" s="5"/>
      <c r="F667" s="5"/>
      <c r="G667" s="5"/>
      <c r="H667" s="5"/>
      <c r="I667" s="5"/>
      <c r="J667" s="73"/>
      <c r="K667" s="75" t="str">
        <f>IFERROR(__xludf.DUMMYFUNCTION("""COMPUTED_VALUE"""),"")</f>
        <v/>
      </c>
      <c r="L667" s="75"/>
      <c r="M667" s="46" t="s">
        <v>2002</v>
      </c>
    </row>
    <row r="668">
      <c r="A668" s="70"/>
      <c r="C668" s="5" t="s">
        <v>2002</v>
      </c>
      <c r="D668" s="5"/>
      <c r="E668" s="5"/>
      <c r="F668" s="5"/>
      <c r="G668" s="5"/>
      <c r="H668" s="5"/>
      <c r="I668" s="5"/>
      <c r="J668" s="73"/>
      <c r="K668" s="75" t="str">
        <f>IFERROR(__xludf.DUMMYFUNCTION("""COMPUTED_VALUE"""),"")</f>
        <v/>
      </c>
      <c r="L668" s="75"/>
      <c r="M668" s="46" t="s">
        <v>2002</v>
      </c>
    </row>
    <row r="669">
      <c r="A669" s="70"/>
      <c r="C669" s="5" t="s">
        <v>2002</v>
      </c>
      <c r="D669" s="5"/>
      <c r="E669" s="5"/>
      <c r="F669" s="5"/>
      <c r="G669" s="5"/>
      <c r="H669" s="5"/>
      <c r="I669" s="5"/>
      <c r="J669" s="73"/>
      <c r="K669" s="75" t="str">
        <f>IFERROR(__xludf.DUMMYFUNCTION("""COMPUTED_VALUE"""),"")</f>
        <v/>
      </c>
      <c r="L669" s="75"/>
      <c r="M669" s="46" t="s">
        <v>2002</v>
      </c>
    </row>
    <row r="670">
      <c r="A670" s="70"/>
      <c r="C670" s="5" t="s">
        <v>2002</v>
      </c>
      <c r="D670" s="5"/>
      <c r="E670" s="5"/>
      <c r="F670" s="5"/>
      <c r="G670" s="5"/>
      <c r="H670" s="5"/>
      <c r="I670" s="5"/>
      <c r="J670" s="73"/>
      <c r="K670" s="75" t="str">
        <f>IFERROR(__xludf.DUMMYFUNCTION("""COMPUTED_VALUE"""),"")</f>
        <v/>
      </c>
      <c r="L670" s="75"/>
      <c r="M670" s="46" t="s">
        <v>2002</v>
      </c>
    </row>
    <row r="671">
      <c r="A671" s="70"/>
      <c r="C671" s="5" t="s">
        <v>2002</v>
      </c>
      <c r="D671" s="5"/>
      <c r="E671" s="5"/>
      <c r="F671" s="5"/>
      <c r="G671" s="5"/>
      <c r="H671" s="5"/>
      <c r="I671" s="5"/>
      <c r="J671" s="73"/>
      <c r="K671" s="75" t="str">
        <f>IFERROR(__xludf.DUMMYFUNCTION("""COMPUTED_VALUE"""),"")</f>
        <v/>
      </c>
      <c r="L671" s="75"/>
      <c r="M671" s="46" t="s">
        <v>2002</v>
      </c>
    </row>
    <row r="672">
      <c r="A672" s="70"/>
      <c r="C672" s="5" t="s">
        <v>2002</v>
      </c>
      <c r="D672" s="5"/>
      <c r="E672" s="5"/>
      <c r="F672" s="5"/>
      <c r="G672" s="5"/>
      <c r="H672" s="5"/>
      <c r="I672" s="5"/>
      <c r="J672" s="73"/>
      <c r="K672" s="75" t="str">
        <f>IFERROR(__xludf.DUMMYFUNCTION("""COMPUTED_VALUE"""),"")</f>
        <v/>
      </c>
      <c r="L672" s="75"/>
      <c r="M672" s="46" t="s">
        <v>2002</v>
      </c>
    </row>
    <row r="673">
      <c r="A673" s="70"/>
      <c r="C673" s="5" t="s">
        <v>2002</v>
      </c>
      <c r="D673" s="5"/>
      <c r="E673" s="5"/>
      <c r="F673" s="5"/>
      <c r="G673" s="5"/>
      <c r="H673" s="5"/>
      <c r="I673" s="5"/>
      <c r="J673" s="73"/>
      <c r="K673" s="75" t="str">
        <f>IFERROR(__xludf.DUMMYFUNCTION("""COMPUTED_VALUE"""),"")</f>
        <v/>
      </c>
      <c r="L673" s="75"/>
      <c r="M673" s="46" t="s">
        <v>2002</v>
      </c>
    </row>
    <row r="674">
      <c r="A674" s="70"/>
      <c r="C674" s="5" t="s">
        <v>2002</v>
      </c>
      <c r="D674" s="5"/>
      <c r="E674" s="5"/>
      <c r="F674" s="5"/>
      <c r="G674" s="5"/>
      <c r="H674" s="5"/>
      <c r="I674" s="5"/>
      <c r="J674" s="73"/>
      <c r="K674" s="75" t="str">
        <f>IFERROR(__xludf.DUMMYFUNCTION("""COMPUTED_VALUE"""),"")</f>
        <v/>
      </c>
      <c r="L674" s="75"/>
      <c r="M674" s="46" t="s">
        <v>2002</v>
      </c>
    </row>
    <row r="675">
      <c r="A675" s="70"/>
      <c r="C675" s="5" t="s">
        <v>2002</v>
      </c>
      <c r="D675" s="5"/>
      <c r="E675" s="5"/>
      <c r="F675" s="5"/>
      <c r="G675" s="5"/>
      <c r="H675" s="5"/>
      <c r="I675" s="5"/>
      <c r="J675" s="73"/>
      <c r="K675" s="75" t="str">
        <f>IFERROR(__xludf.DUMMYFUNCTION("""COMPUTED_VALUE"""),"")</f>
        <v/>
      </c>
      <c r="L675" s="75"/>
      <c r="M675" s="46" t="s">
        <v>2002</v>
      </c>
    </row>
    <row r="676">
      <c r="A676" s="70"/>
      <c r="C676" s="5" t="s">
        <v>2002</v>
      </c>
      <c r="D676" s="5"/>
      <c r="E676" s="5"/>
      <c r="F676" s="5"/>
      <c r="G676" s="5"/>
      <c r="H676" s="5"/>
      <c r="I676" s="5"/>
      <c r="J676" s="73"/>
      <c r="K676" s="75" t="str">
        <f>IFERROR(__xludf.DUMMYFUNCTION("""COMPUTED_VALUE"""),"")</f>
        <v/>
      </c>
      <c r="L676" s="75"/>
      <c r="M676" s="46" t="s">
        <v>2002</v>
      </c>
    </row>
    <row r="677">
      <c r="A677" s="70"/>
      <c r="C677" s="5" t="s">
        <v>2002</v>
      </c>
      <c r="D677" s="5"/>
      <c r="E677" s="5"/>
      <c r="F677" s="5"/>
      <c r="G677" s="5"/>
      <c r="H677" s="5"/>
      <c r="I677" s="5"/>
      <c r="J677" s="73"/>
      <c r="K677" s="75" t="str">
        <f>IFERROR(__xludf.DUMMYFUNCTION("""COMPUTED_VALUE"""),"")</f>
        <v/>
      </c>
      <c r="L677" s="75"/>
      <c r="M677" s="46" t="s">
        <v>2002</v>
      </c>
    </row>
    <row r="678">
      <c r="A678" s="70"/>
      <c r="C678" s="5" t="s">
        <v>2002</v>
      </c>
      <c r="D678" s="5"/>
      <c r="E678" s="5"/>
      <c r="F678" s="5"/>
      <c r="G678" s="5"/>
      <c r="H678" s="5"/>
      <c r="I678" s="5"/>
      <c r="J678" s="73"/>
      <c r="K678" s="75" t="str">
        <f>IFERROR(__xludf.DUMMYFUNCTION("""COMPUTED_VALUE"""),"")</f>
        <v/>
      </c>
      <c r="L678" s="75"/>
      <c r="M678" s="46" t="s">
        <v>2002</v>
      </c>
    </row>
    <row r="679">
      <c r="A679" s="70"/>
      <c r="C679" s="5" t="s">
        <v>2002</v>
      </c>
      <c r="D679" s="5"/>
      <c r="E679" s="5"/>
      <c r="F679" s="5"/>
      <c r="G679" s="5"/>
      <c r="H679" s="5"/>
      <c r="I679" s="5"/>
      <c r="J679" s="73"/>
      <c r="K679" s="75" t="str">
        <f>IFERROR(__xludf.DUMMYFUNCTION("""COMPUTED_VALUE"""),"")</f>
        <v/>
      </c>
      <c r="L679" s="75"/>
      <c r="M679" s="46" t="s">
        <v>2002</v>
      </c>
    </row>
    <row r="680">
      <c r="A680" s="70"/>
      <c r="C680" s="5" t="s">
        <v>2002</v>
      </c>
      <c r="D680" s="5"/>
      <c r="E680" s="5"/>
      <c r="F680" s="5"/>
      <c r="G680" s="5"/>
      <c r="H680" s="5"/>
      <c r="I680" s="5"/>
      <c r="J680" s="73"/>
      <c r="K680" s="75" t="str">
        <f>IFERROR(__xludf.DUMMYFUNCTION("""COMPUTED_VALUE"""),"")</f>
        <v/>
      </c>
      <c r="L680" s="75"/>
      <c r="M680" s="46" t="s">
        <v>2002</v>
      </c>
    </row>
    <row r="681">
      <c r="A681" s="70"/>
      <c r="C681" s="5" t="s">
        <v>2002</v>
      </c>
      <c r="D681" s="5"/>
      <c r="E681" s="5"/>
      <c r="F681" s="5"/>
      <c r="G681" s="5"/>
      <c r="H681" s="5"/>
      <c r="I681" s="5"/>
      <c r="J681" s="73"/>
      <c r="K681" s="75" t="str">
        <f>IFERROR(__xludf.DUMMYFUNCTION("""COMPUTED_VALUE"""),"")</f>
        <v/>
      </c>
      <c r="L681" s="75"/>
      <c r="M681" s="46" t="s">
        <v>2002</v>
      </c>
    </row>
    <row r="682">
      <c r="A682" s="70"/>
      <c r="C682" s="5" t="s">
        <v>2002</v>
      </c>
      <c r="D682" s="5"/>
      <c r="E682" s="5"/>
      <c r="F682" s="5"/>
      <c r="G682" s="5"/>
      <c r="H682" s="5"/>
      <c r="I682" s="5"/>
      <c r="J682" s="73"/>
      <c r="K682" s="75" t="str">
        <f>IFERROR(__xludf.DUMMYFUNCTION("""COMPUTED_VALUE"""),"")</f>
        <v/>
      </c>
      <c r="L682" s="75"/>
      <c r="M682" s="46" t="s">
        <v>2002</v>
      </c>
    </row>
    <row r="683">
      <c r="A683" s="70"/>
      <c r="C683" s="5" t="s">
        <v>2002</v>
      </c>
      <c r="D683" s="5"/>
      <c r="E683" s="5"/>
      <c r="F683" s="5"/>
      <c r="G683" s="5"/>
      <c r="H683" s="5"/>
      <c r="I683" s="5"/>
      <c r="J683" s="73"/>
      <c r="K683" s="75" t="str">
        <f>IFERROR(__xludf.DUMMYFUNCTION("""COMPUTED_VALUE"""),"")</f>
        <v/>
      </c>
      <c r="L683" s="75"/>
      <c r="M683" s="46" t="s">
        <v>2002</v>
      </c>
    </row>
    <row r="684">
      <c r="A684" s="70"/>
      <c r="C684" s="5" t="s">
        <v>2002</v>
      </c>
      <c r="D684" s="5"/>
      <c r="E684" s="5"/>
      <c r="F684" s="5"/>
      <c r="G684" s="5"/>
      <c r="H684" s="5"/>
      <c r="I684" s="5"/>
      <c r="J684" s="73"/>
      <c r="K684" s="75" t="str">
        <f>IFERROR(__xludf.DUMMYFUNCTION("""COMPUTED_VALUE"""),"")</f>
        <v/>
      </c>
      <c r="L684" s="75"/>
      <c r="M684" s="46" t="s">
        <v>2002</v>
      </c>
    </row>
    <row r="685">
      <c r="A685" s="70"/>
      <c r="C685" s="5" t="s">
        <v>2002</v>
      </c>
      <c r="D685" s="5"/>
      <c r="E685" s="5"/>
      <c r="F685" s="5"/>
      <c r="G685" s="5"/>
      <c r="H685" s="5"/>
      <c r="I685" s="5"/>
      <c r="J685" s="73"/>
      <c r="K685" s="75" t="str">
        <f>IFERROR(__xludf.DUMMYFUNCTION("""COMPUTED_VALUE"""),"")</f>
        <v/>
      </c>
      <c r="L685" s="75"/>
      <c r="M685" s="46" t="s">
        <v>2002</v>
      </c>
    </row>
    <row r="686">
      <c r="A686" s="70"/>
      <c r="C686" s="5" t="s">
        <v>2002</v>
      </c>
      <c r="D686" s="5"/>
      <c r="E686" s="5"/>
      <c r="F686" s="5"/>
      <c r="G686" s="5"/>
      <c r="H686" s="5"/>
      <c r="I686" s="5"/>
      <c r="J686" s="73"/>
      <c r="K686" s="75" t="str">
        <f>IFERROR(__xludf.DUMMYFUNCTION("""COMPUTED_VALUE"""),"")</f>
        <v/>
      </c>
      <c r="L686" s="75"/>
      <c r="M686" s="46" t="s">
        <v>2002</v>
      </c>
    </row>
    <row r="687">
      <c r="A687" s="70"/>
      <c r="C687" s="5" t="s">
        <v>2002</v>
      </c>
      <c r="D687" s="5"/>
      <c r="E687" s="5"/>
      <c r="F687" s="5"/>
      <c r="G687" s="5"/>
      <c r="H687" s="5"/>
      <c r="I687" s="5"/>
      <c r="J687" s="73"/>
      <c r="K687" s="75" t="str">
        <f>IFERROR(__xludf.DUMMYFUNCTION("""COMPUTED_VALUE"""),"")</f>
        <v/>
      </c>
      <c r="L687" s="75"/>
      <c r="M687" s="46" t="s">
        <v>2002</v>
      </c>
    </row>
    <row r="688">
      <c r="A688" s="70"/>
      <c r="C688" s="5" t="s">
        <v>2002</v>
      </c>
      <c r="D688" s="5"/>
      <c r="E688" s="5"/>
      <c r="F688" s="5"/>
      <c r="G688" s="5"/>
      <c r="H688" s="5"/>
      <c r="I688" s="5"/>
      <c r="J688" s="73"/>
      <c r="K688" s="75" t="str">
        <f>IFERROR(__xludf.DUMMYFUNCTION("""COMPUTED_VALUE"""),"")</f>
        <v/>
      </c>
      <c r="L688" s="75"/>
      <c r="M688" s="46" t="s">
        <v>2002</v>
      </c>
    </row>
    <row r="689">
      <c r="A689" s="70"/>
      <c r="C689" s="5" t="s">
        <v>2002</v>
      </c>
      <c r="D689" s="5"/>
      <c r="E689" s="5"/>
      <c r="F689" s="5"/>
      <c r="G689" s="5"/>
      <c r="H689" s="5"/>
      <c r="I689" s="5"/>
      <c r="J689" s="73"/>
      <c r="K689" s="75" t="str">
        <f>IFERROR(__xludf.DUMMYFUNCTION("""COMPUTED_VALUE"""),"")</f>
        <v/>
      </c>
      <c r="L689" s="75"/>
      <c r="M689" s="46" t="s">
        <v>2002</v>
      </c>
    </row>
    <row r="690">
      <c r="A690" s="70"/>
      <c r="C690" s="5" t="s">
        <v>2002</v>
      </c>
      <c r="D690" s="5"/>
      <c r="E690" s="5"/>
      <c r="F690" s="5"/>
      <c r="G690" s="5"/>
      <c r="H690" s="5"/>
      <c r="I690" s="5"/>
      <c r="J690" s="73"/>
      <c r="K690" s="75" t="str">
        <f>IFERROR(__xludf.DUMMYFUNCTION("""COMPUTED_VALUE"""),"")</f>
        <v/>
      </c>
      <c r="L690" s="75"/>
      <c r="M690" s="46" t="s">
        <v>2002</v>
      </c>
    </row>
    <row r="691">
      <c r="A691" s="70"/>
      <c r="C691" s="5" t="s">
        <v>2002</v>
      </c>
      <c r="D691" s="5"/>
      <c r="E691" s="5"/>
      <c r="F691" s="5"/>
      <c r="G691" s="5"/>
      <c r="H691" s="5"/>
      <c r="I691" s="5"/>
      <c r="J691" s="73"/>
      <c r="K691" s="75" t="str">
        <f>IFERROR(__xludf.DUMMYFUNCTION("""COMPUTED_VALUE"""),"")</f>
        <v/>
      </c>
      <c r="L691" s="75"/>
      <c r="M691" s="46" t="s">
        <v>2002</v>
      </c>
    </row>
    <row r="692">
      <c r="A692" s="70"/>
      <c r="C692" s="5" t="s">
        <v>2002</v>
      </c>
      <c r="D692" s="5"/>
      <c r="E692" s="5"/>
      <c r="F692" s="5"/>
      <c r="G692" s="5"/>
      <c r="H692" s="5"/>
      <c r="I692" s="5"/>
      <c r="J692" s="73"/>
      <c r="K692" s="75" t="str">
        <f>IFERROR(__xludf.DUMMYFUNCTION("""COMPUTED_VALUE"""),"")</f>
        <v/>
      </c>
      <c r="L692" s="75"/>
      <c r="M692" s="46" t="s">
        <v>2002</v>
      </c>
    </row>
    <row r="693">
      <c r="A693" s="70"/>
      <c r="C693" s="5" t="s">
        <v>2002</v>
      </c>
      <c r="D693" s="5"/>
      <c r="E693" s="5"/>
      <c r="F693" s="5"/>
      <c r="G693" s="5"/>
      <c r="H693" s="5"/>
      <c r="I693" s="5"/>
      <c r="J693" s="73"/>
      <c r="K693" s="75" t="str">
        <f>IFERROR(__xludf.DUMMYFUNCTION("""COMPUTED_VALUE"""),"")</f>
        <v/>
      </c>
      <c r="L693" s="75"/>
      <c r="M693" s="46" t="s">
        <v>2002</v>
      </c>
    </row>
    <row r="694">
      <c r="A694" s="70"/>
      <c r="C694" s="5" t="s">
        <v>2002</v>
      </c>
      <c r="D694" s="5"/>
      <c r="E694" s="5"/>
      <c r="F694" s="5"/>
      <c r="G694" s="5"/>
      <c r="H694" s="5"/>
      <c r="I694" s="5"/>
      <c r="J694" s="73"/>
      <c r="K694" s="75" t="str">
        <f>IFERROR(__xludf.DUMMYFUNCTION("""COMPUTED_VALUE"""),"")</f>
        <v/>
      </c>
      <c r="L694" s="75"/>
      <c r="M694" s="46" t="s">
        <v>2002</v>
      </c>
    </row>
    <row r="695">
      <c r="A695" s="70"/>
      <c r="C695" s="5" t="s">
        <v>2002</v>
      </c>
      <c r="D695" s="5"/>
      <c r="E695" s="5"/>
      <c r="F695" s="5"/>
      <c r="G695" s="5"/>
      <c r="H695" s="5"/>
      <c r="I695" s="5"/>
      <c r="J695" s="73"/>
      <c r="K695" s="75" t="str">
        <f>IFERROR(__xludf.DUMMYFUNCTION("""COMPUTED_VALUE"""),"")</f>
        <v/>
      </c>
      <c r="L695" s="75"/>
      <c r="M695" s="46" t="s">
        <v>2002</v>
      </c>
    </row>
    <row r="696">
      <c r="A696" s="70"/>
      <c r="C696" s="5" t="s">
        <v>2002</v>
      </c>
      <c r="D696" s="5"/>
      <c r="E696" s="5"/>
      <c r="F696" s="5"/>
      <c r="G696" s="5"/>
      <c r="H696" s="5"/>
      <c r="I696" s="5"/>
      <c r="J696" s="73"/>
      <c r="K696" s="75" t="str">
        <f>IFERROR(__xludf.DUMMYFUNCTION("""COMPUTED_VALUE"""),"")</f>
        <v/>
      </c>
      <c r="L696" s="75"/>
      <c r="M696" s="46" t="s">
        <v>2002</v>
      </c>
    </row>
    <row r="697">
      <c r="A697" s="70"/>
      <c r="C697" s="5" t="s">
        <v>2002</v>
      </c>
      <c r="D697" s="5"/>
      <c r="E697" s="5"/>
      <c r="F697" s="5"/>
      <c r="G697" s="5"/>
      <c r="H697" s="5"/>
      <c r="I697" s="5"/>
      <c r="J697" s="73"/>
      <c r="K697" s="75" t="str">
        <f>IFERROR(__xludf.DUMMYFUNCTION("""COMPUTED_VALUE"""),"")</f>
        <v/>
      </c>
      <c r="L697" s="75"/>
      <c r="M697" s="46" t="s">
        <v>2002</v>
      </c>
    </row>
    <row r="698">
      <c r="A698" s="70"/>
      <c r="C698" s="5" t="s">
        <v>2002</v>
      </c>
      <c r="D698" s="5"/>
      <c r="E698" s="5"/>
      <c r="F698" s="5"/>
      <c r="G698" s="5"/>
      <c r="H698" s="5"/>
      <c r="I698" s="5"/>
      <c r="J698" s="73"/>
      <c r="K698" s="75" t="str">
        <f>IFERROR(__xludf.DUMMYFUNCTION("""COMPUTED_VALUE"""),"")</f>
        <v/>
      </c>
      <c r="L698" s="75"/>
      <c r="M698" s="46" t="s">
        <v>2002</v>
      </c>
    </row>
    <row r="699">
      <c r="A699" s="70"/>
      <c r="C699" s="5" t="s">
        <v>2002</v>
      </c>
      <c r="D699" s="5"/>
      <c r="E699" s="5"/>
      <c r="F699" s="5"/>
      <c r="G699" s="5"/>
      <c r="H699" s="5"/>
      <c r="I699" s="5"/>
      <c r="J699" s="73"/>
      <c r="K699" s="75" t="str">
        <f>IFERROR(__xludf.DUMMYFUNCTION("""COMPUTED_VALUE"""),"")</f>
        <v/>
      </c>
      <c r="L699" s="75"/>
      <c r="M699" s="46" t="s">
        <v>2002</v>
      </c>
    </row>
    <row r="700">
      <c r="A700" s="70"/>
      <c r="C700" s="5" t="s">
        <v>2002</v>
      </c>
      <c r="D700" s="5"/>
      <c r="E700" s="5"/>
      <c r="F700" s="5"/>
      <c r="G700" s="5"/>
      <c r="H700" s="5"/>
      <c r="I700" s="5"/>
      <c r="J700" s="73"/>
      <c r="K700" s="75" t="str">
        <f>IFERROR(__xludf.DUMMYFUNCTION("""COMPUTED_VALUE"""),"")</f>
        <v/>
      </c>
      <c r="L700" s="75"/>
      <c r="M700" s="46" t="s">
        <v>2002</v>
      </c>
    </row>
    <row r="701">
      <c r="A701" s="70"/>
      <c r="C701" s="5" t="s">
        <v>2002</v>
      </c>
      <c r="D701" s="5"/>
      <c r="E701" s="5"/>
      <c r="F701" s="5"/>
      <c r="G701" s="5"/>
      <c r="H701" s="5"/>
      <c r="I701" s="5"/>
      <c r="J701" s="73"/>
      <c r="K701" s="75" t="str">
        <f>IFERROR(__xludf.DUMMYFUNCTION("""COMPUTED_VALUE"""),"")</f>
        <v/>
      </c>
      <c r="L701" s="75"/>
      <c r="M701" s="46" t="s">
        <v>2002</v>
      </c>
    </row>
    <row r="702">
      <c r="A702" s="70"/>
      <c r="C702" s="5" t="s">
        <v>2002</v>
      </c>
      <c r="D702" s="5"/>
      <c r="E702" s="5"/>
      <c r="F702" s="5"/>
      <c r="G702" s="5"/>
      <c r="H702" s="5"/>
      <c r="I702" s="5"/>
      <c r="J702" s="73"/>
      <c r="K702" s="75" t="str">
        <f>IFERROR(__xludf.DUMMYFUNCTION("""COMPUTED_VALUE"""),"")</f>
        <v/>
      </c>
      <c r="L702" s="75"/>
      <c r="M702" s="46" t="s">
        <v>2002</v>
      </c>
    </row>
    <row r="703">
      <c r="A703" s="70"/>
      <c r="C703" s="5" t="s">
        <v>2002</v>
      </c>
      <c r="D703" s="5"/>
      <c r="E703" s="5"/>
      <c r="F703" s="5"/>
      <c r="G703" s="5"/>
      <c r="H703" s="5"/>
      <c r="I703" s="5"/>
      <c r="J703" s="73"/>
      <c r="K703" s="75" t="str">
        <f>IFERROR(__xludf.DUMMYFUNCTION("""COMPUTED_VALUE"""),"")</f>
        <v/>
      </c>
      <c r="L703" s="75"/>
      <c r="M703" s="46" t="s">
        <v>2002</v>
      </c>
    </row>
    <row r="704">
      <c r="A704" s="70"/>
      <c r="C704" s="5" t="s">
        <v>2002</v>
      </c>
      <c r="D704" s="5"/>
      <c r="E704" s="5"/>
      <c r="F704" s="5"/>
      <c r="G704" s="5"/>
      <c r="H704" s="5"/>
      <c r="I704" s="5"/>
      <c r="J704" s="73"/>
      <c r="K704" s="75" t="str">
        <f>IFERROR(__xludf.DUMMYFUNCTION("""COMPUTED_VALUE"""),"")</f>
        <v/>
      </c>
      <c r="L704" s="75"/>
      <c r="M704" s="46" t="s">
        <v>2002</v>
      </c>
    </row>
    <row r="705">
      <c r="A705" s="70"/>
      <c r="C705" s="5" t="s">
        <v>2002</v>
      </c>
      <c r="D705" s="5"/>
      <c r="E705" s="5"/>
      <c r="F705" s="5"/>
      <c r="G705" s="5"/>
      <c r="H705" s="5"/>
      <c r="I705" s="5"/>
      <c r="J705" s="73"/>
      <c r="K705" s="75" t="str">
        <f>IFERROR(__xludf.DUMMYFUNCTION("""COMPUTED_VALUE"""),"")</f>
        <v/>
      </c>
      <c r="L705" s="75"/>
      <c r="M705" s="46" t="s">
        <v>2002</v>
      </c>
    </row>
    <row r="706">
      <c r="A706" s="70"/>
      <c r="C706" s="5" t="s">
        <v>2002</v>
      </c>
      <c r="D706" s="5"/>
      <c r="E706" s="5"/>
      <c r="F706" s="5"/>
      <c r="G706" s="5"/>
      <c r="H706" s="5"/>
      <c r="I706" s="5"/>
      <c r="J706" s="73"/>
      <c r="K706" s="75" t="str">
        <f>IFERROR(__xludf.DUMMYFUNCTION("""COMPUTED_VALUE"""),"")</f>
        <v/>
      </c>
      <c r="L706" s="75"/>
      <c r="M706" s="46" t="s">
        <v>2002</v>
      </c>
    </row>
    <row r="707">
      <c r="A707" s="70"/>
      <c r="C707" s="5" t="s">
        <v>2002</v>
      </c>
      <c r="D707" s="5"/>
      <c r="E707" s="5"/>
      <c r="F707" s="5"/>
      <c r="G707" s="5"/>
      <c r="H707" s="5"/>
      <c r="I707" s="5"/>
      <c r="J707" s="73"/>
      <c r="K707" s="75" t="str">
        <f>IFERROR(__xludf.DUMMYFUNCTION("""COMPUTED_VALUE"""),"")</f>
        <v/>
      </c>
      <c r="L707" s="75"/>
      <c r="M707" s="46" t="s">
        <v>2002</v>
      </c>
    </row>
    <row r="708">
      <c r="A708" s="70"/>
      <c r="C708" s="5" t="s">
        <v>2002</v>
      </c>
      <c r="D708" s="5"/>
      <c r="E708" s="5"/>
      <c r="F708" s="5"/>
      <c r="G708" s="5"/>
      <c r="H708" s="5"/>
      <c r="I708" s="5"/>
      <c r="J708" s="73"/>
      <c r="K708" s="75" t="str">
        <f>IFERROR(__xludf.DUMMYFUNCTION("""COMPUTED_VALUE"""),"")</f>
        <v/>
      </c>
      <c r="L708" s="75"/>
      <c r="M708" s="46" t="s">
        <v>2002</v>
      </c>
    </row>
    <row r="709">
      <c r="A709" s="70"/>
      <c r="C709" s="5" t="s">
        <v>2002</v>
      </c>
      <c r="D709" s="5"/>
      <c r="E709" s="5"/>
      <c r="F709" s="5"/>
      <c r="G709" s="5"/>
      <c r="H709" s="5"/>
      <c r="I709" s="5"/>
      <c r="J709" s="73"/>
      <c r="K709" s="75" t="str">
        <f>IFERROR(__xludf.DUMMYFUNCTION("""COMPUTED_VALUE"""),"")</f>
        <v/>
      </c>
      <c r="L709" s="75"/>
      <c r="M709" s="46" t="s">
        <v>2002</v>
      </c>
    </row>
    <row r="710">
      <c r="A710" s="70"/>
      <c r="C710" s="5" t="s">
        <v>2002</v>
      </c>
      <c r="D710" s="5"/>
      <c r="E710" s="5"/>
      <c r="F710" s="5"/>
      <c r="G710" s="5"/>
      <c r="H710" s="5"/>
      <c r="I710" s="5"/>
      <c r="J710" s="73"/>
      <c r="K710" s="75" t="str">
        <f>IFERROR(__xludf.DUMMYFUNCTION("""COMPUTED_VALUE"""),"")</f>
        <v/>
      </c>
      <c r="L710" s="75"/>
      <c r="M710" s="46" t="s">
        <v>2002</v>
      </c>
    </row>
    <row r="711">
      <c r="A711" s="70"/>
      <c r="C711" s="5" t="s">
        <v>2002</v>
      </c>
      <c r="D711" s="5"/>
      <c r="E711" s="5"/>
      <c r="F711" s="5"/>
      <c r="G711" s="5"/>
      <c r="H711" s="5"/>
      <c r="I711" s="5"/>
      <c r="J711" s="73"/>
      <c r="K711" s="75" t="str">
        <f>IFERROR(__xludf.DUMMYFUNCTION("""COMPUTED_VALUE"""),"")</f>
        <v/>
      </c>
      <c r="L711" s="75"/>
      <c r="M711" s="46" t="s">
        <v>2002</v>
      </c>
    </row>
    <row r="712">
      <c r="A712" s="70"/>
      <c r="C712" s="5" t="s">
        <v>2002</v>
      </c>
      <c r="D712" s="5"/>
      <c r="E712" s="5"/>
      <c r="F712" s="5"/>
      <c r="G712" s="5"/>
      <c r="H712" s="5"/>
      <c r="I712" s="5"/>
      <c r="J712" s="73"/>
      <c r="K712" s="75" t="str">
        <f>IFERROR(__xludf.DUMMYFUNCTION("""COMPUTED_VALUE"""),"")</f>
        <v/>
      </c>
      <c r="L712" s="75"/>
      <c r="M712" s="46" t="s">
        <v>2002</v>
      </c>
    </row>
    <row r="713">
      <c r="A713" s="70"/>
      <c r="C713" s="5" t="s">
        <v>2002</v>
      </c>
      <c r="D713" s="5"/>
      <c r="E713" s="5"/>
      <c r="F713" s="5"/>
      <c r="G713" s="5"/>
      <c r="H713" s="5"/>
      <c r="I713" s="5"/>
      <c r="J713" s="73"/>
      <c r="K713" s="75" t="str">
        <f>IFERROR(__xludf.DUMMYFUNCTION("""COMPUTED_VALUE"""),"")</f>
        <v/>
      </c>
      <c r="L713" s="75"/>
      <c r="M713" s="46" t="s">
        <v>2002</v>
      </c>
    </row>
    <row r="714">
      <c r="A714" s="70"/>
      <c r="C714" s="5" t="s">
        <v>2002</v>
      </c>
      <c r="D714" s="5"/>
      <c r="E714" s="5"/>
      <c r="F714" s="5"/>
      <c r="G714" s="5"/>
      <c r="H714" s="5"/>
      <c r="I714" s="5"/>
      <c r="J714" s="73"/>
      <c r="K714" s="75" t="str">
        <f>IFERROR(__xludf.DUMMYFUNCTION("""COMPUTED_VALUE"""),"")</f>
        <v/>
      </c>
      <c r="L714" s="75"/>
      <c r="M714" s="46" t="s">
        <v>2002</v>
      </c>
    </row>
    <row r="715">
      <c r="A715" s="70"/>
      <c r="C715" s="5" t="s">
        <v>2002</v>
      </c>
      <c r="D715" s="5"/>
      <c r="E715" s="5"/>
      <c r="F715" s="5"/>
      <c r="G715" s="5"/>
      <c r="H715" s="5"/>
      <c r="I715" s="5"/>
      <c r="J715" s="73"/>
      <c r="K715" s="75" t="str">
        <f>IFERROR(__xludf.DUMMYFUNCTION("""COMPUTED_VALUE"""),"")</f>
        <v/>
      </c>
      <c r="L715" s="75"/>
      <c r="M715" s="46" t="s">
        <v>2002</v>
      </c>
    </row>
    <row r="716">
      <c r="A716" s="70"/>
      <c r="C716" s="5" t="s">
        <v>2002</v>
      </c>
      <c r="D716" s="5"/>
      <c r="E716" s="5"/>
      <c r="F716" s="5"/>
      <c r="G716" s="5"/>
      <c r="H716" s="5"/>
      <c r="I716" s="5"/>
      <c r="J716" s="73"/>
      <c r="K716" s="75" t="str">
        <f>IFERROR(__xludf.DUMMYFUNCTION("""COMPUTED_VALUE"""),"")</f>
        <v/>
      </c>
      <c r="L716" s="75"/>
      <c r="M716" s="46" t="s">
        <v>2002</v>
      </c>
    </row>
    <row r="717">
      <c r="A717" s="70"/>
      <c r="C717" s="5" t="s">
        <v>2002</v>
      </c>
      <c r="D717" s="5"/>
      <c r="E717" s="5"/>
      <c r="F717" s="5"/>
      <c r="G717" s="5"/>
      <c r="H717" s="5"/>
      <c r="I717" s="5"/>
      <c r="J717" s="73"/>
      <c r="K717" s="75" t="str">
        <f>IFERROR(__xludf.DUMMYFUNCTION("""COMPUTED_VALUE"""),"")</f>
        <v/>
      </c>
      <c r="L717" s="75"/>
      <c r="M717" s="46" t="s">
        <v>2002</v>
      </c>
    </row>
    <row r="718">
      <c r="A718" s="70"/>
      <c r="C718" s="5" t="s">
        <v>2002</v>
      </c>
      <c r="D718" s="5"/>
      <c r="E718" s="5"/>
      <c r="F718" s="5"/>
      <c r="G718" s="5"/>
      <c r="H718" s="5"/>
      <c r="I718" s="5"/>
      <c r="J718" s="73"/>
      <c r="K718" s="75" t="str">
        <f>IFERROR(__xludf.DUMMYFUNCTION("""COMPUTED_VALUE"""),"")</f>
        <v/>
      </c>
      <c r="L718" s="75"/>
      <c r="M718" s="46" t="s">
        <v>2002</v>
      </c>
    </row>
    <row r="719">
      <c r="A719" s="70"/>
      <c r="C719" s="5" t="s">
        <v>2002</v>
      </c>
      <c r="D719" s="5"/>
      <c r="E719" s="5"/>
      <c r="F719" s="5"/>
      <c r="G719" s="5"/>
      <c r="H719" s="5"/>
      <c r="I719" s="5"/>
      <c r="J719" s="73"/>
      <c r="K719" s="75" t="str">
        <f>IFERROR(__xludf.DUMMYFUNCTION("""COMPUTED_VALUE"""),"")</f>
        <v/>
      </c>
      <c r="L719" s="75"/>
      <c r="M719" s="46" t="s">
        <v>2002</v>
      </c>
    </row>
    <row r="720">
      <c r="A720" s="70"/>
      <c r="C720" s="5" t="s">
        <v>2002</v>
      </c>
      <c r="D720" s="5"/>
      <c r="E720" s="5"/>
      <c r="F720" s="5"/>
      <c r="G720" s="5"/>
      <c r="H720" s="5"/>
      <c r="I720" s="5"/>
      <c r="J720" s="73"/>
      <c r="K720" s="75" t="str">
        <f>IFERROR(__xludf.DUMMYFUNCTION("""COMPUTED_VALUE"""),"")</f>
        <v/>
      </c>
      <c r="L720" s="75"/>
      <c r="M720" s="46" t="s">
        <v>2002</v>
      </c>
    </row>
    <row r="721">
      <c r="A721" s="70"/>
      <c r="C721" s="5" t="s">
        <v>2002</v>
      </c>
      <c r="D721" s="5"/>
      <c r="E721" s="5"/>
      <c r="F721" s="5"/>
      <c r="G721" s="5"/>
      <c r="H721" s="5"/>
      <c r="I721" s="5"/>
      <c r="J721" s="73"/>
      <c r="K721" s="75" t="str">
        <f>IFERROR(__xludf.DUMMYFUNCTION("""COMPUTED_VALUE"""),"")</f>
        <v/>
      </c>
      <c r="L721" s="75"/>
      <c r="M721" s="46" t="s">
        <v>2002</v>
      </c>
    </row>
    <row r="722">
      <c r="A722" s="70"/>
      <c r="C722" s="5" t="s">
        <v>2002</v>
      </c>
      <c r="D722" s="5"/>
      <c r="E722" s="5"/>
      <c r="F722" s="5"/>
      <c r="G722" s="5"/>
      <c r="H722" s="5"/>
      <c r="I722" s="5"/>
      <c r="J722" s="73"/>
      <c r="K722" s="75" t="str">
        <f>IFERROR(__xludf.DUMMYFUNCTION("""COMPUTED_VALUE"""),"")</f>
        <v/>
      </c>
      <c r="L722" s="75"/>
      <c r="M722" s="46" t="s">
        <v>2002</v>
      </c>
    </row>
    <row r="723">
      <c r="A723" s="70"/>
      <c r="C723" s="5" t="s">
        <v>2002</v>
      </c>
      <c r="D723" s="5"/>
      <c r="E723" s="5"/>
      <c r="F723" s="5"/>
      <c r="G723" s="5"/>
      <c r="H723" s="5"/>
      <c r="I723" s="5"/>
      <c r="J723" s="73"/>
      <c r="K723" s="75" t="str">
        <f>IFERROR(__xludf.DUMMYFUNCTION("""COMPUTED_VALUE"""),"")</f>
        <v/>
      </c>
      <c r="L723" s="75"/>
      <c r="M723" s="46" t="s">
        <v>2002</v>
      </c>
    </row>
    <row r="724">
      <c r="A724" s="70"/>
      <c r="C724" s="5" t="s">
        <v>2002</v>
      </c>
      <c r="D724" s="5"/>
      <c r="E724" s="5"/>
      <c r="F724" s="5"/>
      <c r="G724" s="5"/>
      <c r="H724" s="5"/>
      <c r="I724" s="5"/>
      <c r="J724" s="73"/>
      <c r="K724" s="75" t="str">
        <f>IFERROR(__xludf.DUMMYFUNCTION("""COMPUTED_VALUE"""),"")</f>
        <v/>
      </c>
      <c r="L724" s="75"/>
      <c r="M724" s="46" t="s">
        <v>2002</v>
      </c>
    </row>
    <row r="725">
      <c r="A725" s="70"/>
      <c r="C725" s="5" t="s">
        <v>2002</v>
      </c>
      <c r="D725" s="5"/>
      <c r="E725" s="5"/>
      <c r="F725" s="5"/>
      <c r="G725" s="5"/>
      <c r="H725" s="5"/>
      <c r="I725" s="5"/>
      <c r="J725" s="73"/>
      <c r="K725" s="75" t="str">
        <f>IFERROR(__xludf.DUMMYFUNCTION("""COMPUTED_VALUE"""),"")</f>
        <v/>
      </c>
      <c r="L725" s="75"/>
      <c r="M725" s="46" t="s">
        <v>2002</v>
      </c>
    </row>
    <row r="726">
      <c r="A726" s="70"/>
      <c r="C726" s="5" t="s">
        <v>2002</v>
      </c>
      <c r="D726" s="5"/>
      <c r="E726" s="5"/>
      <c r="F726" s="5"/>
      <c r="G726" s="5"/>
      <c r="H726" s="5"/>
      <c r="I726" s="5"/>
      <c r="J726" s="73"/>
      <c r="K726" s="75" t="str">
        <f>IFERROR(__xludf.DUMMYFUNCTION("""COMPUTED_VALUE"""),"")</f>
        <v/>
      </c>
      <c r="L726" s="75"/>
      <c r="M726" s="46" t="s">
        <v>2002</v>
      </c>
    </row>
    <row r="727">
      <c r="A727" s="70"/>
      <c r="C727" s="5" t="s">
        <v>2002</v>
      </c>
      <c r="D727" s="5"/>
      <c r="E727" s="5"/>
      <c r="F727" s="5"/>
      <c r="G727" s="5"/>
      <c r="H727" s="5"/>
      <c r="I727" s="5"/>
      <c r="J727" s="73"/>
      <c r="K727" s="75" t="str">
        <f>IFERROR(__xludf.DUMMYFUNCTION("""COMPUTED_VALUE"""),"")</f>
        <v/>
      </c>
      <c r="L727" s="75"/>
      <c r="M727" s="46" t="s">
        <v>2002</v>
      </c>
    </row>
    <row r="728">
      <c r="A728" s="70"/>
      <c r="C728" s="5" t="s">
        <v>2002</v>
      </c>
      <c r="D728" s="5"/>
      <c r="E728" s="5"/>
      <c r="F728" s="5"/>
      <c r="G728" s="5"/>
      <c r="H728" s="5"/>
      <c r="I728" s="5"/>
      <c r="J728" s="73"/>
      <c r="K728" s="75" t="str">
        <f>IFERROR(__xludf.DUMMYFUNCTION("""COMPUTED_VALUE"""),"")</f>
        <v/>
      </c>
      <c r="L728" s="75"/>
      <c r="M728" s="46" t="s">
        <v>2002</v>
      </c>
    </row>
    <row r="729">
      <c r="A729" s="70"/>
      <c r="C729" s="5" t="s">
        <v>2002</v>
      </c>
      <c r="D729" s="5"/>
      <c r="E729" s="5"/>
      <c r="F729" s="5"/>
      <c r="G729" s="5"/>
      <c r="H729" s="5"/>
      <c r="I729" s="5"/>
      <c r="J729" s="73"/>
      <c r="K729" s="75" t="str">
        <f>IFERROR(__xludf.DUMMYFUNCTION("""COMPUTED_VALUE"""),"")</f>
        <v/>
      </c>
      <c r="L729" s="75"/>
      <c r="M729" s="46" t="s">
        <v>2002</v>
      </c>
    </row>
    <row r="730">
      <c r="A730" s="70"/>
      <c r="C730" s="5" t="s">
        <v>2002</v>
      </c>
      <c r="D730" s="5"/>
      <c r="E730" s="5"/>
      <c r="F730" s="5"/>
      <c r="G730" s="5"/>
      <c r="H730" s="5"/>
      <c r="I730" s="5"/>
      <c r="J730" s="73"/>
      <c r="K730" s="75" t="str">
        <f>IFERROR(__xludf.DUMMYFUNCTION("""COMPUTED_VALUE"""),"")</f>
        <v/>
      </c>
      <c r="L730" s="75"/>
      <c r="M730" s="46" t="s">
        <v>2002</v>
      </c>
    </row>
    <row r="731">
      <c r="A731" s="70"/>
      <c r="C731" s="5" t="s">
        <v>2002</v>
      </c>
      <c r="D731" s="5"/>
      <c r="E731" s="5"/>
      <c r="F731" s="5"/>
      <c r="G731" s="5"/>
      <c r="H731" s="5"/>
      <c r="I731" s="5"/>
      <c r="J731" s="73"/>
      <c r="K731" s="75" t="str">
        <f>IFERROR(__xludf.DUMMYFUNCTION("""COMPUTED_VALUE"""),"")</f>
        <v/>
      </c>
      <c r="L731" s="75"/>
      <c r="M731" s="46" t="s">
        <v>2002</v>
      </c>
    </row>
    <row r="732">
      <c r="A732" s="70"/>
      <c r="C732" s="5" t="s">
        <v>2002</v>
      </c>
      <c r="D732" s="5"/>
      <c r="E732" s="5"/>
      <c r="F732" s="5"/>
      <c r="G732" s="5"/>
      <c r="H732" s="5"/>
      <c r="I732" s="5"/>
      <c r="J732" s="73"/>
      <c r="K732" s="75" t="str">
        <f>IFERROR(__xludf.DUMMYFUNCTION("""COMPUTED_VALUE"""),"")</f>
        <v/>
      </c>
      <c r="L732" s="75"/>
      <c r="M732" s="46" t="s">
        <v>2002</v>
      </c>
    </row>
    <row r="733">
      <c r="A733" s="70"/>
      <c r="C733" s="5" t="s">
        <v>2002</v>
      </c>
      <c r="D733" s="5"/>
      <c r="E733" s="5"/>
      <c r="F733" s="5"/>
      <c r="G733" s="5"/>
      <c r="H733" s="5"/>
      <c r="I733" s="5"/>
      <c r="J733" s="73"/>
      <c r="K733" s="75" t="str">
        <f>IFERROR(__xludf.DUMMYFUNCTION("""COMPUTED_VALUE"""),"")</f>
        <v/>
      </c>
      <c r="L733" s="75"/>
      <c r="M733" s="46" t="s">
        <v>2002</v>
      </c>
    </row>
    <row r="734">
      <c r="A734" s="70"/>
      <c r="C734" s="5" t="s">
        <v>2002</v>
      </c>
      <c r="D734" s="5"/>
      <c r="E734" s="5"/>
      <c r="F734" s="5"/>
      <c r="G734" s="5"/>
      <c r="H734" s="5"/>
      <c r="I734" s="5"/>
      <c r="J734" s="73"/>
      <c r="K734" s="75" t="str">
        <f>IFERROR(__xludf.DUMMYFUNCTION("""COMPUTED_VALUE"""),"")</f>
        <v/>
      </c>
      <c r="L734" s="75"/>
      <c r="M734" s="46" t="s">
        <v>2002</v>
      </c>
    </row>
    <row r="735">
      <c r="A735" s="70"/>
      <c r="C735" s="5" t="s">
        <v>2002</v>
      </c>
      <c r="D735" s="5"/>
      <c r="E735" s="5"/>
      <c r="F735" s="5"/>
      <c r="G735" s="5"/>
      <c r="H735" s="5"/>
      <c r="I735" s="5"/>
      <c r="J735" s="73"/>
      <c r="K735" s="75" t="str">
        <f>IFERROR(__xludf.DUMMYFUNCTION("""COMPUTED_VALUE"""),"")</f>
        <v/>
      </c>
      <c r="L735" s="75"/>
      <c r="M735" s="46" t="s">
        <v>2002</v>
      </c>
    </row>
    <row r="736">
      <c r="A736" s="70"/>
      <c r="C736" s="5" t="s">
        <v>2002</v>
      </c>
      <c r="D736" s="5"/>
      <c r="E736" s="5"/>
      <c r="F736" s="5"/>
      <c r="G736" s="5"/>
      <c r="H736" s="5"/>
      <c r="I736" s="5"/>
      <c r="J736" s="73"/>
      <c r="K736" s="75" t="str">
        <f>IFERROR(__xludf.DUMMYFUNCTION("""COMPUTED_VALUE"""),"")</f>
        <v/>
      </c>
      <c r="L736" s="75"/>
      <c r="M736" s="46" t="s">
        <v>2002</v>
      </c>
    </row>
    <row r="737">
      <c r="A737" s="70"/>
      <c r="C737" s="5" t="s">
        <v>2002</v>
      </c>
      <c r="D737" s="5"/>
      <c r="E737" s="5"/>
      <c r="F737" s="5"/>
      <c r="G737" s="5"/>
      <c r="H737" s="5"/>
      <c r="I737" s="5"/>
      <c r="J737" s="73"/>
      <c r="K737" s="75" t="str">
        <f>IFERROR(__xludf.DUMMYFUNCTION("""COMPUTED_VALUE"""),"")</f>
        <v/>
      </c>
      <c r="L737" s="75"/>
      <c r="M737" s="46" t="s">
        <v>2002</v>
      </c>
    </row>
    <row r="738">
      <c r="A738" s="70"/>
      <c r="C738" s="5" t="s">
        <v>2002</v>
      </c>
      <c r="D738" s="5"/>
      <c r="E738" s="5"/>
      <c r="F738" s="5"/>
      <c r="G738" s="5"/>
      <c r="H738" s="5"/>
      <c r="I738" s="5"/>
      <c r="J738" s="73"/>
      <c r="K738" s="75" t="str">
        <f>IFERROR(__xludf.DUMMYFUNCTION("""COMPUTED_VALUE"""),"")</f>
        <v/>
      </c>
      <c r="L738" s="75"/>
      <c r="M738" s="46" t="s">
        <v>2002</v>
      </c>
    </row>
    <row r="739">
      <c r="A739" s="70"/>
      <c r="C739" s="5" t="s">
        <v>2002</v>
      </c>
      <c r="D739" s="5"/>
      <c r="E739" s="5"/>
      <c r="F739" s="5"/>
      <c r="G739" s="5"/>
      <c r="H739" s="5"/>
      <c r="I739" s="5"/>
      <c r="J739" s="73"/>
      <c r="K739" s="75" t="str">
        <f>IFERROR(__xludf.DUMMYFUNCTION("""COMPUTED_VALUE"""),"")</f>
        <v/>
      </c>
      <c r="L739" s="75"/>
      <c r="M739" s="46" t="s">
        <v>2002</v>
      </c>
    </row>
    <row r="740">
      <c r="A740" s="70"/>
      <c r="C740" s="5" t="s">
        <v>2002</v>
      </c>
      <c r="D740" s="5"/>
      <c r="E740" s="5"/>
      <c r="F740" s="5"/>
      <c r="G740" s="5"/>
      <c r="H740" s="5"/>
      <c r="I740" s="5"/>
      <c r="J740" s="73"/>
      <c r="K740" s="75" t="str">
        <f>IFERROR(__xludf.DUMMYFUNCTION("""COMPUTED_VALUE"""),"")</f>
        <v/>
      </c>
      <c r="L740" s="75"/>
      <c r="M740" s="46" t="s">
        <v>2002</v>
      </c>
    </row>
    <row r="741">
      <c r="A741" s="70"/>
      <c r="C741" s="5" t="s">
        <v>2002</v>
      </c>
      <c r="D741" s="5"/>
      <c r="E741" s="5"/>
      <c r="F741" s="5"/>
      <c r="G741" s="5"/>
      <c r="H741" s="5"/>
      <c r="I741" s="5"/>
      <c r="J741" s="73"/>
      <c r="K741" s="75" t="str">
        <f>IFERROR(__xludf.DUMMYFUNCTION("""COMPUTED_VALUE"""),"")</f>
        <v/>
      </c>
      <c r="L741" s="75"/>
      <c r="M741" s="46" t="s">
        <v>2002</v>
      </c>
    </row>
    <row r="742">
      <c r="A742" s="70"/>
      <c r="C742" s="5" t="s">
        <v>2002</v>
      </c>
      <c r="D742" s="5"/>
      <c r="E742" s="5"/>
      <c r="F742" s="5"/>
      <c r="G742" s="5"/>
      <c r="H742" s="5"/>
      <c r="I742" s="5"/>
      <c r="J742" s="73"/>
      <c r="K742" s="75" t="str">
        <f>IFERROR(__xludf.DUMMYFUNCTION("""COMPUTED_VALUE"""),"")</f>
        <v/>
      </c>
      <c r="L742" s="75"/>
      <c r="M742" s="46" t="s">
        <v>2002</v>
      </c>
    </row>
    <row r="743">
      <c r="A743" s="70"/>
      <c r="C743" s="5" t="s">
        <v>2002</v>
      </c>
      <c r="D743" s="5"/>
      <c r="E743" s="5"/>
      <c r="F743" s="5"/>
      <c r="G743" s="5"/>
      <c r="H743" s="5"/>
      <c r="I743" s="5"/>
      <c r="J743" s="73"/>
      <c r="K743" s="75" t="str">
        <f>IFERROR(__xludf.DUMMYFUNCTION("""COMPUTED_VALUE"""),"")</f>
        <v/>
      </c>
      <c r="L743" s="75"/>
      <c r="M743" s="46" t="s">
        <v>2002</v>
      </c>
    </row>
    <row r="744">
      <c r="A744" s="70"/>
      <c r="C744" s="5" t="s">
        <v>2002</v>
      </c>
      <c r="D744" s="5"/>
      <c r="E744" s="5"/>
      <c r="F744" s="5"/>
      <c r="G744" s="5"/>
      <c r="H744" s="5"/>
      <c r="I744" s="5"/>
      <c r="J744" s="73"/>
      <c r="K744" s="75" t="str">
        <f>IFERROR(__xludf.DUMMYFUNCTION("""COMPUTED_VALUE"""),"")</f>
        <v/>
      </c>
      <c r="L744" s="75"/>
      <c r="M744" s="46" t="s">
        <v>2002</v>
      </c>
    </row>
    <row r="745">
      <c r="A745" s="70"/>
      <c r="C745" s="5" t="s">
        <v>2002</v>
      </c>
      <c r="D745" s="5"/>
      <c r="E745" s="5"/>
      <c r="F745" s="5"/>
      <c r="G745" s="5"/>
      <c r="H745" s="5"/>
      <c r="I745" s="5"/>
      <c r="J745" s="73"/>
      <c r="K745" s="75" t="str">
        <f>IFERROR(__xludf.DUMMYFUNCTION("""COMPUTED_VALUE"""),"")</f>
        <v/>
      </c>
      <c r="L745" s="75"/>
      <c r="M745" s="46" t="s">
        <v>2002</v>
      </c>
    </row>
    <row r="746">
      <c r="A746" s="70"/>
      <c r="C746" s="5" t="s">
        <v>2002</v>
      </c>
      <c r="D746" s="5"/>
      <c r="E746" s="5"/>
      <c r="F746" s="5"/>
      <c r="G746" s="5"/>
      <c r="H746" s="5"/>
      <c r="I746" s="5"/>
      <c r="J746" s="73"/>
      <c r="K746" s="75" t="str">
        <f>IFERROR(__xludf.DUMMYFUNCTION("""COMPUTED_VALUE"""),"")</f>
        <v/>
      </c>
      <c r="L746" s="75"/>
      <c r="M746" s="46" t="s">
        <v>2002</v>
      </c>
    </row>
    <row r="747">
      <c r="A747" s="70"/>
      <c r="C747" s="5" t="s">
        <v>2002</v>
      </c>
      <c r="D747" s="5"/>
      <c r="E747" s="5"/>
      <c r="F747" s="5"/>
      <c r="G747" s="5"/>
      <c r="H747" s="5"/>
      <c r="I747" s="5"/>
      <c r="J747" s="73"/>
      <c r="K747" s="75" t="str">
        <f>IFERROR(__xludf.DUMMYFUNCTION("""COMPUTED_VALUE"""),"")</f>
        <v/>
      </c>
      <c r="L747" s="75"/>
      <c r="M747" s="46" t="s">
        <v>2002</v>
      </c>
    </row>
    <row r="748">
      <c r="A748" s="70"/>
      <c r="C748" s="5" t="s">
        <v>2002</v>
      </c>
      <c r="D748" s="5"/>
      <c r="E748" s="5"/>
      <c r="F748" s="5"/>
      <c r="G748" s="5"/>
      <c r="H748" s="5"/>
      <c r="I748" s="5"/>
      <c r="J748" s="73"/>
      <c r="K748" s="75" t="str">
        <f>IFERROR(__xludf.DUMMYFUNCTION("""COMPUTED_VALUE"""),"")</f>
        <v/>
      </c>
      <c r="L748" s="75"/>
      <c r="M748" s="46" t="s">
        <v>2002</v>
      </c>
    </row>
    <row r="749">
      <c r="A749" s="70"/>
      <c r="C749" s="5" t="s">
        <v>2002</v>
      </c>
      <c r="D749" s="5"/>
      <c r="E749" s="5"/>
      <c r="F749" s="5"/>
      <c r="G749" s="5"/>
      <c r="H749" s="5"/>
      <c r="I749" s="5"/>
      <c r="J749" s="73"/>
      <c r="K749" s="75" t="str">
        <f>IFERROR(__xludf.DUMMYFUNCTION("""COMPUTED_VALUE"""),"")</f>
        <v/>
      </c>
      <c r="L749" s="75"/>
      <c r="M749" s="46" t="s">
        <v>2002</v>
      </c>
    </row>
    <row r="750">
      <c r="A750" s="70"/>
      <c r="C750" s="5" t="s">
        <v>2002</v>
      </c>
      <c r="D750" s="5"/>
      <c r="E750" s="5"/>
      <c r="F750" s="5"/>
      <c r="G750" s="5"/>
      <c r="H750" s="5"/>
      <c r="I750" s="5"/>
      <c r="J750" s="73"/>
      <c r="K750" s="75" t="str">
        <f>IFERROR(__xludf.DUMMYFUNCTION("""COMPUTED_VALUE"""),"")</f>
        <v/>
      </c>
      <c r="L750" s="75"/>
      <c r="M750" s="46" t="s">
        <v>2002</v>
      </c>
    </row>
    <row r="751">
      <c r="A751" s="70"/>
      <c r="C751" s="5" t="s">
        <v>2002</v>
      </c>
      <c r="D751" s="5"/>
      <c r="E751" s="5"/>
      <c r="F751" s="5"/>
      <c r="G751" s="5"/>
      <c r="H751" s="5"/>
      <c r="I751" s="5"/>
      <c r="J751" s="73"/>
      <c r="K751" s="75" t="str">
        <f>IFERROR(__xludf.DUMMYFUNCTION("""COMPUTED_VALUE"""),"")</f>
        <v/>
      </c>
      <c r="L751" s="75"/>
      <c r="M751" s="46" t="s">
        <v>2002</v>
      </c>
    </row>
    <row r="752">
      <c r="A752" s="70"/>
      <c r="C752" s="5" t="s">
        <v>2002</v>
      </c>
      <c r="D752" s="5"/>
      <c r="E752" s="5"/>
      <c r="F752" s="5"/>
      <c r="G752" s="5"/>
      <c r="H752" s="5"/>
      <c r="I752" s="5"/>
      <c r="J752" s="73"/>
      <c r="K752" s="75" t="str">
        <f>IFERROR(__xludf.DUMMYFUNCTION("""COMPUTED_VALUE"""),"")</f>
        <v/>
      </c>
      <c r="L752" s="75"/>
      <c r="M752" s="46" t="s">
        <v>2002</v>
      </c>
    </row>
    <row r="753">
      <c r="A753" s="70"/>
      <c r="C753" s="5" t="s">
        <v>2002</v>
      </c>
      <c r="D753" s="5"/>
      <c r="E753" s="5"/>
      <c r="F753" s="5"/>
      <c r="G753" s="5"/>
      <c r="H753" s="5"/>
      <c r="I753" s="5"/>
      <c r="J753" s="73"/>
      <c r="K753" s="75" t="str">
        <f>IFERROR(__xludf.DUMMYFUNCTION("""COMPUTED_VALUE"""),"")</f>
        <v/>
      </c>
      <c r="L753" s="75"/>
      <c r="M753" s="46" t="s">
        <v>2002</v>
      </c>
    </row>
    <row r="754">
      <c r="A754" s="70"/>
      <c r="C754" s="5" t="s">
        <v>2002</v>
      </c>
      <c r="D754" s="5"/>
      <c r="E754" s="5"/>
      <c r="F754" s="5"/>
      <c r="G754" s="5"/>
      <c r="H754" s="5"/>
      <c r="I754" s="5"/>
      <c r="J754" s="73"/>
      <c r="K754" s="75" t="str">
        <f>IFERROR(__xludf.DUMMYFUNCTION("""COMPUTED_VALUE"""),"")</f>
        <v/>
      </c>
      <c r="L754" s="75"/>
      <c r="M754" s="46" t="s">
        <v>2002</v>
      </c>
    </row>
    <row r="755">
      <c r="A755" s="70"/>
      <c r="C755" s="5" t="s">
        <v>2002</v>
      </c>
      <c r="D755" s="5"/>
      <c r="E755" s="5"/>
      <c r="F755" s="5"/>
      <c r="G755" s="5"/>
      <c r="H755" s="5"/>
      <c r="I755" s="5"/>
      <c r="J755" s="73"/>
      <c r="K755" s="75" t="str">
        <f>IFERROR(__xludf.DUMMYFUNCTION("""COMPUTED_VALUE"""),"")</f>
        <v/>
      </c>
      <c r="L755" s="75"/>
      <c r="M755" s="46" t="s">
        <v>2002</v>
      </c>
    </row>
    <row r="756">
      <c r="A756" s="70"/>
      <c r="C756" s="5" t="s">
        <v>2002</v>
      </c>
      <c r="D756" s="5"/>
      <c r="E756" s="5"/>
      <c r="F756" s="5"/>
      <c r="G756" s="5"/>
      <c r="H756" s="5"/>
      <c r="I756" s="5"/>
      <c r="J756" s="73"/>
      <c r="K756" s="75" t="str">
        <f>IFERROR(__xludf.DUMMYFUNCTION("""COMPUTED_VALUE"""),"")</f>
        <v/>
      </c>
      <c r="L756" s="75"/>
      <c r="M756" s="46" t="s">
        <v>2002</v>
      </c>
    </row>
    <row r="757">
      <c r="A757" s="70"/>
      <c r="C757" s="5" t="s">
        <v>2002</v>
      </c>
      <c r="D757" s="5"/>
      <c r="E757" s="5"/>
      <c r="F757" s="5"/>
      <c r="G757" s="5"/>
      <c r="H757" s="5"/>
      <c r="I757" s="5"/>
      <c r="J757" s="73"/>
      <c r="K757" s="75" t="str">
        <f>IFERROR(__xludf.DUMMYFUNCTION("""COMPUTED_VALUE"""),"")</f>
        <v/>
      </c>
      <c r="L757" s="75"/>
      <c r="M757" s="46" t="s">
        <v>2002</v>
      </c>
    </row>
    <row r="758">
      <c r="A758" s="70"/>
      <c r="C758" s="5" t="s">
        <v>2002</v>
      </c>
      <c r="D758" s="5"/>
      <c r="E758" s="5"/>
      <c r="F758" s="5"/>
      <c r="G758" s="5"/>
      <c r="H758" s="5"/>
      <c r="I758" s="5"/>
      <c r="J758" s="73"/>
      <c r="K758" s="75" t="str">
        <f>IFERROR(__xludf.DUMMYFUNCTION("""COMPUTED_VALUE"""),"")</f>
        <v/>
      </c>
      <c r="L758" s="75"/>
      <c r="M758" s="46" t="s">
        <v>2002</v>
      </c>
    </row>
    <row r="759">
      <c r="A759" s="70"/>
      <c r="C759" s="5" t="s">
        <v>2002</v>
      </c>
      <c r="D759" s="5"/>
      <c r="E759" s="5"/>
      <c r="F759" s="5"/>
      <c r="G759" s="5"/>
      <c r="H759" s="5"/>
      <c r="I759" s="5"/>
      <c r="J759" s="73"/>
      <c r="K759" s="75" t="str">
        <f>IFERROR(__xludf.DUMMYFUNCTION("""COMPUTED_VALUE"""),"")</f>
        <v/>
      </c>
      <c r="L759" s="75"/>
      <c r="M759" s="46" t="s">
        <v>2002</v>
      </c>
    </row>
    <row r="760">
      <c r="A760" s="70"/>
      <c r="C760" s="5" t="s">
        <v>2002</v>
      </c>
      <c r="D760" s="5"/>
      <c r="E760" s="5"/>
      <c r="F760" s="5"/>
      <c r="G760" s="5"/>
      <c r="H760" s="5"/>
      <c r="I760" s="5"/>
      <c r="J760" s="73"/>
      <c r="K760" s="75" t="str">
        <f>IFERROR(__xludf.DUMMYFUNCTION("""COMPUTED_VALUE"""),"")</f>
        <v/>
      </c>
      <c r="L760" s="75"/>
      <c r="M760" s="46" t="s">
        <v>2002</v>
      </c>
    </row>
    <row r="761">
      <c r="A761" s="70"/>
      <c r="C761" s="5" t="s">
        <v>2002</v>
      </c>
      <c r="D761" s="5"/>
      <c r="E761" s="5"/>
      <c r="F761" s="5"/>
      <c r="G761" s="5"/>
      <c r="H761" s="5"/>
      <c r="I761" s="5"/>
      <c r="J761" s="73"/>
      <c r="K761" s="75" t="str">
        <f>IFERROR(__xludf.DUMMYFUNCTION("""COMPUTED_VALUE"""),"")</f>
        <v/>
      </c>
      <c r="L761" s="75"/>
      <c r="M761" s="46" t="s">
        <v>2002</v>
      </c>
    </row>
    <row r="762">
      <c r="A762" s="70"/>
      <c r="C762" s="5" t="s">
        <v>2002</v>
      </c>
      <c r="D762" s="5"/>
      <c r="E762" s="5"/>
      <c r="F762" s="5"/>
      <c r="G762" s="5"/>
      <c r="H762" s="5"/>
      <c r="I762" s="5"/>
      <c r="J762" s="73"/>
      <c r="K762" s="75" t="str">
        <f>IFERROR(__xludf.DUMMYFUNCTION("""COMPUTED_VALUE"""),"")</f>
        <v/>
      </c>
      <c r="L762" s="75"/>
      <c r="M762" s="46" t="s">
        <v>2002</v>
      </c>
    </row>
    <row r="763">
      <c r="A763" s="70"/>
      <c r="C763" s="5" t="s">
        <v>2002</v>
      </c>
      <c r="D763" s="5"/>
      <c r="E763" s="5"/>
      <c r="F763" s="5"/>
      <c r="G763" s="5"/>
      <c r="H763" s="5"/>
      <c r="I763" s="5"/>
      <c r="J763" s="73"/>
      <c r="K763" s="75" t="str">
        <f>IFERROR(__xludf.DUMMYFUNCTION("""COMPUTED_VALUE"""),"")</f>
        <v/>
      </c>
      <c r="L763" s="75"/>
      <c r="M763" s="46" t="s">
        <v>2002</v>
      </c>
    </row>
    <row r="764">
      <c r="A764" s="70"/>
      <c r="C764" s="5" t="s">
        <v>2002</v>
      </c>
      <c r="D764" s="5"/>
      <c r="E764" s="5"/>
      <c r="F764" s="5"/>
      <c r="G764" s="5"/>
      <c r="H764" s="5"/>
      <c r="I764" s="5"/>
      <c r="J764" s="73"/>
      <c r="K764" s="75" t="str">
        <f>IFERROR(__xludf.DUMMYFUNCTION("""COMPUTED_VALUE"""),"")</f>
        <v/>
      </c>
      <c r="L764" s="75"/>
      <c r="M764" s="46" t="s">
        <v>2002</v>
      </c>
    </row>
    <row r="765">
      <c r="A765" s="70"/>
      <c r="C765" s="5" t="s">
        <v>2002</v>
      </c>
      <c r="D765" s="5"/>
      <c r="E765" s="5"/>
      <c r="F765" s="5"/>
      <c r="G765" s="5"/>
      <c r="H765" s="5"/>
      <c r="I765" s="5"/>
      <c r="J765" s="73"/>
      <c r="K765" s="75" t="str">
        <f>IFERROR(__xludf.DUMMYFUNCTION("""COMPUTED_VALUE"""),"")</f>
        <v/>
      </c>
      <c r="L765" s="75"/>
      <c r="M765" s="46" t="s">
        <v>2002</v>
      </c>
    </row>
    <row r="766">
      <c r="A766" s="70"/>
      <c r="C766" s="5" t="s">
        <v>2002</v>
      </c>
      <c r="D766" s="5"/>
      <c r="E766" s="5"/>
      <c r="F766" s="5"/>
      <c r="G766" s="5"/>
      <c r="H766" s="5"/>
      <c r="I766" s="5"/>
      <c r="J766" s="73"/>
      <c r="K766" s="75" t="str">
        <f>IFERROR(__xludf.DUMMYFUNCTION("""COMPUTED_VALUE"""),"")</f>
        <v/>
      </c>
      <c r="L766" s="75"/>
      <c r="M766" s="46" t="s">
        <v>2002</v>
      </c>
    </row>
    <row r="767">
      <c r="A767" s="70"/>
      <c r="C767" s="5" t="s">
        <v>2002</v>
      </c>
      <c r="D767" s="5"/>
      <c r="E767" s="5"/>
      <c r="F767" s="5"/>
      <c r="G767" s="5"/>
      <c r="H767" s="5"/>
      <c r="I767" s="5"/>
      <c r="J767" s="73"/>
      <c r="K767" s="75" t="str">
        <f>IFERROR(__xludf.DUMMYFUNCTION("""COMPUTED_VALUE"""),"")</f>
        <v/>
      </c>
      <c r="L767" s="75"/>
      <c r="M767" s="46" t="s">
        <v>2002</v>
      </c>
    </row>
    <row r="768">
      <c r="A768" s="70"/>
      <c r="C768" s="5" t="s">
        <v>2002</v>
      </c>
      <c r="D768" s="5"/>
      <c r="E768" s="5"/>
      <c r="F768" s="5"/>
      <c r="G768" s="5"/>
      <c r="H768" s="5"/>
      <c r="I768" s="5"/>
      <c r="J768" s="73"/>
      <c r="K768" s="75" t="str">
        <f>IFERROR(__xludf.DUMMYFUNCTION("""COMPUTED_VALUE"""),"")</f>
        <v/>
      </c>
      <c r="L768" s="75"/>
      <c r="M768" s="46" t="s">
        <v>2002</v>
      </c>
    </row>
    <row r="769">
      <c r="A769" s="70"/>
      <c r="C769" s="5" t="s">
        <v>2002</v>
      </c>
      <c r="D769" s="5"/>
      <c r="E769" s="5"/>
      <c r="F769" s="5"/>
      <c r="G769" s="5"/>
      <c r="H769" s="5"/>
      <c r="I769" s="5"/>
      <c r="J769" s="73"/>
      <c r="K769" s="75" t="str">
        <f>IFERROR(__xludf.DUMMYFUNCTION("""COMPUTED_VALUE"""),"")</f>
        <v/>
      </c>
      <c r="L769" s="75"/>
      <c r="M769" s="46" t="s">
        <v>2002</v>
      </c>
    </row>
    <row r="770">
      <c r="A770" s="70"/>
      <c r="C770" s="5" t="s">
        <v>2002</v>
      </c>
      <c r="D770" s="5"/>
      <c r="E770" s="5"/>
      <c r="F770" s="5"/>
      <c r="G770" s="5"/>
      <c r="H770" s="5"/>
      <c r="I770" s="5"/>
      <c r="J770" s="73"/>
      <c r="K770" s="75" t="str">
        <f>IFERROR(__xludf.DUMMYFUNCTION("""COMPUTED_VALUE"""),"")</f>
        <v/>
      </c>
      <c r="L770" s="75"/>
      <c r="M770" s="46" t="s">
        <v>2002</v>
      </c>
    </row>
    <row r="771">
      <c r="A771" s="70"/>
      <c r="C771" s="5" t="s">
        <v>2002</v>
      </c>
      <c r="D771" s="5"/>
      <c r="E771" s="5"/>
      <c r="F771" s="5"/>
      <c r="G771" s="5"/>
      <c r="H771" s="5"/>
      <c r="I771" s="5"/>
      <c r="J771" s="73"/>
      <c r="K771" s="75" t="str">
        <f>IFERROR(__xludf.DUMMYFUNCTION("""COMPUTED_VALUE"""),"")</f>
        <v/>
      </c>
      <c r="L771" s="75"/>
      <c r="M771" s="46" t="s">
        <v>2002</v>
      </c>
    </row>
    <row r="772">
      <c r="A772" s="70"/>
      <c r="C772" s="5" t="s">
        <v>2002</v>
      </c>
      <c r="D772" s="5"/>
      <c r="E772" s="5"/>
      <c r="F772" s="5"/>
      <c r="G772" s="5"/>
      <c r="H772" s="5"/>
      <c r="I772" s="5"/>
      <c r="J772" s="73"/>
      <c r="K772" s="75" t="str">
        <f>IFERROR(__xludf.DUMMYFUNCTION("""COMPUTED_VALUE"""),"")</f>
        <v/>
      </c>
      <c r="L772" s="75"/>
      <c r="M772" s="46" t="s">
        <v>2002</v>
      </c>
    </row>
    <row r="773">
      <c r="A773" s="70"/>
      <c r="C773" s="5" t="s">
        <v>2002</v>
      </c>
      <c r="D773" s="5"/>
      <c r="E773" s="5"/>
      <c r="F773" s="5"/>
      <c r="G773" s="5"/>
      <c r="H773" s="5"/>
      <c r="I773" s="5"/>
      <c r="J773" s="73"/>
      <c r="K773" s="75" t="str">
        <f>IFERROR(__xludf.DUMMYFUNCTION("""COMPUTED_VALUE"""),"")</f>
        <v/>
      </c>
      <c r="L773" s="75"/>
      <c r="M773" s="46" t="s">
        <v>2002</v>
      </c>
    </row>
    <row r="774">
      <c r="A774" s="70"/>
      <c r="C774" s="5" t="s">
        <v>2002</v>
      </c>
      <c r="D774" s="5"/>
      <c r="E774" s="5"/>
      <c r="F774" s="5"/>
      <c r="G774" s="5"/>
      <c r="H774" s="5"/>
      <c r="I774" s="5"/>
      <c r="J774" s="73"/>
      <c r="K774" s="75" t="str">
        <f>IFERROR(__xludf.DUMMYFUNCTION("""COMPUTED_VALUE"""),"")</f>
        <v/>
      </c>
      <c r="L774" s="75"/>
      <c r="M774" s="46" t="s">
        <v>2002</v>
      </c>
    </row>
    <row r="775">
      <c r="A775" s="70"/>
      <c r="C775" s="5" t="s">
        <v>2002</v>
      </c>
      <c r="D775" s="5"/>
      <c r="E775" s="5"/>
      <c r="F775" s="5"/>
      <c r="G775" s="5"/>
      <c r="H775" s="5"/>
      <c r="I775" s="5"/>
      <c r="J775" s="73"/>
      <c r="K775" s="75" t="str">
        <f>IFERROR(__xludf.DUMMYFUNCTION("""COMPUTED_VALUE"""),"")</f>
        <v/>
      </c>
      <c r="L775" s="75"/>
      <c r="M775" s="46" t="s">
        <v>2002</v>
      </c>
    </row>
    <row r="776">
      <c r="A776" s="70"/>
      <c r="C776" s="5" t="s">
        <v>2002</v>
      </c>
      <c r="D776" s="5"/>
      <c r="E776" s="5"/>
      <c r="F776" s="5"/>
      <c r="G776" s="5"/>
      <c r="H776" s="5"/>
      <c r="I776" s="5"/>
      <c r="J776" s="73"/>
      <c r="K776" s="75" t="str">
        <f>IFERROR(__xludf.DUMMYFUNCTION("""COMPUTED_VALUE"""),"")</f>
        <v/>
      </c>
      <c r="L776" s="75"/>
      <c r="M776" s="46" t="s">
        <v>2002</v>
      </c>
    </row>
    <row r="777">
      <c r="A777" s="70"/>
      <c r="C777" s="5" t="s">
        <v>2002</v>
      </c>
      <c r="D777" s="5"/>
      <c r="E777" s="5"/>
      <c r="F777" s="5"/>
      <c r="G777" s="5"/>
      <c r="H777" s="5"/>
      <c r="I777" s="5"/>
      <c r="J777" s="73"/>
      <c r="K777" s="75" t="str">
        <f>IFERROR(__xludf.DUMMYFUNCTION("""COMPUTED_VALUE"""),"")</f>
        <v/>
      </c>
      <c r="L777" s="75"/>
      <c r="M777" s="46" t="s">
        <v>2002</v>
      </c>
    </row>
    <row r="778">
      <c r="A778" s="70"/>
      <c r="C778" s="5" t="s">
        <v>2002</v>
      </c>
      <c r="D778" s="5"/>
      <c r="E778" s="5"/>
      <c r="F778" s="5"/>
      <c r="G778" s="5"/>
      <c r="H778" s="5"/>
      <c r="I778" s="5"/>
      <c r="J778" s="73"/>
      <c r="K778" s="75" t="str">
        <f>IFERROR(__xludf.DUMMYFUNCTION("""COMPUTED_VALUE"""),"")</f>
        <v/>
      </c>
      <c r="L778" s="75"/>
      <c r="M778" s="46" t="s">
        <v>2002</v>
      </c>
    </row>
    <row r="779">
      <c r="A779" s="70"/>
      <c r="C779" s="5" t="s">
        <v>2002</v>
      </c>
      <c r="D779" s="5"/>
      <c r="E779" s="5"/>
      <c r="F779" s="5"/>
      <c r="G779" s="5"/>
      <c r="H779" s="5"/>
      <c r="I779" s="5"/>
      <c r="J779" s="73"/>
      <c r="K779" s="75" t="str">
        <f>IFERROR(__xludf.DUMMYFUNCTION("""COMPUTED_VALUE"""),"")</f>
        <v/>
      </c>
      <c r="L779" s="75"/>
      <c r="M779" s="46" t="s">
        <v>2002</v>
      </c>
    </row>
    <row r="780">
      <c r="A780" s="70"/>
      <c r="C780" s="5" t="s">
        <v>2002</v>
      </c>
      <c r="D780" s="5"/>
      <c r="E780" s="5"/>
      <c r="F780" s="5"/>
      <c r="G780" s="5"/>
      <c r="H780" s="5"/>
      <c r="I780" s="5"/>
      <c r="J780" s="73"/>
      <c r="K780" s="75" t="str">
        <f>IFERROR(__xludf.DUMMYFUNCTION("""COMPUTED_VALUE"""),"")</f>
        <v/>
      </c>
      <c r="L780" s="75"/>
      <c r="M780" s="46" t="s">
        <v>2002</v>
      </c>
    </row>
    <row r="781">
      <c r="A781" s="70"/>
      <c r="C781" s="5" t="s">
        <v>2002</v>
      </c>
      <c r="D781" s="5"/>
      <c r="E781" s="5"/>
      <c r="F781" s="5"/>
      <c r="G781" s="5"/>
      <c r="H781" s="5"/>
      <c r="I781" s="5"/>
      <c r="J781" s="73"/>
      <c r="K781" s="75" t="str">
        <f>IFERROR(__xludf.DUMMYFUNCTION("""COMPUTED_VALUE"""),"")</f>
        <v/>
      </c>
      <c r="L781" s="75"/>
      <c r="M781" s="46" t="s">
        <v>2002</v>
      </c>
    </row>
    <row r="782">
      <c r="A782" s="70"/>
      <c r="C782" s="5" t="s">
        <v>2002</v>
      </c>
      <c r="D782" s="5"/>
      <c r="E782" s="5"/>
      <c r="F782" s="5"/>
      <c r="G782" s="5"/>
      <c r="H782" s="5"/>
      <c r="I782" s="5"/>
      <c r="J782" s="73"/>
      <c r="K782" s="75" t="str">
        <f>IFERROR(__xludf.DUMMYFUNCTION("""COMPUTED_VALUE"""),"")</f>
        <v/>
      </c>
      <c r="L782" s="75"/>
      <c r="M782" s="46" t="s">
        <v>2002</v>
      </c>
    </row>
    <row r="783">
      <c r="A783" s="70"/>
      <c r="C783" s="5" t="s">
        <v>2002</v>
      </c>
      <c r="D783" s="5"/>
      <c r="E783" s="5"/>
      <c r="F783" s="5"/>
      <c r="G783" s="5"/>
      <c r="H783" s="5"/>
      <c r="I783" s="5"/>
      <c r="J783" s="73"/>
      <c r="K783" s="75" t="str">
        <f>IFERROR(__xludf.DUMMYFUNCTION("""COMPUTED_VALUE"""),"")</f>
        <v/>
      </c>
      <c r="L783" s="75"/>
      <c r="M783" s="46" t="s">
        <v>2002</v>
      </c>
    </row>
    <row r="784">
      <c r="A784" s="70"/>
      <c r="C784" s="5" t="s">
        <v>2002</v>
      </c>
      <c r="D784" s="5"/>
      <c r="E784" s="5"/>
      <c r="F784" s="5"/>
      <c r="G784" s="5"/>
      <c r="H784" s="5"/>
      <c r="I784" s="5"/>
      <c r="J784" s="73"/>
      <c r="K784" s="75" t="str">
        <f>IFERROR(__xludf.DUMMYFUNCTION("""COMPUTED_VALUE"""),"")</f>
        <v/>
      </c>
      <c r="L784" s="75"/>
      <c r="M784" s="46" t="s">
        <v>2002</v>
      </c>
    </row>
    <row r="785">
      <c r="A785" s="70"/>
      <c r="C785" s="5" t="s">
        <v>2002</v>
      </c>
      <c r="D785" s="5"/>
      <c r="E785" s="5"/>
      <c r="F785" s="5"/>
      <c r="G785" s="5"/>
      <c r="H785" s="5"/>
      <c r="I785" s="5"/>
      <c r="J785" s="73"/>
      <c r="K785" s="75" t="str">
        <f>IFERROR(__xludf.DUMMYFUNCTION("""COMPUTED_VALUE"""),"")</f>
        <v/>
      </c>
      <c r="L785" s="75"/>
      <c r="M785" s="46" t="s">
        <v>2002</v>
      </c>
    </row>
    <row r="786">
      <c r="A786" s="70"/>
      <c r="C786" s="5" t="s">
        <v>2002</v>
      </c>
      <c r="D786" s="5"/>
      <c r="E786" s="5"/>
      <c r="F786" s="5"/>
      <c r="G786" s="5"/>
      <c r="H786" s="5"/>
      <c r="I786" s="5"/>
      <c r="J786" s="73"/>
      <c r="K786" s="75" t="str">
        <f>IFERROR(__xludf.DUMMYFUNCTION("""COMPUTED_VALUE"""),"")</f>
        <v/>
      </c>
      <c r="L786" s="75"/>
      <c r="M786" s="46" t="s">
        <v>2002</v>
      </c>
    </row>
    <row r="787">
      <c r="A787" s="70"/>
      <c r="C787" s="5" t="s">
        <v>2002</v>
      </c>
      <c r="D787" s="5"/>
      <c r="E787" s="5"/>
      <c r="F787" s="5"/>
      <c r="G787" s="5"/>
      <c r="H787" s="5"/>
      <c r="I787" s="5"/>
      <c r="J787" s="73"/>
      <c r="K787" s="75" t="str">
        <f>IFERROR(__xludf.DUMMYFUNCTION("""COMPUTED_VALUE"""),"")</f>
        <v/>
      </c>
      <c r="L787" s="75"/>
      <c r="M787" s="46" t="s">
        <v>2002</v>
      </c>
    </row>
    <row r="788">
      <c r="A788" s="70"/>
      <c r="C788" s="5" t="s">
        <v>2002</v>
      </c>
      <c r="D788" s="5"/>
      <c r="E788" s="5"/>
      <c r="F788" s="5"/>
      <c r="G788" s="5"/>
      <c r="H788" s="5"/>
      <c r="I788" s="5"/>
      <c r="J788" s="73"/>
      <c r="K788" s="75" t="str">
        <f>IFERROR(__xludf.DUMMYFUNCTION("""COMPUTED_VALUE"""),"")</f>
        <v/>
      </c>
      <c r="L788" s="75"/>
      <c r="M788" s="46" t="s">
        <v>2002</v>
      </c>
    </row>
    <row r="789">
      <c r="A789" s="70"/>
      <c r="C789" s="5" t="s">
        <v>2002</v>
      </c>
      <c r="D789" s="5"/>
      <c r="E789" s="5"/>
      <c r="F789" s="5"/>
      <c r="G789" s="5"/>
      <c r="H789" s="5"/>
      <c r="I789" s="5"/>
      <c r="J789" s="73"/>
      <c r="K789" s="75" t="str">
        <f>IFERROR(__xludf.DUMMYFUNCTION("""COMPUTED_VALUE"""),"")</f>
        <v/>
      </c>
      <c r="L789" s="75"/>
      <c r="M789" s="46" t="s">
        <v>2002</v>
      </c>
    </row>
    <row r="790">
      <c r="A790" s="70"/>
      <c r="C790" s="5" t="s">
        <v>2002</v>
      </c>
      <c r="D790" s="5"/>
      <c r="E790" s="5"/>
      <c r="F790" s="5"/>
      <c r="G790" s="5"/>
      <c r="H790" s="5"/>
      <c r="I790" s="5"/>
      <c r="J790" s="73"/>
      <c r="K790" s="75" t="str">
        <f>IFERROR(__xludf.DUMMYFUNCTION("""COMPUTED_VALUE"""),"")</f>
        <v/>
      </c>
      <c r="L790" s="75"/>
      <c r="M790" s="46" t="s">
        <v>2002</v>
      </c>
    </row>
    <row r="791">
      <c r="A791" s="70"/>
      <c r="C791" s="5" t="s">
        <v>2002</v>
      </c>
      <c r="D791" s="5"/>
      <c r="E791" s="5"/>
      <c r="F791" s="5"/>
      <c r="G791" s="5"/>
      <c r="H791" s="5"/>
      <c r="I791" s="5"/>
      <c r="J791" s="73"/>
      <c r="K791" s="75" t="str">
        <f>IFERROR(__xludf.DUMMYFUNCTION("""COMPUTED_VALUE"""),"")</f>
        <v/>
      </c>
      <c r="L791" s="75"/>
      <c r="M791" s="46" t="s">
        <v>2002</v>
      </c>
    </row>
    <row r="792">
      <c r="A792" s="70"/>
      <c r="C792" s="5" t="s">
        <v>2002</v>
      </c>
      <c r="D792" s="5"/>
      <c r="E792" s="5"/>
      <c r="F792" s="5"/>
      <c r="G792" s="5"/>
      <c r="H792" s="5"/>
      <c r="I792" s="5"/>
      <c r="J792" s="73"/>
      <c r="K792" s="75" t="str">
        <f>IFERROR(__xludf.DUMMYFUNCTION("""COMPUTED_VALUE"""),"")</f>
        <v/>
      </c>
      <c r="L792" s="75"/>
      <c r="M792" s="46" t="s">
        <v>2002</v>
      </c>
    </row>
    <row r="793">
      <c r="A793" s="70"/>
      <c r="C793" s="5" t="s">
        <v>2002</v>
      </c>
      <c r="D793" s="5"/>
      <c r="E793" s="5"/>
      <c r="F793" s="5"/>
      <c r="G793" s="5"/>
      <c r="H793" s="5"/>
      <c r="I793" s="5"/>
      <c r="J793" s="73"/>
      <c r="K793" s="75" t="str">
        <f>IFERROR(__xludf.DUMMYFUNCTION("""COMPUTED_VALUE"""),"")</f>
        <v/>
      </c>
      <c r="L793" s="75"/>
      <c r="M793" s="46" t="s">
        <v>2002</v>
      </c>
    </row>
    <row r="794">
      <c r="A794" s="70"/>
      <c r="C794" s="5" t="s">
        <v>2002</v>
      </c>
      <c r="D794" s="5"/>
      <c r="E794" s="5"/>
      <c r="F794" s="5"/>
      <c r="G794" s="5"/>
      <c r="H794" s="5"/>
      <c r="I794" s="5"/>
      <c r="J794" s="73"/>
      <c r="K794" s="75" t="str">
        <f>IFERROR(__xludf.DUMMYFUNCTION("""COMPUTED_VALUE"""),"")</f>
        <v/>
      </c>
      <c r="L794" s="75"/>
      <c r="M794" s="46" t="s">
        <v>2002</v>
      </c>
    </row>
    <row r="795">
      <c r="A795" s="70"/>
      <c r="C795" s="5" t="s">
        <v>2002</v>
      </c>
      <c r="D795" s="5"/>
      <c r="E795" s="5"/>
      <c r="F795" s="5"/>
      <c r="G795" s="5"/>
      <c r="H795" s="5"/>
      <c r="I795" s="5"/>
      <c r="J795" s="73"/>
      <c r="K795" s="75" t="str">
        <f>IFERROR(__xludf.DUMMYFUNCTION("""COMPUTED_VALUE"""),"")</f>
        <v/>
      </c>
      <c r="L795" s="75"/>
      <c r="M795" s="46" t="s">
        <v>2002</v>
      </c>
    </row>
    <row r="796">
      <c r="A796" s="70"/>
      <c r="C796" s="5" t="s">
        <v>2002</v>
      </c>
      <c r="D796" s="5"/>
      <c r="E796" s="5"/>
      <c r="F796" s="5"/>
      <c r="G796" s="5"/>
      <c r="H796" s="5"/>
      <c r="I796" s="5"/>
      <c r="J796" s="73"/>
      <c r="K796" s="75" t="str">
        <f>IFERROR(__xludf.DUMMYFUNCTION("""COMPUTED_VALUE"""),"")</f>
        <v/>
      </c>
      <c r="L796" s="75"/>
      <c r="M796" s="46" t="s">
        <v>2002</v>
      </c>
    </row>
    <row r="797">
      <c r="A797" s="70"/>
      <c r="C797" s="5" t="s">
        <v>2002</v>
      </c>
      <c r="D797" s="5"/>
      <c r="E797" s="5"/>
      <c r="F797" s="5"/>
      <c r="G797" s="5"/>
      <c r="H797" s="5"/>
      <c r="I797" s="5"/>
      <c r="J797" s="73"/>
      <c r="K797" s="75" t="str">
        <f>IFERROR(__xludf.DUMMYFUNCTION("""COMPUTED_VALUE"""),"")</f>
        <v/>
      </c>
      <c r="L797" s="75"/>
      <c r="M797" s="46" t="s">
        <v>2002</v>
      </c>
    </row>
    <row r="798">
      <c r="A798" s="70"/>
      <c r="C798" s="5" t="s">
        <v>2002</v>
      </c>
      <c r="D798" s="5"/>
      <c r="E798" s="5"/>
      <c r="F798" s="5"/>
      <c r="G798" s="5"/>
      <c r="H798" s="5"/>
      <c r="I798" s="5"/>
      <c r="J798" s="73"/>
      <c r="K798" s="75" t="str">
        <f>IFERROR(__xludf.DUMMYFUNCTION("""COMPUTED_VALUE"""),"")</f>
        <v/>
      </c>
      <c r="L798" s="75"/>
      <c r="M798" s="46" t="s">
        <v>2002</v>
      </c>
    </row>
    <row r="799">
      <c r="A799" s="70"/>
      <c r="C799" s="5" t="s">
        <v>2002</v>
      </c>
      <c r="D799" s="5"/>
      <c r="E799" s="5"/>
      <c r="F799" s="5"/>
      <c r="G799" s="5"/>
      <c r="H799" s="5"/>
      <c r="I799" s="5"/>
      <c r="J799" s="73"/>
      <c r="K799" s="75" t="str">
        <f>IFERROR(__xludf.DUMMYFUNCTION("""COMPUTED_VALUE"""),"")</f>
        <v/>
      </c>
      <c r="L799" s="75"/>
      <c r="M799" s="46" t="s">
        <v>2002</v>
      </c>
    </row>
    <row r="800">
      <c r="A800" s="70"/>
      <c r="C800" s="5" t="s">
        <v>2002</v>
      </c>
      <c r="D800" s="5"/>
      <c r="E800" s="5"/>
      <c r="F800" s="5"/>
      <c r="G800" s="5"/>
      <c r="H800" s="5"/>
      <c r="I800" s="5"/>
      <c r="J800" s="73"/>
      <c r="K800" s="75" t="str">
        <f>IFERROR(__xludf.DUMMYFUNCTION("""COMPUTED_VALUE"""),"")</f>
        <v/>
      </c>
      <c r="L800" s="75"/>
      <c r="M800" s="46" t="s">
        <v>2002</v>
      </c>
    </row>
    <row r="801">
      <c r="A801" s="70"/>
      <c r="C801" s="5" t="s">
        <v>2002</v>
      </c>
      <c r="D801" s="5"/>
      <c r="E801" s="5"/>
      <c r="F801" s="5"/>
      <c r="G801" s="5"/>
      <c r="H801" s="5"/>
      <c r="I801" s="5"/>
      <c r="J801" s="73"/>
      <c r="K801" s="75" t="str">
        <f>IFERROR(__xludf.DUMMYFUNCTION("""COMPUTED_VALUE"""),"")</f>
        <v/>
      </c>
      <c r="L801" s="75"/>
      <c r="M801" s="46" t="s">
        <v>2002</v>
      </c>
    </row>
    <row r="802">
      <c r="A802" s="70"/>
      <c r="C802" s="5" t="s">
        <v>2002</v>
      </c>
      <c r="D802" s="5"/>
      <c r="E802" s="5"/>
      <c r="F802" s="5"/>
      <c r="G802" s="5"/>
      <c r="H802" s="5"/>
      <c r="I802" s="5"/>
      <c r="J802" s="73"/>
      <c r="K802" s="75" t="str">
        <f>IFERROR(__xludf.DUMMYFUNCTION("""COMPUTED_VALUE"""),"")</f>
        <v/>
      </c>
      <c r="L802" s="75"/>
      <c r="M802" s="46" t="s">
        <v>2002</v>
      </c>
    </row>
    <row r="803">
      <c r="A803" s="70"/>
      <c r="C803" s="5" t="s">
        <v>2002</v>
      </c>
      <c r="D803" s="5"/>
      <c r="E803" s="5"/>
      <c r="F803" s="5"/>
      <c r="G803" s="5"/>
      <c r="H803" s="5"/>
      <c r="I803" s="5"/>
      <c r="J803" s="73"/>
      <c r="K803" s="75" t="str">
        <f>IFERROR(__xludf.DUMMYFUNCTION("""COMPUTED_VALUE"""),"")</f>
        <v/>
      </c>
      <c r="L803" s="75"/>
      <c r="M803" s="46" t="s">
        <v>2002</v>
      </c>
    </row>
    <row r="804">
      <c r="A804" s="70"/>
      <c r="C804" s="5" t="s">
        <v>2002</v>
      </c>
      <c r="D804" s="5"/>
      <c r="E804" s="5"/>
      <c r="F804" s="5"/>
      <c r="G804" s="5"/>
      <c r="H804" s="5"/>
      <c r="I804" s="5"/>
      <c r="J804" s="73"/>
      <c r="K804" s="75" t="str">
        <f>IFERROR(__xludf.DUMMYFUNCTION("""COMPUTED_VALUE"""),"")</f>
        <v/>
      </c>
      <c r="L804" s="75"/>
      <c r="M804" s="46" t="s">
        <v>2002</v>
      </c>
    </row>
    <row r="805">
      <c r="A805" s="70"/>
      <c r="C805" s="5" t="s">
        <v>2002</v>
      </c>
      <c r="D805" s="5"/>
      <c r="E805" s="5"/>
      <c r="F805" s="5"/>
      <c r="G805" s="5"/>
      <c r="H805" s="5"/>
      <c r="I805" s="5"/>
      <c r="J805" s="73"/>
      <c r="K805" s="75" t="str">
        <f>IFERROR(__xludf.DUMMYFUNCTION("""COMPUTED_VALUE"""),"")</f>
        <v/>
      </c>
      <c r="L805" s="75"/>
      <c r="M805" s="46" t="s">
        <v>2002</v>
      </c>
    </row>
    <row r="806">
      <c r="A806" s="70"/>
      <c r="C806" s="5" t="s">
        <v>2002</v>
      </c>
      <c r="D806" s="5"/>
      <c r="E806" s="5"/>
      <c r="F806" s="5"/>
      <c r="G806" s="5"/>
      <c r="H806" s="5"/>
      <c r="I806" s="5"/>
      <c r="J806" s="73"/>
      <c r="K806" s="75" t="str">
        <f>IFERROR(__xludf.DUMMYFUNCTION("""COMPUTED_VALUE"""),"")</f>
        <v/>
      </c>
      <c r="L806" s="75"/>
      <c r="M806" s="46" t="s">
        <v>2002</v>
      </c>
    </row>
    <row r="807">
      <c r="A807" s="70"/>
      <c r="C807" s="5" t="s">
        <v>2002</v>
      </c>
      <c r="D807" s="5"/>
      <c r="E807" s="5"/>
      <c r="F807" s="5"/>
      <c r="G807" s="5"/>
      <c r="H807" s="5"/>
      <c r="I807" s="5"/>
      <c r="J807" s="73"/>
      <c r="K807" s="75" t="str">
        <f>IFERROR(__xludf.DUMMYFUNCTION("""COMPUTED_VALUE"""),"")</f>
        <v/>
      </c>
      <c r="L807" s="75"/>
      <c r="M807" s="46" t="s">
        <v>2002</v>
      </c>
    </row>
    <row r="808">
      <c r="A808" s="70"/>
      <c r="C808" s="5" t="s">
        <v>2002</v>
      </c>
      <c r="D808" s="5"/>
      <c r="E808" s="5"/>
      <c r="F808" s="5"/>
      <c r="G808" s="5"/>
      <c r="H808" s="5"/>
      <c r="I808" s="5"/>
      <c r="J808" s="73"/>
      <c r="K808" s="75" t="str">
        <f>IFERROR(__xludf.DUMMYFUNCTION("""COMPUTED_VALUE"""),"")</f>
        <v/>
      </c>
      <c r="L808" s="75"/>
      <c r="M808" s="46" t="s">
        <v>2002</v>
      </c>
    </row>
    <row r="809">
      <c r="A809" s="70"/>
      <c r="C809" s="5" t="s">
        <v>2002</v>
      </c>
      <c r="D809" s="5"/>
      <c r="E809" s="5"/>
      <c r="F809" s="5"/>
      <c r="G809" s="5"/>
      <c r="H809" s="5"/>
      <c r="I809" s="5"/>
      <c r="J809" s="73"/>
      <c r="K809" s="75" t="str">
        <f>IFERROR(__xludf.DUMMYFUNCTION("""COMPUTED_VALUE"""),"")</f>
        <v/>
      </c>
      <c r="L809" s="75"/>
      <c r="M809" s="46" t="s">
        <v>2002</v>
      </c>
    </row>
    <row r="810">
      <c r="A810" s="70"/>
      <c r="C810" s="5" t="s">
        <v>2002</v>
      </c>
      <c r="D810" s="5"/>
      <c r="E810" s="5"/>
      <c r="F810" s="5"/>
      <c r="G810" s="5"/>
      <c r="H810" s="5"/>
      <c r="I810" s="5"/>
      <c r="J810" s="73"/>
      <c r="K810" s="75" t="str">
        <f>IFERROR(__xludf.DUMMYFUNCTION("""COMPUTED_VALUE"""),"")</f>
        <v/>
      </c>
      <c r="L810" s="75"/>
      <c r="M810" s="46" t="s">
        <v>2002</v>
      </c>
    </row>
    <row r="811">
      <c r="A811" s="70"/>
      <c r="C811" s="5" t="s">
        <v>2002</v>
      </c>
      <c r="D811" s="5"/>
      <c r="E811" s="5"/>
      <c r="F811" s="5"/>
      <c r="G811" s="5"/>
      <c r="H811" s="5"/>
      <c r="I811" s="5"/>
      <c r="J811" s="73"/>
      <c r="K811" s="75" t="str">
        <f>IFERROR(__xludf.DUMMYFUNCTION("""COMPUTED_VALUE"""),"")</f>
        <v/>
      </c>
      <c r="L811" s="75"/>
      <c r="M811" s="46" t="s">
        <v>2002</v>
      </c>
    </row>
    <row r="812">
      <c r="A812" s="70"/>
      <c r="C812" s="5" t="s">
        <v>2002</v>
      </c>
      <c r="D812" s="5"/>
      <c r="E812" s="5"/>
      <c r="F812" s="5"/>
      <c r="G812" s="5"/>
      <c r="H812" s="5"/>
      <c r="I812" s="5"/>
      <c r="J812" s="73"/>
      <c r="K812" s="75" t="str">
        <f>IFERROR(__xludf.DUMMYFUNCTION("""COMPUTED_VALUE"""),"")</f>
        <v/>
      </c>
      <c r="L812" s="75"/>
      <c r="M812" s="46" t="s">
        <v>2002</v>
      </c>
    </row>
    <row r="813">
      <c r="A813" s="70"/>
      <c r="C813" s="5" t="s">
        <v>2002</v>
      </c>
      <c r="D813" s="5"/>
      <c r="E813" s="5"/>
      <c r="F813" s="5"/>
      <c r="G813" s="5"/>
      <c r="H813" s="5"/>
      <c r="I813" s="5"/>
      <c r="J813" s="73"/>
      <c r="K813" s="75" t="str">
        <f>IFERROR(__xludf.DUMMYFUNCTION("""COMPUTED_VALUE"""),"")</f>
        <v/>
      </c>
      <c r="L813" s="75"/>
      <c r="M813" s="46" t="s">
        <v>2002</v>
      </c>
    </row>
    <row r="814">
      <c r="A814" s="70"/>
      <c r="C814" s="5" t="s">
        <v>2002</v>
      </c>
      <c r="D814" s="5"/>
      <c r="E814" s="5"/>
      <c r="F814" s="5"/>
      <c r="G814" s="5"/>
      <c r="H814" s="5"/>
      <c r="I814" s="5"/>
      <c r="J814" s="73"/>
      <c r="K814" s="75" t="str">
        <f>IFERROR(__xludf.DUMMYFUNCTION("""COMPUTED_VALUE"""),"")</f>
        <v/>
      </c>
      <c r="L814" s="75"/>
      <c r="M814" s="46" t="s">
        <v>2002</v>
      </c>
    </row>
    <row r="815">
      <c r="A815" s="70"/>
      <c r="C815" s="5" t="s">
        <v>2002</v>
      </c>
      <c r="D815" s="5"/>
      <c r="E815" s="5"/>
      <c r="F815" s="5"/>
      <c r="G815" s="5"/>
      <c r="H815" s="5"/>
      <c r="I815" s="5"/>
      <c r="J815" s="73"/>
      <c r="K815" s="75" t="str">
        <f>IFERROR(__xludf.DUMMYFUNCTION("""COMPUTED_VALUE"""),"")</f>
        <v/>
      </c>
      <c r="L815" s="75"/>
      <c r="M815" s="46" t="s">
        <v>2002</v>
      </c>
    </row>
    <row r="816">
      <c r="A816" s="70"/>
      <c r="C816" s="5" t="s">
        <v>2002</v>
      </c>
      <c r="D816" s="5"/>
      <c r="E816" s="5"/>
      <c r="F816" s="5"/>
      <c r="G816" s="5"/>
      <c r="H816" s="5"/>
      <c r="I816" s="5"/>
      <c r="J816" s="73"/>
      <c r="K816" s="75" t="str">
        <f>IFERROR(__xludf.DUMMYFUNCTION("""COMPUTED_VALUE"""),"")</f>
        <v/>
      </c>
      <c r="L816" s="75"/>
      <c r="M816" s="46" t="s">
        <v>2002</v>
      </c>
    </row>
    <row r="817">
      <c r="A817" s="70"/>
      <c r="C817" s="5" t="s">
        <v>2002</v>
      </c>
      <c r="D817" s="5"/>
      <c r="E817" s="5"/>
      <c r="F817" s="5"/>
      <c r="G817" s="5"/>
      <c r="H817" s="5"/>
      <c r="I817" s="5"/>
      <c r="J817" s="73"/>
      <c r="K817" s="75" t="str">
        <f>IFERROR(__xludf.DUMMYFUNCTION("""COMPUTED_VALUE"""),"")</f>
        <v/>
      </c>
      <c r="L817" s="75"/>
      <c r="M817" s="46" t="s">
        <v>2002</v>
      </c>
    </row>
    <row r="818">
      <c r="A818" s="70"/>
      <c r="C818" s="5" t="s">
        <v>2002</v>
      </c>
      <c r="D818" s="5"/>
      <c r="E818" s="5"/>
      <c r="F818" s="5"/>
      <c r="G818" s="5"/>
      <c r="H818" s="5"/>
      <c r="I818" s="5"/>
      <c r="J818" s="73"/>
      <c r="K818" s="75" t="str">
        <f>IFERROR(__xludf.DUMMYFUNCTION("""COMPUTED_VALUE"""),"")</f>
        <v/>
      </c>
      <c r="L818" s="75"/>
      <c r="M818" s="46" t="s">
        <v>2002</v>
      </c>
    </row>
    <row r="819">
      <c r="A819" s="70"/>
      <c r="C819" s="5" t="s">
        <v>2002</v>
      </c>
      <c r="D819" s="5"/>
      <c r="E819" s="5"/>
      <c r="F819" s="5"/>
      <c r="G819" s="5"/>
      <c r="H819" s="5"/>
      <c r="I819" s="5"/>
      <c r="J819" s="73"/>
      <c r="K819" s="75" t="str">
        <f>IFERROR(__xludf.DUMMYFUNCTION("""COMPUTED_VALUE"""),"")</f>
        <v/>
      </c>
      <c r="L819" s="75"/>
      <c r="M819" s="46" t="s">
        <v>2002</v>
      </c>
    </row>
    <row r="820">
      <c r="A820" s="70"/>
      <c r="C820" s="5" t="s">
        <v>2002</v>
      </c>
      <c r="D820" s="5"/>
      <c r="E820" s="5"/>
      <c r="F820" s="5"/>
      <c r="G820" s="5"/>
      <c r="H820" s="5"/>
      <c r="I820" s="5"/>
      <c r="J820" s="73"/>
      <c r="K820" s="75" t="str">
        <f>IFERROR(__xludf.DUMMYFUNCTION("""COMPUTED_VALUE"""),"")</f>
        <v/>
      </c>
      <c r="L820" s="75"/>
      <c r="M820" s="46" t="s">
        <v>2002</v>
      </c>
    </row>
    <row r="821">
      <c r="A821" s="70"/>
      <c r="C821" s="5" t="s">
        <v>2002</v>
      </c>
      <c r="D821" s="5"/>
      <c r="E821" s="5"/>
      <c r="F821" s="5"/>
      <c r="G821" s="5"/>
      <c r="H821" s="5"/>
      <c r="I821" s="5"/>
      <c r="J821" s="73"/>
      <c r="K821" s="75" t="str">
        <f>IFERROR(__xludf.DUMMYFUNCTION("""COMPUTED_VALUE"""),"")</f>
        <v/>
      </c>
      <c r="L821" s="75"/>
      <c r="M821" s="46" t="s">
        <v>2002</v>
      </c>
    </row>
    <row r="822">
      <c r="A822" s="70"/>
      <c r="C822" s="5" t="s">
        <v>2002</v>
      </c>
      <c r="D822" s="5"/>
      <c r="E822" s="5"/>
      <c r="F822" s="5"/>
      <c r="G822" s="5"/>
      <c r="H822" s="5"/>
      <c r="I822" s="5"/>
      <c r="J822" s="73"/>
      <c r="K822" s="75" t="str">
        <f>IFERROR(__xludf.DUMMYFUNCTION("""COMPUTED_VALUE"""),"")</f>
        <v/>
      </c>
      <c r="L822" s="75"/>
      <c r="M822" s="46" t="s">
        <v>2002</v>
      </c>
    </row>
    <row r="823">
      <c r="A823" s="70"/>
      <c r="C823" s="5" t="s">
        <v>2002</v>
      </c>
      <c r="D823" s="5"/>
      <c r="E823" s="5"/>
      <c r="F823" s="5"/>
      <c r="G823" s="5"/>
      <c r="H823" s="5"/>
      <c r="I823" s="5"/>
      <c r="J823" s="73"/>
      <c r="K823" s="75" t="str">
        <f>IFERROR(__xludf.DUMMYFUNCTION("""COMPUTED_VALUE"""),"")</f>
        <v/>
      </c>
      <c r="L823" s="75"/>
      <c r="M823" s="46" t="s">
        <v>2002</v>
      </c>
    </row>
    <row r="824">
      <c r="A824" s="70"/>
      <c r="C824" s="5" t="s">
        <v>2002</v>
      </c>
      <c r="D824" s="5"/>
      <c r="E824" s="5"/>
      <c r="F824" s="5"/>
      <c r="G824" s="5"/>
      <c r="H824" s="5"/>
      <c r="I824" s="5"/>
      <c r="J824" s="73"/>
      <c r="K824" s="75" t="str">
        <f>IFERROR(__xludf.DUMMYFUNCTION("""COMPUTED_VALUE"""),"")</f>
        <v/>
      </c>
      <c r="L824" s="75"/>
      <c r="M824" s="46" t="s">
        <v>2002</v>
      </c>
    </row>
    <row r="825">
      <c r="A825" s="70"/>
      <c r="C825" s="5" t="s">
        <v>2002</v>
      </c>
      <c r="D825" s="5"/>
      <c r="E825" s="5"/>
      <c r="F825" s="5"/>
      <c r="G825" s="5"/>
      <c r="H825" s="5"/>
      <c r="I825" s="5"/>
      <c r="J825" s="73"/>
      <c r="K825" s="75" t="str">
        <f>IFERROR(__xludf.DUMMYFUNCTION("""COMPUTED_VALUE"""),"")</f>
        <v/>
      </c>
      <c r="L825" s="75"/>
      <c r="M825" s="46" t="s">
        <v>2002</v>
      </c>
    </row>
    <row r="826">
      <c r="A826" s="70"/>
      <c r="C826" s="5" t="s">
        <v>2002</v>
      </c>
      <c r="D826" s="5"/>
      <c r="E826" s="5"/>
      <c r="F826" s="5"/>
      <c r="G826" s="5"/>
      <c r="H826" s="5"/>
      <c r="I826" s="5"/>
      <c r="J826" s="73"/>
      <c r="K826" s="75" t="str">
        <f>IFERROR(__xludf.DUMMYFUNCTION("""COMPUTED_VALUE"""),"")</f>
        <v/>
      </c>
      <c r="L826" s="75"/>
      <c r="M826" s="46" t="s">
        <v>2002</v>
      </c>
    </row>
    <row r="827">
      <c r="A827" s="70"/>
      <c r="C827" s="5" t="s">
        <v>2002</v>
      </c>
      <c r="D827" s="5"/>
      <c r="E827" s="5"/>
      <c r="F827" s="5"/>
      <c r="G827" s="5"/>
      <c r="H827" s="5"/>
      <c r="I827" s="5"/>
      <c r="J827" s="73"/>
      <c r="K827" s="75" t="str">
        <f>IFERROR(__xludf.DUMMYFUNCTION("""COMPUTED_VALUE"""),"")</f>
        <v/>
      </c>
      <c r="L827" s="75"/>
      <c r="M827" s="46" t="s">
        <v>2002</v>
      </c>
    </row>
    <row r="828">
      <c r="A828" s="70"/>
      <c r="C828" s="5" t="s">
        <v>2002</v>
      </c>
      <c r="D828" s="5"/>
      <c r="E828" s="5"/>
      <c r="F828" s="5"/>
      <c r="G828" s="5"/>
      <c r="H828" s="5"/>
      <c r="I828" s="5"/>
      <c r="J828" s="73"/>
      <c r="K828" s="75" t="str">
        <f>IFERROR(__xludf.DUMMYFUNCTION("""COMPUTED_VALUE"""),"")</f>
        <v/>
      </c>
      <c r="L828" s="75"/>
      <c r="M828" s="46" t="s">
        <v>2002</v>
      </c>
    </row>
    <row r="829">
      <c r="A829" s="70"/>
      <c r="C829" s="5" t="s">
        <v>2002</v>
      </c>
      <c r="D829" s="5"/>
      <c r="E829" s="5"/>
      <c r="F829" s="5"/>
      <c r="G829" s="5"/>
      <c r="H829" s="5"/>
      <c r="I829" s="5"/>
      <c r="J829" s="73"/>
      <c r="K829" s="75" t="str">
        <f>IFERROR(__xludf.DUMMYFUNCTION("""COMPUTED_VALUE"""),"")</f>
        <v/>
      </c>
      <c r="L829" s="75"/>
      <c r="M829" s="46" t="s">
        <v>2002</v>
      </c>
    </row>
    <row r="830">
      <c r="A830" s="70"/>
      <c r="C830" s="5" t="s">
        <v>2002</v>
      </c>
      <c r="D830" s="5"/>
      <c r="E830" s="5"/>
      <c r="F830" s="5"/>
      <c r="G830" s="5"/>
      <c r="H830" s="5"/>
      <c r="I830" s="5"/>
      <c r="J830" s="73"/>
      <c r="K830" s="75" t="str">
        <f>IFERROR(__xludf.DUMMYFUNCTION("""COMPUTED_VALUE"""),"")</f>
        <v/>
      </c>
      <c r="L830" s="75"/>
      <c r="M830" s="46" t="s">
        <v>2002</v>
      </c>
    </row>
    <row r="831">
      <c r="A831" s="70"/>
      <c r="C831" s="5" t="s">
        <v>2002</v>
      </c>
      <c r="D831" s="5"/>
      <c r="E831" s="5"/>
      <c r="F831" s="5"/>
      <c r="G831" s="5"/>
      <c r="H831" s="5"/>
      <c r="I831" s="5"/>
      <c r="J831" s="73"/>
      <c r="K831" s="75" t="str">
        <f>IFERROR(__xludf.DUMMYFUNCTION("""COMPUTED_VALUE"""),"")</f>
        <v/>
      </c>
      <c r="L831" s="75"/>
      <c r="M831" s="46" t="s">
        <v>2002</v>
      </c>
    </row>
    <row r="832">
      <c r="A832" s="70"/>
      <c r="C832" s="5" t="s">
        <v>2002</v>
      </c>
      <c r="D832" s="5"/>
      <c r="E832" s="5"/>
      <c r="F832" s="5"/>
      <c r="G832" s="5"/>
      <c r="H832" s="5"/>
      <c r="I832" s="5"/>
      <c r="J832" s="73"/>
      <c r="K832" s="75" t="str">
        <f>IFERROR(__xludf.DUMMYFUNCTION("""COMPUTED_VALUE"""),"")</f>
        <v/>
      </c>
      <c r="L832" s="75"/>
      <c r="M832" s="46" t="s">
        <v>2002</v>
      </c>
    </row>
    <row r="833">
      <c r="A833" s="70"/>
      <c r="C833" s="5" t="s">
        <v>2002</v>
      </c>
      <c r="D833" s="5"/>
      <c r="E833" s="5"/>
      <c r="F833" s="5"/>
      <c r="G833" s="5"/>
      <c r="H833" s="5"/>
      <c r="I833" s="5"/>
      <c r="J833" s="73"/>
      <c r="K833" s="75" t="str">
        <f>IFERROR(__xludf.DUMMYFUNCTION("""COMPUTED_VALUE"""),"")</f>
        <v/>
      </c>
      <c r="L833" s="75"/>
      <c r="M833" s="46" t="s">
        <v>2002</v>
      </c>
    </row>
    <row r="834">
      <c r="A834" s="70"/>
      <c r="C834" s="5" t="s">
        <v>2002</v>
      </c>
      <c r="D834" s="5"/>
      <c r="E834" s="5"/>
      <c r="F834" s="5"/>
      <c r="G834" s="5"/>
      <c r="H834" s="5"/>
      <c r="I834" s="5"/>
      <c r="J834" s="73"/>
      <c r="K834" s="75" t="str">
        <f>IFERROR(__xludf.DUMMYFUNCTION("""COMPUTED_VALUE"""),"")</f>
        <v/>
      </c>
      <c r="L834" s="75"/>
      <c r="M834" s="46" t="s">
        <v>2002</v>
      </c>
    </row>
    <row r="835">
      <c r="A835" s="70"/>
      <c r="C835" s="5" t="s">
        <v>2002</v>
      </c>
      <c r="D835" s="5"/>
      <c r="E835" s="5"/>
      <c r="F835" s="5"/>
      <c r="G835" s="5"/>
      <c r="H835" s="5"/>
      <c r="I835" s="5"/>
      <c r="J835" s="73"/>
      <c r="K835" s="75" t="str">
        <f>IFERROR(__xludf.DUMMYFUNCTION("""COMPUTED_VALUE"""),"")</f>
        <v/>
      </c>
      <c r="L835" s="75"/>
      <c r="M835" s="46" t="s">
        <v>2002</v>
      </c>
    </row>
    <row r="836">
      <c r="A836" s="70"/>
      <c r="C836" s="5" t="s">
        <v>2002</v>
      </c>
      <c r="D836" s="5"/>
      <c r="E836" s="5"/>
      <c r="F836" s="5"/>
      <c r="G836" s="5"/>
      <c r="H836" s="5"/>
      <c r="I836" s="5"/>
      <c r="J836" s="73"/>
      <c r="K836" s="75" t="str">
        <f>IFERROR(__xludf.DUMMYFUNCTION("""COMPUTED_VALUE"""),"")</f>
        <v/>
      </c>
      <c r="L836" s="75"/>
      <c r="M836" s="46" t="s">
        <v>2002</v>
      </c>
    </row>
    <row r="837">
      <c r="A837" s="70"/>
      <c r="C837" s="5" t="s">
        <v>2002</v>
      </c>
      <c r="D837" s="5"/>
      <c r="E837" s="5"/>
      <c r="F837" s="5"/>
      <c r="G837" s="5"/>
      <c r="H837" s="5"/>
      <c r="I837" s="5"/>
      <c r="J837" s="73"/>
      <c r="K837" s="75" t="str">
        <f>IFERROR(__xludf.DUMMYFUNCTION("""COMPUTED_VALUE"""),"")</f>
        <v/>
      </c>
      <c r="L837" s="75"/>
      <c r="M837" s="46" t="s">
        <v>2002</v>
      </c>
    </row>
    <row r="838">
      <c r="A838" s="70"/>
      <c r="C838" s="5" t="s">
        <v>2002</v>
      </c>
      <c r="D838" s="5"/>
      <c r="E838" s="5"/>
      <c r="F838" s="5"/>
      <c r="G838" s="5"/>
      <c r="H838" s="5"/>
      <c r="I838" s="5"/>
      <c r="J838" s="73"/>
      <c r="K838" s="75" t="str">
        <f>IFERROR(__xludf.DUMMYFUNCTION("""COMPUTED_VALUE"""),"")</f>
        <v/>
      </c>
      <c r="L838" s="75"/>
      <c r="M838" s="46" t="s">
        <v>2002</v>
      </c>
    </row>
    <row r="839">
      <c r="A839" s="70"/>
      <c r="C839" s="5" t="s">
        <v>2002</v>
      </c>
      <c r="D839" s="5"/>
      <c r="E839" s="5"/>
      <c r="F839" s="5"/>
      <c r="G839" s="5"/>
      <c r="H839" s="5"/>
      <c r="I839" s="5"/>
      <c r="J839" s="73"/>
      <c r="K839" s="75" t="str">
        <f>IFERROR(__xludf.DUMMYFUNCTION("""COMPUTED_VALUE"""),"")</f>
        <v/>
      </c>
      <c r="L839" s="75"/>
      <c r="M839" s="46" t="s">
        <v>2002</v>
      </c>
    </row>
    <row r="840">
      <c r="A840" s="70"/>
      <c r="C840" s="5" t="s">
        <v>2002</v>
      </c>
      <c r="D840" s="5"/>
      <c r="E840" s="5"/>
      <c r="F840" s="5"/>
      <c r="G840" s="5"/>
      <c r="H840" s="5"/>
      <c r="I840" s="5"/>
      <c r="J840" s="73"/>
      <c r="K840" s="75" t="str">
        <f>IFERROR(__xludf.DUMMYFUNCTION("""COMPUTED_VALUE"""),"")</f>
        <v/>
      </c>
      <c r="L840" s="75"/>
      <c r="M840" s="46" t="s">
        <v>2002</v>
      </c>
    </row>
    <row r="841">
      <c r="A841" s="70"/>
      <c r="C841" s="5" t="s">
        <v>2002</v>
      </c>
      <c r="D841" s="5"/>
      <c r="E841" s="5"/>
      <c r="F841" s="5"/>
      <c r="G841" s="5"/>
      <c r="H841" s="5"/>
      <c r="I841" s="5"/>
      <c r="J841" s="73"/>
      <c r="K841" s="75" t="str">
        <f>IFERROR(__xludf.DUMMYFUNCTION("""COMPUTED_VALUE"""),"")</f>
        <v/>
      </c>
      <c r="L841" s="75"/>
      <c r="M841" s="46" t="s">
        <v>2002</v>
      </c>
    </row>
    <row r="842">
      <c r="A842" s="70"/>
      <c r="C842" s="5" t="s">
        <v>2002</v>
      </c>
      <c r="D842" s="5"/>
      <c r="E842" s="5"/>
      <c r="F842" s="5"/>
      <c r="G842" s="5"/>
      <c r="H842" s="5"/>
      <c r="I842" s="5"/>
      <c r="J842" s="73"/>
      <c r="K842" s="75" t="str">
        <f>IFERROR(__xludf.DUMMYFUNCTION("""COMPUTED_VALUE"""),"")</f>
        <v/>
      </c>
      <c r="L842" s="75"/>
      <c r="M842" s="46" t="s">
        <v>2002</v>
      </c>
    </row>
    <row r="843">
      <c r="A843" s="70"/>
      <c r="C843" s="5" t="s">
        <v>2002</v>
      </c>
      <c r="D843" s="5"/>
      <c r="E843" s="5"/>
      <c r="F843" s="5"/>
      <c r="G843" s="5"/>
      <c r="H843" s="5"/>
      <c r="I843" s="5"/>
      <c r="J843" s="73"/>
      <c r="K843" s="75" t="str">
        <f>IFERROR(__xludf.DUMMYFUNCTION("""COMPUTED_VALUE"""),"")</f>
        <v/>
      </c>
      <c r="L843" s="75"/>
      <c r="M843" s="46" t="s">
        <v>2002</v>
      </c>
    </row>
    <row r="844">
      <c r="A844" s="70"/>
      <c r="C844" s="5" t="s">
        <v>2002</v>
      </c>
      <c r="D844" s="5"/>
      <c r="E844" s="5"/>
      <c r="F844" s="5"/>
      <c r="G844" s="5"/>
      <c r="H844" s="5"/>
      <c r="I844" s="5"/>
      <c r="J844" s="73"/>
      <c r="K844" s="75" t="str">
        <f>IFERROR(__xludf.DUMMYFUNCTION("""COMPUTED_VALUE"""),"")</f>
        <v/>
      </c>
      <c r="L844" s="75"/>
      <c r="M844" s="46" t="s">
        <v>2002</v>
      </c>
    </row>
    <row r="845">
      <c r="A845" s="70"/>
      <c r="C845" s="5" t="s">
        <v>2002</v>
      </c>
      <c r="D845" s="5"/>
      <c r="E845" s="5"/>
      <c r="F845" s="5"/>
      <c r="G845" s="5"/>
      <c r="H845" s="5"/>
      <c r="I845" s="5"/>
      <c r="J845" s="73"/>
      <c r="K845" s="75" t="str">
        <f>IFERROR(__xludf.DUMMYFUNCTION("""COMPUTED_VALUE"""),"")</f>
        <v/>
      </c>
      <c r="L845" s="75"/>
      <c r="M845" s="46" t="s">
        <v>2002</v>
      </c>
    </row>
    <row r="846">
      <c r="A846" s="70"/>
      <c r="C846" s="5" t="s">
        <v>2002</v>
      </c>
      <c r="D846" s="5"/>
      <c r="E846" s="5"/>
      <c r="F846" s="5"/>
      <c r="G846" s="5"/>
      <c r="H846" s="5"/>
      <c r="I846" s="5"/>
      <c r="J846" s="73"/>
      <c r="K846" s="75" t="str">
        <f>IFERROR(__xludf.DUMMYFUNCTION("""COMPUTED_VALUE"""),"")</f>
        <v/>
      </c>
      <c r="L846" s="75"/>
      <c r="M846" s="46" t="s">
        <v>2002</v>
      </c>
    </row>
    <row r="847">
      <c r="A847" s="70"/>
      <c r="C847" s="5" t="s">
        <v>2002</v>
      </c>
      <c r="D847" s="5"/>
      <c r="E847" s="5"/>
      <c r="F847" s="5"/>
      <c r="G847" s="5"/>
      <c r="H847" s="5"/>
      <c r="I847" s="5"/>
      <c r="J847" s="73"/>
      <c r="K847" s="75" t="str">
        <f>IFERROR(__xludf.DUMMYFUNCTION("""COMPUTED_VALUE"""),"")</f>
        <v/>
      </c>
      <c r="L847" s="75"/>
      <c r="M847" s="46" t="s">
        <v>2002</v>
      </c>
    </row>
    <row r="848">
      <c r="A848" s="70"/>
      <c r="C848" s="5" t="s">
        <v>2002</v>
      </c>
      <c r="D848" s="5"/>
      <c r="E848" s="5"/>
      <c r="F848" s="5"/>
      <c r="G848" s="5"/>
      <c r="H848" s="5"/>
      <c r="I848" s="5"/>
      <c r="J848" s="73"/>
      <c r="K848" s="75" t="str">
        <f>IFERROR(__xludf.DUMMYFUNCTION("""COMPUTED_VALUE"""),"")</f>
        <v/>
      </c>
      <c r="L848" s="75"/>
      <c r="M848" s="46" t="s">
        <v>2002</v>
      </c>
    </row>
    <row r="849">
      <c r="A849" s="70"/>
      <c r="C849" s="5" t="s">
        <v>2002</v>
      </c>
      <c r="D849" s="5"/>
      <c r="E849" s="5"/>
      <c r="F849" s="5"/>
      <c r="G849" s="5"/>
      <c r="H849" s="5"/>
      <c r="I849" s="5"/>
      <c r="J849" s="73"/>
      <c r="K849" s="75" t="str">
        <f>IFERROR(__xludf.DUMMYFUNCTION("""COMPUTED_VALUE"""),"")</f>
        <v/>
      </c>
      <c r="L849" s="75"/>
      <c r="M849" s="46" t="s">
        <v>2002</v>
      </c>
    </row>
    <row r="850">
      <c r="A850" s="70"/>
      <c r="C850" s="5" t="s">
        <v>2002</v>
      </c>
      <c r="D850" s="5"/>
      <c r="E850" s="5"/>
      <c r="F850" s="5"/>
      <c r="G850" s="5"/>
      <c r="H850" s="5"/>
      <c r="I850" s="5"/>
      <c r="J850" s="73"/>
      <c r="K850" s="75" t="str">
        <f>IFERROR(__xludf.DUMMYFUNCTION("""COMPUTED_VALUE"""),"")</f>
        <v/>
      </c>
      <c r="L850" s="75"/>
      <c r="M850" s="46" t="s">
        <v>2002</v>
      </c>
    </row>
    <row r="851">
      <c r="A851" s="70"/>
      <c r="C851" s="5" t="s">
        <v>2002</v>
      </c>
      <c r="D851" s="5"/>
      <c r="E851" s="5"/>
      <c r="F851" s="5"/>
      <c r="G851" s="5"/>
      <c r="H851" s="5"/>
      <c r="I851" s="5"/>
      <c r="J851" s="73"/>
      <c r="K851" s="75" t="str">
        <f>IFERROR(__xludf.DUMMYFUNCTION("""COMPUTED_VALUE"""),"")</f>
        <v/>
      </c>
      <c r="L851" s="75"/>
      <c r="M851" s="46" t="s">
        <v>2002</v>
      </c>
    </row>
    <row r="852">
      <c r="A852" s="70"/>
      <c r="C852" s="5" t="s">
        <v>2002</v>
      </c>
      <c r="D852" s="5"/>
      <c r="E852" s="5"/>
      <c r="F852" s="5"/>
      <c r="G852" s="5"/>
      <c r="H852" s="5"/>
      <c r="I852" s="5"/>
      <c r="J852" s="73"/>
      <c r="K852" s="75" t="str">
        <f>IFERROR(__xludf.DUMMYFUNCTION("""COMPUTED_VALUE"""),"")</f>
        <v/>
      </c>
      <c r="L852" s="75"/>
      <c r="M852" s="46" t="s">
        <v>2002</v>
      </c>
    </row>
    <row r="853">
      <c r="A853" s="70"/>
      <c r="C853" s="5" t="s">
        <v>2002</v>
      </c>
      <c r="D853" s="5"/>
      <c r="E853" s="5"/>
      <c r="F853" s="5"/>
      <c r="G853" s="5"/>
      <c r="H853" s="5"/>
      <c r="I853" s="5"/>
      <c r="J853" s="73"/>
      <c r="K853" s="75" t="str">
        <f>IFERROR(__xludf.DUMMYFUNCTION("""COMPUTED_VALUE"""),"")</f>
        <v/>
      </c>
      <c r="L853" s="75"/>
      <c r="M853" s="46" t="s">
        <v>2002</v>
      </c>
    </row>
    <row r="854">
      <c r="A854" s="70"/>
      <c r="C854" s="5" t="s">
        <v>2002</v>
      </c>
      <c r="D854" s="5"/>
      <c r="E854" s="5"/>
      <c r="F854" s="5"/>
      <c r="G854" s="5"/>
      <c r="H854" s="5"/>
      <c r="I854" s="5"/>
      <c r="J854" s="73"/>
      <c r="K854" s="75" t="str">
        <f>IFERROR(__xludf.DUMMYFUNCTION("""COMPUTED_VALUE"""),"")</f>
        <v/>
      </c>
      <c r="L854" s="75"/>
      <c r="M854" s="46" t="s">
        <v>2002</v>
      </c>
    </row>
    <row r="855">
      <c r="A855" s="70"/>
      <c r="C855" s="5" t="s">
        <v>2002</v>
      </c>
      <c r="D855" s="5"/>
      <c r="E855" s="5"/>
      <c r="F855" s="5"/>
      <c r="G855" s="5"/>
      <c r="H855" s="5"/>
      <c r="I855" s="5"/>
      <c r="J855" s="73"/>
      <c r="K855" s="75" t="str">
        <f>IFERROR(__xludf.DUMMYFUNCTION("""COMPUTED_VALUE"""),"")</f>
        <v/>
      </c>
      <c r="L855" s="75"/>
      <c r="M855" s="46" t="s">
        <v>2002</v>
      </c>
    </row>
    <row r="856">
      <c r="A856" s="70"/>
      <c r="C856" s="5" t="s">
        <v>2002</v>
      </c>
      <c r="D856" s="5"/>
      <c r="E856" s="5"/>
      <c r="F856" s="5"/>
      <c r="G856" s="5"/>
      <c r="H856" s="5"/>
      <c r="I856" s="5"/>
      <c r="J856" s="73"/>
      <c r="K856" s="75" t="str">
        <f>IFERROR(__xludf.DUMMYFUNCTION("""COMPUTED_VALUE"""),"")</f>
        <v/>
      </c>
      <c r="L856" s="75"/>
      <c r="M856" s="46" t="s">
        <v>2002</v>
      </c>
    </row>
    <row r="857">
      <c r="A857" s="70"/>
      <c r="C857" s="5" t="s">
        <v>2002</v>
      </c>
      <c r="D857" s="5"/>
      <c r="E857" s="5"/>
      <c r="F857" s="5"/>
      <c r="G857" s="5"/>
      <c r="H857" s="5"/>
      <c r="I857" s="5"/>
      <c r="J857" s="73"/>
      <c r="K857" s="75" t="str">
        <f>IFERROR(__xludf.DUMMYFUNCTION("""COMPUTED_VALUE"""),"")</f>
        <v/>
      </c>
      <c r="L857" s="75"/>
      <c r="M857" s="46" t="s">
        <v>2002</v>
      </c>
    </row>
    <row r="858">
      <c r="A858" s="70"/>
      <c r="C858" s="5" t="s">
        <v>2002</v>
      </c>
      <c r="D858" s="5"/>
      <c r="E858" s="5"/>
      <c r="F858" s="5"/>
      <c r="G858" s="5"/>
      <c r="H858" s="5"/>
      <c r="I858" s="5"/>
      <c r="J858" s="73"/>
      <c r="K858" s="75" t="str">
        <f>IFERROR(__xludf.DUMMYFUNCTION("""COMPUTED_VALUE"""),"")</f>
        <v/>
      </c>
      <c r="L858" s="75"/>
      <c r="M858" s="46" t="s">
        <v>2002</v>
      </c>
    </row>
    <row r="859">
      <c r="A859" s="70"/>
      <c r="C859" s="5" t="s">
        <v>2002</v>
      </c>
      <c r="D859" s="5"/>
      <c r="E859" s="5"/>
      <c r="F859" s="5"/>
      <c r="G859" s="5"/>
      <c r="H859" s="5"/>
      <c r="I859" s="5"/>
      <c r="J859" s="73"/>
      <c r="K859" s="75" t="str">
        <f>IFERROR(__xludf.DUMMYFUNCTION("""COMPUTED_VALUE"""),"")</f>
        <v/>
      </c>
      <c r="L859" s="75"/>
      <c r="M859" s="46" t="s">
        <v>2002</v>
      </c>
    </row>
    <row r="860">
      <c r="A860" s="70"/>
      <c r="C860" s="5" t="s">
        <v>2002</v>
      </c>
      <c r="D860" s="5"/>
      <c r="E860" s="5"/>
      <c r="F860" s="5"/>
      <c r="G860" s="5"/>
      <c r="H860" s="5"/>
      <c r="I860" s="5"/>
      <c r="J860" s="73"/>
      <c r="K860" s="75" t="str">
        <f>IFERROR(__xludf.DUMMYFUNCTION("""COMPUTED_VALUE"""),"")</f>
        <v/>
      </c>
      <c r="L860" s="75"/>
      <c r="M860" s="46" t="s">
        <v>2002</v>
      </c>
    </row>
    <row r="861">
      <c r="A861" s="70"/>
      <c r="C861" s="5" t="s">
        <v>2002</v>
      </c>
      <c r="D861" s="5"/>
      <c r="E861" s="5"/>
      <c r="F861" s="5"/>
      <c r="G861" s="5"/>
      <c r="H861" s="5"/>
      <c r="I861" s="5"/>
      <c r="J861" s="73"/>
      <c r="K861" s="75" t="str">
        <f>IFERROR(__xludf.DUMMYFUNCTION("""COMPUTED_VALUE"""),"")</f>
        <v/>
      </c>
      <c r="L861" s="75"/>
      <c r="M861" s="46" t="s">
        <v>2002</v>
      </c>
    </row>
    <row r="862">
      <c r="A862" s="70"/>
      <c r="C862" s="5" t="s">
        <v>2002</v>
      </c>
      <c r="D862" s="5"/>
      <c r="E862" s="5"/>
      <c r="F862" s="5"/>
      <c r="G862" s="5"/>
      <c r="H862" s="5"/>
      <c r="I862" s="5"/>
      <c r="J862" s="73"/>
      <c r="K862" s="75" t="str">
        <f>IFERROR(__xludf.DUMMYFUNCTION("""COMPUTED_VALUE"""),"")</f>
        <v/>
      </c>
      <c r="L862" s="75"/>
      <c r="M862" s="46" t="s">
        <v>2002</v>
      </c>
    </row>
    <row r="863">
      <c r="A863" s="70"/>
      <c r="C863" s="5" t="s">
        <v>2002</v>
      </c>
      <c r="D863" s="5"/>
      <c r="E863" s="5"/>
      <c r="F863" s="5"/>
      <c r="G863" s="5"/>
      <c r="H863" s="5"/>
      <c r="I863" s="5"/>
      <c r="J863" s="73"/>
      <c r="K863" s="75" t="str">
        <f>IFERROR(__xludf.DUMMYFUNCTION("""COMPUTED_VALUE"""),"")</f>
        <v/>
      </c>
      <c r="L863" s="75"/>
      <c r="M863" s="46" t="s">
        <v>2002</v>
      </c>
    </row>
    <row r="864">
      <c r="A864" s="70"/>
      <c r="C864" s="5" t="s">
        <v>2002</v>
      </c>
      <c r="D864" s="5"/>
      <c r="E864" s="5"/>
      <c r="F864" s="5"/>
      <c r="G864" s="5"/>
      <c r="H864" s="5"/>
      <c r="I864" s="5"/>
      <c r="J864" s="73"/>
      <c r="K864" s="75" t="str">
        <f>IFERROR(__xludf.DUMMYFUNCTION("""COMPUTED_VALUE"""),"")</f>
        <v/>
      </c>
      <c r="L864" s="75"/>
      <c r="M864" s="46" t="s">
        <v>2002</v>
      </c>
    </row>
    <row r="865">
      <c r="A865" s="70"/>
      <c r="C865" s="5" t="s">
        <v>2002</v>
      </c>
      <c r="D865" s="5"/>
      <c r="E865" s="5"/>
      <c r="F865" s="5"/>
      <c r="G865" s="5"/>
      <c r="H865" s="5"/>
      <c r="I865" s="5"/>
      <c r="J865" s="73"/>
      <c r="K865" s="75" t="str">
        <f>IFERROR(__xludf.DUMMYFUNCTION("""COMPUTED_VALUE"""),"")</f>
        <v/>
      </c>
      <c r="L865" s="75"/>
      <c r="M865" s="46" t="s">
        <v>2002</v>
      </c>
    </row>
    <row r="866">
      <c r="A866" s="70"/>
      <c r="C866" s="5" t="s">
        <v>2002</v>
      </c>
      <c r="D866" s="5"/>
      <c r="E866" s="5"/>
      <c r="F866" s="5"/>
      <c r="G866" s="5"/>
      <c r="H866" s="5"/>
      <c r="I866" s="5"/>
      <c r="J866" s="73"/>
      <c r="K866" s="75" t="str">
        <f>IFERROR(__xludf.DUMMYFUNCTION("""COMPUTED_VALUE"""),"")</f>
        <v/>
      </c>
      <c r="L866" s="75"/>
      <c r="M866" s="46" t="s">
        <v>2002</v>
      </c>
    </row>
    <row r="867">
      <c r="A867" s="70"/>
      <c r="C867" s="5" t="s">
        <v>2002</v>
      </c>
      <c r="D867" s="5"/>
      <c r="E867" s="5"/>
      <c r="F867" s="5"/>
      <c r="G867" s="5"/>
      <c r="H867" s="5"/>
      <c r="I867" s="5"/>
      <c r="J867" s="73"/>
      <c r="K867" s="75" t="str">
        <f>IFERROR(__xludf.DUMMYFUNCTION("""COMPUTED_VALUE"""),"")</f>
        <v/>
      </c>
      <c r="L867" s="75"/>
      <c r="M867" s="46" t="s">
        <v>2002</v>
      </c>
    </row>
    <row r="868">
      <c r="A868" s="70"/>
      <c r="C868" s="5" t="s">
        <v>2002</v>
      </c>
      <c r="D868" s="5"/>
      <c r="E868" s="5"/>
      <c r="F868" s="5"/>
      <c r="G868" s="5"/>
      <c r="H868" s="5"/>
      <c r="I868" s="5"/>
      <c r="J868" s="73"/>
      <c r="K868" s="75" t="str">
        <f>IFERROR(__xludf.DUMMYFUNCTION("""COMPUTED_VALUE"""),"")</f>
        <v/>
      </c>
      <c r="L868" s="75"/>
      <c r="M868" s="46" t="s">
        <v>2002</v>
      </c>
    </row>
    <row r="869">
      <c r="A869" s="70"/>
      <c r="C869" s="5" t="s">
        <v>2002</v>
      </c>
      <c r="D869" s="5"/>
      <c r="E869" s="5"/>
      <c r="F869" s="5"/>
      <c r="G869" s="5"/>
      <c r="H869" s="5"/>
      <c r="I869" s="5"/>
      <c r="J869" s="73"/>
      <c r="K869" s="75" t="str">
        <f>IFERROR(__xludf.DUMMYFUNCTION("""COMPUTED_VALUE"""),"")</f>
        <v/>
      </c>
      <c r="L869" s="75"/>
      <c r="M869" s="46" t="s">
        <v>2002</v>
      </c>
    </row>
    <row r="870">
      <c r="A870" s="70"/>
      <c r="C870" s="5" t="s">
        <v>2002</v>
      </c>
      <c r="D870" s="5"/>
      <c r="E870" s="5"/>
      <c r="F870" s="5"/>
      <c r="G870" s="5"/>
      <c r="H870" s="5"/>
      <c r="I870" s="5"/>
      <c r="J870" s="73"/>
      <c r="K870" s="75" t="str">
        <f>IFERROR(__xludf.DUMMYFUNCTION("""COMPUTED_VALUE"""),"")</f>
        <v/>
      </c>
      <c r="L870" s="75"/>
      <c r="M870" s="46" t="s">
        <v>2002</v>
      </c>
    </row>
    <row r="871">
      <c r="A871" s="70"/>
      <c r="C871" s="5" t="s">
        <v>2002</v>
      </c>
      <c r="D871" s="5"/>
      <c r="E871" s="5"/>
      <c r="F871" s="5"/>
      <c r="G871" s="5"/>
      <c r="H871" s="5"/>
      <c r="I871" s="5"/>
      <c r="J871" s="73"/>
      <c r="K871" s="75" t="str">
        <f>IFERROR(__xludf.DUMMYFUNCTION("""COMPUTED_VALUE"""),"")</f>
        <v/>
      </c>
      <c r="L871" s="75"/>
      <c r="M871" s="46" t="s">
        <v>2002</v>
      </c>
    </row>
    <row r="872">
      <c r="A872" s="70"/>
      <c r="C872" s="5" t="s">
        <v>2002</v>
      </c>
      <c r="D872" s="5"/>
      <c r="E872" s="5"/>
      <c r="F872" s="5"/>
      <c r="G872" s="5"/>
      <c r="H872" s="5"/>
      <c r="I872" s="5"/>
      <c r="J872" s="73"/>
      <c r="K872" s="75" t="str">
        <f>IFERROR(__xludf.DUMMYFUNCTION("""COMPUTED_VALUE"""),"")</f>
        <v/>
      </c>
      <c r="L872" s="75"/>
      <c r="M872" s="46" t="s">
        <v>2002</v>
      </c>
    </row>
    <row r="873">
      <c r="A873" s="70"/>
      <c r="C873" s="5" t="s">
        <v>2002</v>
      </c>
      <c r="D873" s="5"/>
      <c r="E873" s="5"/>
      <c r="F873" s="5"/>
      <c r="G873" s="5"/>
      <c r="H873" s="5"/>
      <c r="I873" s="5"/>
      <c r="J873" s="73"/>
      <c r="K873" s="75" t="str">
        <f>IFERROR(__xludf.DUMMYFUNCTION("""COMPUTED_VALUE"""),"")</f>
        <v/>
      </c>
      <c r="L873" s="75"/>
      <c r="M873" s="46" t="s">
        <v>2002</v>
      </c>
    </row>
    <row r="874">
      <c r="A874" s="70"/>
      <c r="C874" s="5" t="s">
        <v>2002</v>
      </c>
      <c r="D874" s="5"/>
      <c r="E874" s="5"/>
      <c r="F874" s="5"/>
      <c r="G874" s="5"/>
      <c r="H874" s="5"/>
      <c r="I874" s="5"/>
      <c r="J874" s="73"/>
      <c r="K874" s="75" t="str">
        <f>IFERROR(__xludf.DUMMYFUNCTION("""COMPUTED_VALUE"""),"")</f>
        <v/>
      </c>
      <c r="L874" s="75"/>
      <c r="M874" s="46" t="s">
        <v>2002</v>
      </c>
    </row>
    <row r="875">
      <c r="A875" s="70"/>
      <c r="C875" s="5" t="s">
        <v>2002</v>
      </c>
      <c r="D875" s="5"/>
      <c r="E875" s="5"/>
      <c r="F875" s="5"/>
      <c r="G875" s="5"/>
      <c r="H875" s="5"/>
      <c r="I875" s="5"/>
      <c r="J875" s="73"/>
      <c r="K875" s="75" t="str">
        <f>IFERROR(__xludf.DUMMYFUNCTION("""COMPUTED_VALUE"""),"")</f>
        <v/>
      </c>
      <c r="L875" s="75"/>
      <c r="M875" s="46" t="s">
        <v>2002</v>
      </c>
    </row>
    <row r="876">
      <c r="A876" s="70"/>
      <c r="C876" s="5" t="s">
        <v>2002</v>
      </c>
      <c r="D876" s="5"/>
      <c r="E876" s="5"/>
      <c r="F876" s="5"/>
      <c r="G876" s="5"/>
      <c r="H876" s="5"/>
      <c r="I876" s="5"/>
      <c r="J876" s="73"/>
      <c r="K876" s="75" t="str">
        <f>IFERROR(__xludf.DUMMYFUNCTION("""COMPUTED_VALUE"""),"")</f>
        <v/>
      </c>
      <c r="L876" s="75"/>
      <c r="M876" s="46" t="s">
        <v>2002</v>
      </c>
    </row>
    <row r="877">
      <c r="A877" s="70"/>
      <c r="C877" s="5" t="s">
        <v>2002</v>
      </c>
      <c r="D877" s="5"/>
      <c r="E877" s="5"/>
      <c r="F877" s="5"/>
      <c r="G877" s="5"/>
      <c r="H877" s="5"/>
      <c r="I877" s="5"/>
      <c r="J877" s="73"/>
      <c r="K877" s="75" t="str">
        <f>IFERROR(__xludf.DUMMYFUNCTION("""COMPUTED_VALUE"""),"")</f>
        <v/>
      </c>
      <c r="L877" s="75"/>
      <c r="M877" s="46" t="s">
        <v>2002</v>
      </c>
    </row>
    <row r="878">
      <c r="A878" s="70"/>
      <c r="C878" s="5" t="s">
        <v>2002</v>
      </c>
      <c r="D878" s="5"/>
      <c r="E878" s="5"/>
      <c r="F878" s="5"/>
      <c r="G878" s="5"/>
      <c r="H878" s="5"/>
      <c r="I878" s="5"/>
      <c r="J878" s="73"/>
      <c r="K878" s="75" t="str">
        <f>IFERROR(__xludf.DUMMYFUNCTION("""COMPUTED_VALUE"""),"")</f>
        <v/>
      </c>
      <c r="L878" s="75"/>
      <c r="M878" s="46" t="s">
        <v>2002</v>
      </c>
    </row>
    <row r="879">
      <c r="A879" s="70"/>
      <c r="C879" s="5" t="s">
        <v>2002</v>
      </c>
      <c r="D879" s="5"/>
      <c r="E879" s="5"/>
      <c r="F879" s="5"/>
      <c r="G879" s="5"/>
      <c r="H879" s="5"/>
      <c r="I879" s="5"/>
      <c r="J879" s="73"/>
      <c r="K879" s="75" t="str">
        <f>IFERROR(__xludf.DUMMYFUNCTION("""COMPUTED_VALUE"""),"")</f>
        <v/>
      </c>
      <c r="L879" s="75"/>
      <c r="M879" s="46" t="s">
        <v>2002</v>
      </c>
    </row>
    <row r="880">
      <c r="A880" s="70"/>
      <c r="C880" s="5" t="s">
        <v>2002</v>
      </c>
      <c r="D880" s="5"/>
      <c r="E880" s="5"/>
      <c r="F880" s="5"/>
      <c r="G880" s="5"/>
      <c r="H880" s="5"/>
      <c r="I880" s="5"/>
      <c r="J880" s="73"/>
      <c r="K880" s="75" t="str">
        <f>IFERROR(__xludf.DUMMYFUNCTION("""COMPUTED_VALUE"""),"")</f>
        <v/>
      </c>
      <c r="L880" s="75"/>
      <c r="M880" s="46" t="s">
        <v>2002</v>
      </c>
    </row>
    <row r="881">
      <c r="A881" s="70"/>
      <c r="C881" s="5" t="s">
        <v>2002</v>
      </c>
      <c r="D881" s="5"/>
      <c r="E881" s="5"/>
      <c r="F881" s="5"/>
      <c r="G881" s="5"/>
      <c r="H881" s="5"/>
      <c r="I881" s="5"/>
      <c r="J881" s="73"/>
      <c r="K881" s="75" t="str">
        <f>IFERROR(__xludf.DUMMYFUNCTION("""COMPUTED_VALUE"""),"")</f>
        <v/>
      </c>
      <c r="L881" s="75"/>
      <c r="M881" s="46" t="s">
        <v>2002</v>
      </c>
    </row>
    <row r="882">
      <c r="A882" s="70"/>
      <c r="C882" s="5" t="s">
        <v>2002</v>
      </c>
      <c r="D882" s="5"/>
      <c r="E882" s="5"/>
      <c r="F882" s="5"/>
      <c r="G882" s="5"/>
      <c r="H882" s="5"/>
      <c r="I882" s="5"/>
      <c r="J882" s="73"/>
      <c r="K882" s="75" t="str">
        <f>IFERROR(__xludf.DUMMYFUNCTION("""COMPUTED_VALUE"""),"")</f>
        <v/>
      </c>
      <c r="L882" s="75"/>
      <c r="M882" s="46" t="s">
        <v>2002</v>
      </c>
    </row>
    <row r="883">
      <c r="A883" s="70"/>
      <c r="C883" s="5" t="s">
        <v>2002</v>
      </c>
      <c r="D883" s="5"/>
      <c r="E883" s="5"/>
      <c r="F883" s="5"/>
      <c r="G883" s="5"/>
      <c r="H883" s="5"/>
      <c r="I883" s="5"/>
      <c r="J883" s="73"/>
      <c r="K883" s="75" t="str">
        <f>IFERROR(__xludf.DUMMYFUNCTION("""COMPUTED_VALUE"""),"")</f>
        <v/>
      </c>
      <c r="L883" s="75"/>
      <c r="M883" s="46" t="s">
        <v>2002</v>
      </c>
    </row>
    <row r="884">
      <c r="A884" s="70"/>
      <c r="C884" s="5" t="s">
        <v>2002</v>
      </c>
      <c r="D884" s="5"/>
      <c r="E884" s="5"/>
      <c r="F884" s="5"/>
      <c r="G884" s="5"/>
      <c r="H884" s="5"/>
      <c r="I884" s="5"/>
      <c r="J884" s="73"/>
      <c r="K884" s="75" t="str">
        <f>IFERROR(__xludf.DUMMYFUNCTION("""COMPUTED_VALUE"""),"")</f>
        <v/>
      </c>
      <c r="L884" s="75"/>
      <c r="M884" s="46" t="s">
        <v>2002</v>
      </c>
    </row>
    <row r="885">
      <c r="A885" s="70"/>
      <c r="C885" s="5" t="s">
        <v>2002</v>
      </c>
      <c r="D885" s="5"/>
      <c r="E885" s="5"/>
      <c r="F885" s="5"/>
      <c r="G885" s="5"/>
      <c r="H885" s="5"/>
      <c r="I885" s="5"/>
      <c r="J885" s="73"/>
      <c r="K885" s="75" t="str">
        <f>IFERROR(__xludf.DUMMYFUNCTION("""COMPUTED_VALUE"""),"")</f>
        <v/>
      </c>
      <c r="L885" s="75"/>
      <c r="M885" s="46" t="s">
        <v>2002</v>
      </c>
    </row>
    <row r="886">
      <c r="A886" s="70"/>
      <c r="C886" s="5" t="s">
        <v>2002</v>
      </c>
      <c r="D886" s="5"/>
      <c r="E886" s="5"/>
      <c r="F886" s="5"/>
      <c r="G886" s="5"/>
      <c r="H886" s="5"/>
      <c r="I886" s="5"/>
      <c r="J886" s="73"/>
      <c r="K886" s="75" t="str">
        <f>IFERROR(__xludf.DUMMYFUNCTION("""COMPUTED_VALUE"""),"")</f>
        <v/>
      </c>
      <c r="L886" s="75"/>
      <c r="M886" s="46" t="s">
        <v>2002</v>
      </c>
    </row>
    <row r="887">
      <c r="A887" s="70"/>
      <c r="C887" s="5" t="s">
        <v>2002</v>
      </c>
      <c r="D887" s="5"/>
      <c r="E887" s="5"/>
      <c r="F887" s="5"/>
      <c r="G887" s="5"/>
      <c r="H887" s="5"/>
      <c r="I887" s="5"/>
      <c r="J887" s="73"/>
      <c r="K887" s="75" t="str">
        <f>IFERROR(__xludf.DUMMYFUNCTION("""COMPUTED_VALUE"""),"")</f>
        <v/>
      </c>
      <c r="L887" s="75"/>
      <c r="M887" s="46" t="s">
        <v>2002</v>
      </c>
    </row>
    <row r="888">
      <c r="A888" s="70"/>
      <c r="C888" s="5" t="s">
        <v>2002</v>
      </c>
      <c r="D888" s="5"/>
      <c r="E888" s="5"/>
      <c r="F888" s="5"/>
      <c r="G888" s="5"/>
      <c r="H888" s="5"/>
      <c r="I888" s="5"/>
      <c r="J888" s="73"/>
      <c r="K888" s="75" t="str">
        <f>IFERROR(__xludf.DUMMYFUNCTION("""COMPUTED_VALUE"""),"")</f>
        <v/>
      </c>
      <c r="L888" s="75"/>
      <c r="M888" s="46" t="s">
        <v>2002</v>
      </c>
    </row>
    <row r="889">
      <c r="A889" s="70"/>
      <c r="C889" s="5" t="s">
        <v>2002</v>
      </c>
      <c r="D889" s="5"/>
      <c r="E889" s="5"/>
      <c r="F889" s="5"/>
      <c r="G889" s="5"/>
      <c r="H889" s="5"/>
      <c r="I889" s="5"/>
      <c r="J889" s="73"/>
      <c r="K889" s="75" t="str">
        <f>IFERROR(__xludf.DUMMYFUNCTION("""COMPUTED_VALUE"""),"")</f>
        <v/>
      </c>
      <c r="L889" s="75"/>
      <c r="M889" s="46" t="s">
        <v>2002</v>
      </c>
    </row>
    <row r="890">
      <c r="A890" s="70"/>
      <c r="C890" s="5" t="s">
        <v>2002</v>
      </c>
      <c r="D890" s="5"/>
      <c r="E890" s="5"/>
      <c r="F890" s="5"/>
      <c r="G890" s="5"/>
      <c r="H890" s="5"/>
      <c r="I890" s="5"/>
      <c r="J890" s="73"/>
      <c r="K890" s="75" t="str">
        <f>IFERROR(__xludf.DUMMYFUNCTION("""COMPUTED_VALUE"""),"")</f>
        <v/>
      </c>
      <c r="L890" s="75"/>
      <c r="M890" s="46" t="s">
        <v>2002</v>
      </c>
    </row>
    <row r="891">
      <c r="A891" s="70"/>
      <c r="C891" s="5" t="s">
        <v>2002</v>
      </c>
      <c r="D891" s="5"/>
      <c r="E891" s="5"/>
      <c r="F891" s="5"/>
      <c r="G891" s="5"/>
      <c r="H891" s="5"/>
      <c r="I891" s="5"/>
      <c r="J891" s="73"/>
      <c r="K891" s="75" t="str">
        <f>IFERROR(__xludf.DUMMYFUNCTION("""COMPUTED_VALUE"""),"")</f>
        <v/>
      </c>
      <c r="L891" s="75"/>
      <c r="M891" s="46" t="s">
        <v>2002</v>
      </c>
    </row>
    <row r="892">
      <c r="A892" s="70"/>
      <c r="C892" s="5" t="s">
        <v>2002</v>
      </c>
      <c r="D892" s="5"/>
      <c r="E892" s="5"/>
      <c r="F892" s="5"/>
      <c r="G892" s="5"/>
      <c r="H892" s="5"/>
      <c r="I892" s="5"/>
      <c r="J892" s="73"/>
      <c r="K892" s="75" t="str">
        <f>IFERROR(__xludf.DUMMYFUNCTION("""COMPUTED_VALUE"""),"")</f>
        <v/>
      </c>
      <c r="L892" s="75"/>
      <c r="M892" s="46" t="s">
        <v>2002</v>
      </c>
    </row>
    <row r="893">
      <c r="A893" s="70"/>
      <c r="C893" s="5" t="s">
        <v>2002</v>
      </c>
      <c r="D893" s="5"/>
      <c r="E893" s="5"/>
      <c r="F893" s="5"/>
      <c r="G893" s="5"/>
      <c r="H893" s="5"/>
      <c r="I893" s="5"/>
      <c r="J893" s="73"/>
      <c r="K893" s="75" t="str">
        <f>IFERROR(__xludf.DUMMYFUNCTION("""COMPUTED_VALUE"""),"")</f>
        <v/>
      </c>
      <c r="L893" s="75"/>
      <c r="M893" s="46" t="s">
        <v>2002</v>
      </c>
    </row>
    <row r="894">
      <c r="A894" s="70"/>
      <c r="C894" s="5" t="s">
        <v>2002</v>
      </c>
      <c r="D894" s="5"/>
      <c r="E894" s="5"/>
      <c r="F894" s="5"/>
      <c r="G894" s="5"/>
      <c r="H894" s="5"/>
      <c r="I894" s="5"/>
      <c r="J894" s="73"/>
      <c r="K894" s="75" t="str">
        <f>IFERROR(__xludf.DUMMYFUNCTION("""COMPUTED_VALUE"""),"")</f>
        <v/>
      </c>
      <c r="L894" s="75"/>
      <c r="M894" s="46" t="s">
        <v>2002</v>
      </c>
    </row>
    <row r="895">
      <c r="A895" s="70"/>
      <c r="C895" s="5" t="s">
        <v>2002</v>
      </c>
      <c r="D895" s="5"/>
      <c r="E895" s="5"/>
      <c r="F895" s="5"/>
      <c r="G895" s="5"/>
      <c r="H895" s="5"/>
      <c r="I895" s="5"/>
      <c r="J895" s="73"/>
      <c r="K895" s="75" t="str">
        <f>IFERROR(__xludf.DUMMYFUNCTION("""COMPUTED_VALUE"""),"")</f>
        <v/>
      </c>
      <c r="L895" s="75"/>
      <c r="M895" s="46" t="s">
        <v>2002</v>
      </c>
    </row>
    <row r="896">
      <c r="A896" s="70"/>
      <c r="C896" s="5" t="s">
        <v>2002</v>
      </c>
      <c r="D896" s="5"/>
      <c r="E896" s="5"/>
      <c r="F896" s="5"/>
      <c r="G896" s="5"/>
      <c r="H896" s="5"/>
      <c r="I896" s="5"/>
      <c r="J896" s="73"/>
      <c r="K896" s="75" t="str">
        <f>IFERROR(__xludf.DUMMYFUNCTION("""COMPUTED_VALUE"""),"")</f>
        <v/>
      </c>
      <c r="L896" s="75"/>
      <c r="M896" s="46" t="s">
        <v>2002</v>
      </c>
    </row>
    <row r="897">
      <c r="A897" s="70"/>
      <c r="C897" s="5" t="s">
        <v>2002</v>
      </c>
      <c r="D897" s="5"/>
      <c r="E897" s="5"/>
      <c r="F897" s="5"/>
      <c r="G897" s="5"/>
      <c r="H897" s="5"/>
      <c r="I897" s="5"/>
      <c r="J897" s="73"/>
      <c r="K897" s="75" t="str">
        <f>IFERROR(__xludf.DUMMYFUNCTION("""COMPUTED_VALUE"""),"")</f>
        <v/>
      </c>
      <c r="L897" s="75"/>
      <c r="M897" s="46" t="s">
        <v>2002</v>
      </c>
    </row>
    <row r="898">
      <c r="A898" s="70"/>
      <c r="C898" s="5" t="s">
        <v>2002</v>
      </c>
      <c r="D898" s="5"/>
      <c r="E898" s="5"/>
      <c r="F898" s="5"/>
      <c r="G898" s="5"/>
      <c r="H898" s="5"/>
      <c r="I898" s="5"/>
      <c r="J898" s="73"/>
      <c r="K898" s="75" t="str">
        <f>IFERROR(__xludf.DUMMYFUNCTION("""COMPUTED_VALUE"""),"")</f>
        <v/>
      </c>
      <c r="L898" s="75"/>
      <c r="M898" s="46" t="s">
        <v>2002</v>
      </c>
    </row>
    <row r="899">
      <c r="A899" s="70"/>
      <c r="C899" s="5" t="s">
        <v>2002</v>
      </c>
      <c r="D899" s="5"/>
      <c r="E899" s="5"/>
      <c r="F899" s="5"/>
      <c r="G899" s="5"/>
      <c r="H899" s="5"/>
      <c r="I899" s="5"/>
      <c r="J899" s="73"/>
      <c r="K899" s="75" t="str">
        <f>IFERROR(__xludf.DUMMYFUNCTION("""COMPUTED_VALUE"""),"")</f>
        <v/>
      </c>
      <c r="L899" s="75"/>
      <c r="M899" s="46" t="s">
        <v>2002</v>
      </c>
    </row>
    <row r="900">
      <c r="A900" s="70"/>
      <c r="C900" s="5" t="s">
        <v>2002</v>
      </c>
      <c r="D900" s="5"/>
      <c r="E900" s="5"/>
      <c r="F900" s="5"/>
      <c r="G900" s="5"/>
      <c r="H900" s="5"/>
      <c r="I900" s="5"/>
      <c r="J900" s="73"/>
      <c r="K900" s="75" t="str">
        <f>IFERROR(__xludf.DUMMYFUNCTION("""COMPUTED_VALUE"""),"")</f>
        <v/>
      </c>
      <c r="L900" s="75"/>
      <c r="M900" s="46" t="s">
        <v>2002</v>
      </c>
    </row>
    <row r="901">
      <c r="A901" s="70"/>
      <c r="C901" s="5" t="s">
        <v>2002</v>
      </c>
      <c r="D901" s="5"/>
      <c r="E901" s="5"/>
      <c r="F901" s="5"/>
      <c r="G901" s="5"/>
      <c r="H901" s="5"/>
      <c r="I901" s="5"/>
      <c r="J901" s="73"/>
      <c r="K901" s="75" t="str">
        <f>IFERROR(__xludf.DUMMYFUNCTION("""COMPUTED_VALUE"""),"")</f>
        <v/>
      </c>
      <c r="L901" s="75"/>
      <c r="M901" s="46" t="s">
        <v>2002</v>
      </c>
    </row>
    <row r="902">
      <c r="A902" s="70"/>
      <c r="C902" s="5" t="s">
        <v>2002</v>
      </c>
      <c r="D902" s="5"/>
      <c r="E902" s="5"/>
      <c r="F902" s="5"/>
      <c r="G902" s="5"/>
      <c r="H902" s="5"/>
      <c r="I902" s="5"/>
      <c r="J902" s="73"/>
      <c r="K902" s="75" t="str">
        <f>IFERROR(__xludf.DUMMYFUNCTION("""COMPUTED_VALUE"""),"")</f>
        <v/>
      </c>
      <c r="L902" s="75"/>
      <c r="M902" s="46" t="s">
        <v>2002</v>
      </c>
    </row>
    <row r="903">
      <c r="A903" s="70"/>
      <c r="C903" s="5" t="s">
        <v>2002</v>
      </c>
      <c r="D903" s="5"/>
      <c r="E903" s="5"/>
      <c r="F903" s="5"/>
      <c r="G903" s="5"/>
      <c r="H903" s="5"/>
      <c r="I903" s="5"/>
      <c r="J903" s="73"/>
      <c r="K903" s="75" t="str">
        <f>IFERROR(__xludf.DUMMYFUNCTION("""COMPUTED_VALUE"""),"")</f>
        <v/>
      </c>
      <c r="L903" s="75"/>
      <c r="M903" s="46" t="s">
        <v>2002</v>
      </c>
    </row>
    <row r="904">
      <c r="A904" s="70"/>
      <c r="C904" s="5" t="s">
        <v>2002</v>
      </c>
      <c r="D904" s="5"/>
      <c r="E904" s="5"/>
      <c r="F904" s="5"/>
      <c r="G904" s="5"/>
      <c r="H904" s="5"/>
      <c r="I904" s="5"/>
      <c r="J904" s="73"/>
      <c r="K904" s="75" t="str">
        <f>IFERROR(__xludf.DUMMYFUNCTION("""COMPUTED_VALUE"""),"")</f>
        <v/>
      </c>
      <c r="L904" s="75"/>
      <c r="M904" s="46" t="s">
        <v>2002</v>
      </c>
    </row>
    <row r="905">
      <c r="A905" s="70"/>
      <c r="C905" s="5" t="s">
        <v>2002</v>
      </c>
      <c r="D905" s="5"/>
      <c r="E905" s="5"/>
      <c r="F905" s="5"/>
      <c r="G905" s="5"/>
      <c r="H905" s="5"/>
      <c r="I905" s="5"/>
      <c r="J905" s="73"/>
      <c r="K905" s="75" t="str">
        <f>IFERROR(__xludf.DUMMYFUNCTION("""COMPUTED_VALUE"""),"")</f>
        <v/>
      </c>
      <c r="L905" s="75"/>
      <c r="M905" s="46" t="s">
        <v>2002</v>
      </c>
    </row>
    <row r="906">
      <c r="A906" s="70"/>
      <c r="C906" s="5" t="s">
        <v>2002</v>
      </c>
      <c r="D906" s="5"/>
      <c r="E906" s="5"/>
      <c r="F906" s="5"/>
      <c r="G906" s="5"/>
      <c r="H906" s="5"/>
      <c r="I906" s="5"/>
      <c r="J906" s="73"/>
      <c r="K906" s="75" t="str">
        <f>IFERROR(__xludf.DUMMYFUNCTION("""COMPUTED_VALUE"""),"")</f>
        <v/>
      </c>
      <c r="L906" s="75"/>
      <c r="M906" s="46" t="s">
        <v>2002</v>
      </c>
    </row>
    <row r="907">
      <c r="A907" s="70"/>
      <c r="C907" s="5" t="s">
        <v>2002</v>
      </c>
      <c r="D907" s="5"/>
      <c r="E907" s="5"/>
      <c r="F907" s="5"/>
      <c r="G907" s="5"/>
      <c r="H907" s="5"/>
      <c r="I907" s="5"/>
      <c r="J907" s="73"/>
      <c r="K907" s="75" t="str">
        <f>IFERROR(__xludf.DUMMYFUNCTION("""COMPUTED_VALUE"""),"")</f>
        <v/>
      </c>
      <c r="L907" s="75"/>
      <c r="M907" s="46" t="s">
        <v>2002</v>
      </c>
    </row>
    <row r="908">
      <c r="A908" s="70"/>
      <c r="C908" s="5" t="s">
        <v>2002</v>
      </c>
      <c r="D908" s="5"/>
      <c r="E908" s="5"/>
      <c r="F908" s="5"/>
      <c r="G908" s="5"/>
      <c r="H908" s="5"/>
      <c r="I908" s="5"/>
      <c r="J908" s="73"/>
      <c r="K908" s="75" t="str">
        <f>IFERROR(__xludf.DUMMYFUNCTION("""COMPUTED_VALUE"""),"")</f>
        <v/>
      </c>
      <c r="L908" s="75"/>
      <c r="M908" s="46" t="s">
        <v>2002</v>
      </c>
    </row>
    <row r="909">
      <c r="A909" s="70"/>
      <c r="C909" s="5" t="s">
        <v>2002</v>
      </c>
      <c r="D909" s="5"/>
      <c r="E909" s="5"/>
      <c r="F909" s="5"/>
      <c r="G909" s="5"/>
      <c r="H909" s="5"/>
      <c r="I909" s="5"/>
      <c r="J909" s="73"/>
      <c r="K909" s="75" t="str">
        <f>IFERROR(__xludf.DUMMYFUNCTION("""COMPUTED_VALUE"""),"")</f>
        <v/>
      </c>
      <c r="L909" s="75"/>
      <c r="M909" s="46" t="s">
        <v>2002</v>
      </c>
    </row>
    <row r="910">
      <c r="A910" s="70"/>
      <c r="C910" s="5" t="s">
        <v>2002</v>
      </c>
      <c r="D910" s="5"/>
      <c r="E910" s="5"/>
      <c r="F910" s="5"/>
      <c r="G910" s="5"/>
      <c r="H910" s="5"/>
      <c r="I910" s="5"/>
      <c r="J910" s="73"/>
      <c r="K910" s="75" t="str">
        <f>IFERROR(__xludf.DUMMYFUNCTION("""COMPUTED_VALUE"""),"")</f>
        <v/>
      </c>
      <c r="L910" s="75"/>
      <c r="M910" s="46" t="s">
        <v>2002</v>
      </c>
    </row>
    <row r="911">
      <c r="A911" s="70"/>
      <c r="C911" s="5" t="s">
        <v>2002</v>
      </c>
      <c r="D911" s="5"/>
      <c r="E911" s="5"/>
      <c r="F911" s="5"/>
      <c r="G911" s="5"/>
      <c r="H911" s="5"/>
      <c r="I911" s="5"/>
      <c r="J911" s="73"/>
      <c r="K911" s="75" t="str">
        <f>IFERROR(__xludf.DUMMYFUNCTION("""COMPUTED_VALUE"""),"")</f>
        <v/>
      </c>
      <c r="L911" s="75"/>
      <c r="M911" s="46" t="s">
        <v>2002</v>
      </c>
    </row>
    <row r="912">
      <c r="A912" s="70"/>
      <c r="C912" s="5" t="s">
        <v>2002</v>
      </c>
      <c r="D912" s="5"/>
      <c r="E912" s="5"/>
      <c r="F912" s="5"/>
      <c r="G912" s="5"/>
      <c r="H912" s="5"/>
      <c r="I912" s="5"/>
      <c r="J912" s="73"/>
      <c r="K912" s="75" t="str">
        <f>IFERROR(__xludf.DUMMYFUNCTION("""COMPUTED_VALUE"""),"")</f>
        <v/>
      </c>
      <c r="L912" s="75"/>
      <c r="M912" s="46" t="s">
        <v>2002</v>
      </c>
    </row>
    <row r="913">
      <c r="A913" s="70"/>
      <c r="C913" s="5" t="s">
        <v>2002</v>
      </c>
      <c r="D913" s="5"/>
      <c r="E913" s="5"/>
      <c r="F913" s="5"/>
      <c r="G913" s="5"/>
      <c r="H913" s="5"/>
      <c r="I913" s="5"/>
      <c r="J913" s="73"/>
      <c r="K913" s="75" t="str">
        <f>IFERROR(__xludf.DUMMYFUNCTION("""COMPUTED_VALUE"""),"")</f>
        <v/>
      </c>
      <c r="L913" s="75"/>
      <c r="M913" s="46" t="s">
        <v>2002</v>
      </c>
    </row>
    <row r="914">
      <c r="A914" s="70"/>
      <c r="C914" s="5" t="s">
        <v>2002</v>
      </c>
      <c r="D914" s="5"/>
      <c r="E914" s="5"/>
      <c r="F914" s="5"/>
      <c r="G914" s="5"/>
      <c r="H914" s="5"/>
      <c r="I914" s="5"/>
      <c r="J914" s="73"/>
      <c r="K914" s="75" t="str">
        <f>IFERROR(__xludf.DUMMYFUNCTION("""COMPUTED_VALUE"""),"")</f>
        <v/>
      </c>
      <c r="L914" s="75"/>
      <c r="M914" s="46" t="s">
        <v>2002</v>
      </c>
    </row>
    <row r="915">
      <c r="A915" s="70"/>
      <c r="C915" s="5" t="s">
        <v>2002</v>
      </c>
      <c r="D915" s="5"/>
      <c r="E915" s="5"/>
      <c r="F915" s="5"/>
      <c r="G915" s="5"/>
      <c r="H915" s="5"/>
      <c r="I915" s="5"/>
      <c r="J915" s="73"/>
      <c r="K915" s="75" t="str">
        <f>IFERROR(__xludf.DUMMYFUNCTION("""COMPUTED_VALUE"""),"")</f>
        <v/>
      </c>
      <c r="L915" s="75"/>
      <c r="M915" s="46" t="s">
        <v>2002</v>
      </c>
    </row>
    <row r="916">
      <c r="A916" s="70"/>
      <c r="C916" s="5" t="s">
        <v>2002</v>
      </c>
      <c r="D916" s="5"/>
      <c r="E916" s="5"/>
      <c r="F916" s="5"/>
      <c r="G916" s="5"/>
      <c r="H916" s="5"/>
      <c r="I916" s="5"/>
      <c r="J916" s="73"/>
      <c r="K916" s="75" t="str">
        <f>IFERROR(__xludf.DUMMYFUNCTION("""COMPUTED_VALUE"""),"")</f>
        <v/>
      </c>
      <c r="L916" s="75"/>
      <c r="M916" s="46" t="s">
        <v>2002</v>
      </c>
    </row>
    <row r="917">
      <c r="A917" s="70"/>
      <c r="C917" s="5" t="s">
        <v>2002</v>
      </c>
      <c r="D917" s="5"/>
      <c r="E917" s="5"/>
      <c r="F917" s="5"/>
      <c r="G917" s="5"/>
      <c r="H917" s="5"/>
      <c r="I917" s="5"/>
      <c r="J917" s="73"/>
      <c r="K917" s="75" t="str">
        <f>IFERROR(__xludf.DUMMYFUNCTION("""COMPUTED_VALUE"""),"")</f>
        <v/>
      </c>
      <c r="L917" s="75"/>
      <c r="M917" s="46" t="s">
        <v>2002</v>
      </c>
    </row>
    <row r="918">
      <c r="A918" s="70"/>
      <c r="C918" s="5" t="s">
        <v>2002</v>
      </c>
      <c r="D918" s="5"/>
      <c r="E918" s="5"/>
      <c r="F918" s="5"/>
      <c r="G918" s="5"/>
      <c r="H918" s="5"/>
      <c r="I918" s="5"/>
      <c r="J918" s="73"/>
      <c r="K918" s="75" t="str">
        <f>IFERROR(__xludf.DUMMYFUNCTION("""COMPUTED_VALUE"""),"")</f>
        <v/>
      </c>
      <c r="L918" s="75"/>
      <c r="M918" s="46" t="s">
        <v>2002</v>
      </c>
    </row>
    <row r="919">
      <c r="A919" s="70"/>
      <c r="C919" s="5" t="s">
        <v>2002</v>
      </c>
      <c r="D919" s="5"/>
      <c r="E919" s="5"/>
      <c r="F919" s="5"/>
      <c r="G919" s="5"/>
      <c r="H919" s="5"/>
      <c r="I919" s="5"/>
      <c r="J919" s="73"/>
      <c r="K919" s="75" t="str">
        <f>IFERROR(__xludf.DUMMYFUNCTION("""COMPUTED_VALUE"""),"")</f>
        <v/>
      </c>
      <c r="L919" s="75"/>
      <c r="M919" s="46" t="s">
        <v>2002</v>
      </c>
    </row>
    <row r="920">
      <c r="A920" s="70"/>
      <c r="C920" s="5" t="s">
        <v>2002</v>
      </c>
      <c r="D920" s="5"/>
      <c r="E920" s="5"/>
      <c r="F920" s="5"/>
      <c r="G920" s="5"/>
      <c r="H920" s="5"/>
      <c r="I920" s="5"/>
      <c r="J920" s="73"/>
      <c r="K920" s="75" t="str">
        <f>IFERROR(__xludf.DUMMYFUNCTION("""COMPUTED_VALUE"""),"")</f>
        <v/>
      </c>
      <c r="L920" s="75"/>
      <c r="M920" s="46" t="s">
        <v>2002</v>
      </c>
    </row>
    <row r="921">
      <c r="A921" s="70"/>
      <c r="C921" s="5" t="s">
        <v>2002</v>
      </c>
      <c r="D921" s="5"/>
      <c r="E921" s="5"/>
      <c r="F921" s="5"/>
      <c r="G921" s="5"/>
      <c r="H921" s="5"/>
      <c r="I921" s="5"/>
      <c r="J921" s="73"/>
      <c r="K921" s="75" t="str">
        <f>IFERROR(__xludf.DUMMYFUNCTION("""COMPUTED_VALUE"""),"")</f>
        <v/>
      </c>
      <c r="L921" s="75"/>
      <c r="M921" s="46" t="s">
        <v>2002</v>
      </c>
    </row>
    <row r="922">
      <c r="A922" s="70"/>
      <c r="C922" s="5" t="s">
        <v>2002</v>
      </c>
      <c r="D922" s="5"/>
      <c r="E922" s="5"/>
      <c r="F922" s="5"/>
      <c r="G922" s="5"/>
      <c r="H922" s="5"/>
      <c r="I922" s="5"/>
      <c r="J922" s="73"/>
      <c r="K922" s="75" t="str">
        <f>IFERROR(__xludf.DUMMYFUNCTION("""COMPUTED_VALUE"""),"")</f>
        <v/>
      </c>
      <c r="L922" s="75"/>
      <c r="M922" s="46" t="s">
        <v>2002</v>
      </c>
    </row>
    <row r="923">
      <c r="A923" s="70"/>
      <c r="C923" s="5" t="s">
        <v>2002</v>
      </c>
      <c r="D923" s="5"/>
      <c r="E923" s="5"/>
      <c r="F923" s="5"/>
      <c r="G923" s="5"/>
      <c r="H923" s="5"/>
      <c r="I923" s="5"/>
      <c r="J923" s="73"/>
      <c r="K923" s="75" t="str">
        <f>IFERROR(__xludf.DUMMYFUNCTION("""COMPUTED_VALUE"""),"")</f>
        <v/>
      </c>
      <c r="L923" s="75"/>
      <c r="M923" s="46" t="s">
        <v>2002</v>
      </c>
    </row>
    <row r="924">
      <c r="A924" s="70"/>
      <c r="C924" s="5" t="s">
        <v>2002</v>
      </c>
      <c r="D924" s="5"/>
      <c r="E924" s="5"/>
      <c r="F924" s="5"/>
      <c r="G924" s="5"/>
      <c r="H924" s="5"/>
      <c r="I924" s="5"/>
      <c r="J924" s="73"/>
      <c r="K924" s="75" t="str">
        <f>IFERROR(__xludf.DUMMYFUNCTION("""COMPUTED_VALUE"""),"")</f>
        <v/>
      </c>
      <c r="L924" s="75"/>
      <c r="M924" s="46" t="s">
        <v>2002</v>
      </c>
    </row>
    <row r="925">
      <c r="A925" s="70"/>
      <c r="C925" s="5" t="s">
        <v>2002</v>
      </c>
      <c r="D925" s="5"/>
      <c r="E925" s="5"/>
      <c r="F925" s="5"/>
      <c r="G925" s="5"/>
      <c r="H925" s="5"/>
      <c r="I925" s="5"/>
      <c r="J925" s="73"/>
      <c r="K925" s="75" t="str">
        <f>IFERROR(__xludf.DUMMYFUNCTION("""COMPUTED_VALUE"""),"")</f>
        <v/>
      </c>
      <c r="L925" s="75"/>
      <c r="M925" s="46" t="s">
        <v>2002</v>
      </c>
    </row>
    <row r="926">
      <c r="A926" s="70"/>
      <c r="C926" s="5" t="s">
        <v>2002</v>
      </c>
      <c r="D926" s="5"/>
      <c r="E926" s="5"/>
      <c r="F926" s="5"/>
      <c r="G926" s="5"/>
      <c r="H926" s="5"/>
      <c r="I926" s="5"/>
      <c r="J926" s="73"/>
      <c r="K926" s="75" t="str">
        <f>IFERROR(__xludf.DUMMYFUNCTION("""COMPUTED_VALUE"""),"")</f>
        <v/>
      </c>
      <c r="L926" s="75"/>
      <c r="M926" s="46" t="s">
        <v>2002</v>
      </c>
    </row>
    <row r="927">
      <c r="A927" s="70"/>
      <c r="C927" s="5" t="s">
        <v>2002</v>
      </c>
      <c r="D927" s="5"/>
      <c r="E927" s="5"/>
      <c r="F927" s="5"/>
      <c r="G927" s="5"/>
      <c r="H927" s="5"/>
      <c r="I927" s="5"/>
      <c r="J927" s="73"/>
      <c r="K927" s="75" t="str">
        <f>IFERROR(__xludf.DUMMYFUNCTION("""COMPUTED_VALUE"""),"")</f>
        <v/>
      </c>
      <c r="L927" s="75"/>
      <c r="M927" s="46" t="s">
        <v>2002</v>
      </c>
    </row>
    <row r="928">
      <c r="A928" s="70"/>
      <c r="C928" s="5" t="s">
        <v>2002</v>
      </c>
      <c r="D928" s="5"/>
      <c r="E928" s="5"/>
      <c r="F928" s="5"/>
      <c r="G928" s="5"/>
      <c r="H928" s="5"/>
      <c r="I928" s="5"/>
      <c r="J928" s="73"/>
      <c r="K928" s="75" t="str">
        <f>IFERROR(__xludf.DUMMYFUNCTION("""COMPUTED_VALUE"""),"")</f>
        <v/>
      </c>
      <c r="L928" s="75"/>
      <c r="M928" s="46" t="s">
        <v>2002</v>
      </c>
    </row>
    <row r="929">
      <c r="A929" s="70"/>
      <c r="C929" s="5" t="s">
        <v>2002</v>
      </c>
      <c r="D929" s="5"/>
      <c r="E929" s="5"/>
      <c r="F929" s="5"/>
      <c r="G929" s="5"/>
      <c r="H929" s="5"/>
      <c r="I929" s="5"/>
      <c r="J929" s="73"/>
      <c r="K929" s="75" t="str">
        <f>IFERROR(__xludf.DUMMYFUNCTION("""COMPUTED_VALUE"""),"")</f>
        <v/>
      </c>
      <c r="L929" s="75"/>
      <c r="M929" s="46" t="s">
        <v>2002</v>
      </c>
    </row>
    <row r="930">
      <c r="A930" s="70"/>
      <c r="C930" s="5" t="s">
        <v>2002</v>
      </c>
      <c r="D930" s="5"/>
      <c r="E930" s="5"/>
      <c r="F930" s="5"/>
      <c r="G930" s="5"/>
      <c r="H930" s="5"/>
      <c r="I930" s="5"/>
      <c r="J930" s="73"/>
      <c r="K930" s="75" t="str">
        <f>IFERROR(__xludf.DUMMYFUNCTION("""COMPUTED_VALUE"""),"")</f>
        <v/>
      </c>
      <c r="L930" s="75"/>
      <c r="M930" s="46" t="s">
        <v>2002</v>
      </c>
    </row>
    <row r="931">
      <c r="A931" s="70"/>
      <c r="C931" s="5" t="s">
        <v>2002</v>
      </c>
      <c r="D931" s="5"/>
      <c r="E931" s="5"/>
      <c r="F931" s="5"/>
      <c r="G931" s="5"/>
      <c r="H931" s="5"/>
      <c r="I931" s="5"/>
      <c r="J931" s="73"/>
      <c r="K931" s="75" t="str">
        <f>IFERROR(__xludf.DUMMYFUNCTION("""COMPUTED_VALUE"""),"")</f>
        <v/>
      </c>
      <c r="L931" s="75"/>
      <c r="M931" s="46" t="s">
        <v>2002</v>
      </c>
    </row>
    <row r="932">
      <c r="A932" s="70"/>
      <c r="C932" s="5" t="s">
        <v>2002</v>
      </c>
      <c r="D932" s="5"/>
      <c r="E932" s="5"/>
      <c r="F932" s="5"/>
      <c r="G932" s="5"/>
      <c r="H932" s="5"/>
      <c r="I932" s="5"/>
      <c r="J932" s="73"/>
      <c r="K932" s="75" t="str">
        <f>IFERROR(__xludf.DUMMYFUNCTION("""COMPUTED_VALUE"""),"")</f>
        <v/>
      </c>
      <c r="L932" s="75"/>
      <c r="M932" s="46" t="s">
        <v>2002</v>
      </c>
    </row>
    <row r="933">
      <c r="A933" s="70"/>
      <c r="C933" s="5" t="s">
        <v>2002</v>
      </c>
      <c r="D933" s="5"/>
      <c r="E933" s="5"/>
      <c r="F933" s="5"/>
      <c r="G933" s="5"/>
      <c r="H933" s="5"/>
      <c r="I933" s="5"/>
      <c r="J933" s="73"/>
      <c r="K933" s="75" t="str">
        <f>IFERROR(__xludf.DUMMYFUNCTION("""COMPUTED_VALUE"""),"")</f>
        <v/>
      </c>
      <c r="L933" s="75"/>
      <c r="M933" s="46" t="s">
        <v>2002</v>
      </c>
    </row>
    <row r="934">
      <c r="A934" s="70"/>
      <c r="C934" s="5" t="s">
        <v>2002</v>
      </c>
      <c r="D934" s="5"/>
      <c r="E934" s="5"/>
      <c r="F934" s="5"/>
      <c r="G934" s="5"/>
      <c r="H934" s="5"/>
      <c r="I934" s="5"/>
      <c r="J934" s="73"/>
      <c r="K934" s="75" t="str">
        <f>IFERROR(__xludf.DUMMYFUNCTION("""COMPUTED_VALUE"""),"")</f>
        <v/>
      </c>
      <c r="L934" s="75"/>
      <c r="M934" s="46" t="s">
        <v>2002</v>
      </c>
    </row>
    <row r="935">
      <c r="A935" s="70"/>
      <c r="C935" s="5" t="s">
        <v>2002</v>
      </c>
      <c r="D935" s="5"/>
      <c r="E935" s="5"/>
      <c r="F935" s="5"/>
      <c r="G935" s="5"/>
      <c r="H935" s="5"/>
      <c r="I935" s="5"/>
      <c r="J935" s="73"/>
      <c r="K935" s="75" t="str">
        <f>IFERROR(__xludf.DUMMYFUNCTION("""COMPUTED_VALUE"""),"")</f>
        <v/>
      </c>
      <c r="L935" s="75"/>
      <c r="M935" s="46" t="s">
        <v>2002</v>
      </c>
    </row>
    <row r="936">
      <c r="A936" s="70"/>
      <c r="C936" s="5" t="s">
        <v>2002</v>
      </c>
      <c r="D936" s="5"/>
      <c r="E936" s="5"/>
      <c r="F936" s="5"/>
      <c r="G936" s="5"/>
      <c r="H936" s="5"/>
      <c r="I936" s="5"/>
      <c r="J936" s="73"/>
      <c r="K936" s="75" t="str">
        <f>IFERROR(__xludf.DUMMYFUNCTION("""COMPUTED_VALUE"""),"")</f>
        <v/>
      </c>
      <c r="L936" s="75"/>
      <c r="M936" s="46" t="s">
        <v>2002</v>
      </c>
    </row>
    <row r="937">
      <c r="A937" s="70"/>
      <c r="C937" s="5" t="s">
        <v>2002</v>
      </c>
      <c r="D937" s="5"/>
      <c r="E937" s="5"/>
      <c r="F937" s="5"/>
      <c r="G937" s="5"/>
      <c r="H937" s="5"/>
      <c r="I937" s="5"/>
      <c r="J937" s="73"/>
      <c r="K937" s="75" t="str">
        <f>IFERROR(__xludf.DUMMYFUNCTION("""COMPUTED_VALUE"""),"")</f>
        <v/>
      </c>
      <c r="L937" s="75"/>
      <c r="M937" s="46" t="s">
        <v>2002</v>
      </c>
    </row>
    <row r="938">
      <c r="A938" s="70"/>
      <c r="C938" s="5" t="s">
        <v>2002</v>
      </c>
      <c r="D938" s="5"/>
      <c r="E938" s="5"/>
      <c r="F938" s="5"/>
      <c r="G938" s="5"/>
      <c r="H938" s="5"/>
      <c r="I938" s="5"/>
      <c r="J938" s="73"/>
      <c r="K938" s="75" t="str">
        <f>IFERROR(__xludf.DUMMYFUNCTION("""COMPUTED_VALUE"""),"")</f>
        <v/>
      </c>
      <c r="L938" s="75"/>
      <c r="M938" s="46" t="s">
        <v>2002</v>
      </c>
    </row>
    <row r="939">
      <c r="A939" s="70"/>
      <c r="C939" s="5" t="s">
        <v>2002</v>
      </c>
      <c r="D939" s="5"/>
      <c r="E939" s="5"/>
      <c r="F939" s="5"/>
      <c r="G939" s="5"/>
      <c r="H939" s="5"/>
      <c r="I939" s="5"/>
      <c r="J939" s="73"/>
      <c r="K939" s="75" t="str">
        <f>IFERROR(__xludf.DUMMYFUNCTION("""COMPUTED_VALUE"""),"")</f>
        <v/>
      </c>
      <c r="L939" s="75"/>
      <c r="M939" s="46" t="s">
        <v>2002</v>
      </c>
    </row>
    <row r="940">
      <c r="A940" s="70"/>
      <c r="C940" s="5" t="s">
        <v>2002</v>
      </c>
      <c r="D940" s="5"/>
      <c r="E940" s="5"/>
      <c r="F940" s="5"/>
      <c r="G940" s="5"/>
      <c r="H940" s="5"/>
      <c r="I940" s="5"/>
      <c r="J940" s="73"/>
      <c r="K940" s="75" t="str">
        <f>IFERROR(__xludf.DUMMYFUNCTION("""COMPUTED_VALUE"""),"")</f>
        <v/>
      </c>
      <c r="L940" s="75"/>
      <c r="M940" s="46" t="s">
        <v>2002</v>
      </c>
    </row>
    <row r="941">
      <c r="A941" s="70"/>
      <c r="C941" s="5" t="s">
        <v>2002</v>
      </c>
      <c r="D941" s="5"/>
      <c r="E941" s="5"/>
      <c r="F941" s="5"/>
      <c r="G941" s="5"/>
      <c r="H941" s="5"/>
      <c r="I941" s="5"/>
      <c r="J941" s="73"/>
      <c r="K941" s="75" t="str">
        <f>IFERROR(__xludf.DUMMYFUNCTION("""COMPUTED_VALUE"""),"")</f>
        <v/>
      </c>
      <c r="L941" s="75"/>
      <c r="M941" s="46" t="s">
        <v>2002</v>
      </c>
    </row>
    <row r="942">
      <c r="A942" s="70"/>
      <c r="C942" s="5" t="s">
        <v>2002</v>
      </c>
      <c r="D942" s="5"/>
      <c r="E942" s="5"/>
      <c r="F942" s="5"/>
      <c r="G942" s="5"/>
      <c r="H942" s="5"/>
      <c r="I942" s="5"/>
      <c r="J942" s="73"/>
      <c r="K942" s="75" t="str">
        <f>IFERROR(__xludf.DUMMYFUNCTION("""COMPUTED_VALUE"""),"")</f>
        <v/>
      </c>
      <c r="L942" s="75"/>
      <c r="M942" s="46" t="s">
        <v>2002</v>
      </c>
    </row>
    <row r="943">
      <c r="A943" s="70"/>
      <c r="C943" s="5" t="s">
        <v>2002</v>
      </c>
      <c r="D943" s="5"/>
      <c r="E943" s="5"/>
      <c r="F943" s="5"/>
      <c r="G943" s="5"/>
      <c r="H943" s="5"/>
      <c r="I943" s="5"/>
      <c r="J943" s="73"/>
      <c r="K943" s="75" t="str">
        <f>IFERROR(__xludf.DUMMYFUNCTION("""COMPUTED_VALUE"""),"")</f>
        <v/>
      </c>
      <c r="L943" s="75"/>
      <c r="M943" s="46" t="s">
        <v>2002</v>
      </c>
    </row>
    <row r="944">
      <c r="A944" s="70"/>
      <c r="C944" s="5" t="s">
        <v>2002</v>
      </c>
      <c r="D944" s="5"/>
      <c r="E944" s="5"/>
      <c r="F944" s="5"/>
      <c r="G944" s="5"/>
      <c r="H944" s="5"/>
      <c r="I944" s="5"/>
      <c r="J944" s="73"/>
      <c r="K944" s="75" t="str">
        <f>IFERROR(__xludf.DUMMYFUNCTION("""COMPUTED_VALUE"""),"")</f>
        <v/>
      </c>
      <c r="L944" s="75"/>
      <c r="M944" s="46" t="s">
        <v>2002</v>
      </c>
    </row>
    <row r="945">
      <c r="A945" s="70"/>
      <c r="C945" s="5" t="s">
        <v>2002</v>
      </c>
      <c r="D945" s="5"/>
      <c r="E945" s="5"/>
      <c r="F945" s="5"/>
      <c r="G945" s="5"/>
      <c r="H945" s="5"/>
      <c r="I945" s="5"/>
      <c r="J945" s="73"/>
      <c r="K945" s="75" t="str">
        <f>IFERROR(__xludf.DUMMYFUNCTION("""COMPUTED_VALUE"""),"")</f>
        <v/>
      </c>
      <c r="L945" s="75"/>
      <c r="M945" s="46" t="s">
        <v>2002</v>
      </c>
    </row>
    <row r="946">
      <c r="A946" s="70"/>
      <c r="C946" s="5" t="s">
        <v>2002</v>
      </c>
      <c r="D946" s="5"/>
      <c r="E946" s="5"/>
      <c r="F946" s="5"/>
      <c r="G946" s="5"/>
      <c r="H946" s="5"/>
      <c r="I946" s="5"/>
      <c r="J946" s="73"/>
      <c r="K946" s="75" t="str">
        <f>IFERROR(__xludf.DUMMYFUNCTION("""COMPUTED_VALUE"""),"")</f>
        <v/>
      </c>
      <c r="L946" s="75"/>
      <c r="M946" s="46" t="s">
        <v>2002</v>
      </c>
    </row>
    <row r="947">
      <c r="A947" s="70"/>
      <c r="C947" s="5" t="s">
        <v>2002</v>
      </c>
      <c r="D947" s="5"/>
      <c r="E947" s="5"/>
      <c r="F947" s="5"/>
      <c r="G947" s="5"/>
      <c r="H947" s="5"/>
      <c r="I947" s="5"/>
      <c r="J947" s="73"/>
      <c r="K947" s="75" t="str">
        <f>IFERROR(__xludf.DUMMYFUNCTION("""COMPUTED_VALUE"""),"")</f>
        <v/>
      </c>
      <c r="L947" s="75"/>
      <c r="M947" s="46" t="s">
        <v>2002</v>
      </c>
    </row>
    <row r="948">
      <c r="A948" s="70"/>
      <c r="C948" s="5" t="s">
        <v>2002</v>
      </c>
      <c r="D948" s="5"/>
      <c r="E948" s="5"/>
      <c r="F948" s="5"/>
      <c r="G948" s="5"/>
      <c r="H948" s="5"/>
      <c r="I948" s="5"/>
      <c r="J948" s="73"/>
      <c r="K948" s="75" t="str">
        <f>IFERROR(__xludf.DUMMYFUNCTION("""COMPUTED_VALUE"""),"")</f>
        <v/>
      </c>
      <c r="L948" s="75"/>
      <c r="M948" s="46" t="s">
        <v>2002</v>
      </c>
    </row>
    <row r="949">
      <c r="A949" s="70"/>
      <c r="C949" s="5" t="s">
        <v>2002</v>
      </c>
      <c r="D949" s="5"/>
      <c r="E949" s="5"/>
      <c r="F949" s="5"/>
      <c r="G949" s="5"/>
      <c r="H949" s="5"/>
      <c r="I949" s="5"/>
      <c r="J949" s="73"/>
      <c r="K949" s="75" t="str">
        <f>IFERROR(__xludf.DUMMYFUNCTION("""COMPUTED_VALUE"""),"")</f>
        <v/>
      </c>
      <c r="L949" s="75"/>
      <c r="M949" s="46" t="s">
        <v>2002</v>
      </c>
    </row>
    <row r="950">
      <c r="A950" s="70"/>
      <c r="C950" s="5" t="s">
        <v>2002</v>
      </c>
      <c r="D950" s="5"/>
      <c r="E950" s="5"/>
      <c r="F950" s="5"/>
      <c r="G950" s="5"/>
      <c r="H950" s="5"/>
      <c r="I950" s="5"/>
      <c r="J950" s="73"/>
      <c r="K950" s="75" t="str">
        <f>IFERROR(__xludf.DUMMYFUNCTION("""COMPUTED_VALUE"""),"")</f>
        <v/>
      </c>
      <c r="L950" s="75"/>
      <c r="M950" s="46" t="s">
        <v>2002</v>
      </c>
    </row>
    <row r="951">
      <c r="A951" s="70"/>
      <c r="C951" s="5" t="s">
        <v>2002</v>
      </c>
      <c r="D951" s="5"/>
      <c r="E951" s="5"/>
      <c r="F951" s="5"/>
      <c r="G951" s="5"/>
      <c r="H951" s="5"/>
      <c r="I951" s="5"/>
      <c r="J951" s="73"/>
      <c r="K951" s="75" t="str">
        <f>IFERROR(__xludf.DUMMYFUNCTION("""COMPUTED_VALUE"""),"")</f>
        <v/>
      </c>
      <c r="L951" s="75"/>
      <c r="M951" s="46" t="s">
        <v>2002</v>
      </c>
    </row>
    <row r="952">
      <c r="A952" s="70"/>
      <c r="C952" s="5" t="s">
        <v>2002</v>
      </c>
      <c r="D952" s="5"/>
      <c r="E952" s="5"/>
      <c r="F952" s="5"/>
      <c r="G952" s="5"/>
      <c r="H952" s="5"/>
      <c r="I952" s="5"/>
      <c r="J952" s="73"/>
      <c r="K952" s="75" t="str">
        <f>IFERROR(__xludf.DUMMYFUNCTION("""COMPUTED_VALUE"""),"")</f>
        <v/>
      </c>
      <c r="L952" s="75"/>
      <c r="M952" s="46" t="s">
        <v>2002</v>
      </c>
    </row>
    <row r="953">
      <c r="A953" s="70"/>
      <c r="C953" s="5" t="s">
        <v>2002</v>
      </c>
      <c r="D953" s="5"/>
      <c r="E953" s="5"/>
      <c r="F953" s="5"/>
      <c r="G953" s="5"/>
      <c r="H953" s="5"/>
      <c r="I953" s="5"/>
      <c r="J953" s="73"/>
      <c r="K953" s="75" t="str">
        <f>IFERROR(__xludf.DUMMYFUNCTION("""COMPUTED_VALUE"""),"")</f>
        <v/>
      </c>
      <c r="L953" s="75"/>
      <c r="M953" s="46" t="s">
        <v>2002</v>
      </c>
    </row>
    <row r="954">
      <c r="A954" s="70"/>
      <c r="C954" s="5" t="s">
        <v>2002</v>
      </c>
      <c r="D954" s="5"/>
      <c r="E954" s="5"/>
      <c r="F954" s="5"/>
      <c r="G954" s="5"/>
      <c r="H954" s="5"/>
      <c r="I954" s="5"/>
      <c r="J954" s="73"/>
      <c r="K954" s="75" t="str">
        <f>IFERROR(__xludf.DUMMYFUNCTION("""COMPUTED_VALUE"""),"")</f>
        <v/>
      </c>
      <c r="L954" s="75"/>
      <c r="M954" s="46" t="s">
        <v>2002</v>
      </c>
    </row>
    <row r="955">
      <c r="A955" s="70"/>
      <c r="C955" s="5" t="s">
        <v>2002</v>
      </c>
      <c r="D955" s="5"/>
      <c r="E955" s="5"/>
      <c r="F955" s="5"/>
      <c r="G955" s="5"/>
      <c r="H955" s="5"/>
      <c r="I955" s="5"/>
      <c r="J955" s="73"/>
      <c r="K955" s="75" t="str">
        <f>IFERROR(__xludf.DUMMYFUNCTION("""COMPUTED_VALUE"""),"")</f>
        <v/>
      </c>
      <c r="L955" s="75"/>
      <c r="M955" s="46" t="s">
        <v>2002</v>
      </c>
    </row>
    <row r="956">
      <c r="A956" s="70"/>
      <c r="C956" s="5" t="s">
        <v>2002</v>
      </c>
      <c r="D956" s="5"/>
      <c r="E956" s="5"/>
      <c r="F956" s="5"/>
      <c r="G956" s="5"/>
      <c r="H956" s="5"/>
      <c r="I956" s="5"/>
      <c r="J956" s="73"/>
      <c r="K956" s="75" t="str">
        <f>IFERROR(__xludf.DUMMYFUNCTION("""COMPUTED_VALUE"""),"")</f>
        <v/>
      </c>
      <c r="L956" s="75"/>
      <c r="M956" s="46" t="s">
        <v>2002</v>
      </c>
    </row>
    <row r="957">
      <c r="A957" s="70"/>
      <c r="C957" s="5" t="s">
        <v>2002</v>
      </c>
      <c r="D957" s="5"/>
      <c r="E957" s="5"/>
      <c r="F957" s="5"/>
      <c r="G957" s="5"/>
      <c r="H957" s="5"/>
      <c r="I957" s="5"/>
      <c r="J957" s="73"/>
      <c r="K957" s="75" t="str">
        <f>IFERROR(__xludf.DUMMYFUNCTION("""COMPUTED_VALUE"""),"")</f>
        <v/>
      </c>
      <c r="L957" s="75"/>
      <c r="M957" s="46" t="s">
        <v>2002</v>
      </c>
    </row>
    <row r="958">
      <c r="A958" s="70"/>
      <c r="C958" s="5" t="s">
        <v>2002</v>
      </c>
      <c r="D958" s="5"/>
      <c r="E958" s="5"/>
      <c r="F958" s="5"/>
      <c r="G958" s="5"/>
      <c r="H958" s="5"/>
      <c r="I958" s="5"/>
      <c r="J958" s="73"/>
      <c r="K958" s="75" t="str">
        <f>IFERROR(__xludf.DUMMYFUNCTION("""COMPUTED_VALUE"""),"")</f>
        <v/>
      </c>
      <c r="L958" s="75"/>
      <c r="M958" s="46" t="s">
        <v>2002</v>
      </c>
    </row>
    <row r="959">
      <c r="A959" s="70"/>
      <c r="C959" s="5" t="s">
        <v>2002</v>
      </c>
      <c r="D959" s="5"/>
      <c r="E959" s="5"/>
      <c r="F959" s="5"/>
      <c r="G959" s="5"/>
      <c r="H959" s="5"/>
      <c r="I959" s="5"/>
      <c r="J959" s="73"/>
      <c r="K959" s="75" t="str">
        <f>IFERROR(__xludf.DUMMYFUNCTION("""COMPUTED_VALUE"""),"")</f>
        <v/>
      </c>
      <c r="L959" s="75"/>
      <c r="M959" s="46" t="s">
        <v>2002</v>
      </c>
    </row>
    <row r="960">
      <c r="A960" s="70"/>
      <c r="C960" s="5" t="s">
        <v>2002</v>
      </c>
      <c r="D960" s="5"/>
      <c r="E960" s="5"/>
      <c r="F960" s="5"/>
      <c r="G960" s="5"/>
      <c r="H960" s="5"/>
      <c r="I960" s="5"/>
      <c r="J960" s="73"/>
      <c r="K960" s="75" t="str">
        <f>IFERROR(__xludf.DUMMYFUNCTION("""COMPUTED_VALUE"""),"")</f>
        <v/>
      </c>
      <c r="L960" s="75"/>
      <c r="M960" s="46" t="s">
        <v>2002</v>
      </c>
    </row>
    <row r="961">
      <c r="A961" s="70"/>
      <c r="C961" s="5" t="s">
        <v>2002</v>
      </c>
      <c r="D961" s="5"/>
      <c r="E961" s="5"/>
      <c r="F961" s="5"/>
      <c r="G961" s="5"/>
      <c r="H961" s="5"/>
      <c r="I961" s="5"/>
      <c r="J961" s="73"/>
      <c r="K961" s="75" t="str">
        <f>IFERROR(__xludf.DUMMYFUNCTION("""COMPUTED_VALUE"""),"")</f>
        <v/>
      </c>
      <c r="L961" s="75"/>
      <c r="M961" s="46" t="s">
        <v>2002</v>
      </c>
    </row>
    <row r="962">
      <c r="A962" s="70"/>
      <c r="C962" s="5" t="s">
        <v>2002</v>
      </c>
      <c r="D962" s="5"/>
      <c r="E962" s="5"/>
      <c r="F962" s="5"/>
      <c r="G962" s="5"/>
      <c r="H962" s="5"/>
      <c r="I962" s="5"/>
      <c r="J962" s="73"/>
      <c r="K962" s="75" t="str">
        <f>IFERROR(__xludf.DUMMYFUNCTION("""COMPUTED_VALUE"""),"")</f>
        <v/>
      </c>
      <c r="L962" s="75"/>
      <c r="M962" s="46" t="s">
        <v>2002</v>
      </c>
    </row>
    <row r="963">
      <c r="A963" s="70"/>
      <c r="C963" s="5" t="s">
        <v>2002</v>
      </c>
      <c r="D963" s="5"/>
      <c r="E963" s="5"/>
      <c r="F963" s="5"/>
      <c r="G963" s="5"/>
      <c r="H963" s="5"/>
      <c r="I963" s="5"/>
      <c r="J963" s="73"/>
      <c r="K963" s="75" t="str">
        <f>IFERROR(__xludf.DUMMYFUNCTION("""COMPUTED_VALUE"""),"")</f>
        <v/>
      </c>
      <c r="L963" s="75"/>
      <c r="M963" s="46" t="s">
        <v>2002</v>
      </c>
    </row>
    <row r="964">
      <c r="A964" s="70"/>
      <c r="C964" s="5" t="s">
        <v>2002</v>
      </c>
      <c r="D964" s="5"/>
      <c r="E964" s="5"/>
      <c r="F964" s="5"/>
      <c r="G964" s="5"/>
      <c r="H964" s="5"/>
      <c r="I964" s="5"/>
      <c r="J964" s="73"/>
      <c r="K964" s="75" t="str">
        <f>IFERROR(__xludf.DUMMYFUNCTION("""COMPUTED_VALUE"""),"")</f>
        <v/>
      </c>
      <c r="L964" s="75"/>
      <c r="M964" s="46" t="s">
        <v>2002</v>
      </c>
    </row>
    <row r="965">
      <c r="A965" s="70"/>
      <c r="C965" s="5" t="s">
        <v>2002</v>
      </c>
      <c r="D965" s="5"/>
      <c r="E965" s="5"/>
      <c r="F965" s="5"/>
      <c r="G965" s="5"/>
      <c r="H965" s="5"/>
      <c r="I965" s="5"/>
      <c r="J965" s="73"/>
      <c r="K965" s="75" t="str">
        <f>IFERROR(__xludf.DUMMYFUNCTION("""COMPUTED_VALUE"""),"")</f>
        <v/>
      </c>
      <c r="L965" s="75"/>
      <c r="M965" s="46" t="s">
        <v>2002</v>
      </c>
    </row>
    <row r="966">
      <c r="A966" s="70"/>
      <c r="C966" s="5" t="s">
        <v>2002</v>
      </c>
      <c r="D966" s="5"/>
      <c r="E966" s="5"/>
      <c r="F966" s="5"/>
      <c r="G966" s="5"/>
      <c r="H966" s="5"/>
      <c r="I966" s="5"/>
      <c r="J966" s="73"/>
      <c r="K966" s="75" t="str">
        <f>IFERROR(__xludf.DUMMYFUNCTION("""COMPUTED_VALUE"""),"")</f>
        <v/>
      </c>
      <c r="L966" s="75"/>
      <c r="M966" s="46" t="s">
        <v>2002</v>
      </c>
    </row>
    <row r="967">
      <c r="A967" s="70"/>
      <c r="C967" s="5" t="s">
        <v>2002</v>
      </c>
      <c r="D967" s="5"/>
      <c r="E967" s="5"/>
      <c r="F967" s="5"/>
      <c r="G967" s="5"/>
      <c r="H967" s="5"/>
      <c r="I967" s="5"/>
      <c r="J967" s="73"/>
      <c r="K967" s="75" t="str">
        <f>IFERROR(__xludf.DUMMYFUNCTION("""COMPUTED_VALUE"""),"")</f>
        <v/>
      </c>
      <c r="L967" s="75"/>
      <c r="M967" s="46" t="s">
        <v>2002</v>
      </c>
    </row>
    <row r="968">
      <c r="A968" s="70"/>
      <c r="C968" s="5" t="s">
        <v>2002</v>
      </c>
      <c r="D968" s="5"/>
      <c r="E968" s="5"/>
      <c r="F968" s="5"/>
      <c r="G968" s="5"/>
      <c r="H968" s="5"/>
      <c r="I968" s="5"/>
      <c r="J968" s="73"/>
      <c r="K968" s="75" t="str">
        <f>IFERROR(__xludf.DUMMYFUNCTION("""COMPUTED_VALUE"""),"")</f>
        <v/>
      </c>
      <c r="L968" s="75"/>
      <c r="M968" s="46" t="s">
        <v>2002</v>
      </c>
    </row>
    <row r="969">
      <c r="A969" s="70"/>
      <c r="C969" s="5" t="s">
        <v>2002</v>
      </c>
      <c r="D969" s="5"/>
      <c r="E969" s="5"/>
      <c r="F969" s="5"/>
      <c r="G969" s="5"/>
      <c r="H969" s="5"/>
      <c r="I969" s="5"/>
      <c r="J969" s="73"/>
      <c r="K969" s="75" t="str">
        <f>IFERROR(__xludf.DUMMYFUNCTION("""COMPUTED_VALUE"""),"")</f>
        <v/>
      </c>
      <c r="L969" s="75"/>
      <c r="M969" s="46" t="s">
        <v>2002</v>
      </c>
    </row>
    <row r="970">
      <c r="A970" s="70"/>
      <c r="C970" s="5" t="s">
        <v>2002</v>
      </c>
      <c r="D970" s="5"/>
      <c r="E970" s="5"/>
      <c r="F970" s="5"/>
      <c r="G970" s="5"/>
      <c r="H970" s="5"/>
      <c r="I970" s="5"/>
      <c r="J970" s="73"/>
      <c r="K970" s="75" t="str">
        <f>IFERROR(__xludf.DUMMYFUNCTION("""COMPUTED_VALUE"""),"")</f>
        <v/>
      </c>
      <c r="L970" s="75"/>
      <c r="M970" s="46" t="s">
        <v>2002</v>
      </c>
    </row>
    <row r="971">
      <c r="A971" s="70"/>
      <c r="C971" s="5" t="s">
        <v>2002</v>
      </c>
      <c r="D971" s="5"/>
      <c r="E971" s="5"/>
      <c r="F971" s="5"/>
      <c r="G971" s="5"/>
      <c r="H971" s="5"/>
      <c r="I971" s="5"/>
      <c r="J971" s="73"/>
      <c r="K971" s="75" t="str">
        <f>IFERROR(__xludf.DUMMYFUNCTION("""COMPUTED_VALUE"""),"")</f>
        <v/>
      </c>
      <c r="L971" s="75"/>
      <c r="M971" s="46" t="s">
        <v>2002</v>
      </c>
    </row>
    <row r="972">
      <c r="A972" s="70"/>
      <c r="C972" s="5" t="s">
        <v>2002</v>
      </c>
      <c r="D972" s="5"/>
      <c r="E972" s="5"/>
      <c r="F972" s="5"/>
      <c r="G972" s="5"/>
      <c r="H972" s="5"/>
      <c r="I972" s="5"/>
      <c r="J972" s="73"/>
      <c r="K972" s="75" t="str">
        <f>IFERROR(__xludf.DUMMYFUNCTION("""COMPUTED_VALUE"""),"")</f>
        <v/>
      </c>
      <c r="L972" s="75"/>
      <c r="M972" s="46" t="s">
        <v>2002</v>
      </c>
    </row>
    <row r="973">
      <c r="A973" s="70"/>
      <c r="C973" s="5" t="s">
        <v>2002</v>
      </c>
      <c r="D973" s="5"/>
      <c r="E973" s="5"/>
      <c r="F973" s="5"/>
      <c r="G973" s="5"/>
      <c r="H973" s="5"/>
      <c r="I973" s="5"/>
      <c r="J973" s="73"/>
      <c r="K973" s="75" t="str">
        <f>IFERROR(__xludf.DUMMYFUNCTION("""COMPUTED_VALUE"""),"")</f>
        <v/>
      </c>
      <c r="L973" s="75"/>
      <c r="M973" s="46" t="s">
        <v>2002</v>
      </c>
    </row>
    <row r="974">
      <c r="A974" s="70"/>
      <c r="C974" s="5" t="s">
        <v>2002</v>
      </c>
      <c r="D974" s="5"/>
      <c r="E974" s="5"/>
      <c r="F974" s="5"/>
      <c r="G974" s="5"/>
      <c r="H974" s="5"/>
      <c r="I974" s="5"/>
      <c r="J974" s="73"/>
      <c r="K974" s="75" t="str">
        <f>IFERROR(__xludf.DUMMYFUNCTION("""COMPUTED_VALUE"""),"")</f>
        <v/>
      </c>
      <c r="L974" s="75"/>
      <c r="M974" s="46" t="s">
        <v>2002</v>
      </c>
    </row>
    <row r="975">
      <c r="A975" s="70"/>
      <c r="C975" s="5" t="s">
        <v>2002</v>
      </c>
      <c r="D975" s="5"/>
      <c r="E975" s="5"/>
      <c r="F975" s="5"/>
      <c r="G975" s="5"/>
      <c r="H975" s="5"/>
      <c r="I975" s="5"/>
      <c r="J975" s="73"/>
      <c r="K975" s="75" t="str">
        <f>IFERROR(__xludf.DUMMYFUNCTION("""COMPUTED_VALUE"""),"")</f>
        <v/>
      </c>
      <c r="L975" s="75"/>
      <c r="M975" s="46" t="s">
        <v>2002</v>
      </c>
    </row>
    <row r="976">
      <c r="A976" s="70"/>
      <c r="C976" s="5" t="s">
        <v>2002</v>
      </c>
      <c r="D976" s="5"/>
      <c r="E976" s="5"/>
      <c r="F976" s="5"/>
      <c r="G976" s="5"/>
      <c r="H976" s="5"/>
      <c r="I976" s="5"/>
      <c r="J976" s="73"/>
      <c r="K976" s="75" t="str">
        <f>IFERROR(__xludf.DUMMYFUNCTION("""COMPUTED_VALUE"""),"")</f>
        <v/>
      </c>
      <c r="L976" s="75"/>
      <c r="M976" s="46" t="s">
        <v>2002</v>
      </c>
    </row>
    <row r="977">
      <c r="A977" s="70"/>
      <c r="C977" s="5" t="s">
        <v>2002</v>
      </c>
      <c r="D977" s="5"/>
      <c r="E977" s="5"/>
      <c r="F977" s="5"/>
      <c r="G977" s="5"/>
      <c r="H977" s="5"/>
      <c r="I977" s="5"/>
      <c r="J977" s="73"/>
      <c r="K977" s="75" t="str">
        <f>IFERROR(__xludf.DUMMYFUNCTION("""COMPUTED_VALUE"""),"")</f>
        <v/>
      </c>
      <c r="L977" s="75"/>
      <c r="M977" s="46" t="s">
        <v>2002</v>
      </c>
    </row>
    <row r="978">
      <c r="A978" s="70"/>
      <c r="C978" s="5" t="s">
        <v>2002</v>
      </c>
      <c r="D978" s="5"/>
      <c r="E978" s="5"/>
      <c r="F978" s="5"/>
      <c r="G978" s="5"/>
      <c r="H978" s="5"/>
      <c r="I978" s="5"/>
      <c r="J978" s="73"/>
      <c r="K978" s="75" t="str">
        <f>IFERROR(__xludf.DUMMYFUNCTION("""COMPUTED_VALUE"""),"")</f>
        <v/>
      </c>
      <c r="L978" s="75"/>
      <c r="M978" s="46" t="s">
        <v>2002</v>
      </c>
    </row>
    <row r="979">
      <c r="A979" s="70"/>
      <c r="C979" s="5" t="s">
        <v>2002</v>
      </c>
      <c r="D979" s="5"/>
      <c r="E979" s="5"/>
      <c r="F979" s="5"/>
      <c r="G979" s="5"/>
      <c r="H979" s="5"/>
      <c r="I979" s="5"/>
      <c r="J979" s="73"/>
      <c r="K979" s="75" t="str">
        <f>IFERROR(__xludf.DUMMYFUNCTION("""COMPUTED_VALUE"""),"")</f>
        <v/>
      </c>
      <c r="L979" s="75"/>
      <c r="M979" s="46" t="s">
        <v>2002</v>
      </c>
    </row>
    <row r="980">
      <c r="A980" s="70"/>
      <c r="C980" s="5" t="s">
        <v>2002</v>
      </c>
      <c r="D980" s="5"/>
      <c r="E980" s="5"/>
      <c r="F980" s="5"/>
      <c r="G980" s="5"/>
      <c r="H980" s="5"/>
      <c r="I980" s="5"/>
      <c r="J980" s="73"/>
      <c r="K980" s="75" t="str">
        <f>IFERROR(__xludf.DUMMYFUNCTION("""COMPUTED_VALUE"""),"")</f>
        <v/>
      </c>
      <c r="L980" s="75"/>
      <c r="M980" s="46" t="s">
        <v>2002</v>
      </c>
    </row>
    <row r="981">
      <c r="A981" s="70"/>
      <c r="C981" s="5" t="s">
        <v>2002</v>
      </c>
      <c r="D981" s="5"/>
      <c r="E981" s="5"/>
      <c r="F981" s="5"/>
      <c r="G981" s="5"/>
      <c r="H981" s="5"/>
      <c r="I981" s="5"/>
      <c r="J981" s="73"/>
      <c r="K981" s="75" t="str">
        <f>IFERROR(__xludf.DUMMYFUNCTION("""COMPUTED_VALUE"""),"")</f>
        <v/>
      </c>
      <c r="L981" s="75"/>
      <c r="M981" s="46" t="s">
        <v>2002</v>
      </c>
    </row>
    <row r="982">
      <c r="A982" s="70"/>
      <c r="C982" s="5" t="s">
        <v>2002</v>
      </c>
      <c r="D982" s="5"/>
      <c r="E982" s="5"/>
      <c r="F982" s="5"/>
      <c r="G982" s="5"/>
      <c r="H982" s="5"/>
      <c r="I982" s="5"/>
      <c r="J982" s="73"/>
      <c r="K982" s="75" t="str">
        <f>IFERROR(__xludf.DUMMYFUNCTION("""COMPUTED_VALUE"""),"")</f>
        <v/>
      </c>
      <c r="L982" s="75"/>
      <c r="M982" s="46" t="s">
        <v>2002</v>
      </c>
    </row>
    <row r="983">
      <c r="A983" s="70"/>
      <c r="C983" s="5" t="s">
        <v>2002</v>
      </c>
      <c r="D983" s="5"/>
      <c r="E983" s="5"/>
      <c r="F983" s="5"/>
      <c r="G983" s="5"/>
      <c r="H983" s="5"/>
      <c r="I983" s="5"/>
      <c r="J983" s="73"/>
      <c r="K983" s="75" t="str">
        <f>IFERROR(__xludf.DUMMYFUNCTION("""COMPUTED_VALUE"""),"")</f>
        <v/>
      </c>
      <c r="L983" s="75"/>
      <c r="M983" s="46" t="s">
        <v>2002</v>
      </c>
    </row>
    <row r="984">
      <c r="A984" s="70"/>
      <c r="C984" s="5" t="s">
        <v>2002</v>
      </c>
      <c r="D984" s="5"/>
      <c r="E984" s="5"/>
      <c r="F984" s="5"/>
      <c r="G984" s="5"/>
      <c r="H984" s="5"/>
      <c r="I984" s="5"/>
      <c r="J984" s="73"/>
      <c r="K984" s="75" t="str">
        <f>IFERROR(__xludf.DUMMYFUNCTION("""COMPUTED_VALUE"""),"")</f>
        <v/>
      </c>
      <c r="L984" s="75"/>
      <c r="M984" s="46" t="s">
        <v>2002</v>
      </c>
    </row>
    <row r="985">
      <c r="A985" s="70"/>
      <c r="C985" s="5" t="s">
        <v>2002</v>
      </c>
      <c r="D985" s="5"/>
      <c r="E985" s="5"/>
      <c r="F985" s="5"/>
      <c r="G985" s="5"/>
      <c r="H985" s="5"/>
      <c r="I985" s="5"/>
      <c r="J985" s="73"/>
      <c r="K985" s="75" t="str">
        <f>IFERROR(__xludf.DUMMYFUNCTION("""COMPUTED_VALUE"""),"")</f>
        <v/>
      </c>
      <c r="L985" s="75"/>
      <c r="M985" s="46" t="s">
        <v>2002</v>
      </c>
    </row>
    <row r="986">
      <c r="A986" s="70"/>
      <c r="C986" s="5" t="s">
        <v>2002</v>
      </c>
      <c r="D986" s="5"/>
      <c r="E986" s="5"/>
      <c r="F986" s="5"/>
      <c r="G986" s="5"/>
      <c r="H986" s="5"/>
      <c r="I986" s="5"/>
      <c r="J986" s="73"/>
      <c r="K986" s="75" t="str">
        <f>IFERROR(__xludf.DUMMYFUNCTION("""COMPUTED_VALUE"""),"")</f>
        <v/>
      </c>
      <c r="L986" s="75"/>
      <c r="M986" s="46" t="s">
        <v>2002</v>
      </c>
    </row>
    <row r="987">
      <c r="A987" s="70"/>
      <c r="C987" s="5" t="s">
        <v>2002</v>
      </c>
      <c r="D987" s="5"/>
      <c r="E987" s="5"/>
      <c r="F987" s="5"/>
      <c r="G987" s="5"/>
      <c r="H987" s="5"/>
      <c r="I987" s="5"/>
      <c r="J987" s="73"/>
      <c r="K987" s="75" t="str">
        <f>IFERROR(__xludf.DUMMYFUNCTION("""COMPUTED_VALUE"""),"")</f>
        <v/>
      </c>
      <c r="L987" s="75"/>
      <c r="M987" s="46" t="s">
        <v>2002</v>
      </c>
    </row>
    <row r="988">
      <c r="A988" s="70"/>
      <c r="C988" s="5" t="s">
        <v>2002</v>
      </c>
      <c r="D988" s="5"/>
      <c r="E988" s="5"/>
      <c r="F988" s="5"/>
      <c r="G988" s="5"/>
      <c r="H988" s="5"/>
      <c r="I988" s="5"/>
      <c r="J988" s="73"/>
      <c r="K988" s="75" t="str">
        <f>IFERROR(__xludf.DUMMYFUNCTION("""COMPUTED_VALUE"""),"")</f>
        <v/>
      </c>
      <c r="L988" s="75"/>
      <c r="M988" s="46" t="s">
        <v>2002</v>
      </c>
    </row>
    <row r="989">
      <c r="A989" s="70"/>
      <c r="C989" s="5" t="s">
        <v>2002</v>
      </c>
      <c r="D989" s="5"/>
      <c r="E989" s="5"/>
      <c r="F989" s="5"/>
      <c r="G989" s="5"/>
      <c r="H989" s="5"/>
      <c r="I989" s="5"/>
      <c r="J989" s="73"/>
      <c r="K989" s="75" t="str">
        <f>IFERROR(__xludf.DUMMYFUNCTION("""COMPUTED_VALUE"""),"")</f>
        <v/>
      </c>
      <c r="L989" s="75"/>
      <c r="M989" s="46" t="s">
        <v>2002</v>
      </c>
    </row>
    <row r="990">
      <c r="A990" s="70"/>
      <c r="C990" s="5" t="s">
        <v>2002</v>
      </c>
      <c r="D990" s="5"/>
      <c r="E990" s="5"/>
      <c r="F990" s="5"/>
      <c r="G990" s="5"/>
      <c r="H990" s="5"/>
      <c r="I990" s="5"/>
      <c r="J990" s="73"/>
      <c r="K990" s="75" t="str">
        <f>IFERROR(__xludf.DUMMYFUNCTION("""COMPUTED_VALUE"""),"")</f>
        <v/>
      </c>
      <c r="L990" s="75"/>
      <c r="M990" s="46" t="s">
        <v>2002</v>
      </c>
    </row>
    <row r="991">
      <c r="A991" s="70"/>
      <c r="C991" s="5" t="s">
        <v>2002</v>
      </c>
      <c r="D991" s="5"/>
      <c r="E991" s="5"/>
      <c r="F991" s="5"/>
      <c r="G991" s="5"/>
      <c r="H991" s="5"/>
      <c r="I991" s="5"/>
      <c r="J991" s="73"/>
      <c r="K991" s="75" t="str">
        <f>IFERROR(__xludf.DUMMYFUNCTION("""COMPUTED_VALUE"""),"")</f>
        <v/>
      </c>
      <c r="L991" s="75"/>
      <c r="M991" s="46" t="s">
        <v>2002</v>
      </c>
    </row>
    <row r="992">
      <c r="A992" s="70"/>
      <c r="C992" s="5" t="s">
        <v>2002</v>
      </c>
      <c r="D992" s="5"/>
      <c r="E992" s="5"/>
      <c r="F992" s="5"/>
      <c r="G992" s="5"/>
      <c r="H992" s="5"/>
      <c r="I992" s="5"/>
      <c r="J992" s="73"/>
      <c r="K992" s="75" t="str">
        <f>IFERROR(__xludf.DUMMYFUNCTION("""COMPUTED_VALUE"""),"")</f>
        <v/>
      </c>
      <c r="L992" s="75"/>
      <c r="M992" s="46" t="s">
        <v>2002</v>
      </c>
    </row>
    <row r="993">
      <c r="A993" s="70"/>
      <c r="C993" s="5" t="s">
        <v>2002</v>
      </c>
      <c r="D993" s="5"/>
      <c r="E993" s="5"/>
      <c r="F993" s="5"/>
      <c r="G993" s="5"/>
      <c r="H993" s="5"/>
      <c r="I993" s="5"/>
      <c r="J993" s="73"/>
      <c r="K993" s="75" t="str">
        <f>IFERROR(__xludf.DUMMYFUNCTION("""COMPUTED_VALUE"""),"")</f>
        <v/>
      </c>
      <c r="L993" s="75"/>
      <c r="M993" s="46" t="s">
        <v>2002</v>
      </c>
    </row>
    <row r="994">
      <c r="A994" s="70"/>
      <c r="C994" s="5" t="s">
        <v>2002</v>
      </c>
      <c r="D994" s="5"/>
      <c r="E994" s="5"/>
      <c r="F994" s="5"/>
      <c r="G994" s="5"/>
      <c r="H994" s="5"/>
      <c r="I994" s="5"/>
      <c r="J994" s="73"/>
      <c r="K994" s="75" t="str">
        <f>IFERROR(__xludf.DUMMYFUNCTION("""COMPUTED_VALUE"""),"")</f>
        <v/>
      </c>
      <c r="L994" s="75"/>
      <c r="M994" s="46" t="s">
        <v>2002</v>
      </c>
    </row>
    <row r="995">
      <c r="A995" s="70"/>
      <c r="C995" s="5" t="s">
        <v>2002</v>
      </c>
      <c r="D995" s="5"/>
      <c r="E995" s="5"/>
      <c r="F995" s="5"/>
      <c r="G995" s="5"/>
      <c r="H995" s="5"/>
      <c r="I995" s="5"/>
      <c r="J995" s="73"/>
      <c r="K995" s="75" t="str">
        <f>IFERROR(__xludf.DUMMYFUNCTION("""COMPUTED_VALUE"""),"")</f>
        <v/>
      </c>
      <c r="L995" s="75"/>
      <c r="M995" s="46" t="s">
        <v>2002</v>
      </c>
    </row>
    <row r="996">
      <c r="A996" s="70"/>
      <c r="C996" s="5" t="s">
        <v>2002</v>
      </c>
      <c r="D996" s="5"/>
      <c r="E996" s="5"/>
      <c r="F996" s="5"/>
      <c r="G996" s="5"/>
      <c r="H996" s="5"/>
      <c r="I996" s="5"/>
      <c r="J996" s="73"/>
      <c r="K996" s="75" t="str">
        <f>IFERROR(__xludf.DUMMYFUNCTION("""COMPUTED_VALUE"""),"")</f>
        <v/>
      </c>
      <c r="L996" s="75"/>
      <c r="M996" s="46" t="s">
        <v>2002</v>
      </c>
    </row>
    <row r="997">
      <c r="A997" s="70"/>
      <c r="C997" s="5" t="s">
        <v>2002</v>
      </c>
      <c r="D997" s="5"/>
      <c r="E997" s="5"/>
      <c r="F997" s="5"/>
      <c r="G997" s="5"/>
      <c r="H997" s="5"/>
      <c r="I997" s="5"/>
      <c r="J997" s="73"/>
      <c r="K997" s="75" t="str">
        <f>IFERROR(__xludf.DUMMYFUNCTION("""COMPUTED_VALUE"""),"")</f>
        <v/>
      </c>
      <c r="L997" s="75"/>
      <c r="M997" s="46" t="s">
        <v>2002</v>
      </c>
    </row>
    <row r="998">
      <c r="A998" s="70"/>
      <c r="C998" s="5" t="s">
        <v>2002</v>
      </c>
      <c r="D998" s="5"/>
      <c r="E998" s="5"/>
      <c r="F998" s="5"/>
      <c r="G998" s="5"/>
      <c r="H998" s="5"/>
      <c r="I998" s="5"/>
      <c r="J998" s="73"/>
      <c r="K998" s="75" t="str">
        <f>IFERROR(__xludf.DUMMYFUNCTION("""COMPUTED_VALUE"""),"")</f>
        <v/>
      </c>
      <c r="L998" s="75"/>
      <c r="M998" s="46" t="s">
        <v>2002</v>
      </c>
    </row>
    <row r="999">
      <c r="A999" s="70"/>
      <c r="C999" s="5" t="s">
        <v>2002</v>
      </c>
      <c r="D999" s="5"/>
      <c r="E999" s="5"/>
      <c r="F999" s="5"/>
      <c r="G999" s="5"/>
      <c r="H999" s="5"/>
      <c r="I999" s="5"/>
      <c r="J999" s="73"/>
      <c r="K999" s="75" t="str">
        <f>IFERROR(__xludf.DUMMYFUNCTION("""COMPUTED_VALUE"""),"")</f>
        <v/>
      </c>
      <c r="L999" s="75"/>
      <c r="M999" s="46" t="s">
        <v>2002</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3" width="25.13"/>
  </cols>
  <sheetData>
    <row r="1">
      <c r="A1" s="76" t="s">
        <v>2033</v>
      </c>
      <c r="B1" s="76" t="s">
        <v>2034</v>
      </c>
      <c r="C1" s="76" t="s">
        <v>2035</v>
      </c>
    </row>
    <row r="2">
      <c r="A2" s="76" t="s">
        <v>2036</v>
      </c>
      <c r="B2" s="76" t="s">
        <v>2037</v>
      </c>
      <c r="C2" s="76" t="s">
        <v>2038</v>
      </c>
    </row>
    <row r="3">
      <c r="A3" s="76" t="s">
        <v>2039</v>
      </c>
      <c r="B3" s="76" t="s">
        <v>2040</v>
      </c>
      <c r="C3" s="76" t="s">
        <v>2041</v>
      </c>
    </row>
    <row r="4">
      <c r="A4" s="76" t="s">
        <v>2042</v>
      </c>
      <c r="B4" s="76" t="s">
        <v>2043</v>
      </c>
      <c r="C4" s="76" t="s">
        <v>2044</v>
      </c>
    </row>
    <row r="5">
      <c r="A5" s="76" t="s">
        <v>2045</v>
      </c>
      <c r="B5" s="76" t="s">
        <v>2046</v>
      </c>
      <c r="C5" s="76" t="s">
        <v>2047</v>
      </c>
    </row>
    <row r="6">
      <c r="A6" s="76" t="s">
        <v>2048</v>
      </c>
      <c r="B6" s="76" t="s">
        <v>2049</v>
      </c>
      <c r="C6" s="76" t="s">
        <v>2050</v>
      </c>
    </row>
    <row r="7">
      <c r="A7" s="76" t="s">
        <v>2051</v>
      </c>
      <c r="B7" s="76" t="s">
        <v>2052</v>
      </c>
      <c r="C7" s="76" t="s">
        <v>2053</v>
      </c>
    </row>
    <row r="8">
      <c r="A8" s="66"/>
      <c r="B8" s="66"/>
      <c r="C8" s="66"/>
    </row>
    <row r="9">
      <c r="A9" s="66"/>
      <c r="B9" s="66"/>
      <c r="C9" s="66"/>
    </row>
    <row r="10">
      <c r="A10" s="66"/>
      <c r="B10" s="66"/>
      <c r="C10" s="66"/>
    </row>
    <row r="11">
      <c r="A11" s="66"/>
      <c r="B11" s="66"/>
      <c r="C11" s="66"/>
    </row>
    <row r="12">
      <c r="A12" s="66"/>
      <c r="B12" s="66"/>
      <c r="C12" s="66"/>
    </row>
    <row r="13">
      <c r="A13" s="66"/>
      <c r="B13" s="66"/>
      <c r="C13" s="66"/>
    </row>
    <row r="14">
      <c r="A14" s="66"/>
      <c r="B14" s="66"/>
      <c r="C14" s="66"/>
    </row>
    <row r="15">
      <c r="A15" s="66"/>
      <c r="B15" s="66"/>
      <c r="C15" s="66"/>
    </row>
    <row r="16">
      <c r="A16" s="66"/>
      <c r="B16" s="66"/>
      <c r="C16" s="66"/>
    </row>
    <row r="17">
      <c r="A17" s="66"/>
      <c r="B17" s="66"/>
      <c r="C17" s="66"/>
    </row>
    <row r="18">
      <c r="A18" s="66"/>
      <c r="B18" s="66"/>
      <c r="C18" s="66"/>
    </row>
    <row r="19">
      <c r="A19" s="66"/>
      <c r="B19" s="66"/>
      <c r="C19" s="66"/>
    </row>
    <row r="20">
      <c r="A20" s="66"/>
      <c r="B20" s="66"/>
      <c r="C20" s="66"/>
    </row>
    <row r="21">
      <c r="A21" s="66"/>
      <c r="B21" s="66"/>
      <c r="C21" s="66"/>
    </row>
    <row r="22">
      <c r="A22" s="66"/>
      <c r="B22" s="66"/>
      <c r="C22" s="66"/>
    </row>
    <row r="23">
      <c r="A23" s="66"/>
      <c r="B23" s="66"/>
      <c r="C23" s="66"/>
    </row>
    <row r="24">
      <c r="A24" s="66"/>
      <c r="B24" s="66"/>
      <c r="C24" s="66"/>
    </row>
    <row r="25">
      <c r="A25" s="66"/>
      <c r="B25" s="66"/>
      <c r="C25" s="66"/>
    </row>
    <row r="26">
      <c r="A26" s="66"/>
      <c r="B26" s="66"/>
      <c r="C26" s="66"/>
    </row>
    <row r="27">
      <c r="A27" s="66"/>
      <c r="B27" s="66"/>
      <c r="C27" s="66"/>
    </row>
    <row r="28">
      <c r="A28" s="66"/>
      <c r="B28" s="66"/>
      <c r="C28" s="66"/>
    </row>
    <row r="29">
      <c r="A29" s="66"/>
      <c r="B29" s="66"/>
      <c r="C29" s="66"/>
    </row>
    <row r="30">
      <c r="A30" s="66"/>
      <c r="B30" s="66"/>
      <c r="C30" s="66"/>
    </row>
    <row r="31">
      <c r="A31" s="66"/>
      <c r="B31" s="66"/>
      <c r="C31" s="66"/>
    </row>
    <row r="32">
      <c r="A32" s="66"/>
      <c r="B32" s="66"/>
      <c r="C32" s="66"/>
    </row>
    <row r="33">
      <c r="A33" s="66"/>
      <c r="B33" s="66"/>
      <c r="C33" s="66"/>
    </row>
    <row r="34">
      <c r="A34" s="66"/>
      <c r="B34" s="66"/>
      <c r="C34" s="66"/>
    </row>
    <row r="35">
      <c r="A35" s="66"/>
      <c r="B35" s="66"/>
      <c r="C35" s="66"/>
    </row>
    <row r="36">
      <c r="A36" s="66"/>
      <c r="B36" s="66"/>
      <c r="C36" s="66"/>
    </row>
    <row r="37">
      <c r="A37" s="66"/>
      <c r="B37" s="66"/>
      <c r="C37" s="66"/>
    </row>
    <row r="38">
      <c r="A38" s="66"/>
      <c r="B38" s="66"/>
      <c r="C38" s="66"/>
    </row>
    <row r="39">
      <c r="A39" s="66"/>
      <c r="B39" s="66"/>
      <c r="C39" s="66"/>
    </row>
    <row r="40">
      <c r="A40" s="66"/>
      <c r="B40" s="66"/>
      <c r="C40" s="66"/>
    </row>
    <row r="41">
      <c r="A41" s="66"/>
      <c r="B41" s="66"/>
      <c r="C41" s="66"/>
    </row>
    <row r="42">
      <c r="A42" s="66"/>
      <c r="B42" s="66"/>
      <c r="C42" s="66"/>
    </row>
    <row r="43">
      <c r="A43" s="66"/>
      <c r="B43" s="66"/>
      <c r="C43" s="66"/>
    </row>
    <row r="44">
      <c r="A44" s="66"/>
      <c r="B44" s="66"/>
      <c r="C44" s="66"/>
    </row>
    <row r="45">
      <c r="A45" s="66"/>
      <c r="B45" s="66"/>
      <c r="C45" s="66"/>
    </row>
    <row r="46">
      <c r="A46" s="66"/>
      <c r="B46" s="66"/>
      <c r="C46" s="66"/>
    </row>
    <row r="47">
      <c r="A47" s="66"/>
      <c r="B47" s="66"/>
      <c r="C47" s="66"/>
    </row>
    <row r="48">
      <c r="A48" s="66"/>
      <c r="B48" s="66"/>
      <c r="C48" s="66"/>
    </row>
    <row r="49">
      <c r="A49" s="66"/>
      <c r="B49" s="66"/>
      <c r="C49" s="66"/>
    </row>
    <row r="50">
      <c r="A50" s="66"/>
      <c r="B50" s="66"/>
      <c r="C50" s="66"/>
    </row>
    <row r="51">
      <c r="A51" s="66"/>
      <c r="B51" s="66"/>
      <c r="C51" s="66"/>
    </row>
    <row r="52">
      <c r="A52" s="66"/>
      <c r="B52" s="66"/>
      <c r="C52" s="66"/>
    </row>
    <row r="53">
      <c r="A53" s="66"/>
      <c r="B53" s="66"/>
      <c r="C53" s="66"/>
    </row>
    <row r="54">
      <c r="A54" s="66"/>
      <c r="B54" s="66"/>
      <c r="C54" s="66"/>
    </row>
    <row r="55">
      <c r="A55" s="66"/>
      <c r="B55" s="66"/>
      <c r="C55" s="66"/>
    </row>
    <row r="56">
      <c r="A56" s="66"/>
      <c r="B56" s="66"/>
      <c r="C56" s="66"/>
    </row>
    <row r="57">
      <c r="A57" s="66"/>
      <c r="B57" s="66"/>
      <c r="C57" s="66"/>
    </row>
    <row r="58">
      <c r="A58" s="66"/>
      <c r="B58" s="66"/>
      <c r="C58" s="66"/>
    </row>
    <row r="59">
      <c r="A59" s="66"/>
      <c r="B59" s="66"/>
      <c r="C59" s="66"/>
    </row>
    <row r="60">
      <c r="A60" s="66"/>
      <c r="B60" s="66"/>
      <c r="C60" s="66"/>
    </row>
    <row r="61">
      <c r="A61" s="66"/>
      <c r="B61" s="66"/>
      <c r="C61" s="66"/>
    </row>
    <row r="62">
      <c r="A62" s="66"/>
      <c r="B62" s="66"/>
      <c r="C62" s="66"/>
    </row>
    <row r="63">
      <c r="A63" s="66"/>
      <c r="B63" s="66"/>
      <c r="C63" s="66"/>
    </row>
    <row r="64">
      <c r="A64" s="66"/>
      <c r="B64" s="66"/>
      <c r="C64" s="66"/>
    </row>
    <row r="65">
      <c r="A65" s="66"/>
      <c r="B65" s="66"/>
      <c r="C65" s="66"/>
    </row>
    <row r="66">
      <c r="A66" s="66"/>
      <c r="B66" s="66"/>
      <c r="C66" s="66"/>
    </row>
    <row r="67">
      <c r="A67" s="66"/>
      <c r="B67" s="66"/>
      <c r="C67" s="66"/>
    </row>
    <row r="68">
      <c r="A68" s="66"/>
      <c r="B68" s="66"/>
      <c r="C68" s="66"/>
    </row>
    <row r="69">
      <c r="A69" s="66"/>
      <c r="B69" s="66"/>
      <c r="C69" s="66"/>
    </row>
    <row r="70">
      <c r="A70" s="66"/>
      <c r="B70" s="66"/>
      <c r="C70" s="66"/>
    </row>
    <row r="71">
      <c r="A71" s="66"/>
      <c r="B71" s="66"/>
      <c r="C71" s="66"/>
    </row>
    <row r="72">
      <c r="A72" s="66"/>
      <c r="B72" s="66"/>
      <c r="C72" s="66"/>
    </row>
    <row r="73">
      <c r="A73" s="66"/>
      <c r="B73" s="66"/>
      <c r="C73" s="66"/>
    </row>
    <row r="74">
      <c r="A74" s="66"/>
      <c r="B74" s="66"/>
      <c r="C74" s="66"/>
    </row>
    <row r="75">
      <c r="A75" s="66"/>
      <c r="B75" s="66"/>
      <c r="C75" s="66"/>
    </row>
    <row r="76">
      <c r="A76" s="66"/>
      <c r="B76" s="66"/>
      <c r="C76" s="66"/>
    </row>
    <row r="77">
      <c r="A77" s="66"/>
      <c r="B77" s="66"/>
      <c r="C77" s="66"/>
    </row>
    <row r="78">
      <c r="A78" s="66"/>
      <c r="B78" s="66"/>
      <c r="C78" s="66"/>
    </row>
    <row r="79">
      <c r="A79" s="66"/>
      <c r="B79" s="66"/>
      <c r="C79" s="66"/>
    </row>
    <row r="80">
      <c r="A80" s="66"/>
      <c r="B80" s="66"/>
      <c r="C80" s="66"/>
    </row>
    <row r="81">
      <c r="A81" s="66"/>
      <c r="B81" s="66"/>
      <c r="C81" s="66"/>
    </row>
    <row r="82">
      <c r="A82" s="66"/>
      <c r="B82" s="66"/>
      <c r="C82" s="66"/>
    </row>
    <row r="83">
      <c r="A83" s="66"/>
      <c r="B83" s="66"/>
      <c r="C83" s="66"/>
    </row>
    <row r="84">
      <c r="A84" s="66"/>
      <c r="B84" s="66"/>
      <c r="C84" s="66"/>
    </row>
    <row r="85">
      <c r="A85" s="66"/>
      <c r="B85" s="66"/>
      <c r="C85" s="66"/>
    </row>
    <row r="86">
      <c r="A86" s="66"/>
      <c r="B86" s="66"/>
      <c r="C86" s="66"/>
    </row>
    <row r="87">
      <c r="A87" s="66"/>
      <c r="B87" s="66"/>
      <c r="C87" s="66"/>
    </row>
    <row r="88">
      <c r="A88" s="66"/>
      <c r="B88" s="66"/>
      <c r="C88" s="66"/>
    </row>
    <row r="89">
      <c r="A89" s="66"/>
      <c r="B89" s="66"/>
      <c r="C89" s="66"/>
    </row>
    <row r="90">
      <c r="A90" s="66"/>
      <c r="B90" s="66"/>
      <c r="C90" s="66"/>
    </row>
    <row r="91">
      <c r="A91" s="66"/>
      <c r="B91" s="66"/>
      <c r="C91" s="66"/>
    </row>
    <row r="92">
      <c r="A92" s="66"/>
      <c r="B92" s="66"/>
      <c r="C92" s="66"/>
    </row>
    <row r="93">
      <c r="A93" s="66"/>
      <c r="B93" s="66"/>
      <c r="C93" s="66"/>
    </row>
    <row r="94">
      <c r="A94" s="66"/>
      <c r="B94" s="66"/>
      <c r="C94" s="66"/>
    </row>
    <row r="95">
      <c r="A95" s="66"/>
      <c r="B95" s="66"/>
      <c r="C95" s="66"/>
    </row>
    <row r="96">
      <c r="A96" s="66"/>
      <c r="B96" s="66"/>
      <c r="C96" s="66"/>
    </row>
    <row r="97">
      <c r="A97" s="66"/>
      <c r="B97" s="66"/>
      <c r="C97" s="66"/>
    </row>
    <row r="98">
      <c r="A98" s="66"/>
      <c r="B98" s="66"/>
      <c r="C98" s="66"/>
    </row>
    <row r="99">
      <c r="A99" s="66"/>
      <c r="B99" s="66"/>
      <c r="C99" s="66"/>
    </row>
    <row r="100">
      <c r="A100" s="66"/>
      <c r="B100" s="66"/>
      <c r="C100" s="66"/>
    </row>
    <row r="101">
      <c r="A101" s="66"/>
      <c r="B101" s="66"/>
      <c r="C101" s="66"/>
    </row>
    <row r="102">
      <c r="A102" s="66"/>
      <c r="B102" s="66"/>
      <c r="C102" s="66"/>
    </row>
    <row r="103">
      <c r="A103" s="66"/>
      <c r="B103" s="66"/>
      <c r="C103" s="66"/>
    </row>
    <row r="104">
      <c r="A104" s="66"/>
      <c r="B104" s="66"/>
      <c r="C104" s="66"/>
    </row>
    <row r="105">
      <c r="A105" s="66"/>
      <c r="B105" s="66"/>
      <c r="C105" s="66"/>
    </row>
    <row r="106">
      <c r="A106" s="66"/>
      <c r="B106" s="66"/>
      <c r="C106" s="66"/>
    </row>
    <row r="107">
      <c r="A107" s="66"/>
      <c r="B107" s="66"/>
      <c r="C107" s="66"/>
    </row>
    <row r="108">
      <c r="A108" s="66"/>
      <c r="B108" s="66"/>
      <c r="C108" s="66"/>
    </row>
    <row r="109">
      <c r="A109" s="66"/>
      <c r="B109" s="66"/>
      <c r="C109" s="66"/>
    </row>
    <row r="110">
      <c r="A110" s="66"/>
      <c r="B110" s="66"/>
      <c r="C110" s="66"/>
    </row>
    <row r="111">
      <c r="A111" s="66"/>
      <c r="B111" s="66"/>
      <c r="C111" s="66"/>
    </row>
    <row r="112">
      <c r="A112" s="66"/>
      <c r="B112" s="66"/>
      <c r="C112" s="66"/>
    </row>
    <row r="113">
      <c r="A113" s="66"/>
      <c r="B113" s="66"/>
      <c r="C113" s="66"/>
    </row>
    <row r="114">
      <c r="A114" s="66"/>
      <c r="B114" s="66"/>
      <c r="C114" s="66"/>
    </row>
    <row r="115">
      <c r="A115" s="66"/>
      <c r="B115" s="66"/>
      <c r="C115" s="66"/>
    </row>
    <row r="116">
      <c r="A116" s="66"/>
      <c r="B116" s="66"/>
      <c r="C116" s="66"/>
    </row>
    <row r="117">
      <c r="A117" s="66"/>
      <c r="B117" s="66"/>
      <c r="C117" s="66"/>
    </row>
    <row r="118">
      <c r="A118" s="66"/>
      <c r="B118" s="66"/>
      <c r="C118" s="66"/>
    </row>
    <row r="119">
      <c r="A119" s="66"/>
      <c r="B119" s="66"/>
      <c r="C119" s="66"/>
    </row>
    <row r="120">
      <c r="A120" s="66"/>
      <c r="B120" s="66"/>
      <c r="C120" s="66"/>
    </row>
    <row r="121">
      <c r="A121" s="66"/>
      <c r="B121" s="66"/>
      <c r="C121" s="66"/>
    </row>
    <row r="122">
      <c r="A122" s="66"/>
      <c r="B122" s="66"/>
      <c r="C122" s="66"/>
    </row>
    <row r="123">
      <c r="A123" s="66"/>
      <c r="B123" s="66"/>
      <c r="C123" s="66"/>
    </row>
    <row r="124">
      <c r="A124" s="66"/>
      <c r="B124" s="66"/>
      <c r="C124" s="66"/>
    </row>
    <row r="125">
      <c r="A125" s="66"/>
      <c r="B125" s="66"/>
      <c r="C125" s="66"/>
    </row>
    <row r="126">
      <c r="A126" s="66"/>
      <c r="B126" s="66"/>
      <c r="C126" s="66"/>
    </row>
    <row r="127">
      <c r="A127" s="66"/>
      <c r="B127" s="66"/>
      <c r="C127" s="66"/>
    </row>
    <row r="128">
      <c r="A128" s="66"/>
      <c r="B128" s="66"/>
      <c r="C128" s="66"/>
    </row>
    <row r="129">
      <c r="A129" s="66"/>
      <c r="B129" s="66"/>
      <c r="C129" s="66"/>
    </row>
    <row r="130">
      <c r="A130" s="66"/>
      <c r="B130" s="66"/>
      <c r="C130" s="66"/>
    </row>
    <row r="131">
      <c r="A131" s="66"/>
      <c r="B131" s="66"/>
      <c r="C131" s="66"/>
    </row>
    <row r="132">
      <c r="A132" s="66"/>
      <c r="B132" s="66"/>
      <c r="C132" s="66"/>
    </row>
    <row r="133">
      <c r="A133" s="66"/>
      <c r="B133" s="66"/>
      <c r="C133" s="66"/>
    </row>
    <row r="134">
      <c r="A134" s="66"/>
      <c r="B134" s="66"/>
      <c r="C134" s="66"/>
    </row>
    <row r="135">
      <c r="A135" s="66"/>
      <c r="B135" s="66"/>
      <c r="C135" s="66"/>
    </row>
    <row r="136">
      <c r="A136" s="66"/>
      <c r="B136" s="66"/>
      <c r="C136" s="66"/>
    </row>
    <row r="137">
      <c r="A137" s="66"/>
      <c r="B137" s="66"/>
      <c r="C137" s="66"/>
    </row>
    <row r="138">
      <c r="A138" s="66"/>
      <c r="B138" s="66"/>
      <c r="C138" s="66"/>
    </row>
    <row r="139">
      <c r="A139" s="66"/>
      <c r="B139" s="66"/>
      <c r="C139" s="66"/>
    </row>
    <row r="140">
      <c r="A140" s="66"/>
      <c r="B140" s="66"/>
      <c r="C140" s="66"/>
    </row>
    <row r="141">
      <c r="A141" s="66"/>
      <c r="B141" s="66"/>
      <c r="C141" s="66"/>
    </row>
    <row r="142">
      <c r="A142" s="66"/>
      <c r="B142" s="66"/>
      <c r="C142" s="66"/>
    </row>
    <row r="143">
      <c r="A143" s="66"/>
      <c r="B143" s="66"/>
      <c r="C143" s="66"/>
    </row>
    <row r="144">
      <c r="A144" s="66"/>
      <c r="B144" s="66"/>
      <c r="C144" s="66"/>
    </row>
    <row r="145">
      <c r="A145" s="66"/>
      <c r="B145" s="66"/>
      <c r="C145" s="66"/>
    </row>
    <row r="146">
      <c r="A146" s="66"/>
      <c r="B146" s="66"/>
      <c r="C146" s="66"/>
    </row>
    <row r="147">
      <c r="A147" s="66"/>
      <c r="B147" s="66"/>
      <c r="C147" s="66"/>
    </row>
    <row r="148">
      <c r="A148" s="66"/>
      <c r="B148" s="66"/>
      <c r="C148" s="66"/>
    </row>
    <row r="149">
      <c r="A149" s="66"/>
      <c r="B149" s="66"/>
      <c r="C149" s="66"/>
    </row>
    <row r="150">
      <c r="A150" s="66"/>
      <c r="B150" s="66"/>
      <c r="C150" s="66"/>
    </row>
    <row r="151">
      <c r="A151" s="66"/>
      <c r="B151" s="66"/>
      <c r="C151" s="66"/>
    </row>
    <row r="152">
      <c r="A152" s="66"/>
      <c r="B152" s="66"/>
      <c r="C152" s="66"/>
    </row>
    <row r="153">
      <c r="A153" s="66"/>
      <c r="B153" s="66"/>
      <c r="C153" s="66"/>
    </row>
    <row r="154">
      <c r="A154" s="66"/>
      <c r="B154" s="66"/>
      <c r="C154" s="66"/>
    </row>
    <row r="155">
      <c r="A155" s="66"/>
      <c r="B155" s="66"/>
      <c r="C155" s="66"/>
    </row>
    <row r="156">
      <c r="A156" s="66"/>
      <c r="B156" s="66"/>
      <c r="C156" s="66"/>
    </row>
    <row r="157">
      <c r="A157" s="66"/>
      <c r="B157" s="66"/>
      <c r="C157" s="66"/>
    </row>
    <row r="158">
      <c r="A158" s="66"/>
      <c r="B158" s="66"/>
      <c r="C158" s="66"/>
    </row>
    <row r="159">
      <c r="A159" s="66"/>
      <c r="B159" s="66"/>
      <c r="C159" s="66"/>
    </row>
    <row r="160">
      <c r="A160" s="66"/>
      <c r="B160" s="66"/>
      <c r="C160" s="66"/>
    </row>
    <row r="161">
      <c r="A161" s="66"/>
      <c r="B161" s="66"/>
      <c r="C161" s="66"/>
    </row>
    <row r="162">
      <c r="A162" s="66"/>
      <c r="B162" s="66"/>
      <c r="C162" s="66"/>
    </row>
    <row r="163">
      <c r="A163" s="66"/>
      <c r="B163" s="66"/>
      <c r="C163" s="66"/>
    </row>
    <row r="164">
      <c r="A164" s="66"/>
      <c r="B164" s="66"/>
      <c r="C164" s="66"/>
    </row>
    <row r="165">
      <c r="A165" s="66"/>
      <c r="B165" s="66"/>
      <c r="C165" s="66"/>
    </row>
    <row r="166">
      <c r="A166" s="66"/>
      <c r="B166" s="66"/>
      <c r="C166" s="66"/>
    </row>
    <row r="167">
      <c r="A167" s="66"/>
      <c r="B167" s="66"/>
      <c r="C167" s="66"/>
    </row>
    <row r="168">
      <c r="A168" s="66"/>
      <c r="B168" s="66"/>
      <c r="C168" s="66"/>
    </row>
    <row r="169">
      <c r="A169" s="66"/>
      <c r="B169" s="66"/>
      <c r="C169" s="66"/>
    </row>
    <row r="170">
      <c r="A170" s="66"/>
      <c r="B170" s="66"/>
      <c r="C170" s="66"/>
    </row>
    <row r="171">
      <c r="A171" s="66"/>
      <c r="B171" s="66"/>
      <c r="C171" s="66"/>
    </row>
    <row r="172">
      <c r="A172" s="66"/>
      <c r="B172" s="66"/>
      <c r="C172" s="66"/>
    </row>
    <row r="173">
      <c r="A173" s="66"/>
      <c r="B173" s="66"/>
      <c r="C173" s="66"/>
    </row>
    <row r="174">
      <c r="A174" s="66"/>
      <c r="B174" s="66"/>
      <c r="C174" s="66"/>
    </row>
    <row r="175">
      <c r="A175" s="66"/>
      <c r="B175" s="66"/>
      <c r="C175" s="66"/>
    </row>
    <row r="176">
      <c r="A176" s="66"/>
      <c r="B176" s="66"/>
      <c r="C176" s="66"/>
    </row>
    <row r="177">
      <c r="A177" s="66"/>
      <c r="B177" s="66"/>
      <c r="C177" s="66"/>
    </row>
    <row r="178">
      <c r="A178" s="66"/>
      <c r="B178" s="66"/>
      <c r="C178" s="66"/>
    </row>
    <row r="179">
      <c r="A179" s="66"/>
      <c r="B179" s="66"/>
      <c r="C179" s="66"/>
    </row>
    <row r="180">
      <c r="A180" s="66"/>
      <c r="B180" s="66"/>
      <c r="C180" s="66"/>
    </row>
    <row r="181">
      <c r="A181" s="66"/>
      <c r="B181" s="66"/>
      <c r="C181" s="66"/>
    </row>
    <row r="182">
      <c r="A182" s="66"/>
      <c r="B182" s="66"/>
      <c r="C182" s="66"/>
    </row>
    <row r="183">
      <c r="A183" s="66"/>
      <c r="B183" s="66"/>
      <c r="C183" s="66"/>
    </row>
    <row r="184">
      <c r="A184" s="66"/>
      <c r="B184" s="66"/>
      <c r="C184" s="66"/>
    </row>
    <row r="185">
      <c r="A185" s="66"/>
      <c r="B185" s="66"/>
      <c r="C185" s="66"/>
    </row>
    <row r="186">
      <c r="A186" s="66"/>
      <c r="B186" s="66"/>
      <c r="C186" s="66"/>
    </row>
    <row r="187">
      <c r="A187" s="66"/>
      <c r="B187" s="66"/>
      <c r="C187" s="66"/>
    </row>
    <row r="188">
      <c r="A188" s="66"/>
      <c r="B188" s="66"/>
      <c r="C188" s="66"/>
    </row>
    <row r="189">
      <c r="A189" s="66"/>
      <c r="B189" s="66"/>
      <c r="C189" s="66"/>
    </row>
    <row r="190">
      <c r="A190" s="66"/>
      <c r="B190" s="66"/>
      <c r="C190" s="66"/>
    </row>
    <row r="191">
      <c r="A191" s="66"/>
      <c r="B191" s="66"/>
      <c r="C191" s="66"/>
    </row>
    <row r="192">
      <c r="A192" s="66"/>
      <c r="B192" s="66"/>
      <c r="C192" s="66"/>
    </row>
    <row r="193">
      <c r="A193" s="66"/>
      <c r="B193" s="66"/>
      <c r="C193" s="66"/>
    </row>
    <row r="194">
      <c r="A194" s="66"/>
      <c r="B194" s="66"/>
      <c r="C194" s="66"/>
    </row>
    <row r="195">
      <c r="A195" s="66"/>
      <c r="B195" s="66"/>
      <c r="C195" s="66"/>
    </row>
    <row r="196">
      <c r="A196" s="66"/>
      <c r="B196" s="66"/>
      <c r="C196" s="66"/>
    </row>
    <row r="197">
      <c r="A197" s="66"/>
      <c r="B197" s="66"/>
      <c r="C197" s="66"/>
    </row>
    <row r="198">
      <c r="A198" s="66"/>
      <c r="B198" s="66"/>
      <c r="C198" s="66"/>
    </row>
    <row r="199">
      <c r="A199" s="66"/>
      <c r="B199" s="66"/>
      <c r="C199" s="66"/>
    </row>
    <row r="200">
      <c r="A200" s="66"/>
      <c r="B200" s="66"/>
      <c r="C200" s="66"/>
    </row>
    <row r="201">
      <c r="A201" s="66"/>
      <c r="B201" s="66"/>
      <c r="C201" s="66"/>
    </row>
    <row r="202">
      <c r="A202" s="66"/>
      <c r="B202" s="66"/>
      <c r="C202" s="66"/>
    </row>
    <row r="203">
      <c r="A203" s="66"/>
      <c r="B203" s="66"/>
      <c r="C203" s="66"/>
    </row>
    <row r="204">
      <c r="A204" s="66"/>
      <c r="B204" s="66"/>
      <c r="C204" s="66"/>
    </row>
    <row r="205">
      <c r="A205" s="66"/>
      <c r="B205" s="66"/>
      <c r="C205" s="66"/>
    </row>
    <row r="206">
      <c r="A206" s="66"/>
      <c r="B206" s="66"/>
      <c r="C206" s="66"/>
    </row>
    <row r="207">
      <c r="A207" s="66"/>
      <c r="B207" s="66"/>
      <c r="C207" s="66"/>
    </row>
    <row r="208">
      <c r="A208" s="66"/>
      <c r="B208" s="66"/>
      <c r="C208" s="66"/>
    </row>
    <row r="209">
      <c r="A209" s="66"/>
      <c r="B209" s="66"/>
      <c r="C209" s="66"/>
    </row>
    <row r="210">
      <c r="A210" s="66"/>
      <c r="B210" s="66"/>
      <c r="C210" s="66"/>
    </row>
    <row r="211">
      <c r="A211" s="66"/>
      <c r="B211" s="66"/>
      <c r="C211" s="66"/>
    </row>
    <row r="212">
      <c r="A212" s="66"/>
      <c r="B212" s="66"/>
      <c r="C212" s="66"/>
    </row>
    <row r="213">
      <c r="A213" s="66"/>
      <c r="B213" s="66"/>
      <c r="C213" s="66"/>
    </row>
    <row r="214">
      <c r="A214" s="66"/>
      <c r="B214" s="66"/>
      <c r="C214" s="66"/>
    </row>
    <row r="215">
      <c r="A215" s="66"/>
      <c r="B215" s="66"/>
      <c r="C215" s="66"/>
    </row>
    <row r="216">
      <c r="A216" s="66"/>
      <c r="B216" s="66"/>
      <c r="C216" s="66"/>
    </row>
    <row r="217">
      <c r="A217" s="66"/>
      <c r="B217" s="66"/>
      <c r="C217" s="66"/>
    </row>
    <row r="218">
      <c r="A218" s="66"/>
      <c r="B218" s="66"/>
      <c r="C218" s="66"/>
    </row>
    <row r="219">
      <c r="A219" s="66"/>
      <c r="B219" s="66"/>
      <c r="C219" s="66"/>
    </row>
    <row r="220">
      <c r="A220" s="66"/>
      <c r="B220" s="66"/>
      <c r="C220" s="66"/>
    </row>
    <row r="221">
      <c r="A221" s="66"/>
      <c r="B221" s="66"/>
      <c r="C221" s="66"/>
    </row>
    <row r="222">
      <c r="A222" s="66"/>
      <c r="B222" s="66"/>
      <c r="C222" s="66"/>
    </row>
    <row r="223">
      <c r="A223" s="66"/>
      <c r="B223" s="66"/>
      <c r="C223" s="66"/>
    </row>
    <row r="224">
      <c r="A224" s="66"/>
      <c r="B224" s="66"/>
      <c r="C224" s="66"/>
    </row>
    <row r="225">
      <c r="A225" s="66"/>
      <c r="B225" s="66"/>
      <c r="C225" s="66"/>
    </row>
    <row r="226">
      <c r="A226" s="66"/>
      <c r="B226" s="66"/>
      <c r="C226" s="66"/>
    </row>
    <row r="227">
      <c r="A227" s="66"/>
      <c r="B227" s="66"/>
      <c r="C227" s="66"/>
    </row>
    <row r="228">
      <c r="A228" s="66"/>
      <c r="B228" s="66"/>
      <c r="C228" s="66"/>
    </row>
    <row r="229">
      <c r="A229" s="66"/>
      <c r="B229" s="66"/>
      <c r="C229" s="66"/>
    </row>
    <row r="230">
      <c r="A230" s="66"/>
      <c r="B230" s="66"/>
      <c r="C230" s="66"/>
    </row>
    <row r="231">
      <c r="A231" s="66"/>
      <c r="B231" s="66"/>
      <c r="C231" s="66"/>
    </row>
    <row r="232">
      <c r="A232" s="66"/>
      <c r="B232" s="66"/>
      <c r="C232" s="66"/>
    </row>
    <row r="233">
      <c r="A233" s="66"/>
      <c r="B233" s="66"/>
      <c r="C233" s="66"/>
    </row>
    <row r="234">
      <c r="A234" s="66"/>
      <c r="B234" s="66"/>
      <c r="C234" s="66"/>
    </row>
    <row r="235">
      <c r="A235" s="66"/>
      <c r="B235" s="66"/>
      <c r="C235" s="66"/>
    </row>
    <row r="236">
      <c r="A236" s="66"/>
      <c r="B236" s="66"/>
      <c r="C236" s="66"/>
    </row>
    <row r="237">
      <c r="A237" s="66"/>
      <c r="B237" s="66"/>
      <c r="C237" s="66"/>
    </row>
    <row r="238">
      <c r="A238" s="66"/>
      <c r="B238" s="66"/>
      <c r="C238" s="66"/>
    </row>
    <row r="239">
      <c r="A239" s="66"/>
      <c r="B239" s="66"/>
      <c r="C239" s="66"/>
    </row>
    <row r="240">
      <c r="A240" s="66"/>
      <c r="B240" s="66"/>
      <c r="C240" s="66"/>
    </row>
    <row r="241">
      <c r="A241" s="66"/>
      <c r="B241" s="66"/>
      <c r="C241" s="66"/>
    </row>
    <row r="242">
      <c r="A242" s="66"/>
      <c r="B242" s="66"/>
      <c r="C242" s="66"/>
    </row>
    <row r="243">
      <c r="A243" s="66"/>
      <c r="B243" s="66"/>
      <c r="C243" s="66"/>
    </row>
    <row r="244">
      <c r="A244" s="66"/>
      <c r="B244" s="66"/>
      <c r="C244" s="66"/>
    </row>
    <row r="245">
      <c r="A245" s="66"/>
      <c r="B245" s="66"/>
      <c r="C245" s="66"/>
    </row>
    <row r="246">
      <c r="A246" s="66"/>
      <c r="B246" s="66"/>
      <c r="C246" s="66"/>
    </row>
    <row r="247">
      <c r="A247" s="66"/>
      <c r="B247" s="66"/>
      <c r="C247" s="66"/>
    </row>
    <row r="248">
      <c r="A248" s="66"/>
      <c r="B248" s="66"/>
      <c r="C248" s="66"/>
    </row>
    <row r="249">
      <c r="A249" s="66"/>
      <c r="B249" s="66"/>
      <c r="C249" s="66"/>
    </row>
    <row r="250">
      <c r="A250" s="66"/>
      <c r="B250" s="66"/>
      <c r="C250" s="66"/>
    </row>
    <row r="251">
      <c r="A251" s="66"/>
      <c r="B251" s="66"/>
      <c r="C251" s="66"/>
    </row>
    <row r="252">
      <c r="A252" s="66"/>
      <c r="B252" s="66"/>
      <c r="C252" s="66"/>
    </row>
    <row r="253">
      <c r="A253" s="66"/>
      <c r="B253" s="66"/>
      <c r="C253" s="66"/>
    </row>
    <row r="254">
      <c r="A254" s="66"/>
      <c r="B254" s="66"/>
      <c r="C254" s="66"/>
    </row>
    <row r="255">
      <c r="A255" s="66"/>
      <c r="B255" s="66"/>
      <c r="C255" s="66"/>
    </row>
    <row r="256">
      <c r="A256" s="66"/>
      <c r="B256" s="66"/>
      <c r="C256" s="66"/>
    </row>
    <row r="257">
      <c r="A257" s="66"/>
      <c r="B257" s="66"/>
      <c r="C257" s="66"/>
    </row>
    <row r="258">
      <c r="A258" s="66"/>
      <c r="B258" s="66"/>
      <c r="C258" s="66"/>
    </row>
    <row r="259">
      <c r="A259" s="66"/>
      <c r="B259" s="66"/>
      <c r="C259" s="66"/>
    </row>
    <row r="260">
      <c r="A260" s="66"/>
      <c r="B260" s="66"/>
      <c r="C260" s="66"/>
    </row>
    <row r="261">
      <c r="A261" s="66"/>
      <c r="B261" s="66"/>
      <c r="C261" s="66"/>
    </row>
    <row r="262">
      <c r="A262" s="66"/>
      <c r="B262" s="66"/>
      <c r="C262" s="66"/>
    </row>
    <row r="263">
      <c r="A263" s="66"/>
      <c r="B263" s="66"/>
      <c r="C263" s="66"/>
    </row>
    <row r="264">
      <c r="A264" s="66"/>
      <c r="B264" s="66"/>
      <c r="C264" s="66"/>
    </row>
    <row r="265">
      <c r="A265" s="66"/>
      <c r="B265" s="66"/>
      <c r="C265" s="66"/>
    </row>
    <row r="266">
      <c r="A266" s="66"/>
      <c r="B266" s="66"/>
      <c r="C266" s="66"/>
    </row>
    <row r="267">
      <c r="A267" s="66"/>
      <c r="B267" s="66"/>
      <c r="C267" s="66"/>
    </row>
    <row r="268">
      <c r="A268" s="66"/>
      <c r="B268" s="66"/>
      <c r="C268" s="66"/>
    </row>
    <row r="269">
      <c r="A269" s="66"/>
      <c r="B269" s="66"/>
      <c r="C269" s="66"/>
    </row>
    <row r="270">
      <c r="A270" s="66"/>
      <c r="B270" s="66"/>
      <c r="C270" s="66"/>
    </row>
    <row r="271">
      <c r="A271" s="66"/>
      <c r="B271" s="66"/>
      <c r="C271" s="66"/>
    </row>
    <row r="272">
      <c r="A272" s="66"/>
      <c r="B272" s="66"/>
      <c r="C272" s="66"/>
    </row>
    <row r="273">
      <c r="A273" s="66"/>
      <c r="B273" s="66"/>
      <c r="C273" s="66"/>
    </row>
    <row r="274">
      <c r="A274" s="66"/>
      <c r="B274" s="66"/>
      <c r="C274" s="66"/>
    </row>
    <row r="275">
      <c r="A275" s="66"/>
      <c r="B275" s="66"/>
      <c r="C275" s="66"/>
    </row>
    <row r="276">
      <c r="A276" s="66"/>
      <c r="B276" s="66"/>
      <c r="C276" s="66"/>
    </row>
    <row r="277">
      <c r="A277" s="66"/>
      <c r="B277" s="66"/>
      <c r="C277" s="66"/>
    </row>
    <row r="278">
      <c r="A278" s="66"/>
      <c r="B278" s="66"/>
      <c r="C278" s="66"/>
    </row>
    <row r="279">
      <c r="A279" s="66"/>
      <c r="B279" s="66"/>
      <c r="C279" s="66"/>
    </row>
    <row r="280">
      <c r="A280" s="66"/>
      <c r="B280" s="66"/>
      <c r="C280" s="66"/>
    </row>
    <row r="281">
      <c r="A281" s="66"/>
      <c r="B281" s="66"/>
      <c r="C281" s="66"/>
    </row>
    <row r="282">
      <c r="A282" s="66"/>
      <c r="B282" s="66"/>
      <c r="C282" s="66"/>
    </row>
    <row r="283">
      <c r="A283" s="66"/>
      <c r="B283" s="66"/>
      <c r="C283" s="66"/>
    </row>
    <row r="284">
      <c r="A284" s="66"/>
      <c r="B284" s="66"/>
      <c r="C284" s="66"/>
    </row>
    <row r="285">
      <c r="A285" s="66"/>
      <c r="B285" s="66"/>
      <c r="C285" s="66"/>
    </row>
    <row r="286">
      <c r="A286" s="66"/>
      <c r="B286" s="66"/>
      <c r="C286" s="66"/>
    </row>
    <row r="287">
      <c r="A287" s="66"/>
      <c r="B287" s="66"/>
      <c r="C287" s="66"/>
    </row>
    <row r="288">
      <c r="A288" s="66"/>
      <c r="B288" s="66"/>
      <c r="C288" s="66"/>
    </row>
    <row r="289">
      <c r="A289" s="66"/>
      <c r="B289" s="66"/>
      <c r="C289" s="66"/>
    </row>
    <row r="290">
      <c r="A290" s="66"/>
      <c r="B290" s="66"/>
      <c r="C290" s="66"/>
    </row>
    <row r="291">
      <c r="A291" s="66"/>
      <c r="B291" s="66"/>
      <c r="C291" s="66"/>
    </row>
    <row r="292">
      <c r="A292" s="66"/>
      <c r="B292" s="66"/>
      <c r="C292" s="66"/>
    </row>
    <row r="293">
      <c r="A293" s="66"/>
      <c r="B293" s="66"/>
      <c r="C293" s="66"/>
    </row>
    <row r="294">
      <c r="A294" s="66"/>
      <c r="B294" s="66"/>
      <c r="C294" s="66"/>
    </row>
    <row r="295">
      <c r="A295" s="66"/>
      <c r="B295" s="66"/>
      <c r="C295" s="66"/>
    </row>
    <row r="296">
      <c r="A296" s="66"/>
      <c r="B296" s="66"/>
      <c r="C296" s="66"/>
    </row>
    <row r="297">
      <c r="A297" s="66"/>
      <c r="B297" s="66"/>
      <c r="C297" s="66"/>
    </row>
    <row r="298">
      <c r="A298" s="66"/>
      <c r="B298" s="66"/>
      <c r="C298" s="66"/>
    </row>
    <row r="299">
      <c r="A299" s="66"/>
      <c r="B299" s="66"/>
      <c r="C299" s="66"/>
    </row>
    <row r="300">
      <c r="A300" s="66"/>
      <c r="B300" s="66"/>
      <c r="C300" s="66"/>
    </row>
    <row r="301">
      <c r="A301" s="66"/>
      <c r="B301" s="66"/>
      <c r="C301" s="66"/>
    </row>
    <row r="302">
      <c r="A302" s="66"/>
      <c r="B302" s="66"/>
      <c r="C302" s="66"/>
    </row>
    <row r="303">
      <c r="A303" s="66"/>
      <c r="B303" s="66"/>
      <c r="C303" s="66"/>
    </row>
    <row r="304">
      <c r="A304" s="66"/>
      <c r="B304" s="66"/>
      <c r="C304" s="66"/>
    </row>
    <row r="305">
      <c r="A305" s="66"/>
      <c r="B305" s="66"/>
      <c r="C305" s="66"/>
    </row>
    <row r="306">
      <c r="A306" s="66"/>
      <c r="B306" s="66"/>
      <c r="C306" s="66"/>
    </row>
    <row r="307">
      <c r="A307" s="66"/>
      <c r="B307" s="66"/>
      <c r="C307" s="66"/>
    </row>
    <row r="308">
      <c r="A308" s="66"/>
      <c r="B308" s="66"/>
      <c r="C308" s="66"/>
    </row>
    <row r="309">
      <c r="A309" s="66"/>
      <c r="B309" s="66"/>
      <c r="C309" s="66"/>
    </row>
    <row r="310">
      <c r="A310" s="66"/>
      <c r="B310" s="66"/>
      <c r="C310" s="66"/>
    </row>
    <row r="311">
      <c r="A311" s="66"/>
      <c r="B311" s="66"/>
      <c r="C311" s="66"/>
    </row>
    <row r="312">
      <c r="A312" s="66"/>
      <c r="B312" s="66"/>
      <c r="C312" s="66"/>
    </row>
    <row r="313">
      <c r="A313" s="66"/>
      <c r="B313" s="66"/>
      <c r="C313" s="66"/>
    </row>
    <row r="314">
      <c r="A314" s="66"/>
      <c r="B314" s="66"/>
      <c r="C314" s="66"/>
    </row>
    <row r="315">
      <c r="A315" s="66"/>
      <c r="B315" s="66"/>
      <c r="C315" s="66"/>
    </row>
    <row r="316">
      <c r="A316" s="66"/>
      <c r="B316" s="66"/>
      <c r="C316" s="66"/>
    </row>
    <row r="317">
      <c r="A317" s="66"/>
      <c r="B317" s="66"/>
      <c r="C317" s="66"/>
    </row>
    <row r="318">
      <c r="A318" s="66"/>
      <c r="B318" s="66"/>
      <c r="C318" s="66"/>
    </row>
    <row r="319">
      <c r="A319" s="66"/>
      <c r="B319" s="66"/>
      <c r="C319" s="66"/>
    </row>
    <row r="320">
      <c r="A320" s="66"/>
      <c r="B320" s="66"/>
      <c r="C320" s="66"/>
    </row>
    <row r="321">
      <c r="A321" s="66"/>
      <c r="B321" s="66"/>
      <c r="C321" s="66"/>
    </row>
    <row r="322">
      <c r="A322" s="66"/>
      <c r="B322" s="66"/>
      <c r="C322" s="66"/>
    </row>
    <row r="323">
      <c r="A323" s="66"/>
      <c r="B323" s="66"/>
      <c r="C323" s="66"/>
    </row>
    <row r="324">
      <c r="A324" s="66"/>
      <c r="B324" s="66"/>
      <c r="C324" s="66"/>
    </row>
    <row r="325">
      <c r="A325" s="66"/>
      <c r="B325" s="66"/>
      <c r="C325" s="66"/>
    </row>
    <row r="326">
      <c r="A326" s="66"/>
      <c r="B326" s="66"/>
      <c r="C326" s="66"/>
    </row>
    <row r="327">
      <c r="A327" s="66"/>
      <c r="B327" s="66"/>
      <c r="C327" s="66"/>
    </row>
    <row r="328">
      <c r="A328" s="66"/>
      <c r="B328" s="66"/>
      <c r="C328" s="66"/>
    </row>
    <row r="329">
      <c r="A329" s="66"/>
      <c r="B329" s="66"/>
      <c r="C329" s="66"/>
    </row>
    <row r="330">
      <c r="A330" s="66"/>
      <c r="B330" s="66"/>
      <c r="C330" s="66"/>
    </row>
    <row r="331">
      <c r="A331" s="66"/>
      <c r="B331" s="66"/>
      <c r="C331" s="66"/>
    </row>
    <row r="332">
      <c r="A332" s="66"/>
      <c r="B332" s="66"/>
      <c r="C332" s="66"/>
    </row>
    <row r="333">
      <c r="A333" s="66"/>
      <c r="B333" s="66"/>
      <c r="C333" s="66"/>
    </row>
    <row r="334">
      <c r="A334" s="66"/>
      <c r="B334" s="66"/>
      <c r="C334" s="66"/>
    </row>
    <row r="335">
      <c r="A335" s="66"/>
      <c r="B335" s="66"/>
      <c r="C335" s="66"/>
    </row>
    <row r="336">
      <c r="A336" s="66"/>
      <c r="B336" s="66"/>
      <c r="C336" s="66"/>
    </row>
    <row r="337">
      <c r="A337" s="66"/>
      <c r="B337" s="66"/>
      <c r="C337" s="66"/>
    </row>
    <row r="338">
      <c r="A338" s="66"/>
      <c r="B338" s="66"/>
      <c r="C338" s="66"/>
    </row>
    <row r="339">
      <c r="A339" s="66"/>
      <c r="B339" s="66"/>
      <c r="C339" s="66"/>
    </row>
    <row r="340">
      <c r="A340" s="66"/>
      <c r="B340" s="66"/>
      <c r="C340" s="66"/>
    </row>
    <row r="341">
      <c r="A341" s="66"/>
      <c r="B341" s="66"/>
      <c r="C341" s="66"/>
    </row>
    <row r="342">
      <c r="A342" s="66"/>
      <c r="B342" s="66"/>
      <c r="C342" s="66"/>
    </row>
    <row r="343">
      <c r="A343" s="66"/>
      <c r="B343" s="66"/>
      <c r="C343" s="66"/>
    </row>
    <row r="344">
      <c r="A344" s="66"/>
      <c r="B344" s="66"/>
      <c r="C344" s="66"/>
    </row>
    <row r="345">
      <c r="A345" s="66"/>
      <c r="B345" s="66"/>
      <c r="C345" s="66"/>
    </row>
    <row r="346">
      <c r="A346" s="66"/>
      <c r="B346" s="66"/>
      <c r="C346" s="66"/>
    </row>
    <row r="347">
      <c r="A347" s="66"/>
      <c r="B347" s="66"/>
      <c r="C347" s="66"/>
    </row>
    <row r="348">
      <c r="A348" s="66"/>
      <c r="B348" s="66"/>
      <c r="C348" s="66"/>
    </row>
    <row r="349">
      <c r="A349" s="66"/>
      <c r="B349" s="66"/>
      <c r="C349" s="66"/>
    </row>
    <row r="350">
      <c r="A350" s="66"/>
      <c r="B350" s="66"/>
      <c r="C350" s="66"/>
    </row>
    <row r="351">
      <c r="A351" s="66"/>
      <c r="B351" s="66"/>
      <c r="C351" s="66"/>
    </row>
    <row r="352">
      <c r="A352" s="66"/>
      <c r="B352" s="66"/>
      <c r="C352" s="66"/>
    </row>
    <row r="353">
      <c r="A353" s="66"/>
      <c r="B353" s="66"/>
      <c r="C353" s="66"/>
    </row>
    <row r="354">
      <c r="A354" s="66"/>
      <c r="B354" s="66"/>
      <c r="C354" s="66"/>
    </row>
    <row r="355">
      <c r="A355" s="66"/>
      <c r="B355" s="66"/>
      <c r="C355" s="66"/>
    </row>
    <row r="356">
      <c r="A356" s="66"/>
      <c r="B356" s="66"/>
      <c r="C356" s="66"/>
    </row>
    <row r="357">
      <c r="A357" s="66"/>
      <c r="B357" s="66"/>
      <c r="C357" s="66"/>
    </row>
    <row r="358">
      <c r="A358" s="66"/>
      <c r="B358" s="66"/>
      <c r="C358" s="66"/>
    </row>
    <row r="359">
      <c r="A359" s="66"/>
      <c r="B359" s="66"/>
      <c r="C359" s="66"/>
    </row>
    <row r="360">
      <c r="A360" s="66"/>
      <c r="B360" s="66"/>
      <c r="C360" s="66"/>
    </row>
    <row r="361">
      <c r="A361" s="66"/>
      <c r="B361" s="66"/>
      <c r="C361" s="66"/>
    </row>
    <row r="362">
      <c r="A362" s="66"/>
      <c r="B362" s="66"/>
      <c r="C362" s="66"/>
    </row>
    <row r="363">
      <c r="A363" s="66"/>
      <c r="B363" s="66"/>
      <c r="C363" s="66"/>
    </row>
    <row r="364">
      <c r="A364" s="66"/>
      <c r="B364" s="66"/>
      <c r="C364" s="66"/>
    </row>
    <row r="365">
      <c r="A365" s="66"/>
      <c r="B365" s="66"/>
      <c r="C365" s="66"/>
    </row>
    <row r="366">
      <c r="A366" s="66"/>
      <c r="B366" s="66"/>
      <c r="C366" s="66"/>
    </row>
    <row r="367">
      <c r="A367" s="66"/>
      <c r="B367" s="66"/>
      <c r="C367" s="66"/>
    </row>
    <row r="368">
      <c r="A368" s="66"/>
      <c r="B368" s="66"/>
      <c r="C368" s="66"/>
    </row>
    <row r="369">
      <c r="A369" s="66"/>
      <c r="B369" s="66"/>
      <c r="C369" s="66"/>
    </row>
    <row r="370">
      <c r="A370" s="66"/>
      <c r="B370" s="66"/>
      <c r="C370" s="66"/>
    </row>
    <row r="371">
      <c r="A371" s="66"/>
      <c r="B371" s="66"/>
      <c r="C371" s="66"/>
    </row>
    <row r="372">
      <c r="A372" s="66"/>
      <c r="B372" s="66"/>
      <c r="C372" s="66"/>
    </row>
    <row r="373">
      <c r="A373" s="66"/>
      <c r="B373" s="66"/>
      <c r="C373" s="66"/>
    </row>
    <row r="374">
      <c r="A374" s="66"/>
      <c r="B374" s="66"/>
      <c r="C374" s="66"/>
    </row>
    <row r="375">
      <c r="A375" s="66"/>
      <c r="B375" s="66"/>
      <c r="C375" s="66"/>
    </row>
    <row r="376">
      <c r="A376" s="66"/>
      <c r="B376" s="66"/>
      <c r="C376" s="66"/>
    </row>
    <row r="377">
      <c r="A377" s="66"/>
      <c r="B377" s="66"/>
      <c r="C377" s="66"/>
    </row>
    <row r="378">
      <c r="A378" s="66"/>
      <c r="B378" s="66"/>
      <c r="C378" s="66"/>
    </row>
    <row r="379">
      <c r="A379" s="66"/>
      <c r="B379" s="66"/>
      <c r="C379" s="66"/>
    </row>
    <row r="380">
      <c r="A380" s="66"/>
      <c r="B380" s="66"/>
      <c r="C380" s="66"/>
    </row>
    <row r="381">
      <c r="A381" s="66"/>
      <c r="B381" s="66"/>
      <c r="C381" s="66"/>
    </row>
    <row r="382">
      <c r="A382" s="66"/>
      <c r="B382" s="66"/>
      <c r="C382" s="66"/>
    </row>
    <row r="383">
      <c r="A383" s="66"/>
      <c r="B383" s="66"/>
      <c r="C383" s="66"/>
    </row>
    <row r="384">
      <c r="A384" s="66"/>
      <c r="B384" s="66"/>
      <c r="C384" s="66"/>
    </row>
    <row r="385">
      <c r="A385" s="66"/>
      <c r="B385" s="66"/>
      <c r="C385" s="66"/>
    </row>
    <row r="386">
      <c r="A386" s="66"/>
      <c r="B386" s="66"/>
      <c r="C386" s="66"/>
    </row>
    <row r="387">
      <c r="A387" s="66"/>
      <c r="B387" s="66"/>
      <c r="C387" s="66"/>
    </row>
    <row r="388">
      <c r="A388" s="66"/>
      <c r="B388" s="66"/>
      <c r="C388" s="66"/>
    </row>
    <row r="389">
      <c r="A389" s="66"/>
      <c r="B389" s="66"/>
      <c r="C389" s="66"/>
    </row>
    <row r="390">
      <c r="A390" s="66"/>
      <c r="B390" s="66"/>
      <c r="C390" s="66"/>
    </row>
    <row r="391">
      <c r="A391" s="66"/>
      <c r="B391" s="66"/>
      <c r="C391" s="66"/>
    </row>
    <row r="392">
      <c r="A392" s="66"/>
      <c r="B392" s="66"/>
      <c r="C392" s="66"/>
    </row>
    <row r="393">
      <c r="A393" s="66"/>
      <c r="B393" s="66"/>
      <c r="C393" s="66"/>
    </row>
    <row r="394">
      <c r="A394" s="66"/>
      <c r="B394" s="66"/>
      <c r="C394" s="66"/>
    </row>
    <row r="395">
      <c r="A395" s="66"/>
      <c r="B395" s="66"/>
      <c r="C395" s="66"/>
    </row>
    <row r="396">
      <c r="A396" s="66"/>
      <c r="B396" s="66"/>
      <c r="C396" s="66"/>
    </row>
    <row r="397">
      <c r="A397" s="66"/>
      <c r="B397" s="66"/>
      <c r="C397" s="66"/>
    </row>
    <row r="398">
      <c r="A398" s="66"/>
      <c r="B398" s="66"/>
      <c r="C398" s="66"/>
    </row>
    <row r="399">
      <c r="A399" s="66"/>
      <c r="B399" s="66"/>
      <c r="C399" s="66"/>
    </row>
    <row r="400">
      <c r="A400" s="66"/>
      <c r="B400" s="66"/>
      <c r="C400" s="66"/>
    </row>
    <row r="401">
      <c r="A401" s="66"/>
      <c r="B401" s="66"/>
      <c r="C401" s="66"/>
    </row>
    <row r="402">
      <c r="A402" s="66"/>
      <c r="B402" s="66"/>
      <c r="C402" s="66"/>
    </row>
    <row r="403">
      <c r="A403" s="66"/>
      <c r="B403" s="66"/>
      <c r="C403" s="66"/>
    </row>
    <row r="404">
      <c r="A404" s="66"/>
      <c r="B404" s="66"/>
      <c r="C404" s="66"/>
    </row>
    <row r="405">
      <c r="A405" s="66"/>
      <c r="B405" s="66"/>
      <c r="C405" s="66"/>
    </row>
    <row r="406">
      <c r="A406" s="66"/>
      <c r="B406" s="66"/>
      <c r="C406" s="66"/>
    </row>
    <row r="407">
      <c r="A407" s="66"/>
      <c r="B407" s="66"/>
      <c r="C407" s="66"/>
    </row>
    <row r="408">
      <c r="A408" s="66"/>
      <c r="B408" s="66"/>
      <c r="C408" s="66"/>
    </row>
    <row r="409">
      <c r="A409" s="66"/>
      <c r="B409" s="66"/>
      <c r="C409" s="66"/>
    </row>
    <row r="410">
      <c r="A410" s="66"/>
      <c r="B410" s="66"/>
      <c r="C410" s="66"/>
    </row>
    <row r="411">
      <c r="A411" s="66"/>
      <c r="B411" s="66"/>
      <c r="C411" s="66"/>
    </row>
    <row r="412">
      <c r="A412" s="66"/>
      <c r="B412" s="66"/>
      <c r="C412" s="66"/>
    </row>
    <row r="413">
      <c r="A413" s="66"/>
      <c r="B413" s="66"/>
      <c r="C413" s="66"/>
    </row>
    <row r="414">
      <c r="A414" s="66"/>
      <c r="B414" s="66"/>
      <c r="C414" s="66"/>
    </row>
    <row r="415">
      <c r="A415" s="66"/>
      <c r="B415" s="66"/>
      <c r="C415" s="66"/>
    </row>
    <row r="416">
      <c r="A416" s="66"/>
      <c r="B416" s="66"/>
      <c r="C416" s="66"/>
    </row>
    <row r="417">
      <c r="A417" s="66"/>
      <c r="B417" s="66"/>
      <c r="C417" s="66"/>
    </row>
    <row r="418">
      <c r="A418" s="66"/>
      <c r="B418" s="66"/>
      <c r="C418" s="66"/>
    </row>
    <row r="419">
      <c r="A419" s="66"/>
      <c r="B419" s="66"/>
      <c r="C419" s="66"/>
    </row>
    <row r="420">
      <c r="A420" s="66"/>
      <c r="B420" s="66"/>
      <c r="C420" s="66"/>
    </row>
    <row r="421">
      <c r="A421" s="66"/>
      <c r="B421" s="66"/>
      <c r="C421" s="66"/>
    </row>
    <row r="422">
      <c r="A422" s="66"/>
      <c r="B422" s="66"/>
      <c r="C422" s="66"/>
    </row>
    <row r="423">
      <c r="A423" s="66"/>
      <c r="B423" s="66"/>
      <c r="C423" s="66"/>
    </row>
    <row r="424">
      <c r="A424" s="66"/>
      <c r="B424" s="66"/>
      <c r="C424" s="66"/>
    </row>
    <row r="425">
      <c r="A425" s="66"/>
      <c r="B425" s="66"/>
      <c r="C425" s="66"/>
    </row>
    <row r="426">
      <c r="A426" s="66"/>
      <c r="B426" s="66"/>
      <c r="C426" s="66"/>
    </row>
    <row r="427">
      <c r="A427" s="66"/>
      <c r="B427" s="66"/>
      <c r="C427" s="66"/>
    </row>
    <row r="428">
      <c r="A428" s="66"/>
      <c r="B428" s="66"/>
      <c r="C428" s="66"/>
    </row>
    <row r="429">
      <c r="A429" s="66"/>
      <c r="B429" s="66"/>
      <c r="C429" s="66"/>
    </row>
    <row r="430">
      <c r="A430" s="66"/>
      <c r="B430" s="66"/>
      <c r="C430" s="66"/>
    </row>
    <row r="431">
      <c r="A431" s="66"/>
      <c r="B431" s="66"/>
      <c r="C431" s="66"/>
    </row>
    <row r="432">
      <c r="A432" s="66"/>
      <c r="B432" s="66"/>
      <c r="C432" s="66"/>
    </row>
    <row r="433">
      <c r="A433" s="66"/>
      <c r="B433" s="66"/>
      <c r="C433" s="66"/>
    </row>
    <row r="434">
      <c r="A434" s="66"/>
      <c r="B434" s="66"/>
      <c r="C434" s="66"/>
    </row>
    <row r="435">
      <c r="A435" s="66"/>
      <c r="B435" s="66"/>
      <c r="C435" s="66"/>
    </row>
    <row r="436">
      <c r="A436" s="66"/>
      <c r="B436" s="66"/>
      <c r="C436" s="66"/>
    </row>
    <row r="437">
      <c r="A437" s="66"/>
      <c r="B437" s="66"/>
      <c r="C437" s="66"/>
    </row>
    <row r="438">
      <c r="A438" s="66"/>
      <c r="B438" s="66"/>
      <c r="C438" s="66"/>
    </row>
    <row r="439">
      <c r="A439" s="66"/>
      <c r="B439" s="66"/>
      <c r="C439" s="66"/>
    </row>
    <row r="440">
      <c r="A440" s="66"/>
      <c r="B440" s="66"/>
      <c r="C440" s="66"/>
    </row>
    <row r="441">
      <c r="A441" s="66"/>
      <c r="B441" s="66"/>
      <c r="C441" s="66"/>
    </row>
    <row r="442">
      <c r="A442" s="66"/>
      <c r="B442" s="66"/>
      <c r="C442" s="66"/>
    </row>
    <row r="443">
      <c r="A443" s="66"/>
      <c r="B443" s="66"/>
      <c r="C443" s="66"/>
    </row>
    <row r="444">
      <c r="A444" s="66"/>
      <c r="B444" s="66"/>
      <c r="C444" s="66"/>
    </row>
    <row r="445">
      <c r="A445" s="66"/>
      <c r="B445" s="66"/>
      <c r="C445" s="66"/>
    </row>
    <row r="446">
      <c r="A446" s="66"/>
      <c r="B446" s="66"/>
      <c r="C446" s="66"/>
    </row>
    <row r="447">
      <c r="A447" s="66"/>
      <c r="B447" s="66"/>
      <c r="C447" s="66"/>
    </row>
    <row r="448">
      <c r="A448" s="66"/>
      <c r="B448" s="66"/>
      <c r="C448" s="66"/>
    </row>
    <row r="449">
      <c r="A449" s="66"/>
      <c r="B449" s="66"/>
      <c r="C449" s="66"/>
    </row>
    <row r="450">
      <c r="A450" s="66"/>
      <c r="B450" s="66"/>
      <c r="C450" s="66"/>
    </row>
    <row r="451">
      <c r="A451" s="66"/>
      <c r="B451" s="66"/>
      <c r="C451" s="66"/>
    </row>
    <row r="452">
      <c r="A452" s="66"/>
      <c r="B452" s="66"/>
      <c r="C452" s="66"/>
    </row>
    <row r="453">
      <c r="A453" s="66"/>
      <c r="B453" s="66"/>
      <c r="C453" s="66"/>
    </row>
    <row r="454">
      <c r="A454" s="66"/>
      <c r="B454" s="66"/>
      <c r="C454" s="66"/>
    </row>
    <row r="455">
      <c r="A455" s="66"/>
      <c r="B455" s="66"/>
      <c r="C455" s="66"/>
    </row>
    <row r="456">
      <c r="A456" s="66"/>
      <c r="B456" s="66"/>
      <c r="C456" s="66"/>
    </row>
    <row r="457">
      <c r="A457" s="66"/>
      <c r="B457" s="66"/>
      <c r="C457" s="66"/>
    </row>
    <row r="458">
      <c r="A458" s="66"/>
      <c r="B458" s="66"/>
      <c r="C458" s="66"/>
    </row>
    <row r="459">
      <c r="A459" s="66"/>
      <c r="B459" s="66"/>
      <c r="C459" s="66"/>
    </row>
    <row r="460">
      <c r="A460" s="66"/>
      <c r="B460" s="66"/>
      <c r="C460" s="66"/>
    </row>
    <row r="461">
      <c r="A461" s="66"/>
      <c r="B461" s="66"/>
      <c r="C461" s="66"/>
    </row>
    <row r="462">
      <c r="A462" s="66"/>
      <c r="B462" s="66"/>
      <c r="C462" s="66"/>
    </row>
    <row r="463">
      <c r="A463" s="66"/>
      <c r="B463" s="66"/>
      <c r="C463" s="66"/>
    </row>
    <row r="464">
      <c r="A464" s="66"/>
      <c r="B464" s="66"/>
      <c r="C464" s="66"/>
    </row>
    <row r="465">
      <c r="A465" s="66"/>
      <c r="B465" s="66"/>
      <c r="C465" s="66"/>
    </row>
    <row r="466">
      <c r="A466" s="66"/>
      <c r="B466" s="66"/>
      <c r="C466" s="66"/>
    </row>
    <row r="467">
      <c r="A467" s="66"/>
      <c r="B467" s="66"/>
      <c r="C467" s="66"/>
    </row>
    <row r="468">
      <c r="A468" s="66"/>
      <c r="B468" s="66"/>
      <c r="C468" s="66"/>
    </row>
    <row r="469">
      <c r="A469" s="66"/>
      <c r="B469" s="66"/>
      <c r="C469" s="66"/>
    </row>
    <row r="470">
      <c r="A470" s="66"/>
      <c r="B470" s="66"/>
      <c r="C470" s="66"/>
    </row>
    <row r="471">
      <c r="A471" s="66"/>
      <c r="B471" s="66"/>
      <c r="C471" s="66"/>
    </row>
    <row r="472">
      <c r="A472" s="66"/>
      <c r="B472" s="66"/>
      <c r="C472" s="66"/>
    </row>
    <row r="473">
      <c r="A473" s="66"/>
      <c r="B473" s="66"/>
      <c r="C473" s="66"/>
    </row>
    <row r="474">
      <c r="A474" s="66"/>
      <c r="B474" s="66"/>
      <c r="C474" s="66"/>
    </row>
    <row r="475">
      <c r="A475" s="66"/>
      <c r="B475" s="66"/>
      <c r="C475" s="66"/>
    </row>
    <row r="476">
      <c r="A476" s="66"/>
      <c r="B476" s="66"/>
      <c r="C476" s="66"/>
    </row>
    <row r="477">
      <c r="A477" s="66"/>
      <c r="B477" s="66"/>
      <c r="C477" s="66"/>
    </row>
    <row r="478">
      <c r="A478" s="66"/>
      <c r="B478" s="66"/>
      <c r="C478" s="66"/>
    </row>
    <row r="479">
      <c r="A479" s="66"/>
      <c r="B479" s="66"/>
      <c r="C479" s="66"/>
    </row>
    <row r="480">
      <c r="A480" s="66"/>
      <c r="B480" s="66"/>
      <c r="C480" s="66"/>
    </row>
    <row r="481">
      <c r="A481" s="66"/>
      <c r="B481" s="66"/>
      <c r="C481" s="66"/>
    </row>
    <row r="482">
      <c r="A482" s="66"/>
      <c r="B482" s="66"/>
      <c r="C482" s="66"/>
    </row>
    <row r="483">
      <c r="A483" s="66"/>
      <c r="B483" s="66"/>
      <c r="C483" s="66"/>
    </row>
    <row r="484">
      <c r="A484" s="66"/>
      <c r="B484" s="66"/>
      <c r="C484" s="66"/>
    </row>
    <row r="485">
      <c r="A485" s="66"/>
      <c r="B485" s="66"/>
      <c r="C485" s="66"/>
    </row>
    <row r="486">
      <c r="A486" s="66"/>
      <c r="B486" s="66"/>
      <c r="C486" s="66"/>
    </row>
    <row r="487">
      <c r="A487" s="66"/>
      <c r="B487" s="66"/>
      <c r="C487" s="66"/>
    </row>
    <row r="488">
      <c r="A488" s="66"/>
      <c r="B488" s="66"/>
      <c r="C488" s="66"/>
    </row>
    <row r="489">
      <c r="A489" s="66"/>
      <c r="B489" s="66"/>
      <c r="C489" s="66"/>
    </row>
    <row r="490">
      <c r="A490" s="66"/>
      <c r="B490" s="66"/>
      <c r="C490" s="66"/>
    </row>
    <row r="491">
      <c r="A491" s="66"/>
      <c r="B491" s="66"/>
      <c r="C491" s="66"/>
    </row>
    <row r="492">
      <c r="A492" s="66"/>
      <c r="B492" s="66"/>
      <c r="C492" s="66"/>
    </row>
    <row r="493">
      <c r="A493" s="66"/>
      <c r="B493" s="66"/>
      <c r="C493" s="66"/>
    </row>
    <row r="494">
      <c r="A494" s="66"/>
      <c r="B494" s="66"/>
      <c r="C494" s="66"/>
    </row>
    <row r="495">
      <c r="A495" s="66"/>
      <c r="B495" s="66"/>
      <c r="C495" s="66"/>
    </row>
    <row r="496">
      <c r="A496" s="66"/>
      <c r="B496" s="66"/>
      <c r="C496" s="66"/>
    </row>
    <row r="497">
      <c r="A497" s="66"/>
      <c r="B497" s="66"/>
      <c r="C497" s="66"/>
    </row>
    <row r="498">
      <c r="A498" s="66"/>
      <c r="B498" s="66"/>
      <c r="C498" s="66"/>
    </row>
    <row r="499">
      <c r="A499" s="66"/>
      <c r="B499" s="66"/>
      <c r="C499" s="66"/>
    </row>
    <row r="500">
      <c r="A500" s="66"/>
      <c r="B500" s="66"/>
      <c r="C500" s="66"/>
    </row>
    <row r="501">
      <c r="A501" s="66"/>
      <c r="B501" s="66"/>
      <c r="C501" s="66"/>
    </row>
    <row r="502">
      <c r="A502" s="66"/>
      <c r="B502" s="66"/>
      <c r="C502" s="66"/>
    </row>
    <row r="503">
      <c r="A503" s="66"/>
      <c r="B503" s="66"/>
      <c r="C503" s="66"/>
    </row>
    <row r="504">
      <c r="A504" s="66"/>
      <c r="B504" s="66"/>
      <c r="C504" s="66"/>
    </row>
    <row r="505">
      <c r="A505" s="66"/>
      <c r="B505" s="66"/>
      <c r="C505" s="66"/>
    </row>
    <row r="506">
      <c r="A506" s="66"/>
      <c r="B506" s="66"/>
      <c r="C506" s="66"/>
    </row>
    <row r="507">
      <c r="A507" s="66"/>
      <c r="B507" s="66"/>
      <c r="C507" s="66"/>
    </row>
    <row r="508">
      <c r="A508" s="66"/>
      <c r="B508" s="66"/>
      <c r="C508" s="66"/>
    </row>
    <row r="509">
      <c r="A509" s="66"/>
      <c r="B509" s="66"/>
      <c r="C509" s="66"/>
    </row>
    <row r="510">
      <c r="A510" s="66"/>
      <c r="B510" s="66"/>
      <c r="C510" s="66"/>
    </row>
    <row r="511">
      <c r="A511" s="66"/>
      <c r="B511" s="66"/>
      <c r="C511" s="66"/>
    </row>
    <row r="512">
      <c r="A512" s="66"/>
      <c r="B512" s="66"/>
      <c r="C512" s="66"/>
    </row>
    <row r="513">
      <c r="A513" s="66"/>
      <c r="B513" s="66"/>
      <c r="C513" s="66"/>
    </row>
    <row r="514">
      <c r="A514" s="66"/>
      <c r="B514" s="66"/>
      <c r="C514" s="66"/>
    </row>
    <row r="515">
      <c r="A515" s="66"/>
      <c r="B515" s="66"/>
      <c r="C515" s="66"/>
    </row>
    <row r="516">
      <c r="A516" s="66"/>
      <c r="B516" s="66"/>
      <c r="C516" s="66"/>
    </row>
    <row r="517">
      <c r="A517" s="66"/>
      <c r="B517" s="66"/>
      <c r="C517" s="66"/>
    </row>
    <row r="518">
      <c r="A518" s="66"/>
      <c r="B518" s="66"/>
      <c r="C518" s="66"/>
    </row>
    <row r="519">
      <c r="A519" s="66"/>
      <c r="B519" s="66"/>
      <c r="C519" s="66"/>
    </row>
    <row r="520">
      <c r="A520" s="66"/>
      <c r="B520" s="66"/>
      <c r="C520" s="66"/>
    </row>
    <row r="521">
      <c r="A521" s="66"/>
      <c r="B521" s="66"/>
      <c r="C521" s="66"/>
    </row>
    <row r="522">
      <c r="A522" s="66"/>
      <c r="B522" s="66"/>
      <c r="C522" s="66"/>
    </row>
    <row r="523">
      <c r="A523" s="66"/>
      <c r="B523" s="66"/>
      <c r="C523" s="66"/>
    </row>
    <row r="524">
      <c r="A524" s="66"/>
      <c r="B524" s="66"/>
      <c r="C524" s="66"/>
    </row>
    <row r="525">
      <c r="A525" s="66"/>
      <c r="B525" s="66"/>
      <c r="C525" s="66"/>
    </row>
    <row r="526">
      <c r="A526" s="66"/>
      <c r="B526" s="66"/>
      <c r="C526" s="66"/>
    </row>
    <row r="527">
      <c r="A527" s="66"/>
      <c r="B527" s="66"/>
      <c r="C527" s="66"/>
    </row>
    <row r="528">
      <c r="A528" s="66"/>
      <c r="B528" s="66"/>
      <c r="C528" s="66"/>
    </row>
    <row r="529">
      <c r="A529" s="66"/>
      <c r="B529" s="66"/>
      <c r="C529" s="66"/>
    </row>
    <row r="530">
      <c r="A530" s="66"/>
      <c r="B530" s="66"/>
      <c r="C530" s="66"/>
    </row>
    <row r="531">
      <c r="A531" s="66"/>
      <c r="B531" s="66"/>
      <c r="C531" s="66"/>
    </row>
    <row r="532">
      <c r="A532" s="66"/>
      <c r="B532" s="66"/>
      <c r="C532" s="66"/>
    </row>
    <row r="533">
      <c r="A533" s="66"/>
      <c r="B533" s="66"/>
      <c r="C533" s="66"/>
    </row>
    <row r="534">
      <c r="A534" s="66"/>
      <c r="B534" s="66"/>
      <c r="C534" s="66"/>
    </row>
    <row r="535">
      <c r="A535" s="66"/>
      <c r="B535" s="66"/>
      <c r="C535" s="66"/>
    </row>
    <row r="536">
      <c r="A536" s="66"/>
      <c r="B536" s="66"/>
      <c r="C536" s="66"/>
    </row>
    <row r="537">
      <c r="A537" s="66"/>
      <c r="B537" s="66"/>
      <c r="C537" s="66"/>
    </row>
    <row r="538">
      <c r="A538" s="66"/>
      <c r="B538" s="66"/>
      <c r="C538" s="66"/>
    </row>
    <row r="539">
      <c r="A539" s="66"/>
      <c r="B539" s="66"/>
      <c r="C539" s="66"/>
    </row>
    <row r="540">
      <c r="A540" s="66"/>
      <c r="B540" s="66"/>
      <c r="C540" s="66"/>
    </row>
    <row r="541">
      <c r="A541" s="66"/>
      <c r="B541" s="66"/>
      <c r="C541" s="66"/>
    </row>
    <row r="542">
      <c r="A542" s="66"/>
      <c r="B542" s="66"/>
      <c r="C542" s="66"/>
    </row>
    <row r="543">
      <c r="A543" s="66"/>
      <c r="B543" s="66"/>
      <c r="C543" s="66"/>
    </row>
    <row r="544">
      <c r="A544" s="66"/>
      <c r="B544" s="66"/>
      <c r="C544" s="66"/>
    </row>
    <row r="545">
      <c r="A545" s="66"/>
      <c r="B545" s="66"/>
      <c r="C545" s="66"/>
    </row>
    <row r="546">
      <c r="A546" s="66"/>
      <c r="B546" s="66"/>
      <c r="C546" s="66"/>
    </row>
    <row r="547">
      <c r="A547" s="66"/>
      <c r="B547" s="66"/>
      <c r="C547" s="66"/>
    </row>
    <row r="548">
      <c r="A548" s="66"/>
      <c r="B548" s="66"/>
      <c r="C548" s="66"/>
    </row>
    <row r="549">
      <c r="A549" s="66"/>
      <c r="B549" s="66"/>
      <c r="C549" s="66"/>
    </row>
    <row r="550">
      <c r="A550" s="66"/>
      <c r="B550" s="66"/>
      <c r="C550" s="66"/>
    </row>
    <row r="551">
      <c r="A551" s="66"/>
      <c r="B551" s="66"/>
      <c r="C551" s="66"/>
    </row>
    <row r="552">
      <c r="A552" s="66"/>
      <c r="B552" s="66"/>
      <c r="C552" s="66"/>
    </row>
    <row r="553">
      <c r="A553" s="66"/>
      <c r="B553" s="66"/>
      <c r="C553" s="66"/>
    </row>
    <row r="554">
      <c r="A554" s="66"/>
      <c r="B554" s="66"/>
      <c r="C554" s="66"/>
    </row>
    <row r="555">
      <c r="A555" s="66"/>
      <c r="B555" s="66"/>
      <c r="C555" s="66"/>
    </row>
    <row r="556">
      <c r="A556" s="66"/>
      <c r="B556" s="66"/>
      <c r="C556" s="66"/>
    </row>
    <row r="557">
      <c r="A557" s="66"/>
      <c r="B557" s="66"/>
      <c r="C557" s="66"/>
    </row>
    <row r="558">
      <c r="A558" s="66"/>
      <c r="B558" s="66"/>
      <c r="C558" s="66"/>
    </row>
    <row r="559">
      <c r="A559" s="66"/>
      <c r="B559" s="66"/>
      <c r="C559" s="66"/>
    </row>
    <row r="560">
      <c r="A560" s="66"/>
      <c r="B560" s="66"/>
      <c r="C560" s="66"/>
    </row>
    <row r="561">
      <c r="A561" s="66"/>
      <c r="B561" s="66"/>
      <c r="C561" s="66"/>
    </row>
    <row r="562">
      <c r="A562" s="66"/>
      <c r="B562" s="66"/>
      <c r="C562" s="66"/>
    </row>
    <row r="563">
      <c r="A563" s="66"/>
      <c r="B563" s="66"/>
      <c r="C563" s="66"/>
    </row>
    <row r="564">
      <c r="A564" s="66"/>
      <c r="B564" s="66"/>
      <c r="C564" s="66"/>
    </row>
    <row r="565">
      <c r="A565" s="66"/>
      <c r="B565" s="66"/>
      <c r="C565" s="66"/>
    </row>
    <row r="566">
      <c r="A566" s="66"/>
      <c r="B566" s="66"/>
      <c r="C566" s="66"/>
    </row>
    <row r="567">
      <c r="A567" s="66"/>
      <c r="B567" s="66"/>
      <c r="C567" s="66"/>
    </row>
    <row r="568">
      <c r="A568" s="66"/>
      <c r="B568" s="66"/>
      <c r="C568" s="66"/>
    </row>
    <row r="569">
      <c r="A569" s="66"/>
      <c r="B569" s="66"/>
      <c r="C569" s="66"/>
    </row>
    <row r="570">
      <c r="A570" s="66"/>
      <c r="B570" s="66"/>
      <c r="C570" s="66"/>
    </row>
    <row r="571">
      <c r="A571" s="66"/>
      <c r="B571" s="66"/>
      <c r="C571" s="66"/>
    </row>
    <row r="572">
      <c r="A572" s="66"/>
      <c r="B572" s="66"/>
      <c r="C572" s="66"/>
    </row>
    <row r="573">
      <c r="A573" s="66"/>
      <c r="B573" s="66"/>
      <c r="C573" s="66"/>
    </row>
    <row r="574">
      <c r="A574" s="66"/>
      <c r="B574" s="66"/>
      <c r="C574" s="66"/>
    </row>
    <row r="575">
      <c r="A575" s="66"/>
      <c r="B575" s="66"/>
      <c r="C575" s="66"/>
    </row>
    <row r="576">
      <c r="A576" s="66"/>
      <c r="B576" s="66"/>
      <c r="C576" s="66"/>
    </row>
    <row r="577">
      <c r="A577" s="66"/>
      <c r="B577" s="66"/>
      <c r="C577" s="66"/>
    </row>
    <row r="578">
      <c r="A578" s="66"/>
      <c r="B578" s="66"/>
      <c r="C578" s="66"/>
    </row>
    <row r="579">
      <c r="A579" s="66"/>
      <c r="B579" s="66"/>
      <c r="C579" s="66"/>
    </row>
    <row r="580">
      <c r="A580" s="66"/>
      <c r="B580" s="66"/>
      <c r="C580" s="66"/>
    </row>
    <row r="581">
      <c r="A581" s="66"/>
      <c r="B581" s="66"/>
      <c r="C581" s="66"/>
    </row>
    <row r="582">
      <c r="A582" s="66"/>
      <c r="B582" s="66"/>
      <c r="C582" s="66"/>
    </row>
    <row r="583">
      <c r="A583" s="66"/>
      <c r="B583" s="66"/>
      <c r="C583" s="66"/>
    </row>
    <row r="584">
      <c r="A584" s="66"/>
      <c r="B584" s="66"/>
      <c r="C584" s="66"/>
    </row>
    <row r="585">
      <c r="A585" s="66"/>
      <c r="B585" s="66"/>
      <c r="C585" s="66"/>
    </row>
    <row r="586">
      <c r="A586" s="66"/>
      <c r="B586" s="66"/>
      <c r="C586" s="66"/>
    </row>
    <row r="587">
      <c r="A587" s="66"/>
      <c r="B587" s="66"/>
      <c r="C587" s="66"/>
    </row>
    <row r="588">
      <c r="A588" s="66"/>
      <c r="B588" s="66"/>
      <c r="C588" s="66"/>
    </row>
    <row r="589">
      <c r="A589" s="66"/>
      <c r="B589" s="66"/>
      <c r="C589" s="66"/>
    </row>
    <row r="590">
      <c r="A590" s="66"/>
      <c r="B590" s="66"/>
      <c r="C590" s="66"/>
    </row>
    <row r="591">
      <c r="A591" s="66"/>
      <c r="B591" s="66"/>
      <c r="C591" s="66"/>
    </row>
    <row r="592">
      <c r="A592" s="66"/>
      <c r="B592" s="66"/>
      <c r="C592" s="66"/>
    </row>
    <row r="593">
      <c r="A593" s="66"/>
      <c r="B593" s="66"/>
      <c r="C593" s="66"/>
    </row>
    <row r="594">
      <c r="A594" s="66"/>
      <c r="B594" s="66"/>
      <c r="C594" s="66"/>
    </row>
    <row r="595">
      <c r="A595" s="66"/>
      <c r="B595" s="66"/>
      <c r="C595" s="66"/>
    </row>
    <row r="596">
      <c r="A596" s="66"/>
      <c r="B596" s="66"/>
      <c r="C596" s="66"/>
    </row>
    <row r="597">
      <c r="A597" s="66"/>
      <c r="B597" s="66"/>
      <c r="C597" s="66"/>
    </row>
    <row r="598">
      <c r="A598" s="66"/>
      <c r="B598" s="66"/>
      <c r="C598" s="66"/>
    </row>
    <row r="599">
      <c r="A599" s="66"/>
      <c r="B599" s="66"/>
      <c r="C599" s="66"/>
    </row>
    <row r="600">
      <c r="A600" s="66"/>
      <c r="B600" s="66"/>
      <c r="C600" s="66"/>
    </row>
    <row r="601">
      <c r="A601" s="66"/>
      <c r="B601" s="66"/>
      <c r="C601" s="66"/>
    </row>
    <row r="602">
      <c r="A602" s="66"/>
      <c r="B602" s="66"/>
      <c r="C602" s="66"/>
    </row>
    <row r="603">
      <c r="A603" s="66"/>
      <c r="B603" s="66"/>
      <c r="C603" s="66"/>
    </row>
    <row r="604">
      <c r="A604" s="66"/>
      <c r="B604" s="66"/>
      <c r="C604" s="66"/>
    </row>
    <row r="605">
      <c r="A605" s="66"/>
      <c r="B605" s="66"/>
      <c r="C605" s="66"/>
    </row>
    <row r="606">
      <c r="A606" s="66"/>
      <c r="B606" s="66"/>
      <c r="C606" s="66"/>
    </row>
    <row r="607">
      <c r="A607" s="66"/>
      <c r="B607" s="66"/>
      <c r="C607" s="66"/>
    </row>
    <row r="608">
      <c r="A608" s="66"/>
      <c r="B608" s="66"/>
      <c r="C608" s="66"/>
    </row>
    <row r="609">
      <c r="A609" s="66"/>
      <c r="B609" s="66"/>
      <c r="C609" s="66"/>
    </row>
    <row r="610">
      <c r="A610" s="66"/>
      <c r="B610" s="66"/>
      <c r="C610" s="66"/>
    </row>
    <row r="611">
      <c r="A611" s="66"/>
      <c r="B611" s="66"/>
      <c r="C611" s="66"/>
    </row>
    <row r="612">
      <c r="A612" s="66"/>
      <c r="B612" s="66"/>
      <c r="C612" s="66"/>
    </row>
    <row r="613">
      <c r="A613" s="66"/>
      <c r="B613" s="66"/>
      <c r="C613" s="66"/>
    </row>
    <row r="614">
      <c r="A614" s="66"/>
      <c r="B614" s="66"/>
      <c r="C614" s="66"/>
    </row>
    <row r="615">
      <c r="A615" s="66"/>
      <c r="B615" s="66"/>
      <c r="C615" s="66"/>
    </row>
    <row r="616">
      <c r="A616" s="66"/>
      <c r="B616" s="66"/>
      <c r="C616" s="66"/>
    </row>
    <row r="617">
      <c r="A617" s="66"/>
      <c r="B617" s="66"/>
      <c r="C617" s="66"/>
    </row>
    <row r="618">
      <c r="A618" s="66"/>
      <c r="B618" s="66"/>
      <c r="C618" s="66"/>
    </row>
    <row r="619">
      <c r="A619" s="66"/>
      <c r="B619" s="66"/>
      <c r="C619" s="66"/>
    </row>
    <row r="620">
      <c r="A620" s="66"/>
      <c r="B620" s="66"/>
      <c r="C620" s="66"/>
    </row>
    <row r="621">
      <c r="A621" s="66"/>
      <c r="B621" s="66"/>
      <c r="C621" s="66"/>
    </row>
    <row r="622">
      <c r="A622" s="66"/>
      <c r="B622" s="66"/>
      <c r="C622" s="66"/>
    </row>
    <row r="623">
      <c r="A623" s="66"/>
      <c r="B623" s="66"/>
      <c r="C623" s="66"/>
    </row>
    <row r="624">
      <c r="A624" s="66"/>
      <c r="B624" s="66"/>
      <c r="C624" s="66"/>
    </row>
    <row r="625">
      <c r="A625" s="66"/>
      <c r="B625" s="66"/>
      <c r="C625" s="66"/>
    </row>
    <row r="626">
      <c r="A626" s="66"/>
      <c r="B626" s="66"/>
      <c r="C626" s="66"/>
    </row>
    <row r="627">
      <c r="A627" s="66"/>
      <c r="B627" s="66"/>
      <c r="C627" s="66"/>
    </row>
    <row r="628">
      <c r="A628" s="66"/>
      <c r="B628" s="66"/>
      <c r="C628" s="66"/>
    </row>
    <row r="629">
      <c r="A629" s="66"/>
      <c r="B629" s="66"/>
      <c r="C629" s="66"/>
    </row>
    <row r="630">
      <c r="A630" s="66"/>
      <c r="B630" s="66"/>
      <c r="C630" s="66"/>
    </row>
    <row r="631">
      <c r="A631" s="66"/>
      <c r="B631" s="66"/>
      <c r="C631" s="66"/>
    </row>
    <row r="632">
      <c r="A632" s="66"/>
      <c r="B632" s="66"/>
      <c r="C632" s="66"/>
    </row>
    <row r="633">
      <c r="A633" s="66"/>
      <c r="B633" s="66"/>
      <c r="C633" s="66"/>
    </row>
    <row r="634">
      <c r="A634" s="66"/>
      <c r="B634" s="66"/>
      <c r="C634" s="66"/>
    </row>
    <row r="635">
      <c r="A635" s="66"/>
      <c r="B635" s="66"/>
      <c r="C635" s="66"/>
    </row>
    <row r="636">
      <c r="A636" s="66"/>
      <c r="B636" s="66"/>
      <c r="C636" s="66"/>
    </row>
    <row r="637">
      <c r="A637" s="66"/>
      <c r="B637" s="66"/>
      <c r="C637" s="66"/>
    </row>
    <row r="638">
      <c r="A638" s="66"/>
      <c r="B638" s="66"/>
      <c r="C638" s="66"/>
    </row>
    <row r="639">
      <c r="A639" s="66"/>
      <c r="B639" s="66"/>
      <c r="C639" s="66"/>
    </row>
    <row r="640">
      <c r="A640" s="66"/>
      <c r="B640" s="66"/>
      <c r="C640" s="66"/>
    </row>
    <row r="641">
      <c r="A641" s="66"/>
      <c r="B641" s="66"/>
      <c r="C641" s="66"/>
    </row>
    <row r="642">
      <c r="A642" s="66"/>
      <c r="B642" s="66"/>
      <c r="C642" s="66"/>
    </row>
    <row r="643">
      <c r="A643" s="66"/>
      <c r="B643" s="66"/>
      <c r="C643" s="66"/>
    </row>
    <row r="644">
      <c r="A644" s="66"/>
      <c r="B644" s="66"/>
      <c r="C644" s="66"/>
    </row>
    <row r="645">
      <c r="A645" s="66"/>
      <c r="B645" s="66"/>
      <c r="C645" s="66"/>
    </row>
    <row r="646">
      <c r="A646" s="66"/>
      <c r="B646" s="66"/>
      <c r="C646" s="66"/>
    </row>
    <row r="647">
      <c r="A647" s="66"/>
      <c r="B647" s="66"/>
      <c r="C647" s="66"/>
    </row>
    <row r="648">
      <c r="A648" s="66"/>
      <c r="B648" s="66"/>
      <c r="C648" s="66"/>
    </row>
    <row r="649">
      <c r="A649" s="66"/>
      <c r="B649" s="66"/>
      <c r="C649" s="66"/>
    </row>
    <row r="650">
      <c r="A650" s="66"/>
      <c r="B650" s="66"/>
      <c r="C650" s="66"/>
    </row>
    <row r="651">
      <c r="A651" s="66"/>
      <c r="B651" s="66"/>
      <c r="C651" s="66"/>
    </row>
    <row r="652">
      <c r="A652" s="66"/>
      <c r="B652" s="66"/>
      <c r="C652" s="66"/>
    </row>
    <row r="653">
      <c r="A653" s="66"/>
      <c r="B653" s="66"/>
      <c r="C653" s="66"/>
    </row>
    <row r="654">
      <c r="A654" s="66"/>
      <c r="B654" s="66"/>
      <c r="C654" s="66"/>
    </row>
    <row r="655">
      <c r="A655" s="66"/>
      <c r="B655" s="66"/>
      <c r="C655" s="66"/>
    </row>
    <row r="656">
      <c r="A656" s="66"/>
      <c r="B656" s="66"/>
      <c r="C656" s="66"/>
    </row>
    <row r="657">
      <c r="A657" s="66"/>
      <c r="B657" s="66"/>
      <c r="C657" s="66"/>
    </row>
    <row r="658">
      <c r="A658" s="66"/>
      <c r="B658" s="66"/>
      <c r="C658" s="66"/>
    </row>
    <row r="659">
      <c r="A659" s="66"/>
      <c r="B659" s="66"/>
      <c r="C659" s="66"/>
    </row>
    <row r="660">
      <c r="A660" s="66"/>
      <c r="B660" s="66"/>
      <c r="C660" s="66"/>
    </row>
    <row r="661">
      <c r="A661" s="66"/>
      <c r="B661" s="66"/>
      <c r="C661" s="66"/>
    </row>
    <row r="662">
      <c r="A662" s="66"/>
      <c r="B662" s="66"/>
      <c r="C662" s="66"/>
    </row>
    <row r="663">
      <c r="A663" s="66"/>
      <c r="B663" s="66"/>
      <c r="C663" s="66"/>
    </row>
    <row r="664">
      <c r="A664" s="66"/>
      <c r="B664" s="66"/>
      <c r="C664" s="66"/>
    </row>
    <row r="665">
      <c r="A665" s="66"/>
      <c r="B665" s="66"/>
      <c r="C665" s="66"/>
    </row>
    <row r="666">
      <c r="A666" s="66"/>
      <c r="B666" s="66"/>
      <c r="C666" s="66"/>
    </row>
    <row r="667">
      <c r="A667" s="66"/>
      <c r="B667" s="66"/>
      <c r="C667" s="66"/>
    </row>
    <row r="668">
      <c r="A668" s="66"/>
      <c r="B668" s="66"/>
      <c r="C668" s="66"/>
    </row>
    <row r="669">
      <c r="A669" s="66"/>
      <c r="B669" s="66"/>
      <c r="C669" s="66"/>
    </row>
    <row r="670">
      <c r="A670" s="66"/>
      <c r="B670" s="66"/>
      <c r="C670" s="66"/>
    </row>
    <row r="671">
      <c r="A671" s="66"/>
      <c r="B671" s="66"/>
      <c r="C671" s="66"/>
    </row>
    <row r="672">
      <c r="A672" s="66"/>
      <c r="B672" s="66"/>
      <c r="C672" s="66"/>
    </row>
    <row r="673">
      <c r="A673" s="66"/>
      <c r="B673" s="66"/>
      <c r="C673" s="66"/>
    </row>
    <row r="674">
      <c r="A674" s="66"/>
      <c r="B674" s="66"/>
      <c r="C674" s="66"/>
    </row>
    <row r="675">
      <c r="A675" s="66"/>
      <c r="B675" s="66"/>
      <c r="C675" s="66"/>
    </row>
    <row r="676">
      <c r="A676" s="66"/>
      <c r="B676" s="66"/>
      <c r="C676" s="66"/>
    </row>
    <row r="677">
      <c r="A677" s="66"/>
      <c r="B677" s="66"/>
      <c r="C677" s="66"/>
    </row>
    <row r="678">
      <c r="A678" s="66"/>
      <c r="B678" s="66"/>
      <c r="C678" s="66"/>
    </row>
    <row r="679">
      <c r="A679" s="66"/>
      <c r="B679" s="66"/>
      <c r="C679" s="66"/>
    </row>
    <row r="680">
      <c r="A680" s="66"/>
      <c r="B680" s="66"/>
      <c r="C680" s="66"/>
    </row>
    <row r="681">
      <c r="A681" s="66"/>
      <c r="B681" s="66"/>
      <c r="C681" s="66"/>
    </row>
    <row r="682">
      <c r="A682" s="66"/>
      <c r="B682" s="66"/>
      <c r="C682" s="66"/>
    </row>
    <row r="683">
      <c r="A683" s="66"/>
      <c r="B683" s="66"/>
      <c r="C683" s="66"/>
    </row>
    <row r="684">
      <c r="A684" s="66"/>
      <c r="B684" s="66"/>
      <c r="C684" s="66"/>
    </row>
    <row r="685">
      <c r="A685" s="66"/>
      <c r="B685" s="66"/>
      <c r="C685" s="66"/>
    </row>
    <row r="686">
      <c r="A686" s="66"/>
      <c r="B686" s="66"/>
      <c r="C686" s="66"/>
    </row>
    <row r="687">
      <c r="A687" s="66"/>
      <c r="B687" s="66"/>
      <c r="C687" s="66"/>
    </row>
    <row r="688">
      <c r="A688" s="66"/>
      <c r="B688" s="66"/>
      <c r="C688" s="66"/>
    </row>
    <row r="689">
      <c r="A689" s="66"/>
      <c r="B689" s="66"/>
      <c r="C689" s="66"/>
    </row>
    <row r="690">
      <c r="A690" s="66"/>
      <c r="B690" s="66"/>
      <c r="C690" s="66"/>
    </row>
    <row r="691">
      <c r="A691" s="66"/>
      <c r="B691" s="66"/>
      <c r="C691" s="66"/>
    </row>
    <row r="692">
      <c r="A692" s="66"/>
      <c r="B692" s="66"/>
      <c r="C692" s="66"/>
    </row>
    <row r="693">
      <c r="A693" s="66"/>
      <c r="B693" s="66"/>
      <c r="C693" s="66"/>
    </row>
    <row r="694">
      <c r="A694" s="66"/>
      <c r="B694" s="66"/>
      <c r="C694" s="66"/>
    </row>
    <row r="695">
      <c r="A695" s="66"/>
      <c r="B695" s="66"/>
      <c r="C695" s="66"/>
    </row>
    <row r="696">
      <c r="A696" s="66"/>
      <c r="B696" s="66"/>
      <c r="C696" s="66"/>
    </row>
    <row r="697">
      <c r="A697" s="66"/>
      <c r="B697" s="66"/>
      <c r="C697" s="66"/>
    </row>
    <row r="698">
      <c r="A698" s="66"/>
      <c r="B698" s="66"/>
      <c r="C698" s="66"/>
    </row>
    <row r="699">
      <c r="A699" s="66"/>
      <c r="B699" s="66"/>
      <c r="C699" s="66"/>
    </row>
    <row r="700">
      <c r="A700" s="66"/>
      <c r="B700" s="66"/>
      <c r="C700" s="66"/>
    </row>
    <row r="701">
      <c r="A701" s="66"/>
      <c r="B701" s="66"/>
      <c r="C701" s="66"/>
    </row>
    <row r="702">
      <c r="A702" s="66"/>
      <c r="B702" s="66"/>
      <c r="C702" s="66"/>
    </row>
    <row r="703">
      <c r="A703" s="66"/>
      <c r="B703" s="66"/>
      <c r="C703" s="66"/>
    </row>
    <row r="704">
      <c r="A704" s="66"/>
      <c r="B704" s="66"/>
      <c r="C704" s="66"/>
    </row>
    <row r="705">
      <c r="A705" s="66"/>
      <c r="B705" s="66"/>
      <c r="C705" s="66"/>
    </row>
    <row r="706">
      <c r="A706" s="66"/>
      <c r="B706" s="66"/>
      <c r="C706" s="66"/>
    </row>
    <row r="707">
      <c r="A707" s="66"/>
      <c r="B707" s="66"/>
      <c r="C707" s="66"/>
    </row>
    <row r="708">
      <c r="A708" s="66"/>
      <c r="B708" s="66"/>
      <c r="C708" s="66"/>
    </row>
    <row r="709">
      <c r="A709" s="66"/>
      <c r="B709" s="66"/>
      <c r="C709" s="66"/>
    </row>
    <row r="710">
      <c r="A710" s="66"/>
      <c r="B710" s="66"/>
      <c r="C710" s="66"/>
    </row>
    <row r="711">
      <c r="A711" s="66"/>
      <c r="B711" s="66"/>
      <c r="C711" s="66"/>
    </row>
    <row r="712">
      <c r="A712" s="66"/>
      <c r="B712" s="66"/>
      <c r="C712" s="66"/>
    </row>
    <row r="713">
      <c r="A713" s="66"/>
      <c r="B713" s="66"/>
      <c r="C713" s="66"/>
    </row>
    <row r="714">
      <c r="A714" s="66"/>
      <c r="B714" s="66"/>
      <c r="C714" s="66"/>
    </row>
    <row r="715">
      <c r="A715" s="66"/>
      <c r="B715" s="66"/>
      <c r="C715" s="66"/>
    </row>
    <row r="716">
      <c r="A716" s="66"/>
      <c r="B716" s="66"/>
      <c r="C716" s="66"/>
    </row>
    <row r="717">
      <c r="A717" s="66"/>
      <c r="B717" s="66"/>
      <c r="C717" s="66"/>
    </row>
    <row r="718">
      <c r="A718" s="66"/>
      <c r="B718" s="66"/>
      <c r="C718" s="66"/>
    </row>
    <row r="719">
      <c r="A719" s="66"/>
      <c r="B719" s="66"/>
      <c r="C719" s="66"/>
    </row>
    <row r="720">
      <c r="A720" s="66"/>
      <c r="B720" s="66"/>
      <c r="C720" s="66"/>
    </row>
    <row r="721">
      <c r="A721" s="66"/>
      <c r="B721" s="66"/>
      <c r="C721" s="66"/>
    </row>
    <row r="722">
      <c r="A722" s="66"/>
      <c r="B722" s="66"/>
      <c r="C722" s="66"/>
    </row>
    <row r="723">
      <c r="A723" s="66"/>
      <c r="B723" s="66"/>
      <c r="C723" s="66"/>
    </row>
    <row r="724">
      <c r="A724" s="66"/>
      <c r="B724" s="66"/>
      <c r="C724" s="66"/>
    </row>
    <row r="725">
      <c r="A725" s="66"/>
      <c r="B725" s="66"/>
      <c r="C725" s="66"/>
    </row>
    <row r="726">
      <c r="A726" s="66"/>
      <c r="B726" s="66"/>
      <c r="C726" s="66"/>
    </row>
    <row r="727">
      <c r="A727" s="66"/>
      <c r="B727" s="66"/>
      <c r="C727" s="66"/>
    </row>
    <row r="728">
      <c r="A728" s="66"/>
      <c r="B728" s="66"/>
      <c r="C728" s="66"/>
    </row>
    <row r="729">
      <c r="A729" s="66"/>
      <c r="B729" s="66"/>
      <c r="C729" s="66"/>
    </row>
    <row r="730">
      <c r="A730" s="66"/>
      <c r="B730" s="66"/>
      <c r="C730" s="66"/>
    </row>
    <row r="731">
      <c r="A731" s="66"/>
      <c r="B731" s="66"/>
      <c r="C731" s="66"/>
    </row>
    <row r="732">
      <c r="A732" s="66"/>
      <c r="B732" s="66"/>
      <c r="C732" s="66"/>
    </row>
    <row r="733">
      <c r="A733" s="66"/>
      <c r="B733" s="66"/>
      <c r="C733" s="66"/>
    </row>
    <row r="734">
      <c r="A734" s="66"/>
      <c r="B734" s="66"/>
      <c r="C734" s="66"/>
    </row>
    <row r="735">
      <c r="A735" s="66"/>
      <c r="B735" s="66"/>
      <c r="C735" s="66"/>
    </row>
    <row r="736">
      <c r="A736" s="66"/>
      <c r="B736" s="66"/>
      <c r="C736" s="66"/>
    </row>
    <row r="737">
      <c r="A737" s="66"/>
      <c r="B737" s="66"/>
      <c r="C737" s="66"/>
    </row>
    <row r="738">
      <c r="A738" s="66"/>
      <c r="B738" s="66"/>
      <c r="C738" s="66"/>
    </row>
    <row r="739">
      <c r="A739" s="66"/>
      <c r="B739" s="66"/>
      <c r="C739" s="66"/>
    </row>
    <row r="740">
      <c r="A740" s="66"/>
      <c r="B740" s="66"/>
      <c r="C740" s="66"/>
    </row>
    <row r="741">
      <c r="A741" s="66"/>
      <c r="B741" s="66"/>
      <c r="C741" s="66"/>
    </row>
    <row r="742">
      <c r="A742" s="66"/>
      <c r="B742" s="66"/>
      <c r="C742" s="66"/>
    </row>
    <row r="743">
      <c r="A743" s="66"/>
      <c r="B743" s="66"/>
      <c r="C743" s="66"/>
    </row>
    <row r="744">
      <c r="A744" s="66"/>
      <c r="B744" s="66"/>
      <c r="C744" s="66"/>
    </row>
    <row r="745">
      <c r="A745" s="66"/>
      <c r="B745" s="66"/>
      <c r="C745" s="66"/>
    </row>
    <row r="746">
      <c r="A746" s="66"/>
      <c r="B746" s="66"/>
      <c r="C746" s="66"/>
    </row>
    <row r="747">
      <c r="A747" s="66"/>
      <c r="B747" s="66"/>
      <c r="C747" s="66"/>
    </row>
    <row r="748">
      <c r="A748" s="66"/>
      <c r="B748" s="66"/>
      <c r="C748" s="66"/>
    </row>
    <row r="749">
      <c r="A749" s="66"/>
      <c r="B749" s="66"/>
      <c r="C749" s="66"/>
    </row>
    <row r="750">
      <c r="A750" s="66"/>
      <c r="B750" s="66"/>
      <c r="C750" s="66"/>
    </row>
    <row r="751">
      <c r="A751" s="66"/>
      <c r="B751" s="66"/>
      <c r="C751" s="66"/>
    </row>
    <row r="752">
      <c r="A752" s="66"/>
      <c r="B752" s="66"/>
      <c r="C752" s="66"/>
    </row>
    <row r="753">
      <c r="A753" s="66"/>
      <c r="B753" s="66"/>
      <c r="C753" s="66"/>
    </row>
    <row r="754">
      <c r="A754" s="66"/>
      <c r="B754" s="66"/>
      <c r="C754" s="66"/>
    </row>
    <row r="755">
      <c r="A755" s="66"/>
      <c r="B755" s="66"/>
      <c r="C755" s="66"/>
    </row>
    <row r="756">
      <c r="A756" s="66"/>
      <c r="B756" s="66"/>
      <c r="C756" s="66"/>
    </row>
    <row r="757">
      <c r="A757" s="66"/>
      <c r="B757" s="66"/>
      <c r="C757" s="66"/>
    </row>
    <row r="758">
      <c r="A758" s="66"/>
      <c r="B758" s="66"/>
      <c r="C758" s="66"/>
    </row>
    <row r="759">
      <c r="A759" s="66"/>
      <c r="B759" s="66"/>
      <c r="C759" s="66"/>
    </row>
    <row r="760">
      <c r="A760" s="66"/>
      <c r="B760" s="66"/>
      <c r="C760" s="66"/>
    </row>
    <row r="761">
      <c r="A761" s="66"/>
      <c r="B761" s="66"/>
      <c r="C761" s="66"/>
    </row>
    <row r="762">
      <c r="A762" s="66"/>
      <c r="B762" s="66"/>
      <c r="C762" s="66"/>
    </row>
    <row r="763">
      <c r="A763" s="66"/>
      <c r="B763" s="66"/>
      <c r="C763" s="66"/>
    </row>
    <row r="764">
      <c r="A764" s="66"/>
      <c r="B764" s="66"/>
      <c r="C764" s="66"/>
    </row>
    <row r="765">
      <c r="A765" s="66"/>
      <c r="B765" s="66"/>
      <c r="C765" s="66"/>
    </row>
    <row r="766">
      <c r="A766" s="66"/>
      <c r="B766" s="66"/>
      <c r="C766" s="66"/>
    </row>
    <row r="767">
      <c r="A767" s="66"/>
      <c r="B767" s="66"/>
      <c r="C767" s="66"/>
    </row>
    <row r="768">
      <c r="A768" s="66"/>
      <c r="B768" s="66"/>
      <c r="C768" s="66"/>
    </row>
    <row r="769">
      <c r="A769" s="66"/>
      <c r="B769" s="66"/>
      <c r="C769" s="66"/>
    </row>
    <row r="770">
      <c r="A770" s="66"/>
      <c r="B770" s="66"/>
      <c r="C770" s="66"/>
    </row>
    <row r="771">
      <c r="A771" s="66"/>
      <c r="B771" s="66"/>
      <c r="C771" s="66"/>
    </row>
    <row r="772">
      <c r="A772" s="66"/>
      <c r="B772" s="66"/>
      <c r="C772" s="66"/>
    </row>
    <row r="773">
      <c r="A773" s="66"/>
      <c r="B773" s="66"/>
      <c r="C773" s="66"/>
    </row>
    <row r="774">
      <c r="A774" s="66"/>
      <c r="B774" s="66"/>
      <c r="C774" s="66"/>
    </row>
    <row r="775">
      <c r="A775" s="66"/>
      <c r="B775" s="66"/>
      <c r="C775" s="66"/>
    </row>
    <row r="776">
      <c r="A776" s="66"/>
      <c r="B776" s="66"/>
      <c r="C776" s="66"/>
    </row>
    <row r="777">
      <c r="A777" s="66"/>
      <c r="B777" s="66"/>
      <c r="C777" s="66"/>
    </row>
    <row r="778">
      <c r="A778" s="66"/>
      <c r="B778" s="66"/>
      <c r="C778" s="66"/>
    </row>
    <row r="779">
      <c r="A779" s="66"/>
      <c r="B779" s="66"/>
      <c r="C779" s="66"/>
    </row>
    <row r="780">
      <c r="A780" s="66"/>
      <c r="B780" s="66"/>
      <c r="C780" s="66"/>
    </row>
    <row r="781">
      <c r="A781" s="66"/>
      <c r="B781" s="66"/>
      <c r="C781" s="66"/>
    </row>
    <row r="782">
      <c r="A782" s="66"/>
      <c r="B782" s="66"/>
      <c r="C782" s="66"/>
    </row>
    <row r="783">
      <c r="A783" s="66"/>
      <c r="B783" s="66"/>
      <c r="C783" s="66"/>
    </row>
    <row r="784">
      <c r="A784" s="66"/>
      <c r="B784" s="66"/>
      <c r="C784" s="66"/>
    </row>
    <row r="785">
      <c r="A785" s="66"/>
      <c r="B785" s="66"/>
      <c r="C785" s="66"/>
    </row>
    <row r="786">
      <c r="A786" s="66"/>
      <c r="B786" s="66"/>
      <c r="C786" s="66"/>
    </row>
    <row r="787">
      <c r="A787" s="66"/>
      <c r="B787" s="66"/>
      <c r="C787" s="66"/>
    </row>
    <row r="788">
      <c r="A788" s="66"/>
      <c r="B788" s="66"/>
      <c r="C788" s="66"/>
    </row>
    <row r="789">
      <c r="A789" s="66"/>
      <c r="B789" s="66"/>
      <c r="C789" s="66"/>
    </row>
    <row r="790">
      <c r="A790" s="66"/>
      <c r="B790" s="66"/>
      <c r="C790" s="66"/>
    </row>
    <row r="791">
      <c r="A791" s="66"/>
      <c r="B791" s="66"/>
      <c r="C791" s="66"/>
    </row>
    <row r="792">
      <c r="A792" s="66"/>
      <c r="B792" s="66"/>
      <c r="C792" s="66"/>
    </row>
    <row r="793">
      <c r="A793" s="66"/>
      <c r="B793" s="66"/>
      <c r="C793" s="66"/>
    </row>
    <row r="794">
      <c r="A794" s="66"/>
      <c r="B794" s="66"/>
      <c r="C794" s="66"/>
    </row>
    <row r="795">
      <c r="A795" s="66"/>
      <c r="B795" s="66"/>
      <c r="C795" s="66"/>
    </row>
    <row r="796">
      <c r="A796" s="66"/>
      <c r="B796" s="66"/>
      <c r="C796" s="66"/>
    </row>
    <row r="797">
      <c r="A797" s="66"/>
      <c r="B797" s="66"/>
      <c r="C797" s="66"/>
    </row>
    <row r="798">
      <c r="A798" s="66"/>
      <c r="B798" s="66"/>
      <c r="C798" s="66"/>
    </row>
    <row r="799">
      <c r="A799" s="66"/>
      <c r="B799" s="66"/>
      <c r="C799" s="66"/>
    </row>
    <row r="800">
      <c r="A800" s="66"/>
      <c r="B800" s="66"/>
      <c r="C800" s="66"/>
    </row>
    <row r="801">
      <c r="A801" s="66"/>
      <c r="B801" s="66"/>
      <c r="C801" s="66"/>
    </row>
    <row r="802">
      <c r="A802" s="66"/>
      <c r="B802" s="66"/>
      <c r="C802" s="66"/>
    </row>
    <row r="803">
      <c r="A803" s="66"/>
      <c r="B803" s="66"/>
      <c r="C803" s="66"/>
    </row>
    <row r="804">
      <c r="A804" s="66"/>
      <c r="B804" s="66"/>
      <c r="C804" s="66"/>
    </row>
    <row r="805">
      <c r="A805" s="66"/>
      <c r="B805" s="66"/>
      <c r="C805" s="66"/>
    </row>
    <row r="806">
      <c r="A806" s="66"/>
      <c r="B806" s="66"/>
      <c r="C806" s="66"/>
    </row>
    <row r="807">
      <c r="A807" s="66"/>
      <c r="B807" s="66"/>
      <c r="C807" s="66"/>
    </row>
    <row r="808">
      <c r="A808" s="66"/>
      <c r="B808" s="66"/>
      <c r="C808" s="66"/>
    </row>
    <row r="809">
      <c r="A809" s="66"/>
      <c r="B809" s="66"/>
      <c r="C809" s="66"/>
    </row>
    <row r="810">
      <c r="A810" s="66"/>
      <c r="B810" s="66"/>
      <c r="C810" s="66"/>
    </row>
    <row r="811">
      <c r="A811" s="66"/>
      <c r="B811" s="66"/>
      <c r="C811" s="66"/>
    </row>
    <row r="812">
      <c r="A812" s="66"/>
      <c r="B812" s="66"/>
      <c r="C812" s="66"/>
    </row>
    <row r="813">
      <c r="A813" s="66"/>
      <c r="B813" s="66"/>
      <c r="C813" s="66"/>
    </row>
    <row r="814">
      <c r="A814" s="66"/>
      <c r="B814" s="66"/>
      <c r="C814" s="66"/>
    </row>
    <row r="815">
      <c r="A815" s="66"/>
      <c r="B815" s="66"/>
      <c r="C815" s="66"/>
    </row>
    <row r="816">
      <c r="A816" s="66"/>
      <c r="B816" s="66"/>
      <c r="C816" s="66"/>
    </row>
    <row r="817">
      <c r="A817" s="66"/>
      <c r="B817" s="66"/>
      <c r="C817" s="66"/>
    </row>
    <row r="818">
      <c r="A818" s="66"/>
      <c r="B818" s="66"/>
      <c r="C818" s="66"/>
    </row>
    <row r="819">
      <c r="A819" s="66"/>
      <c r="B819" s="66"/>
      <c r="C819" s="66"/>
    </row>
    <row r="820">
      <c r="A820" s="66"/>
      <c r="B820" s="66"/>
      <c r="C820" s="66"/>
    </row>
    <row r="821">
      <c r="A821" s="66"/>
      <c r="B821" s="66"/>
      <c r="C821" s="66"/>
    </row>
    <row r="822">
      <c r="A822" s="66"/>
      <c r="B822" s="66"/>
      <c r="C822" s="66"/>
    </row>
    <row r="823">
      <c r="A823" s="66"/>
      <c r="B823" s="66"/>
      <c r="C823" s="66"/>
    </row>
    <row r="824">
      <c r="A824" s="66"/>
      <c r="B824" s="66"/>
      <c r="C824" s="66"/>
    </row>
    <row r="825">
      <c r="A825" s="66"/>
      <c r="B825" s="66"/>
      <c r="C825" s="66"/>
    </row>
    <row r="826">
      <c r="A826" s="66"/>
      <c r="B826" s="66"/>
      <c r="C826" s="66"/>
    </row>
    <row r="827">
      <c r="A827" s="66"/>
      <c r="B827" s="66"/>
      <c r="C827" s="66"/>
    </row>
    <row r="828">
      <c r="A828" s="66"/>
      <c r="B828" s="66"/>
      <c r="C828" s="66"/>
    </row>
    <row r="829">
      <c r="A829" s="66"/>
      <c r="B829" s="66"/>
      <c r="C829" s="66"/>
    </row>
    <row r="830">
      <c r="A830" s="66"/>
      <c r="B830" s="66"/>
      <c r="C830" s="66"/>
    </row>
    <row r="831">
      <c r="A831" s="66"/>
      <c r="B831" s="66"/>
      <c r="C831" s="66"/>
    </row>
    <row r="832">
      <c r="A832" s="66"/>
      <c r="B832" s="66"/>
      <c r="C832" s="66"/>
    </row>
    <row r="833">
      <c r="A833" s="66"/>
      <c r="B833" s="66"/>
      <c r="C833" s="66"/>
    </row>
    <row r="834">
      <c r="A834" s="66"/>
      <c r="B834" s="66"/>
      <c r="C834" s="66"/>
    </row>
    <row r="835">
      <c r="A835" s="66"/>
      <c r="B835" s="66"/>
      <c r="C835" s="66"/>
    </row>
    <row r="836">
      <c r="A836" s="66"/>
      <c r="B836" s="66"/>
      <c r="C836" s="66"/>
    </row>
    <row r="837">
      <c r="A837" s="66"/>
      <c r="B837" s="66"/>
      <c r="C837" s="66"/>
    </row>
    <row r="838">
      <c r="A838" s="66"/>
      <c r="B838" s="66"/>
      <c r="C838" s="66"/>
    </row>
    <row r="839">
      <c r="A839" s="66"/>
      <c r="B839" s="66"/>
      <c r="C839" s="66"/>
    </row>
    <row r="840">
      <c r="A840" s="66"/>
      <c r="B840" s="66"/>
      <c r="C840" s="66"/>
    </row>
    <row r="841">
      <c r="A841" s="66"/>
      <c r="B841" s="66"/>
      <c r="C841" s="66"/>
    </row>
    <row r="842">
      <c r="A842" s="66"/>
      <c r="B842" s="66"/>
      <c r="C842" s="66"/>
    </row>
    <row r="843">
      <c r="A843" s="66"/>
      <c r="B843" s="66"/>
      <c r="C843" s="66"/>
    </row>
    <row r="844">
      <c r="A844" s="66"/>
      <c r="B844" s="66"/>
      <c r="C844" s="66"/>
    </row>
    <row r="845">
      <c r="A845" s="66"/>
      <c r="B845" s="66"/>
      <c r="C845" s="66"/>
    </row>
    <row r="846">
      <c r="A846" s="66"/>
      <c r="B846" s="66"/>
      <c r="C846" s="66"/>
    </row>
    <row r="847">
      <c r="A847" s="66"/>
      <c r="B847" s="66"/>
      <c r="C847" s="66"/>
    </row>
    <row r="848">
      <c r="A848" s="66"/>
      <c r="B848" s="66"/>
      <c r="C848" s="66"/>
    </row>
    <row r="849">
      <c r="A849" s="66"/>
      <c r="B849" s="66"/>
      <c r="C849" s="66"/>
    </row>
    <row r="850">
      <c r="A850" s="66"/>
      <c r="B850" s="66"/>
      <c r="C850" s="66"/>
    </row>
    <row r="851">
      <c r="A851" s="66"/>
      <c r="B851" s="66"/>
      <c r="C851" s="66"/>
    </row>
    <row r="852">
      <c r="A852" s="66"/>
      <c r="B852" s="66"/>
      <c r="C852" s="66"/>
    </row>
    <row r="853">
      <c r="A853" s="66"/>
      <c r="B853" s="66"/>
      <c r="C853" s="66"/>
    </row>
    <row r="854">
      <c r="A854" s="66"/>
      <c r="B854" s="66"/>
      <c r="C854" s="66"/>
    </row>
    <row r="855">
      <c r="A855" s="66"/>
      <c r="B855" s="66"/>
      <c r="C855" s="66"/>
    </row>
    <row r="856">
      <c r="A856" s="66"/>
      <c r="B856" s="66"/>
      <c r="C856" s="66"/>
    </row>
    <row r="857">
      <c r="A857" s="66"/>
      <c r="B857" s="66"/>
      <c r="C857" s="66"/>
    </row>
    <row r="858">
      <c r="A858" s="66"/>
      <c r="B858" s="66"/>
      <c r="C858" s="66"/>
    </row>
    <row r="859">
      <c r="A859" s="66"/>
      <c r="B859" s="66"/>
      <c r="C859" s="66"/>
    </row>
    <row r="860">
      <c r="A860" s="66"/>
      <c r="B860" s="66"/>
      <c r="C860" s="66"/>
    </row>
    <row r="861">
      <c r="A861" s="66"/>
      <c r="B861" s="66"/>
      <c r="C861" s="66"/>
    </row>
    <row r="862">
      <c r="A862" s="66"/>
      <c r="B862" s="66"/>
      <c r="C862" s="66"/>
    </row>
    <row r="863">
      <c r="A863" s="66"/>
      <c r="B863" s="66"/>
      <c r="C863" s="66"/>
    </row>
    <row r="864">
      <c r="A864" s="66"/>
      <c r="B864" s="66"/>
      <c r="C864" s="66"/>
    </row>
    <row r="865">
      <c r="A865" s="66"/>
      <c r="B865" s="66"/>
      <c r="C865" s="66"/>
    </row>
    <row r="866">
      <c r="A866" s="66"/>
      <c r="B866" s="66"/>
      <c r="C866" s="66"/>
    </row>
    <row r="867">
      <c r="A867" s="66"/>
      <c r="B867" s="66"/>
      <c r="C867" s="66"/>
    </row>
    <row r="868">
      <c r="A868" s="66"/>
      <c r="B868" s="66"/>
      <c r="C868" s="66"/>
    </row>
    <row r="869">
      <c r="A869" s="66"/>
      <c r="B869" s="66"/>
      <c r="C869" s="66"/>
    </row>
    <row r="870">
      <c r="A870" s="66"/>
      <c r="B870" s="66"/>
      <c r="C870" s="66"/>
    </row>
    <row r="871">
      <c r="A871" s="66"/>
      <c r="B871" s="66"/>
      <c r="C871" s="66"/>
    </row>
    <row r="872">
      <c r="A872" s="66"/>
      <c r="B872" s="66"/>
      <c r="C872" s="66"/>
    </row>
    <row r="873">
      <c r="A873" s="66"/>
      <c r="B873" s="66"/>
      <c r="C873" s="66"/>
    </row>
    <row r="874">
      <c r="A874" s="66"/>
      <c r="B874" s="66"/>
      <c r="C874" s="66"/>
    </row>
    <row r="875">
      <c r="A875" s="66"/>
      <c r="B875" s="66"/>
      <c r="C875" s="66"/>
    </row>
    <row r="876">
      <c r="A876" s="66"/>
      <c r="B876" s="66"/>
      <c r="C876" s="66"/>
    </row>
    <row r="877">
      <c r="A877" s="66"/>
      <c r="B877" s="66"/>
      <c r="C877" s="66"/>
    </row>
    <row r="878">
      <c r="A878" s="66"/>
      <c r="B878" s="66"/>
      <c r="C878" s="66"/>
    </row>
    <row r="879">
      <c r="A879" s="66"/>
      <c r="B879" s="66"/>
      <c r="C879" s="66"/>
    </row>
    <row r="880">
      <c r="A880" s="66"/>
      <c r="B880" s="66"/>
      <c r="C880" s="66"/>
    </row>
    <row r="881">
      <c r="A881" s="66"/>
      <c r="B881" s="66"/>
      <c r="C881" s="66"/>
    </row>
    <row r="882">
      <c r="A882" s="66"/>
      <c r="B882" s="66"/>
      <c r="C882" s="66"/>
    </row>
    <row r="883">
      <c r="A883" s="66"/>
      <c r="B883" s="66"/>
      <c r="C883" s="66"/>
    </row>
    <row r="884">
      <c r="A884" s="66"/>
      <c r="B884" s="66"/>
      <c r="C884" s="66"/>
    </row>
    <row r="885">
      <c r="A885" s="66"/>
      <c r="B885" s="66"/>
      <c r="C885" s="66"/>
    </row>
    <row r="886">
      <c r="A886" s="66"/>
      <c r="B886" s="66"/>
      <c r="C886" s="66"/>
    </row>
    <row r="887">
      <c r="A887" s="66"/>
      <c r="B887" s="66"/>
      <c r="C887" s="66"/>
    </row>
    <row r="888">
      <c r="A888" s="66"/>
      <c r="B888" s="66"/>
      <c r="C888" s="66"/>
    </row>
    <row r="889">
      <c r="A889" s="66"/>
      <c r="B889" s="66"/>
      <c r="C889" s="66"/>
    </row>
    <row r="890">
      <c r="A890" s="66"/>
      <c r="B890" s="66"/>
      <c r="C890" s="66"/>
    </row>
    <row r="891">
      <c r="A891" s="66"/>
      <c r="B891" s="66"/>
      <c r="C891" s="66"/>
    </row>
    <row r="892">
      <c r="A892" s="66"/>
      <c r="B892" s="66"/>
      <c r="C892" s="66"/>
    </row>
    <row r="893">
      <c r="A893" s="66"/>
      <c r="B893" s="66"/>
      <c r="C893" s="66"/>
    </row>
    <row r="894">
      <c r="A894" s="66"/>
      <c r="B894" s="66"/>
      <c r="C894" s="66"/>
    </row>
    <row r="895">
      <c r="A895" s="66"/>
      <c r="B895" s="66"/>
      <c r="C895" s="66"/>
    </row>
    <row r="896">
      <c r="A896" s="66"/>
      <c r="B896" s="66"/>
      <c r="C896" s="66"/>
    </row>
    <row r="897">
      <c r="A897" s="66"/>
      <c r="B897" s="66"/>
      <c r="C897" s="66"/>
    </row>
    <row r="898">
      <c r="A898" s="66"/>
      <c r="B898" s="66"/>
      <c r="C898" s="66"/>
    </row>
    <row r="899">
      <c r="A899" s="66"/>
      <c r="B899" s="66"/>
      <c r="C899" s="66"/>
    </row>
    <row r="900">
      <c r="A900" s="66"/>
      <c r="B900" s="66"/>
      <c r="C900" s="66"/>
    </row>
    <row r="901">
      <c r="A901" s="66"/>
      <c r="B901" s="66"/>
      <c r="C901" s="66"/>
    </row>
    <row r="902">
      <c r="A902" s="66"/>
      <c r="B902" s="66"/>
      <c r="C902" s="66"/>
    </row>
    <row r="903">
      <c r="A903" s="66"/>
      <c r="B903" s="66"/>
      <c r="C903" s="66"/>
    </row>
    <row r="904">
      <c r="A904" s="66"/>
      <c r="B904" s="66"/>
      <c r="C904" s="66"/>
    </row>
    <row r="905">
      <c r="A905" s="66"/>
      <c r="B905" s="66"/>
      <c r="C905" s="66"/>
    </row>
    <row r="906">
      <c r="A906" s="66"/>
      <c r="B906" s="66"/>
      <c r="C906" s="66"/>
    </row>
    <row r="907">
      <c r="A907" s="66"/>
      <c r="B907" s="66"/>
      <c r="C907" s="66"/>
    </row>
    <row r="908">
      <c r="A908" s="66"/>
      <c r="B908" s="66"/>
      <c r="C908" s="66"/>
    </row>
    <row r="909">
      <c r="A909" s="66"/>
      <c r="B909" s="66"/>
      <c r="C909" s="66"/>
    </row>
    <row r="910">
      <c r="A910" s="66"/>
      <c r="B910" s="66"/>
      <c r="C910" s="66"/>
    </row>
    <row r="911">
      <c r="A911" s="66"/>
      <c r="B911" s="66"/>
      <c r="C911" s="66"/>
    </row>
    <row r="912">
      <c r="A912" s="66"/>
      <c r="B912" s="66"/>
      <c r="C912" s="66"/>
    </row>
    <row r="913">
      <c r="A913" s="66"/>
      <c r="B913" s="66"/>
      <c r="C913" s="66"/>
    </row>
    <row r="914">
      <c r="A914" s="66"/>
      <c r="B914" s="66"/>
      <c r="C914" s="66"/>
    </row>
    <row r="915">
      <c r="A915" s="66"/>
      <c r="B915" s="66"/>
      <c r="C915" s="66"/>
    </row>
    <row r="916">
      <c r="A916" s="66"/>
      <c r="B916" s="66"/>
      <c r="C916" s="66"/>
    </row>
    <row r="917">
      <c r="A917" s="66"/>
      <c r="B917" s="66"/>
      <c r="C917" s="66"/>
    </row>
    <row r="918">
      <c r="A918" s="66"/>
      <c r="B918" s="66"/>
      <c r="C918" s="66"/>
    </row>
    <row r="919">
      <c r="A919" s="66"/>
      <c r="B919" s="66"/>
      <c r="C919" s="66"/>
    </row>
    <row r="920">
      <c r="A920" s="66"/>
      <c r="B920" s="66"/>
      <c r="C920" s="66"/>
    </row>
    <row r="921">
      <c r="A921" s="66"/>
      <c r="B921" s="66"/>
      <c r="C921" s="66"/>
    </row>
    <row r="922">
      <c r="A922" s="66"/>
      <c r="B922" s="66"/>
      <c r="C922" s="66"/>
    </row>
    <row r="923">
      <c r="A923" s="66"/>
      <c r="B923" s="66"/>
      <c r="C923" s="66"/>
    </row>
    <row r="924">
      <c r="A924" s="66"/>
      <c r="B924" s="66"/>
      <c r="C924" s="66"/>
    </row>
    <row r="925">
      <c r="A925" s="66"/>
      <c r="B925" s="66"/>
      <c r="C925" s="66"/>
    </row>
    <row r="926">
      <c r="A926" s="66"/>
      <c r="B926" s="66"/>
      <c r="C926" s="66"/>
    </row>
    <row r="927">
      <c r="A927" s="66"/>
      <c r="B927" s="66"/>
      <c r="C927" s="66"/>
    </row>
    <row r="928">
      <c r="A928" s="66"/>
      <c r="B928" s="66"/>
      <c r="C928" s="66"/>
    </row>
    <row r="929">
      <c r="A929" s="66"/>
      <c r="B929" s="66"/>
      <c r="C929" s="66"/>
    </row>
    <row r="930">
      <c r="A930" s="66"/>
      <c r="B930" s="66"/>
      <c r="C930" s="66"/>
    </row>
    <row r="931">
      <c r="A931" s="66"/>
      <c r="B931" s="66"/>
      <c r="C931" s="66"/>
    </row>
    <row r="932">
      <c r="A932" s="66"/>
      <c r="B932" s="66"/>
      <c r="C932" s="66"/>
    </row>
    <row r="933">
      <c r="A933" s="66"/>
      <c r="B933" s="66"/>
      <c r="C933" s="66"/>
    </row>
    <row r="934">
      <c r="A934" s="66"/>
      <c r="B934" s="66"/>
      <c r="C934" s="66"/>
    </row>
    <row r="935">
      <c r="A935" s="66"/>
      <c r="B935" s="66"/>
      <c r="C935" s="66"/>
    </row>
    <row r="936">
      <c r="A936" s="66"/>
      <c r="B936" s="66"/>
      <c r="C936" s="66"/>
    </row>
    <row r="937">
      <c r="A937" s="66"/>
      <c r="B937" s="66"/>
      <c r="C937" s="66"/>
    </row>
    <row r="938">
      <c r="A938" s="66"/>
      <c r="B938" s="66"/>
      <c r="C938" s="66"/>
    </row>
    <row r="939">
      <c r="A939" s="66"/>
      <c r="B939" s="66"/>
      <c r="C939" s="66"/>
    </row>
    <row r="940">
      <c r="A940" s="66"/>
      <c r="B940" s="66"/>
      <c r="C940" s="66"/>
    </row>
    <row r="941">
      <c r="A941" s="66"/>
      <c r="B941" s="66"/>
      <c r="C941" s="66"/>
    </row>
    <row r="942">
      <c r="A942" s="66"/>
      <c r="B942" s="66"/>
      <c r="C942" s="66"/>
    </row>
    <row r="943">
      <c r="A943" s="66"/>
      <c r="B943" s="66"/>
      <c r="C943" s="66"/>
    </row>
    <row r="944">
      <c r="A944" s="66"/>
      <c r="B944" s="66"/>
      <c r="C944" s="66"/>
    </row>
    <row r="945">
      <c r="A945" s="66"/>
      <c r="B945" s="66"/>
      <c r="C945" s="66"/>
    </row>
    <row r="946">
      <c r="A946" s="66"/>
      <c r="B946" s="66"/>
      <c r="C946" s="66"/>
    </row>
    <row r="947">
      <c r="A947" s="66"/>
      <c r="B947" s="66"/>
      <c r="C947" s="66"/>
    </row>
    <row r="948">
      <c r="A948" s="66"/>
      <c r="B948" s="66"/>
      <c r="C948" s="66"/>
    </row>
    <row r="949">
      <c r="A949" s="66"/>
      <c r="B949" s="66"/>
      <c r="C949" s="66"/>
    </row>
    <row r="950">
      <c r="A950" s="66"/>
      <c r="B950" s="66"/>
      <c r="C950" s="66"/>
    </row>
    <row r="951">
      <c r="A951" s="66"/>
      <c r="B951" s="66"/>
      <c r="C951" s="66"/>
    </row>
    <row r="952">
      <c r="A952" s="66"/>
      <c r="B952" s="66"/>
      <c r="C952" s="66"/>
    </row>
    <row r="953">
      <c r="A953" s="66"/>
      <c r="B953" s="66"/>
      <c r="C953" s="66"/>
    </row>
    <row r="954">
      <c r="A954" s="66"/>
      <c r="B954" s="66"/>
      <c r="C954" s="66"/>
    </row>
    <row r="955">
      <c r="A955" s="66"/>
      <c r="B955" s="66"/>
      <c r="C955" s="66"/>
    </row>
    <row r="956">
      <c r="A956" s="66"/>
      <c r="B956" s="66"/>
      <c r="C956" s="66"/>
    </row>
    <row r="957">
      <c r="A957" s="66"/>
      <c r="B957" s="66"/>
      <c r="C957" s="66"/>
    </row>
    <row r="958">
      <c r="A958" s="66"/>
      <c r="B958" s="66"/>
      <c r="C958" s="66"/>
    </row>
    <row r="959">
      <c r="A959" s="66"/>
      <c r="B959" s="66"/>
      <c r="C959" s="66"/>
    </row>
    <row r="960">
      <c r="A960" s="66"/>
      <c r="B960" s="66"/>
      <c r="C960" s="66"/>
    </row>
    <row r="961">
      <c r="A961" s="66"/>
      <c r="B961" s="66"/>
      <c r="C961" s="66"/>
    </row>
    <row r="962">
      <c r="A962" s="66"/>
      <c r="B962" s="66"/>
      <c r="C962" s="66"/>
    </row>
    <row r="963">
      <c r="A963" s="66"/>
      <c r="B963" s="66"/>
      <c r="C963" s="66"/>
    </row>
    <row r="964">
      <c r="A964" s="66"/>
      <c r="B964" s="66"/>
      <c r="C964" s="66"/>
    </row>
    <row r="965">
      <c r="A965" s="66"/>
      <c r="B965" s="66"/>
      <c r="C965" s="66"/>
    </row>
    <row r="966">
      <c r="A966" s="66"/>
      <c r="B966" s="66"/>
      <c r="C966" s="66"/>
    </row>
    <row r="967">
      <c r="A967" s="66"/>
      <c r="B967" s="66"/>
      <c r="C967" s="66"/>
    </row>
    <row r="968">
      <c r="A968" s="66"/>
      <c r="B968" s="66"/>
      <c r="C968" s="66"/>
    </row>
    <row r="969">
      <c r="A969" s="66"/>
      <c r="B969" s="66"/>
      <c r="C969" s="66"/>
    </row>
    <row r="970">
      <c r="A970" s="66"/>
      <c r="B970" s="66"/>
      <c r="C970" s="66"/>
    </row>
    <row r="971">
      <c r="A971" s="66"/>
      <c r="B971" s="66"/>
      <c r="C971" s="66"/>
    </row>
    <row r="972">
      <c r="A972" s="66"/>
      <c r="B972" s="66"/>
      <c r="C972" s="66"/>
    </row>
    <row r="973">
      <c r="A973" s="66"/>
      <c r="B973" s="66"/>
      <c r="C973" s="66"/>
    </row>
    <row r="974">
      <c r="A974" s="66"/>
      <c r="B974" s="66"/>
      <c r="C974" s="66"/>
    </row>
    <row r="975">
      <c r="A975" s="66"/>
      <c r="B975" s="66"/>
      <c r="C975" s="66"/>
    </row>
    <row r="976">
      <c r="A976" s="66"/>
      <c r="B976" s="66"/>
      <c r="C976" s="66"/>
    </row>
    <row r="977">
      <c r="A977" s="66"/>
      <c r="B977" s="66"/>
      <c r="C977" s="66"/>
    </row>
    <row r="978">
      <c r="A978" s="66"/>
      <c r="B978" s="66"/>
      <c r="C978" s="66"/>
    </row>
    <row r="979">
      <c r="A979" s="66"/>
      <c r="B979" s="66"/>
      <c r="C979" s="66"/>
    </row>
    <row r="980">
      <c r="A980" s="66"/>
      <c r="B980" s="66"/>
      <c r="C980" s="66"/>
    </row>
    <row r="981">
      <c r="A981" s="66"/>
      <c r="B981" s="66"/>
      <c r="C981" s="66"/>
    </row>
    <row r="982">
      <c r="A982" s="66"/>
      <c r="B982" s="66"/>
      <c r="C982" s="66"/>
    </row>
    <row r="983">
      <c r="A983" s="66"/>
      <c r="B983" s="66"/>
      <c r="C983" s="66"/>
    </row>
    <row r="984">
      <c r="A984" s="66"/>
      <c r="B984" s="66"/>
      <c r="C984" s="66"/>
    </row>
    <row r="985">
      <c r="A985" s="66"/>
      <c r="B985" s="66"/>
      <c r="C985" s="66"/>
    </row>
    <row r="986">
      <c r="A986" s="66"/>
      <c r="B986" s="66"/>
      <c r="C986" s="66"/>
    </row>
    <row r="987">
      <c r="A987" s="66"/>
      <c r="B987" s="66"/>
      <c r="C987" s="66"/>
    </row>
    <row r="988">
      <c r="A988" s="66"/>
      <c r="B988" s="66"/>
      <c r="C988" s="66"/>
    </row>
    <row r="989">
      <c r="A989" s="66"/>
      <c r="B989" s="66"/>
      <c r="C989" s="66"/>
    </row>
    <row r="990">
      <c r="A990" s="66"/>
      <c r="B990" s="66"/>
      <c r="C990" s="66"/>
    </row>
    <row r="991">
      <c r="A991" s="66"/>
      <c r="B991" s="66"/>
      <c r="C991" s="66"/>
    </row>
    <row r="992">
      <c r="A992" s="66"/>
      <c r="B992" s="66"/>
      <c r="C992" s="66"/>
    </row>
    <row r="993">
      <c r="A993" s="66"/>
      <c r="B993" s="66"/>
      <c r="C993" s="66"/>
    </row>
    <row r="994">
      <c r="A994" s="66"/>
      <c r="B994" s="66"/>
      <c r="C994" s="66"/>
    </row>
    <row r="995">
      <c r="A995" s="66"/>
      <c r="B995" s="66"/>
      <c r="C995" s="66"/>
    </row>
    <row r="996">
      <c r="A996" s="66"/>
      <c r="B996" s="66"/>
      <c r="C996" s="66"/>
    </row>
    <row r="997">
      <c r="A997" s="66"/>
      <c r="B997" s="66"/>
      <c r="C997" s="66"/>
    </row>
    <row r="998">
      <c r="A998" s="66"/>
      <c r="B998" s="66"/>
      <c r="C998" s="66"/>
    </row>
    <row r="999">
      <c r="A999" s="66"/>
      <c r="B999" s="66"/>
      <c r="C999" s="66"/>
    </row>
    <row r="1000">
      <c r="A1000" s="66"/>
      <c r="B1000" s="66"/>
      <c r="C1000" s="6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2054</v>
      </c>
    </row>
    <row r="2">
      <c r="A2" s="5" t="s">
        <v>2054</v>
      </c>
    </row>
    <row r="3">
      <c r="A3" s="5" t="s">
        <v>2054</v>
      </c>
    </row>
    <row r="4">
      <c r="A4" s="5" t="s">
        <v>2054</v>
      </c>
    </row>
    <row r="5">
      <c r="A5" s="5" t="s">
        <v>2054</v>
      </c>
    </row>
    <row r="6">
      <c r="A6" s="5" t="s">
        <v>2054</v>
      </c>
    </row>
    <row r="7">
      <c r="A7" s="5" t="s">
        <v>2054</v>
      </c>
    </row>
    <row r="8">
      <c r="A8" s="5" t="s">
        <v>2054</v>
      </c>
    </row>
    <row r="9">
      <c r="A9" s="5" t="s">
        <v>2054</v>
      </c>
    </row>
    <row r="10">
      <c r="A10" s="5" t="s">
        <v>2054</v>
      </c>
    </row>
    <row r="11">
      <c r="A11" s="5" t="s">
        <v>2054</v>
      </c>
    </row>
    <row r="12">
      <c r="A12" s="5" t="s">
        <v>2054</v>
      </c>
    </row>
    <row r="13">
      <c r="A13" s="5" t="s">
        <v>2054</v>
      </c>
    </row>
    <row r="14">
      <c r="A14" s="5" t="s">
        <v>2054</v>
      </c>
    </row>
    <row r="15">
      <c r="A15" s="5" t="s">
        <v>2054</v>
      </c>
    </row>
    <row r="16">
      <c r="A16" s="5" t="s">
        <v>2054</v>
      </c>
    </row>
    <row r="17">
      <c r="A17" s="5" t="s">
        <v>2054</v>
      </c>
    </row>
    <row r="18">
      <c r="A18" s="5" t="s">
        <v>2054</v>
      </c>
    </row>
    <row r="19">
      <c r="A19" s="5" t="s">
        <v>2054</v>
      </c>
    </row>
    <row r="20">
      <c r="A20" s="5" t="s">
        <v>2054</v>
      </c>
    </row>
    <row r="21">
      <c r="A21" s="5" t="s">
        <v>2054</v>
      </c>
    </row>
    <row r="22">
      <c r="A22" s="5" t="s">
        <v>2054</v>
      </c>
    </row>
    <row r="23">
      <c r="A23" s="5" t="s">
        <v>2054</v>
      </c>
    </row>
    <row r="24">
      <c r="A24" s="5" t="s">
        <v>2054</v>
      </c>
    </row>
    <row r="25">
      <c r="A25" s="5" t="s">
        <v>2054</v>
      </c>
    </row>
    <row r="26">
      <c r="A26" s="5" t="s">
        <v>2054</v>
      </c>
    </row>
    <row r="27">
      <c r="A27" s="5" t="s">
        <v>2054</v>
      </c>
    </row>
    <row r="28">
      <c r="A28" s="5" t="s">
        <v>2054</v>
      </c>
    </row>
    <row r="29">
      <c r="A29" s="5" t="s">
        <v>2054</v>
      </c>
    </row>
    <row r="30">
      <c r="A30" s="5" t="s">
        <v>2054</v>
      </c>
    </row>
    <row r="31">
      <c r="A31" s="5" t="s">
        <v>2054</v>
      </c>
    </row>
    <row r="32">
      <c r="A32" s="5" t="s">
        <v>2054</v>
      </c>
    </row>
    <row r="33">
      <c r="A33" s="5" t="s">
        <v>2054</v>
      </c>
    </row>
    <row r="34">
      <c r="A34" s="5" t="s">
        <v>2054</v>
      </c>
    </row>
    <row r="35">
      <c r="A35" s="5" t="s">
        <v>2054</v>
      </c>
    </row>
    <row r="36">
      <c r="A36" s="5" t="s">
        <v>2054</v>
      </c>
    </row>
    <row r="37">
      <c r="A37" s="5" t="s">
        <v>2054</v>
      </c>
    </row>
    <row r="38">
      <c r="A38" s="5" t="s">
        <v>2054</v>
      </c>
    </row>
    <row r="39">
      <c r="A39" s="5" t="s">
        <v>2054</v>
      </c>
    </row>
    <row r="40">
      <c r="A40" s="5" t="s">
        <v>2054</v>
      </c>
    </row>
    <row r="41">
      <c r="A41" s="5" t="s">
        <v>2054</v>
      </c>
    </row>
    <row r="42">
      <c r="A42" s="5" t="s">
        <v>2054</v>
      </c>
    </row>
    <row r="43">
      <c r="A43" s="5" t="s">
        <v>2054</v>
      </c>
    </row>
    <row r="44">
      <c r="A44" s="5" t="s">
        <v>2054</v>
      </c>
    </row>
    <row r="45">
      <c r="A45" s="5" t="s">
        <v>2054</v>
      </c>
    </row>
    <row r="46">
      <c r="A46" s="5" t="s">
        <v>2054</v>
      </c>
    </row>
    <row r="47">
      <c r="A47" s="5" t="s">
        <v>2054</v>
      </c>
    </row>
    <row r="48">
      <c r="A48" s="5" t="s">
        <v>2054</v>
      </c>
    </row>
    <row r="49">
      <c r="A49" s="5" t="s">
        <v>2054</v>
      </c>
    </row>
    <row r="50">
      <c r="A50" s="5" t="s">
        <v>2054</v>
      </c>
    </row>
    <row r="51">
      <c r="A51" s="5" t="s">
        <v>2054</v>
      </c>
    </row>
    <row r="52">
      <c r="A52" s="5" t="s">
        <v>2054</v>
      </c>
    </row>
    <row r="53">
      <c r="A53" s="5" t="s">
        <v>2054</v>
      </c>
    </row>
    <row r="54">
      <c r="A54" s="5" t="s">
        <v>2054</v>
      </c>
    </row>
    <row r="55">
      <c r="A55" s="5" t="s">
        <v>2054</v>
      </c>
    </row>
    <row r="56">
      <c r="A56" s="5" t="s">
        <v>2054</v>
      </c>
    </row>
    <row r="57">
      <c r="A57" s="5" t="s">
        <v>2054</v>
      </c>
    </row>
    <row r="58">
      <c r="A58" s="5" t="s">
        <v>2054</v>
      </c>
    </row>
    <row r="59">
      <c r="A59" s="5" t="s">
        <v>2054</v>
      </c>
    </row>
    <row r="60">
      <c r="A60" s="5" t="s">
        <v>2054</v>
      </c>
    </row>
    <row r="61">
      <c r="A61" s="5" t="s">
        <v>2054</v>
      </c>
    </row>
    <row r="62">
      <c r="A62" s="5" t="s">
        <v>2054</v>
      </c>
    </row>
    <row r="63">
      <c r="A63" s="5" t="s">
        <v>2054</v>
      </c>
    </row>
    <row r="64">
      <c r="A64" s="5" t="s">
        <v>2054</v>
      </c>
    </row>
    <row r="65">
      <c r="A65" s="5" t="s">
        <v>2054</v>
      </c>
    </row>
    <row r="66">
      <c r="A66" s="5" t="s">
        <v>2054</v>
      </c>
    </row>
    <row r="67">
      <c r="A67" s="5" t="s">
        <v>2054</v>
      </c>
    </row>
    <row r="68">
      <c r="A68" s="5" t="s">
        <v>2054</v>
      </c>
    </row>
    <row r="69">
      <c r="A69" s="5" t="s">
        <v>2054</v>
      </c>
    </row>
    <row r="70">
      <c r="A70" s="5" t="s">
        <v>2054</v>
      </c>
    </row>
    <row r="71">
      <c r="A71" s="5" t="s">
        <v>2054</v>
      </c>
    </row>
    <row r="72">
      <c r="A72" s="5" t="s">
        <v>2054</v>
      </c>
    </row>
    <row r="73">
      <c r="A73" s="5" t="s">
        <v>2054</v>
      </c>
    </row>
    <row r="74">
      <c r="A74" s="5" t="s">
        <v>2054</v>
      </c>
    </row>
    <row r="75">
      <c r="A75" s="5" t="s">
        <v>2054</v>
      </c>
    </row>
    <row r="76">
      <c r="A76" s="5" t="s">
        <v>2054</v>
      </c>
    </row>
    <row r="77">
      <c r="A77" s="5" t="s">
        <v>2054</v>
      </c>
    </row>
    <row r="78">
      <c r="A78" s="5" t="s">
        <v>2054</v>
      </c>
    </row>
    <row r="79">
      <c r="A79" s="5" t="s">
        <v>2054</v>
      </c>
    </row>
    <row r="80">
      <c r="A80" s="5" t="s">
        <v>2054</v>
      </c>
    </row>
    <row r="81">
      <c r="A81" s="5" t="s">
        <v>2054</v>
      </c>
    </row>
    <row r="82">
      <c r="A82" s="5" t="s">
        <v>2054</v>
      </c>
    </row>
    <row r="83">
      <c r="A83" s="5" t="s">
        <v>2054</v>
      </c>
    </row>
    <row r="84">
      <c r="A84" s="5" t="s">
        <v>2054</v>
      </c>
    </row>
    <row r="85">
      <c r="A85" s="5" t="s">
        <v>2054</v>
      </c>
    </row>
    <row r="86">
      <c r="A86" s="5" t="s">
        <v>2054</v>
      </c>
    </row>
    <row r="87">
      <c r="A87" s="5" t="s">
        <v>2054</v>
      </c>
    </row>
    <row r="88">
      <c r="A88" s="5" t="s">
        <v>2054</v>
      </c>
    </row>
    <row r="89">
      <c r="A89" s="5" t="s">
        <v>2054</v>
      </c>
    </row>
    <row r="90">
      <c r="A90" s="5" t="s">
        <v>2054</v>
      </c>
    </row>
    <row r="91">
      <c r="A91" s="5" t="s">
        <v>2054</v>
      </c>
    </row>
    <row r="92">
      <c r="A92" s="5" t="s">
        <v>2054</v>
      </c>
    </row>
    <row r="93">
      <c r="A93" s="5" t="s">
        <v>2054</v>
      </c>
    </row>
    <row r="94">
      <c r="A94" s="5" t="s">
        <v>2054</v>
      </c>
    </row>
    <row r="95">
      <c r="A95" s="5" t="s">
        <v>2054</v>
      </c>
    </row>
    <row r="96">
      <c r="A96" s="5" t="s">
        <v>2054</v>
      </c>
    </row>
    <row r="97">
      <c r="A97" s="5" t="s">
        <v>2054</v>
      </c>
    </row>
    <row r="98">
      <c r="A98" s="5" t="s">
        <v>2054</v>
      </c>
    </row>
    <row r="99">
      <c r="A99" s="5" t="s">
        <v>2054</v>
      </c>
    </row>
    <row r="100">
      <c r="A100" s="5" t="s">
        <v>2054</v>
      </c>
    </row>
    <row r="101">
      <c r="A101" s="5" t="s">
        <v>2054</v>
      </c>
    </row>
    <row r="102">
      <c r="A102" s="5" t="s">
        <v>2054</v>
      </c>
    </row>
    <row r="103">
      <c r="A103" s="5" t="s">
        <v>2054</v>
      </c>
    </row>
    <row r="104">
      <c r="A104" s="5" t="s">
        <v>2054</v>
      </c>
    </row>
    <row r="105">
      <c r="A105" s="5" t="s">
        <v>2054</v>
      </c>
    </row>
    <row r="106">
      <c r="A106" s="5" t="s">
        <v>2054</v>
      </c>
    </row>
    <row r="107">
      <c r="A107" s="5" t="s">
        <v>2054</v>
      </c>
    </row>
    <row r="108">
      <c r="A108" s="5" t="s">
        <v>2054</v>
      </c>
    </row>
    <row r="109">
      <c r="A109" s="5" t="s">
        <v>2054</v>
      </c>
    </row>
    <row r="110">
      <c r="A110" s="5" t="s">
        <v>2054</v>
      </c>
    </row>
    <row r="111">
      <c r="A111" s="5" t="s">
        <v>2054</v>
      </c>
    </row>
    <row r="112">
      <c r="A112" s="5" t="s">
        <v>2054</v>
      </c>
    </row>
    <row r="113">
      <c r="A113" s="5" t="s">
        <v>2054</v>
      </c>
    </row>
    <row r="114">
      <c r="A114" s="5" t="s">
        <v>2054</v>
      </c>
    </row>
    <row r="115">
      <c r="A115" s="5" t="s">
        <v>2054</v>
      </c>
    </row>
    <row r="116">
      <c r="A116" s="5" t="s">
        <v>2054</v>
      </c>
    </row>
    <row r="117">
      <c r="A117" s="5" t="s">
        <v>2054</v>
      </c>
    </row>
    <row r="118">
      <c r="A118" s="5" t="s">
        <v>2054</v>
      </c>
    </row>
    <row r="119">
      <c r="A119" s="5" t="s">
        <v>2054</v>
      </c>
    </row>
    <row r="120">
      <c r="A120" s="5" t="s">
        <v>2054</v>
      </c>
    </row>
    <row r="121">
      <c r="A121" s="5" t="s">
        <v>2054</v>
      </c>
    </row>
    <row r="122">
      <c r="A122" s="5" t="s">
        <v>2054</v>
      </c>
    </row>
    <row r="123">
      <c r="A123" s="5" t="s">
        <v>2054</v>
      </c>
    </row>
    <row r="124">
      <c r="A124" s="5" t="s">
        <v>2054</v>
      </c>
    </row>
    <row r="125">
      <c r="A125" s="5" t="s">
        <v>2054</v>
      </c>
    </row>
    <row r="126">
      <c r="A126" s="5" t="s">
        <v>2054</v>
      </c>
    </row>
    <row r="127">
      <c r="A127" s="5" t="s">
        <v>2054</v>
      </c>
    </row>
    <row r="128">
      <c r="A128" s="5" t="s">
        <v>2054</v>
      </c>
    </row>
    <row r="129">
      <c r="A129" s="5" t="s">
        <v>2054</v>
      </c>
    </row>
    <row r="130">
      <c r="A130" s="5" t="s">
        <v>2054</v>
      </c>
    </row>
    <row r="131">
      <c r="A131" s="5" t="s">
        <v>2054</v>
      </c>
    </row>
    <row r="132">
      <c r="A132" s="5" t="s">
        <v>2054</v>
      </c>
    </row>
    <row r="133">
      <c r="A133" s="5" t="s">
        <v>2054</v>
      </c>
    </row>
    <row r="134">
      <c r="A134" s="5" t="s">
        <v>2054</v>
      </c>
    </row>
    <row r="135">
      <c r="A135" s="5" t="s">
        <v>2054</v>
      </c>
    </row>
    <row r="136">
      <c r="A136" s="5" t="s">
        <v>2054</v>
      </c>
    </row>
    <row r="137">
      <c r="A137" s="5" t="s">
        <v>2054</v>
      </c>
    </row>
    <row r="138">
      <c r="A138" s="5" t="s">
        <v>2054</v>
      </c>
    </row>
    <row r="139">
      <c r="A139" s="5" t="s">
        <v>2054</v>
      </c>
    </row>
    <row r="140">
      <c r="A140" s="5" t="s">
        <v>2054</v>
      </c>
    </row>
    <row r="141">
      <c r="A141" s="5" t="s">
        <v>2054</v>
      </c>
    </row>
    <row r="142">
      <c r="A142" s="5" t="s">
        <v>2054</v>
      </c>
    </row>
    <row r="143">
      <c r="A143" s="5" t="s">
        <v>2054</v>
      </c>
    </row>
    <row r="144">
      <c r="A144" s="5" t="s">
        <v>2054</v>
      </c>
    </row>
    <row r="145">
      <c r="A145" s="5" t="s">
        <v>2054</v>
      </c>
    </row>
    <row r="146">
      <c r="A146" s="5" t="s">
        <v>2054</v>
      </c>
    </row>
    <row r="147">
      <c r="A147" s="5" t="s">
        <v>2054</v>
      </c>
    </row>
    <row r="148">
      <c r="A148" s="5" t="s">
        <v>2054</v>
      </c>
    </row>
    <row r="149">
      <c r="A149" s="5" t="s">
        <v>2054</v>
      </c>
    </row>
    <row r="150">
      <c r="A150" s="5" t="s">
        <v>2054</v>
      </c>
    </row>
    <row r="151">
      <c r="A151" s="5" t="s">
        <v>2054</v>
      </c>
    </row>
    <row r="152">
      <c r="A152" s="5" t="s">
        <v>2054</v>
      </c>
    </row>
    <row r="153">
      <c r="A153" s="5" t="s">
        <v>2054</v>
      </c>
    </row>
    <row r="154">
      <c r="A154" s="5" t="s">
        <v>2054</v>
      </c>
    </row>
    <row r="155">
      <c r="A155" s="5" t="s">
        <v>2054</v>
      </c>
    </row>
    <row r="156">
      <c r="A156" s="5" t="s">
        <v>2054</v>
      </c>
    </row>
    <row r="157">
      <c r="A157" s="5" t="s">
        <v>2054</v>
      </c>
    </row>
    <row r="158">
      <c r="A158" s="5" t="s">
        <v>2054</v>
      </c>
    </row>
    <row r="159">
      <c r="A159" s="5" t="s">
        <v>2054</v>
      </c>
    </row>
    <row r="160">
      <c r="A160" s="5" t="s">
        <v>2054</v>
      </c>
    </row>
    <row r="161">
      <c r="A161" s="5" t="s">
        <v>2054</v>
      </c>
    </row>
    <row r="162">
      <c r="A162" s="5" t="s">
        <v>2054</v>
      </c>
    </row>
    <row r="163">
      <c r="A163" s="5" t="s">
        <v>2054</v>
      </c>
    </row>
    <row r="164">
      <c r="A164" s="5" t="s">
        <v>2054</v>
      </c>
    </row>
    <row r="165">
      <c r="A165" s="5" t="s">
        <v>2054</v>
      </c>
    </row>
    <row r="166">
      <c r="A166" s="5" t="s">
        <v>2054</v>
      </c>
    </row>
    <row r="167">
      <c r="A167" s="5" t="s">
        <v>2054</v>
      </c>
    </row>
    <row r="168">
      <c r="A168" s="5" t="s">
        <v>2054</v>
      </c>
    </row>
    <row r="169">
      <c r="A169" s="5" t="s">
        <v>2054</v>
      </c>
    </row>
    <row r="170">
      <c r="A170" s="5" t="s">
        <v>2054</v>
      </c>
    </row>
    <row r="171">
      <c r="A171" s="5" t="s">
        <v>2054</v>
      </c>
    </row>
    <row r="172">
      <c r="A172" s="5" t="s">
        <v>2054</v>
      </c>
    </row>
    <row r="173">
      <c r="A173" s="5" t="s">
        <v>2054</v>
      </c>
    </row>
    <row r="174">
      <c r="A174" s="5" t="s">
        <v>2054</v>
      </c>
    </row>
    <row r="175">
      <c r="A175" s="5" t="s">
        <v>2054</v>
      </c>
    </row>
    <row r="176">
      <c r="A176" s="5" t="s">
        <v>2054</v>
      </c>
    </row>
    <row r="177">
      <c r="A177" s="5" t="s">
        <v>2054</v>
      </c>
    </row>
    <row r="178">
      <c r="A178" s="5" t="s">
        <v>2054</v>
      </c>
    </row>
    <row r="179">
      <c r="A179" s="5" t="s">
        <v>2054</v>
      </c>
    </row>
    <row r="180">
      <c r="A180" s="5" t="s">
        <v>2054</v>
      </c>
    </row>
    <row r="181">
      <c r="A181" s="5" t="s">
        <v>2054</v>
      </c>
    </row>
    <row r="182">
      <c r="A182" s="5" t="s">
        <v>2054</v>
      </c>
    </row>
    <row r="183">
      <c r="A183" s="5" t="s">
        <v>2054</v>
      </c>
    </row>
    <row r="184">
      <c r="A184" s="5" t="s">
        <v>2054</v>
      </c>
    </row>
    <row r="185">
      <c r="A185" s="5" t="s">
        <v>2054</v>
      </c>
    </row>
    <row r="186">
      <c r="A186" s="5" t="s">
        <v>2054</v>
      </c>
    </row>
    <row r="187">
      <c r="A187" s="5" t="s">
        <v>2054</v>
      </c>
    </row>
    <row r="188">
      <c r="A188" s="5" t="s">
        <v>2054</v>
      </c>
    </row>
    <row r="189">
      <c r="A189" s="5" t="s">
        <v>2054</v>
      </c>
    </row>
    <row r="190">
      <c r="A190" s="5" t="s">
        <v>2054</v>
      </c>
    </row>
    <row r="191">
      <c r="A191" s="5" t="s">
        <v>2054</v>
      </c>
    </row>
    <row r="192">
      <c r="A192" s="5" t="s">
        <v>2054</v>
      </c>
    </row>
    <row r="193">
      <c r="A193" s="5" t="s">
        <v>2054</v>
      </c>
    </row>
    <row r="194">
      <c r="A194" s="5" t="s">
        <v>2054</v>
      </c>
    </row>
    <row r="195">
      <c r="A195" s="5" t="s">
        <v>2054</v>
      </c>
    </row>
    <row r="196">
      <c r="A196" s="5" t="s">
        <v>2054</v>
      </c>
    </row>
    <row r="197">
      <c r="A197" s="5" t="s">
        <v>2054</v>
      </c>
    </row>
    <row r="198">
      <c r="A198" s="5" t="s">
        <v>2054</v>
      </c>
    </row>
    <row r="199">
      <c r="A199" s="5" t="s">
        <v>2054</v>
      </c>
    </row>
    <row r="200">
      <c r="A200" s="5" t="s">
        <v>2054</v>
      </c>
    </row>
    <row r="201">
      <c r="A201" s="5" t="s">
        <v>2054</v>
      </c>
    </row>
    <row r="202">
      <c r="A202" s="5" t="s">
        <v>2054</v>
      </c>
    </row>
    <row r="203">
      <c r="A203" s="5" t="s">
        <v>2054</v>
      </c>
    </row>
    <row r="204">
      <c r="A204" s="5" t="s">
        <v>2054</v>
      </c>
    </row>
    <row r="205">
      <c r="A205" s="5" t="s">
        <v>2054</v>
      </c>
    </row>
    <row r="206">
      <c r="A206" s="5" t="s">
        <v>2054</v>
      </c>
    </row>
    <row r="207">
      <c r="A207" s="5" t="s">
        <v>2054</v>
      </c>
    </row>
    <row r="208">
      <c r="A208" s="5" t="s">
        <v>2054</v>
      </c>
    </row>
    <row r="209">
      <c r="A209" s="5" t="s">
        <v>2054</v>
      </c>
    </row>
    <row r="210">
      <c r="A210" s="5" t="s">
        <v>2054</v>
      </c>
    </row>
    <row r="211">
      <c r="A211" s="5" t="s">
        <v>2054</v>
      </c>
    </row>
    <row r="212">
      <c r="A212" s="5" t="s">
        <v>2054</v>
      </c>
    </row>
    <row r="213">
      <c r="A213" s="5" t="s">
        <v>2054</v>
      </c>
    </row>
    <row r="214">
      <c r="A214" s="5" t="s">
        <v>2054</v>
      </c>
    </row>
    <row r="215">
      <c r="A215" s="5" t="s">
        <v>2054</v>
      </c>
    </row>
    <row r="216">
      <c r="A216" s="5" t="s">
        <v>2054</v>
      </c>
    </row>
    <row r="217">
      <c r="A217" s="5" t="s">
        <v>2054</v>
      </c>
    </row>
    <row r="218">
      <c r="A218" s="5" t="s">
        <v>2054</v>
      </c>
    </row>
    <row r="219">
      <c r="A219" s="5" t="s">
        <v>2054</v>
      </c>
    </row>
    <row r="220">
      <c r="A220" s="5" t="s">
        <v>2054</v>
      </c>
    </row>
    <row r="221">
      <c r="A221" s="5" t="s">
        <v>2054</v>
      </c>
    </row>
    <row r="222">
      <c r="A222" s="5" t="s">
        <v>2054</v>
      </c>
    </row>
    <row r="223">
      <c r="A223" s="5" t="s">
        <v>2054</v>
      </c>
    </row>
    <row r="224">
      <c r="A224" s="5" t="s">
        <v>2054</v>
      </c>
    </row>
    <row r="225">
      <c r="A225" s="5" t="s">
        <v>2054</v>
      </c>
    </row>
    <row r="226">
      <c r="A226" s="5" t="s">
        <v>2054</v>
      </c>
    </row>
    <row r="227">
      <c r="A227" s="5" t="s">
        <v>2054</v>
      </c>
    </row>
    <row r="228">
      <c r="A228" s="5" t="s">
        <v>2054</v>
      </c>
    </row>
    <row r="229">
      <c r="A229" s="5" t="s">
        <v>2054</v>
      </c>
    </row>
    <row r="230">
      <c r="A230" s="5" t="s">
        <v>2054</v>
      </c>
    </row>
    <row r="231">
      <c r="A231" s="5" t="s">
        <v>2054</v>
      </c>
    </row>
    <row r="232">
      <c r="A232" s="5" t="s">
        <v>2054</v>
      </c>
    </row>
    <row r="233">
      <c r="A233" s="5" t="s">
        <v>2054</v>
      </c>
    </row>
    <row r="234">
      <c r="A234" s="5" t="s">
        <v>2054</v>
      </c>
    </row>
    <row r="235">
      <c r="A235" s="5" t="s">
        <v>2054</v>
      </c>
    </row>
    <row r="236">
      <c r="A236" s="5" t="s">
        <v>2054</v>
      </c>
    </row>
    <row r="237">
      <c r="A237" s="5" t="s">
        <v>2054</v>
      </c>
    </row>
    <row r="238">
      <c r="A238" s="5" t="s">
        <v>2054</v>
      </c>
    </row>
    <row r="239">
      <c r="A239" s="5" t="s">
        <v>2054</v>
      </c>
    </row>
    <row r="240">
      <c r="A240" s="5" t="s">
        <v>2054</v>
      </c>
    </row>
    <row r="241">
      <c r="A241" s="5" t="s">
        <v>2054</v>
      </c>
    </row>
    <row r="242">
      <c r="A242" s="5" t="s">
        <v>2054</v>
      </c>
    </row>
    <row r="243">
      <c r="A243" s="5" t="s">
        <v>2054</v>
      </c>
    </row>
    <row r="244">
      <c r="A244" s="5" t="s">
        <v>2054</v>
      </c>
    </row>
    <row r="245">
      <c r="A245" s="5" t="s">
        <v>2054</v>
      </c>
    </row>
    <row r="246">
      <c r="A246" s="5" t="s">
        <v>2054</v>
      </c>
    </row>
    <row r="247">
      <c r="A247" s="5" t="s">
        <v>2054</v>
      </c>
    </row>
    <row r="248">
      <c r="A248" s="5" t="s">
        <v>2054</v>
      </c>
    </row>
    <row r="249">
      <c r="A249" s="5" t="s">
        <v>2054</v>
      </c>
    </row>
    <row r="250">
      <c r="A250" s="5" t="s">
        <v>2054</v>
      </c>
    </row>
    <row r="251">
      <c r="A251" s="5" t="s">
        <v>2054</v>
      </c>
    </row>
    <row r="252">
      <c r="A252" s="5" t="s">
        <v>2054</v>
      </c>
    </row>
    <row r="253">
      <c r="A253" s="5" t="s">
        <v>2054</v>
      </c>
    </row>
    <row r="254">
      <c r="A254" s="5" t="s">
        <v>2054</v>
      </c>
    </row>
    <row r="255">
      <c r="A255" s="5" t="s">
        <v>2054</v>
      </c>
    </row>
    <row r="256">
      <c r="A256" s="5" t="s">
        <v>2054</v>
      </c>
    </row>
    <row r="257">
      <c r="A257" s="5" t="s">
        <v>2054</v>
      </c>
    </row>
    <row r="258">
      <c r="A258" s="5" t="s">
        <v>2054</v>
      </c>
    </row>
    <row r="259">
      <c r="A259" s="5" t="s">
        <v>2054</v>
      </c>
    </row>
    <row r="260">
      <c r="A260" s="5" t="s">
        <v>2054</v>
      </c>
    </row>
    <row r="261">
      <c r="A261" s="5" t="s">
        <v>2054</v>
      </c>
    </row>
    <row r="262">
      <c r="A262" s="5" t="s">
        <v>2054</v>
      </c>
    </row>
    <row r="263">
      <c r="A263" s="5" t="s">
        <v>2054</v>
      </c>
    </row>
    <row r="264">
      <c r="A264" s="5" t="s">
        <v>2054</v>
      </c>
    </row>
    <row r="265">
      <c r="A265" s="5" t="s">
        <v>2054</v>
      </c>
    </row>
    <row r="266">
      <c r="A266" s="5" t="s">
        <v>2054</v>
      </c>
    </row>
    <row r="267">
      <c r="A267" s="5" t="s">
        <v>2054</v>
      </c>
    </row>
    <row r="268">
      <c r="A268" s="5" t="s">
        <v>2054</v>
      </c>
    </row>
    <row r="269">
      <c r="A269" s="5" t="s">
        <v>2054</v>
      </c>
    </row>
    <row r="270">
      <c r="A270" s="5" t="s">
        <v>2054</v>
      </c>
    </row>
    <row r="271">
      <c r="A271" s="5" t="s">
        <v>2054</v>
      </c>
    </row>
    <row r="272">
      <c r="A272" s="5" t="s">
        <v>2054</v>
      </c>
    </row>
    <row r="273">
      <c r="A273" s="5" t="s">
        <v>2054</v>
      </c>
    </row>
    <row r="274">
      <c r="A274" s="5" t="s">
        <v>2054</v>
      </c>
    </row>
    <row r="275">
      <c r="A275" s="5" t="s">
        <v>2054</v>
      </c>
    </row>
    <row r="276">
      <c r="A276" s="5" t="s">
        <v>2054</v>
      </c>
    </row>
    <row r="277">
      <c r="A277" s="5" t="s">
        <v>2054</v>
      </c>
    </row>
    <row r="278">
      <c r="A278" s="5" t="s">
        <v>2054</v>
      </c>
    </row>
    <row r="279">
      <c r="A279" s="5" t="s">
        <v>2054</v>
      </c>
    </row>
    <row r="280">
      <c r="A280" s="5" t="s">
        <v>2054</v>
      </c>
    </row>
    <row r="281">
      <c r="A281" s="5" t="s">
        <v>2054</v>
      </c>
    </row>
    <row r="282">
      <c r="A282" s="5" t="s">
        <v>2054</v>
      </c>
    </row>
    <row r="283">
      <c r="A283" s="5" t="s">
        <v>2054</v>
      </c>
    </row>
    <row r="284">
      <c r="A284" s="5" t="s">
        <v>2054</v>
      </c>
    </row>
    <row r="285">
      <c r="A285" s="5" t="s">
        <v>2054</v>
      </c>
    </row>
    <row r="286">
      <c r="A286" s="5" t="s">
        <v>2054</v>
      </c>
    </row>
    <row r="287">
      <c r="A287" s="5" t="s">
        <v>2054</v>
      </c>
    </row>
    <row r="288">
      <c r="A288" s="5" t="s">
        <v>2054</v>
      </c>
    </row>
    <row r="289">
      <c r="A289" s="5" t="s">
        <v>2054</v>
      </c>
    </row>
    <row r="290">
      <c r="A290" s="5" t="s">
        <v>2054</v>
      </c>
    </row>
    <row r="291">
      <c r="A291" s="5" t="s">
        <v>2054</v>
      </c>
    </row>
    <row r="292">
      <c r="A292" s="5" t="s">
        <v>2054</v>
      </c>
    </row>
    <row r="293">
      <c r="A293" s="5" t="s">
        <v>2054</v>
      </c>
    </row>
    <row r="294">
      <c r="A294" s="5" t="s">
        <v>2054</v>
      </c>
    </row>
    <row r="295">
      <c r="A295" s="5" t="s">
        <v>2054</v>
      </c>
    </row>
    <row r="296">
      <c r="A296" s="5" t="s">
        <v>2054</v>
      </c>
    </row>
    <row r="297">
      <c r="A297" s="5" t="s">
        <v>2054</v>
      </c>
    </row>
    <row r="298">
      <c r="A298" s="5" t="s">
        <v>2054</v>
      </c>
    </row>
    <row r="299">
      <c r="A299" s="5" t="s">
        <v>2054</v>
      </c>
    </row>
    <row r="300">
      <c r="A300" s="5" t="s">
        <v>2054</v>
      </c>
    </row>
    <row r="301">
      <c r="A301" s="5" t="s">
        <v>2054</v>
      </c>
    </row>
    <row r="302">
      <c r="A302" s="5" t="s">
        <v>2054</v>
      </c>
    </row>
    <row r="303">
      <c r="A303" s="5" t="s">
        <v>2054</v>
      </c>
    </row>
    <row r="304">
      <c r="A304" s="5" t="s">
        <v>2054</v>
      </c>
    </row>
    <row r="305">
      <c r="A305" s="5" t="s">
        <v>2054</v>
      </c>
    </row>
    <row r="306">
      <c r="A306" s="5" t="s">
        <v>2054</v>
      </c>
    </row>
    <row r="307">
      <c r="A307" s="5" t="s">
        <v>2054</v>
      </c>
    </row>
    <row r="308">
      <c r="A308" s="5" t="s">
        <v>2054</v>
      </c>
    </row>
    <row r="309">
      <c r="A309" s="5" t="s">
        <v>2054</v>
      </c>
    </row>
    <row r="310">
      <c r="A310" s="5" t="s">
        <v>2054</v>
      </c>
    </row>
    <row r="311">
      <c r="A311" s="5" t="s">
        <v>2054</v>
      </c>
    </row>
    <row r="312">
      <c r="A312" s="5" t="s">
        <v>2054</v>
      </c>
    </row>
    <row r="313">
      <c r="A313" s="5" t="s">
        <v>2054</v>
      </c>
    </row>
    <row r="314">
      <c r="A314" s="5" t="s">
        <v>2054</v>
      </c>
    </row>
    <row r="315">
      <c r="A315" s="5" t="s">
        <v>2054</v>
      </c>
    </row>
    <row r="316">
      <c r="A316" s="5" t="s">
        <v>2054</v>
      </c>
    </row>
    <row r="317">
      <c r="A317" s="5" t="s">
        <v>2054</v>
      </c>
    </row>
    <row r="318">
      <c r="A318" s="5" t="s">
        <v>2054</v>
      </c>
    </row>
    <row r="319">
      <c r="A319" s="5" t="s">
        <v>2054</v>
      </c>
    </row>
    <row r="320">
      <c r="A320" s="5" t="s">
        <v>2054</v>
      </c>
    </row>
    <row r="321">
      <c r="A321" s="5" t="s">
        <v>2054</v>
      </c>
    </row>
    <row r="322">
      <c r="A322" s="5" t="s">
        <v>2054</v>
      </c>
    </row>
    <row r="323">
      <c r="A323" s="5" t="s">
        <v>2054</v>
      </c>
    </row>
    <row r="324">
      <c r="A324" s="5" t="s">
        <v>2054</v>
      </c>
    </row>
    <row r="325">
      <c r="A325" s="5" t="s">
        <v>2054</v>
      </c>
    </row>
    <row r="326">
      <c r="A326" s="5" t="s">
        <v>2054</v>
      </c>
    </row>
    <row r="327">
      <c r="A327" s="5" t="s">
        <v>2054</v>
      </c>
    </row>
    <row r="328">
      <c r="A328" s="5" t="s">
        <v>2054</v>
      </c>
    </row>
    <row r="329">
      <c r="A329" s="5" t="s">
        <v>2054</v>
      </c>
    </row>
    <row r="330">
      <c r="A330" s="5" t="s">
        <v>2054</v>
      </c>
    </row>
    <row r="331">
      <c r="A331" s="5" t="s">
        <v>2054</v>
      </c>
    </row>
    <row r="332">
      <c r="A332" s="5" t="s">
        <v>2054</v>
      </c>
    </row>
    <row r="333">
      <c r="A333" s="5" t="s">
        <v>2054</v>
      </c>
    </row>
    <row r="334">
      <c r="A334" s="5" t="s">
        <v>2054</v>
      </c>
    </row>
    <row r="335">
      <c r="A335" s="5" t="s">
        <v>2054</v>
      </c>
    </row>
    <row r="336">
      <c r="A336" s="5" t="s">
        <v>2054</v>
      </c>
    </row>
    <row r="337">
      <c r="A337" s="5" t="s">
        <v>2054</v>
      </c>
    </row>
    <row r="338">
      <c r="A338" s="5" t="s">
        <v>2054</v>
      </c>
    </row>
    <row r="339">
      <c r="A339" s="5" t="s">
        <v>2054</v>
      </c>
    </row>
    <row r="340">
      <c r="A340" s="5" t="s">
        <v>2054</v>
      </c>
    </row>
    <row r="341">
      <c r="A341" s="5" t="s">
        <v>2054</v>
      </c>
    </row>
    <row r="342">
      <c r="A342" s="5" t="s">
        <v>2054</v>
      </c>
    </row>
    <row r="343">
      <c r="A343" s="5" t="s">
        <v>2054</v>
      </c>
    </row>
    <row r="344">
      <c r="A344" s="5" t="s">
        <v>2054</v>
      </c>
    </row>
    <row r="345">
      <c r="A345" s="5" t="s">
        <v>2054</v>
      </c>
    </row>
    <row r="346">
      <c r="A346" s="5" t="s">
        <v>2054</v>
      </c>
    </row>
    <row r="347">
      <c r="A347" s="5" t="s">
        <v>2054</v>
      </c>
    </row>
    <row r="348">
      <c r="A348" s="5" t="s">
        <v>2054</v>
      </c>
    </row>
    <row r="349">
      <c r="A349" s="5" t="s">
        <v>2054</v>
      </c>
    </row>
    <row r="350">
      <c r="A350" s="5" t="s">
        <v>2054</v>
      </c>
    </row>
    <row r="351">
      <c r="A351" s="5" t="s">
        <v>2054</v>
      </c>
    </row>
    <row r="352">
      <c r="A352" s="5" t="s">
        <v>2054</v>
      </c>
    </row>
    <row r="353">
      <c r="A353" s="5" t="s">
        <v>2054</v>
      </c>
    </row>
    <row r="354">
      <c r="A354" s="5" t="s">
        <v>2054</v>
      </c>
    </row>
    <row r="355">
      <c r="A355" s="5" t="s">
        <v>2054</v>
      </c>
    </row>
    <row r="356">
      <c r="A356" s="5" t="s">
        <v>2054</v>
      </c>
    </row>
    <row r="357">
      <c r="A357" s="5" t="s">
        <v>2054</v>
      </c>
    </row>
    <row r="358">
      <c r="A358" s="5" t="s">
        <v>2054</v>
      </c>
    </row>
    <row r="359">
      <c r="A359" s="5" t="s">
        <v>2054</v>
      </c>
    </row>
    <row r="360">
      <c r="A360" s="5" t="s">
        <v>2054</v>
      </c>
    </row>
    <row r="361">
      <c r="A361" s="5" t="s">
        <v>2054</v>
      </c>
    </row>
    <row r="362">
      <c r="A362" s="5" t="s">
        <v>2054</v>
      </c>
    </row>
    <row r="363">
      <c r="A363" s="5" t="s">
        <v>2054</v>
      </c>
    </row>
    <row r="364">
      <c r="A364" s="5" t="s">
        <v>2054</v>
      </c>
    </row>
    <row r="365">
      <c r="A365" s="5" t="s">
        <v>2054</v>
      </c>
    </row>
    <row r="366">
      <c r="A366" s="5" t="s">
        <v>2054</v>
      </c>
    </row>
    <row r="367">
      <c r="A367" s="5" t="s">
        <v>2054</v>
      </c>
    </row>
    <row r="368">
      <c r="A368" s="5" t="s">
        <v>2054</v>
      </c>
    </row>
    <row r="369">
      <c r="A369" s="5" t="s">
        <v>2054</v>
      </c>
    </row>
    <row r="370">
      <c r="A370" s="5" t="s">
        <v>2054</v>
      </c>
    </row>
    <row r="371">
      <c r="A371" s="5" t="s">
        <v>2054</v>
      </c>
    </row>
    <row r="372">
      <c r="A372" s="5" t="s">
        <v>2054</v>
      </c>
    </row>
    <row r="373">
      <c r="A373" s="5" t="s">
        <v>2054</v>
      </c>
    </row>
    <row r="374">
      <c r="A374" s="5" t="s">
        <v>2054</v>
      </c>
    </row>
    <row r="375">
      <c r="A375" s="5" t="s">
        <v>2054</v>
      </c>
    </row>
    <row r="376">
      <c r="A376" s="5" t="s">
        <v>2054</v>
      </c>
    </row>
    <row r="377">
      <c r="A377" s="5" t="s">
        <v>2054</v>
      </c>
    </row>
    <row r="378">
      <c r="A378" s="5" t="s">
        <v>2054</v>
      </c>
    </row>
    <row r="379">
      <c r="A379" s="5" t="s">
        <v>2054</v>
      </c>
    </row>
    <row r="380">
      <c r="A380" s="5" t="s">
        <v>2054</v>
      </c>
    </row>
    <row r="381">
      <c r="A381" s="5" t="s">
        <v>2054</v>
      </c>
    </row>
    <row r="382">
      <c r="A382" s="5" t="s">
        <v>2054</v>
      </c>
    </row>
    <row r="383">
      <c r="A383" s="5" t="s">
        <v>2054</v>
      </c>
    </row>
    <row r="384">
      <c r="A384" s="5" t="s">
        <v>2054</v>
      </c>
    </row>
    <row r="385">
      <c r="A385" s="5" t="s">
        <v>2054</v>
      </c>
    </row>
    <row r="386">
      <c r="A386" s="5" t="s">
        <v>2054</v>
      </c>
    </row>
    <row r="387">
      <c r="A387" s="5" t="s">
        <v>2054</v>
      </c>
    </row>
    <row r="388">
      <c r="A388" s="5" t="s">
        <v>2054</v>
      </c>
    </row>
    <row r="389">
      <c r="A389" s="5" t="s">
        <v>2054</v>
      </c>
    </row>
    <row r="390">
      <c r="A390" s="5" t="s">
        <v>2054</v>
      </c>
    </row>
    <row r="391">
      <c r="A391" s="5" t="s">
        <v>2054</v>
      </c>
    </row>
    <row r="392">
      <c r="A392" s="5" t="s">
        <v>2054</v>
      </c>
    </row>
    <row r="393">
      <c r="A393" s="5" t="s">
        <v>2054</v>
      </c>
    </row>
    <row r="394">
      <c r="A394" s="5" t="s">
        <v>2054</v>
      </c>
    </row>
    <row r="395">
      <c r="A395" s="5" t="s">
        <v>2054</v>
      </c>
    </row>
    <row r="396">
      <c r="A396" s="5" t="s">
        <v>2054</v>
      </c>
    </row>
    <row r="397">
      <c r="A397" s="5" t="s">
        <v>2054</v>
      </c>
    </row>
    <row r="398">
      <c r="A398" s="5" t="s">
        <v>2054</v>
      </c>
    </row>
    <row r="399">
      <c r="A399" s="5" t="s">
        <v>2054</v>
      </c>
    </row>
    <row r="400">
      <c r="A400" s="5" t="s">
        <v>2054</v>
      </c>
    </row>
    <row r="401">
      <c r="A401" s="5" t="s">
        <v>2054</v>
      </c>
    </row>
    <row r="402">
      <c r="A402" s="5" t="s">
        <v>2054</v>
      </c>
    </row>
    <row r="403">
      <c r="A403" s="5" t="s">
        <v>2054</v>
      </c>
    </row>
    <row r="404">
      <c r="A404" s="5" t="s">
        <v>2054</v>
      </c>
    </row>
    <row r="405">
      <c r="A405" s="5" t="s">
        <v>2054</v>
      </c>
    </row>
    <row r="406">
      <c r="A406" s="5" t="s">
        <v>2054</v>
      </c>
    </row>
    <row r="407">
      <c r="A407" s="5" t="s">
        <v>2054</v>
      </c>
    </row>
    <row r="408">
      <c r="A408" s="5" t="s">
        <v>2054</v>
      </c>
    </row>
    <row r="409">
      <c r="A409" s="5" t="s">
        <v>2054</v>
      </c>
    </row>
    <row r="410">
      <c r="A410" s="5" t="s">
        <v>2054</v>
      </c>
    </row>
    <row r="411">
      <c r="A411" s="5" t="s">
        <v>2054</v>
      </c>
    </row>
    <row r="412">
      <c r="A412" s="5" t="s">
        <v>2054</v>
      </c>
    </row>
    <row r="413">
      <c r="A413" s="5" t="s">
        <v>2054</v>
      </c>
    </row>
    <row r="414">
      <c r="A414" s="5" t="s">
        <v>2054</v>
      </c>
    </row>
    <row r="415">
      <c r="A415" s="5" t="s">
        <v>2054</v>
      </c>
    </row>
    <row r="416">
      <c r="A416" s="5" t="s">
        <v>2054</v>
      </c>
    </row>
    <row r="417">
      <c r="A417" s="5" t="s">
        <v>2054</v>
      </c>
    </row>
    <row r="418">
      <c r="A418" s="5" t="s">
        <v>2054</v>
      </c>
    </row>
    <row r="419">
      <c r="A419" s="5" t="s">
        <v>2054</v>
      </c>
    </row>
    <row r="420">
      <c r="A420" s="5" t="s">
        <v>2054</v>
      </c>
    </row>
    <row r="421">
      <c r="A421" s="5" t="s">
        <v>2054</v>
      </c>
    </row>
    <row r="422">
      <c r="A422" s="5" t="s">
        <v>2054</v>
      </c>
    </row>
    <row r="423">
      <c r="A423" s="5" t="s">
        <v>2054</v>
      </c>
    </row>
    <row r="424">
      <c r="A424" s="5" t="s">
        <v>2054</v>
      </c>
    </row>
    <row r="425">
      <c r="A425" s="5" t="s">
        <v>2054</v>
      </c>
    </row>
    <row r="426">
      <c r="A426" s="5" t="s">
        <v>2054</v>
      </c>
    </row>
    <row r="427">
      <c r="A427" s="5" t="s">
        <v>2054</v>
      </c>
    </row>
    <row r="428">
      <c r="A428" s="5" t="s">
        <v>2054</v>
      </c>
    </row>
    <row r="429">
      <c r="A429" s="5" t="s">
        <v>2054</v>
      </c>
    </row>
    <row r="430">
      <c r="A430" s="5" t="s">
        <v>2054</v>
      </c>
    </row>
    <row r="431">
      <c r="A431" s="5" t="s">
        <v>2054</v>
      </c>
    </row>
    <row r="432">
      <c r="A432" s="5" t="s">
        <v>2054</v>
      </c>
    </row>
    <row r="433">
      <c r="A433" s="5" t="s">
        <v>2054</v>
      </c>
    </row>
    <row r="434">
      <c r="A434" s="5" t="s">
        <v>2054</v>
      </c>
    </row>
    <row r="435">
      <c r="A435" s="5" t="s">
        <v>2054</v>
      </c>
    </row>
    <row r="436">
      <c r="A436" s="5" t="s">
        <v>2054</v>
      </c>
    </row>
    <row r="437">
      <c r="A437" s="5" t="s">
        <v>2054</v>
      </c>
    </row>
    <row r="438">
      <c r="A438" s="5" t="s">
        <v>2054</v>
      </c>
    </row>
    <row r="439">
      <c r="A439" s="5" t="s">
        <v>2054</v>
      </c>
    </row>
    <row r="440">
      <c r="A440" s="5" t="s">
        <v>2054</v>
      </c>
    </row>
    <row r="441">
      <c r="A441" s="5" t="s">
        <v>2054</v>
      </c>
    </row>
    <row r="442">
      <c r="A442" s="5" t="s">
        <v>2054</v>
      </c>
    </row>
    <row r="443">
      <c r="A443" s="5" t="s">
        <v>2054</v>
      </c>
    </row>
    <row r="444">
      <c r="A444" s="5" t="s">
        <v>2054</v>
      </c>
    </row>
    <row r="445">
      <c r="A445" s="5" t="s">
        <v>2054</v>
      </c>
    </row>
    <row r="446">
      <c r="A446" s="5" t="s">
        <v>2054</v>
      </c>
    </row>
    <row r="447">
      <c r="A447" s="5" t="s">
        <v>2054</v>
      </c>
    </row>
    <row r="448">
      <c r="A448" s="5" t="s">
        <v>2054</v>
      </c>
    </row>
    <row r="449">
      <c r="A449" s="5" t="s">
        <v>2054</v>
      </c>
    </row>
    <row r="450">
      <c r="A450" s="5" t="s">
        <v>2054</v>
      </c>
    </row>
    <row r="451">
      <c r="A451" s="5" t="s">
        <v>2054</v>
      </c>
    </row>
    <row r="452">
      <c r="A452" s="5" t="s">
        <v>2054</v>
      </c>
    </row>
    <row r="453">
      <c r="A453" s="5" t="s">
        <v>2054</v>
      </c>
    </row>
    <row r="454">
      <c r="A454" s="5" t="s">
        <v>2054</v>
      </c>
    </row>
    <row r="455">
      <c r="A455" s="5" t="s">
        <v>2054</v>
      </c>
    </row>
    <row r="456">
      <c r="A456" s="5" t="s">
        <v>2054</v>
      </c>
    </row>
    <row r="457">
      <c r="A457" s="5" t="s">
        <v>2054</v>
      </c>
    </row>
    <row r="458">
      <c r="A458" s="5" t="s">
        <v>2054</v>
      </c>
    </row>
    <row r="459">
      <c r="A459" s="5" t="s">
        <v>2054</v>
      </c>
    </row>
    <row r="460">
      <c r="A460" s="5" t="s">
        <v>2054</v>
      </c>
    </row>
    <row r="461">
      <c r="A461" s="5" t="s">
        <v>2054</v>
      </c>
    </row>
    <row r="462">
      <c r="A462" s="5" t="s">
        <v>2054</v>
      </c>
    </row>
    <row r="463">
      <c r="A463" s="5" t="s">
        <v>2054</v>
      </c>
    </row>
    <row r="464">
      <c r="A464" s="5" t="s">
        <v>2054</v>
      </c>
    </row>
    <row r="465">
      <c r="A465" s="5" t="s">
        <v>2054</v>
      </c>
    </row>
    <row r="466">
      <c r="A466" s="5" t="s">
        <v>2054</v>
      </c>
    </row>
    <row r="467">
      <c r="A467" s="5" t="s">
        <v>2054</v>
      </c>
    </row>
    <row r="468">
      <c r="A468" s="5" t="s">
        <v>2054</v>
      </c>
    </row>
    <row r="469">
      <c r="A469" s="5" t="s">
        <v>2054</v>
      </c>
    </row>
    <row r="470">
      <c r="A470" s="5" t="s">
        <v>2054</v>
      </c>
    </row>
    <row r="471">
      <c r="A471" s="5" t="s">
        <v>2054</v>
      </c>
    </row>
    <row r="472">
      <c r="A472" s="5" t="s">
        <v>2054</v>
      </c>
    </row>
    <row r="473">
      <c r="A473" s="5" t="s">
        <v>2054</v>
      </c>
    </row>
    <row r="474">
      <c r="A474" s="5" t="s">
        <v>2054</v>
      </c>
    </row>
    <row r="475">
      <c r="A475" s="5" t="s">
        <v>2054</v>
      </c>
    </row>
    <row r="476">
      <c r="A476" s="5" t="s">
        <v>2054</v>
      </c>
    </row>
    <row r="477">
      <c r="A477" s="5" t="s">
        <v>2054</v>
      </c>
    </row>
    <row r="478">
      <c r="A478" s="5" t="s">
        <v>2054</v>
      </c>
    </row>
    <row r="479">
      <c r="A479" s="5" t="s">
        <v>2054</v>
      </c>
    </row>
    <row r="480">
      <c r="A480" s="5" t="s">
        <v>2054</v>
      </c>
    </row>
    <row r="481">
      <c r="A481" s="5" t="s">
        <v>2054</v>
      </c>
    </row>
    <row r="482">
      <c r="A482" s="5" t="s">
        <v>2054</v>
      </c>
    </row>
    <row r="483">
      <c r="A483" s="5" t="s">
        <v>2054</v>
      </c>
    </row>
    <row r="484">
      <c r="A484" s="5" t="s">
        <v>2054</v>
      </c>
    </row>
    <row r="485">
      <c r="A485" s="5" t="s">
        <v>2054</v>
      </c>
    </row>
    <row r="486">
      <c r="A486" s="5" t="s">
        <v>2054</v>
      </c>
    </row>
    <row r="487">
      <c r="A487" s="5" t="s">
        <v>2054</v>
      </c>
    </row>
    <row r="488">
      <c r="A488" s="5" t="s">
        <v>2054</v>
      </c>
    </row>
    <row r="489">
      <c r="A489" s="5" t="s">
        <v>2054</v>
      </c>
    </row>
    <row r="490">
      <c r="A490" s="5" t="s">
        <v>2054</v>
      </c>
    </row>
    <row r="491">
      <c r="A491" s="5" t="s">
        <v>2054</v>
      </c>
    </row>
    <row r="492">
      <c r="A492" s="5" t="s">
        <v>2054</v>
      </c>
    </row>
    <row r="493">
      <c r="A493" s="5" t="s">
        <v>2054</v>
      </c>
    </row>
    <row r="494">
      <c r="A494" s="5" t="s">
        <v>2054</v>
      </c>
    </row>
    <row r="495">
      <c r="A495" s="5" t="s">
        <v>2054</v>
      </c>
    </row>
    <row r="496">
      <c r="A496" s="5" t="s">
        <v>2054</v>
      </c>
    </row>
    <row r="497">
      <c r="A497" s="5" t="s">
        <v>2054</v>
      </c>
    </row>
    <row r="498">
      <c r="A498" s="5" t="s">
        <v>2054</v>
      </c>
    </row>
    <row r="499">
      <c r="A499" s="5" t="s">
        <v>2054</v>
      </c>
    </row>
    <row r="500">
      <c r="A500" s="5" t="s">
        <v>2054</v>
      </c>
    </row>
    <row r="501">
      <c r="A501" s="5" t="s">
        <v>2054</v>
      </c>
    </row>
    <row r="502">
      <c r="A502" s="5" t="s">
        <v>2054</v>
      </c>
    </row>
    <row r="503">
      <c r="A503" s="5" t="s">
        <v>2054</v>
      </c>
    </row>
    <row r="504">
      <c r="A504" s="5" t="s">
        <v>2054</v>
      </c>
    </row>
    <row r="505">
      <c r="A505" s="5" t="s">
        <v>2054</v>
      </c>
    </row>
    <row r="506">
      <c r="A506" s="5" t="s">
        <v>2054</v>
      </c>
    </row>
    <row r="507">
      <c r="A507" s="5" t="s">
        <v>2054</v>
      </c>
    </row>
    <row r="508">
      <c r="A508" s="5" t="s">
        <v>2054</v>
      </c>
    </row>
    <row r="509">
      <c r="A509" s="5" t="s">
        <v>2054</v>
      </c>
    </row>
    <row r="510">
      <c r="A510" s="5" t="s">
        <v>2054</v>
      </c>
    </row>
    <row r="511">
      <c r="A511" s="5" t="s">
        <v>2054</v>
      </c>
    </row>
    <row r="512">
      <c r="A512" s="5" t="s">
        <v>2054</v>
      </c>
    </row>
    <row r="513">
      <c r="A513" s="5" t="s">
        <v>2054</v>
      </c>
    </row>
    <row r="514">
      <c r="A514" s="5" t="s">
        <v>2054</v>
      </c>
    </row>
    <row r="515">
      <c r="A515" s="5" t="s">
        <v>2054</v>
      </c>
    </row>
    <row r="516">
      <c r="A516" s="5" t="s">
        <v>2054</v>
      </c>
    </row>
    <row r="517">
      <c r="A517" s="5" t="s">
        <v>2054</v>
      </c>
    </row>
    <row r="518">
      <c r="A518" s="5" t="s">
        <v>2054</v>
      </c>
    </row>
    <row r="519">
      <c r="A519" s="5" t="s">
        <v>2054</v>
      </c>
    </row>
    <row r="520">
      <c r="A520" s="5" t="s">
        <v>2054</v>
      </c>
    </row>
    <row r="521">
      <c r="A521" s="5" t="s">
        <v>2054</v>
      </c>
    </row>
    <row r="522">
      <c r="A522" s="5" t="s">
        <v>2054</v>
      </c>
    </row>
    <row r="523">
      <c r="A523" s="5" t="s">
        <v>2054</v>
      </c>
    </row>
    <row r="524">
      <c r="A524" s="5" t="s">
        <v>2054</v>
      </c>
    </row>
    <row r="525">
      <c r="A525" s="5" t="s">
        <v>2054</v>
      </c>
    </row>
    <row r="526">
      <c r="A526" s="5" t="s">
        <v>2054</v>
      </c>
    </row>
    <row r="527">
      <c r="A527" s="5" t="s">
        <v>2054</v>
      </c>
    </row>
    <row r="528">
      <c r="A528" s="5" t="s">
        <v>2054</v>
      </c>
    </row>
    <row r="529">
      <c r="A529" s="5" t="s">
        <v>2054</v>
      </c>
    </row>
    <row r="530">
      <c r="A530" s="5" t="s">
        <v>2054</v>
      </c>
    </row>
    <row r="531">
      <c r="A531" s="5" t="s">
        <v>2054</v>
      </c>
    </row>
    <row r="532">
      <c r="A532" s="5" t="s">
        <v>2054</v>
      </c>
    </row>
    <row r="533">
      <c r="A533" s="5" t="s">
        <v>2054</v>
      </c>
    </row>
    <row r="534">
      <c r="A534" s="5" t="s">
        <v>2054</v>
      </c>
    </row>
    <row r="535">
      <c r="A535" s="5" t="s">
        <v>2054</v>
      </c>
    </row>
    <row r="536">
      <c r="A536" s="5" t="s">
        <v>2054</v>
      </c>
    </row>
    <row r="537">
      <c r="A537" s="5" t="s">
        <v>2054</v>
      </c>
    </row>
    <row r="538">
      <c r="A538" s="5" t="s">
        <v>2054</v>
      </c>
    </row>
    <row r="539">
      <c r="A539" s="5" t="s">
        <v>2054</v>
      </c>
    </row>
    <row r="540">
      <c r="A540" s="5" t="s">
        <v>2054</v>
      </c>
    </row>
    <row r="541">
      <c r="A541" s="5" t="s">
        <v>2054</v>
      </c>
    </row>
    <row r="542">
      <c r="A542" s="5" t="s">
        <v>2054</v>
      </c>
    </row>
    <row r="543">
      <c r="A543" s="5" t="s">
        <v>2054</v>
      </c>
    </row>
    <row r="544">
      <c r="A544" s="5" t="s">
        <v>2054</v>
      </c>
    </row>
    <row r="545">
      <c r="A545" s="5" t="s">
        <v>2054</v>
      </c>
    </row>
    <row r="546">
      <c r="A546" s="5" t="s">
        <v>2054</v>
      </c>
    </row>
    <row r="547">
      <c r="A547" s="5" t="s">
        <v>2054</v>
      </c>
    </row>
    <row r="548">
      <c r="A548" s="5" t="s">
        <v>2054</v>
      </c>
    </row>
    <row r="549">
      <c r="A549" s="5" t="s">
        <v>2054</v>
      </c>
    </row>
    <row r="550">
      <c r="A550" s="5" t="s">
        <v>2054</v>
      </c>
    </row>
    <row r="551">
      <c r="A551" s="5" t="s">
        <v>2054</v>
      </c>
    </row>
    <row r="552">
      <c r="A552" s="5" t="s">
        <v>2054</v>
      </c>
    </row>
    <row r="553">
      <c r="A553" s="5" t="s">
        <v>2054</v>
      </c>
    </row>
    <row r="554">
      <c r="A554" s="5" t="s">
        <v>2054</v>
      </c>
    </row>
    <row r="555">
      <c r="A555" s="5" t="s">
        <v>2054</v>
      </c>
    </row>
    <row r="556">
      <c r="A556" s="5" t="s">
        <v>2054</v>
      </c>
    </row>
    <row r="557">
      <c r="A557" s="5" t="s">
        <v>2054</v>
      </c>
    </row>
    <row r="558">
      <c r="A558" s="5" t="s">
        <v>2054</v>
      </c>
    </row>
    <row r="559">
      <c r="A559" s="5" t="s">
        <v>2054</v>
      </c>
    </row>
    <row r="560">
      <c r="A560" s="5" t="s">
        <v>2054</v>
      </c>
    </row>
    <row r="561">
      <c r="A561" s="5" t="s">
        <v>2054</v>
      </c>
    </row>
    <row r="562">
      <c r="A562" s="5" t="s">
        <v>2054</v>
      </c>
    </row>
    <row r="563">
      <c r="A563" s="5" t="s">
        <v>2054</v>
      </c>
    </row>
    <row r="564">
      <c r="A564" s="5" t="s">
        <v>2054</v>
      </c>
    </row>
    <row r="565">
      <c r="A565" s="5" t="s">
        <v>2054</v>
      </c>
    </row>
    <row r="566">
      <c r="A566" s="5" t="s">
        <v>2054</v>
      </c>
    </row>
    <row r="567">
      <c r="A567" s="5" t="s">
        <v>2054</v>
      </c>
    </row>
    <row r="568">
      <c r="A568" s="5" t="s">
        <v>2054</v>
      </c>
    </row>
    <row r="569">
      <c r="A569" s="5" t="s">
        <v>2054</v>
      </c>
    </row>
    <row r="570">
      <c r="A570" s="5" t="s">
        <v>2054</v>
      </c>
    </row>
    <row r="571">
      <c r="A571" s="5" t="s">
        <v>2054</v>
      </c>
    </row>
    <row r="572">
      <c r="A572" s="5" t="s">
        <v>2054</v>
      </c>
    </row>
    <row r="573">
      <c r="A573" s="5" t="s">
        <v>2054</v>
      </c>
    </row>
    <row r="574">
      <c r="A574" s="5" t="s">
        <v>2054</v>
      </c>
    </row>
    <row r="575">
      <c r="A575" s="5" t="s">
        <v>2054</v>
      </c>
    </row>
    <row r="576">
      <c r="A576" s="5" t="s">
        <v>2054</v>
      </c>
    </row>
    <row r="577">
      <c r="A577" s="5" t="s">
        <v>2054</v>
      </c>
    </row>
    <row r="578">
      <c r="A578" s="5" t="s">
        <v>2054</v>
      </c>
    </row>
    <row r="579">
      <c r="A579" s="5" t="s">
        <v>2054</v>
      </c>
    </row>
    <row r="580">
      <c r="A580" s="5" t="s">
        <v>2054</v>
      </c>
    </row>
    <row r="581">
      <c r="A581" s="5" t="s">
        <v>2054</v>
      </c>
    </row>
    <row r="582">
      <c r="A582" s="5" t="s">
        <v>2054</v>
      </c>
    </row>
    <row r="583">
      <c r="A583" s="5" t="s">
        <v>2054</v>
      </c>
    </row>
    <row r="584">
      <c r="A584" s="5" t="s">
        <v>2054</v>
      </c>
    </row>
    <row r="585">
      <c r="A585" s="5" t="s">
        <v>2054</v>
      </c>
    </row>
    <row r="586">
      <c r="A586" s="5" t="s">
        <v>2054</v>
      </c>
    </row>
    <row r="587">
      <c r="A587" s="5" t="s">
        <v>2054</v>
      </c>
    </row>
    <row r="588">
      <c r="A588" s="5" t="s">
        <v>2054</v>
      </c>
    </row>
    <row r="589">
      <c r="A589" s="5" t="s">
        <v>2054</v>
      </c>
    </row>
    <row r="590">
      <c r="A590" s="5" t="s">
        <v>2054</v>
      </c>
    </row>
    <row r="591">
      <c r="A591" s="5" t="s">
        <v>2054</v>
      </c>
    </row>
    <row r="592">
      <c r="A592" s="5" t="s">
        <v>2054</v>
      </c>
    </row>
    <row r="593">
      <c r="A593" s="5" t="s">
        <v>2054</v>
      </c>
    </row>
    <row r="594">
      <c r="A594" s="5" t="s">
        <v>2054</v>
      </c>
    </row>
    <row r="595">
      <c r="A595" s="5" t="s">
        <v>2054</v>
      </c>
    </row>
    <row r="596">
      <c r="A596" s="5" t="s">
        <v>2054</v>
      </c>
    </row>
    <row r="597">
      <c r="A597" s="5" t="s">
        <v>2054</v>
      </c>
    </row>
    <row r="598">
      <c r="A598" s="5" t="s">
        <v>2054</v>
      </c>
    </row>
    <row r="599">
      <c r="A599" s="5" t="s">
        <v>2054</v>
      </c>
    </row>
    <row r="600">
      <c r="A600" s="5" t="s">
        <v>2054</v>
      </c>
    </row>
    <row r="601">
      <c r="A601" s="5" t="s">
        <v>2054</v>
      </c>
    </row>
    <row r="602">
      <c r="A602" s="5" t="s">
        <v>2054</v>
      </c>
    </row>
    <row r="603">
      <c r="A603" s="5" t="s">
        <v>2054</v>
      </c>
    </row>
    <row r="604">
      <c r="A604" s="5" t="s">
        <v>2054</v>
      </c>
    </row>
    <row r="605">
      <c r="A605" s="5" t="s">
        <v>2054</v>
      </c>
    </row>
    <row r="606">
      <c r="A606" s="5" t="s">
        <v>2054</v>
      </c>
    </row>
    <row r="607">
      <c r="A607" s="5" t="s">
        <v>2054</v>
      </c>
    </row>
    <row r="608">
      <c r="A608" s="5" t="s">
        <v>2054</v>
      </c>
    </row>
    <row r="609">
      <c r="A609" s="5" t="s">
        <v>2054</v>
      </c>
    </row>
    <row r="610">
      <c r="A610" s="5" t="s">
        <v>2054</v>
      </c>
    </row>
    <row r="611">
      <c r="A611" s="5" t="s">
        <v>2054</v>
      </c>
    </row>
    <row r="612">
      <c r="A612" s="5" t="s">
        <v>2054</v>
      </c>
    </row>
    <row r="613">
      <c r="A613" s="5" t="s">
        <v>2054</v>
      </c>
    </row>
    <row r="614">
      <c r="A614" s="5" t="s">
        <v>2054</v>
      </c>
    </row>
    <row r="615">
      <c r="A615" s="5" t="s">
        <v>2054</v>
      </c>
    </row>
    <row r="616">
      <c r="A616" s="5" t="s">
        <v>2054</v>
      </c>
    </row>
    <row r="617">
      <c r="A617" s="5" t="s">
        <v>2054</v>
      </c>
    </row>
    <row r="618">
      <c r="A618" s="5" t="s">
        <v>2054</v>
      </c>
    </row>
    <row r="619">
      <c r="A619" s="5" t="s">
        <v>2054</v>
      </c>
    </row>
    <row r="620">
      <c r="A620" s="5" t="s">
        <v>2054</v>
      </c>
    </row>
    <row r="621">
      <c r="A621" s="5" t="s">
        <v>2054</v>
      </c>
    </row>
    <row r="622">
      <c r="A622" s="5" t="s">
        <v>2054</v>
      </c>
    </row>
    <row r="623">
      <c r="A623" s="5" t="s">
        <v>2054</v>
      </c>
    </row>
    <row r="624">
      <c r="A624" s="5" t="s">
        <v>2054</v>
      </c>
    </row>
    <row r="625">
      <c r="A625" s="5" t="s">
        <v>2054</v>
      </c>
    </row>
    <row r="626">
      <c r="A626" s="5" t="s">
        <v>2054</v>
      </c>
    </row>
    <row r="627">
      <c r="A627" s="5" t="s">
        <v>2054</v>
      </c>
    </row>
    <row r="628">
      <c r="A628" s="5" t="s">
        <v>2054</v>
      </c>
    </row>
    <row r="629">
      <c r="A629" s="5" t="s">
        <v>2054</v>
      </c>
    </row>
    <row r="630">
      <c r="A630" s="5" t="s">
        <v>2054</v>
      </c>
    </row>
    <row r="631">
      <c r="A631" s="5" t="s">
        <v>2054</v>
      </c>
    </row>
    <row r="632">
      <c r="A632" s="5" t="s">
        <v>2054</v>
      </c>
    </row>
    <row r="633">
      <c r="A633" s="5" t="s">
        <v>2054</v>
      </c>
    </row>
    <row r="634">
      <c r="A634" s="5" t="s">
        <v>2054</v>
      </c>
    </row>
    <row r="635">
      <c r="A635" s="5" t="s">
        <v>2054</v>
      </c>
    </row>
    <row r="636">
      <c r="A636" s="5" t="s">
        <v>2054</v>
      </c>
    </row>
    <row r="637">
      <c r="A637" s="5" t="s">
        <v>2054</v>
      </c>
    </row>
    <row r="638">
      <c r="A638" s="5" t="s">
        <v>2054</v>
      </c>
    </row>
    <row r="639">
      <c r="A639" s="5" t="s">
        <v>2054</v>
      </c>
    </row>
    <row r="640">
      <c r="A640" s="5" t="s">
        <v>2054</v>
      </c>
    </row>
    <row r="641">
      <c r="A641" s="5" t="s">
        <v>2054</v>
      </c>
    </row>
    <row r="642">
      <c r="A642" s="5" t="s">
        <v>2054</v>
      </c>
    </row>
    <row r="643">
      <c r="A643" s="5" t="s">
        <v>2054</v>
      </c>
    </row>
    <row r="644">
      <c r="A644" s="5" t="s">
        <v>2054</v>
      </c>
    </row>
    <row r="645">
      <c r="A645" s="5" t="s">
        <v>2054</v>
      </c>
    </row>
    <row r="646">
      <c r="A646" s="5" t="s">
        <v>2054</v>
      </c>
    </row>
    <row r="647">
      <c r="A647" s="5" t="s">
        <v>2054</v>
      </c>
    </row>
    <row r="648">
      <c r="A648" s="5" t="s">
        <v>2054</v>
      </c>
    </row>
    <row r="649">
      <c r="A649" s="5" t="s">
        <v>2054</v>
      </c>
    </row>
    <row r="650">
      <c r="A650" s="5" t="s">
        <v>2054</v>
      </c>
    </row>
    <row r="651">
      <c r="A651" s="5" t="s">
        <v>2054</v>
      </c>
    </row>
    <row r="652">
      <c r="A652" s="5" t="s">
        <v>2054</v>
      </c>
    </row>
    <row r="653">
      <c r="A653" s="5" t="s">
        <v>2054</v>
      </c>
    </row>
    <row r="654">
      <c r="A654" s="5" t="s">
        <v>2054</v>
      </c>
    </row>
    <row r="655">
      <c r="A655" s="5" t="s">
        <v>2054</v>
      </c>
    </row>
    <row r="656">
      <c r="A656" s="5" t="s">
        <v>2054</v>
      </c>
    </row>
    <row r="657">
      <c r="A657" s="5" t="s">
        <v>2054</v>
      </c>
    </row>
    <row r="658">
      <c r="A658" s="5" t="s">
        <v>2054</v>
      </c>
    </row>
    <row r="659">
      <c r="A659" s="5" t="s">
        <v>2054</v>
      </c>
    </row>
    <row r="660">
      <c r="A660" s="5" t="s">
        <v>2054</v>
      </c>
    </row>
    <row r="661">
      <c r="A661" s="5" t="s">
        <v>2054</v>
      </c>
    </row>
    <row r="662">
      <c r="A662" s="5" t="s">
        <v>2054</v>
      </c>
    </row>
    <row r="663">
      <c r="A663" s="5" t="s">
        <v>2054</v>
      </c>
    </row>
    <row r="664">
      <c r="A664" s="5" t="s">
        <v>2054</v>
      </c>
    </row>
    <row r="665">
      <c r="A665" s="5" t="s">
        <v>2054</v>
      </c>
    </row>
    <row r="666">
      <c r="A666" s="5" t="s">
        <v>2054</v>
      </c>
    </row>
    <row r="667">
      <c r="A667" s="5" t="s">
        <v>2054</v>
      </c>
    </row>
    <row r="668">
      <c r="A668" s="5" t="s">
        <v>2054</v>
      </c>
    </row>
    <row r="669">
      <c r="A669" s="5" t="s">
        <v>2054</v>
      </c>
    </row>
    <row r="670">
      <c r="A670" s="5" t="s">
        <v>2054</v>
      </c>
    </row>
    <row r="671">
      <c r="A671" s="5" t="s">
        <v>2054</v>
      </c>
    </row>
    <row r="672">
      <c r="A672" s="5" t="s">
        <v>2054</v>
      </c>
    </row>
    <row r="673">
      <c r="A673" s="5" t="s">
        <v>2054</v>
      </c>
    </row>
    <row r="674">
      <c r="A674" s="5" t="s">
        <v>2054</v>
      </c>
    </row>
    <row r="675">
      <c r="A675" s="5" t="s">
        <v>2054</v>
      </c>
    </row>
    <row r="676">
      <c r="A676" s="5" t="s">
        <v>2054</v>
      </c>
    </row>
    <row r="677">
      <c r="A677" s="5" t="s">
        <v>2054</v>
      </c>
    </row>
    <row r="678">
      <c r="A678" s="5" t="s">
        <v>2054</v>
      </c>
    </row>
    <row r="679">
      <c r="A679" s="5" t="s">
        <v>2054</v>
      </c>
    </row>
    <row r="680">
      <c r="A680" s="5" t="s">
        <v>2054</v>
      </c>
    </row>
    <row r="681">
      <c r="A681" s="5" t="s">
        <v>2054</v>
      </c>
    </row>
    <row r="682">
      <c r="A682" s="5" t="s">
        <v>2054</v>
      </c>
    </row>
    <row r="683">
      <c r="A683" s="5" t="s">
        <v>2054</v>
      </c>
    </row>
    <row r="684">
      <c r="A684" s="5" t="s">
        <v>2054</v>
      </c>
    </row>
    <row r="685">
      <c r="A685" s="5" t="s">
        <v>2054</v>
      </c>
    </row>
    <row r="686">
      <c r="A686" s="5" t="s">
        <v>2054</v>
      </c>
    </row>
    <row r="687">
      <c r="A687" s="5" t="s">
        <v>2054</v>
      </c>
    </row>
    <row r="688">
      <c r="A688" s="5" t="s">
        <v>2054</v>
      </c>
    </row>
    <row r="689">
      <c r="A689" s="5" t="s">
        <v>2054</v>
      </c>
    </row>
    <row r="690">
      <c r="A690" s="5" t="s">
        <v>2054</v>
      </c>
    </row>
    <row r="691">
      <c r="A691" s="5" t="s">
        <v>2054</v>
      </c>
    </row>
    <row r="692">
      <c r="A692" s="5" t="s">
        <v>2054</v>
      </c>
    </row>
    <row r="693">
      <c r="A693" s="5" t="s">
        <v>2054</v>
      </c>
    </row>
    <row r="694">
      <c r="A694" s="5" t="s">
        <v>2054</v>
      </c>
    </row>
    <row r="695">
      <c r="A695" s="5" t="s">
        <v>2054</v>
      </c>
    </row>
    <row r="696">
      <c r="A696" s="5" t="s">
        <v>2054</v>
      </c>
    </row>
    <row r="697">
      <c r="A697" s="5" t="s">
        <v>2054</v>
      </c>
    </row>
    <row r="698">
      <c r="A698" s="5" t="s">
        <v>2054</v>
      </c>
    </row>
    <row r="699">
      <c r="A699" s="5" t="s">
        <v>2054</v>
      </c>
    </row>
    <row r="700">
      <c r="A700" s="5" t="s">
        <v>2054</v>
      </c>
    </row>
    <row r="701">
      <c r="A701" s="5" t="s">
        <v>2054</v>
      </c>
    </row>
    <row r="702">
      <c r="A702" s="5" t="s">
        <v>2054</v>
      </c>
    </row>
    <row r="703">
      <c r="A703" s="5" t="s">
        <v>2054</v>
      </c>
    </row>
    <row r="704">
      <c r="A704" s="5" t="s">
        <v>2054</v>
      </c>
    </row>
    <row r="705">
      <c r="A705" s="5" t="s">
        <v>2054</v>
      </c>
    </row>
    <row r="706">
      <c r="A706" s="5" t="s">
        <v>2054</v>
      </c>
    </row>
    <row r="707">
      <c r="A707" s="5" t="s">
        <v>2054</v>
      </c>
    </row>
    <row r="708">
      <c r="A708" s="5" t="s">
        <v>2054</v>
      </c>
    </row>
    <row r="709">
      <c r="A709" s="5" t="s">
        <v>2054</v>
      </c>
    </row>
    <row r="710">
      <c r="A710" s="5" t="s">
        <v>2054</v>
      </c>
    </row>
    <row r="711">
      <c r="A711" s="5" t="s">
        <v>2054</v>
      </c>
    </row>
    <row r="712">
      <c r="A712" s="5" t="s">
        <v>2054</v>
      </c>
    </row>
    <row r="713">
      <c r="A713" s="5" t="s">
        <v>2054</v>
      </c>
    </row>
    <row r="714">
      <c r="A714" s="5" t="s">
        <v>2054</v>
      </c>
    </row>
    <row r="715">
      <c r="A715" s="5" t="s">
        <v>2054</v>
      </c>
    </row>
    <row r="716">
      <c r="A716" s="5" t="s">
        <v>2054</v>
      </c>
    </row>
    <row r="717">
      <c r="A717" s="5" t="s">
        <v>2054</v>
      </c>
    </row>
    <row r="718">
      <c r="A718" s="5" t="s">
        <v>2054</v>
      </c>
    </row>
    <row r="719">
      <c r="A719" s="5" t="s">
        <v>2054</v>
      </c>
    </row>
    <row r="720">
      <c r="A720" s="5" t="s">
        <v>2054</v>
      </c>
    </row>
    <row r="721">
      <c r="A721" s="5" t="s">
        <v>2054</v>
      </c>
    </row>
    <row r="722">
      <c r="A722" s="5" t="s">
        <v>2054</v>
      </c>
    </row>
    <row r="723">
      <c r="A723" s="5" t="s">
        <v>2054</v>
      </c>
    </row>
    <row r="724">
      <c r="A724" s="5" t="s">
        <v>2054</v>
      </c>
    </row>
    <row r="725">
      <c r="A725" s="5" t="s">
        <v>2054</v>
      </c>
    </row>
    <row r="726">
      <c r="A726" s="5" t="s">
        <v>2054</v>
      </c>
    </row>
    <row r="727">
      <c r="A727" s="5" t="s">
        <v>2054</v>
      </c>
    </row>
    <row r="728">
      <c r="A728" s="5" t="s">
        <v>2054</v>
      </c>
    </row>
    <row r="729">
      <c r="A729" s="5" t="s">
        <v>2054</v>
      </c>
    </row>
    <row r="730">
      <c r="A730" s="5" t="s">
        <v>2054</v>
      </c>
    </row>
    <row r="731">
      <c r="A731" s="5" t="s">
        <v>2054</v>
      </c>
    </row>
    <row r="732">
      <c r="A732" s="5" t="s">
        <v>2054</v>
      </c>
    </row>
    <row r="733">
      <c r="A733" s="5" t="s">
        <v>2054</v>
      </c>
    </row>
    <row r="734">
      <c r="A734" s="5" t="s">
        <v>2054</v>
      </c>
    </row>
    <row r="735">
      <c r="A735" s="5" t="s">
        <v>2054</v>
      </c>
    </row>
    <row r="736">
      <c r="A736" s="5" t="s">
        <v>2054</v>
      </c>
    </row>
    <row r="737">
      <c r="A737" s="5" t="s">
        <v>2054</v>
      </c>
    </row>
    <row r="738">
      <c r="A738" s="5" t="s">
        <v>2054</v>
      </c>
    </row>
    <row r="739">
      <c r="A739" s="5" t="s">
        <v>2054</v>
      </c>
    </row>
    <row r="740">
      <c r="A740" s="5" t="s">
        <v>2054</v>
      </c>
    </row>
    <row r="741">
      <c r="A741" s="5" t="s">
        <v>2054</v>
      </c>
    </row>
    <row r="742">
      <c r="A742" s="5" t="s">
        <v>2054</v>
      </c>
    </row>
    <row r="743">
      <c r="A743" s="5" t="s">
        <v>2054</v>
      </c>
    </row>
    <row r="744">
      <c r="A744" s="5" t="s">
        <v>2054</v>
      </c>
    </row>
    <row r="745">
      <c r="A745" s="5" t="s">
        <v>2054</v>
      </c>
    </row>
    <row r="746">
      <c r="A746" s="5" t="s">
        <v>2054</v>
      </c>
    </row>
    <row r="747">
      <c r="A747" s="5" t="s">
        <v>2054</v>
      </c>
    </row>
    <row r="748">
      <c r="A748" s="5" t="s">
        <v>2054</v>
      </c>
    </row>
    <row r="749">
      <c r="A749" s="5" t="s">
        <v>2054</v>
      </c>
    </row>
    <row r="750">
      <c r="A750" s="5" t="s">
        <v>2054</v>
      </c>
    </row>
    <row r="751">
      <c r="A751" s="5" t="s">
        <v>2054</v>
      </c>
    </row>
    <row r="752">
      <c r="A752" s="5" t="s">
        <v>2054</v>
      </c>
    </row>
    <row r="753">
      <c r="A753" s="5" t="s">
        <v>2054</v>
      </c>
    </row>
    <row r="754">
      <c r="A754" s="5" t="s">
        <v>2054</v>
      </c>
    </row>
    <row r="755">
      <c r="A755" s="5" t="s">
        <v>2054</v>
      </c>
    </row>
    <row r="756">
      <c r="A756" s="5" t="s">
        <v>2054</v>
      </c>
    </row>
    <row r="757">
      <c r="A757" s="5" t="s">
        <v>2054</v>
      </c>
    </row>
    <row r="758">
      <c r="A758" s="5" t="s">
        <v>2054</v>
      </c>
    </row>
    <row r="759">
      <c r="A759" s="5" t="s">
        <v>2054</v>
      </c>
    </row>
    <row r="760">
      <c r="A760" s="5" t="s">
        <v>2054</v>
      </c>
    </row>
    <row r="761">
      <c r="A761" s="5" t="s">
        <v>2054</v>
      </c>
    </row>
    <row r="762">
      <c r="A762" s="5" t="s">
        <v>2054</v>
      </c>
    </row>
    <row r="763">
      <c r="A763" s="5" t="s">
        <v>2054</v>
      </c>
    </row>
    <row r="764">
      <c r="A764" s="5" t="s">
        <v>2054</v>
      </c>
    </row>
    <row r="765">
      <c r="A765" s="5" t="s">
        <v>2054</v>
      </c>
    </row>
    <row r="766">
      <c r="A766" s="5" t="s">
        <v>2054</v>
      </c>
    </row>
    <row r="767">
      <c r="A767" s="5" t="s">
        <v>2054</v>
      </c>
    </row>
    <row r="768">
      <c r="A768" s="5" t="s">
        <v>2054</v>
      </c>
    </row>
    <row r="769">
      <c r="A769" s="5" t="s">
        <v>2054</v>
      </c>
    </row>
    <row r="770">
      <c r="A770" s="5" t="s">
        <v>2054</v>
      </c>
    </row>
    <row r="771">
      <c r="A771" s="5" t="s">
        <v>2054</v>
      </c>
    </row>
    <row r="772">
      <c r="A772" s="5" t="s">
        <v>2054</v>
      </c>
    </row>
    <row r="773">
      <c r="A773" s="5" t="s">
        <v>2054</v>
      </c>
    </row>
    <row r="774">
      <c r="A774" s="5" t="s">
        <v>2054</v>
      </c>
    </row>
    <row r="775">
      <c r="A775" s="5" t="s">
        <v>2054</v>
      </c>
    </row>
    <row r="776">
      <c r="A776" s="5" t="s">
        <v>2054</v>
      </c>
    </row>
    <row r="777">
      <c r="A777" s="5" t="s">
        <v>2054</v>
      </c>
    </row>
    <row r="778">
      <c r="A778" s="5" t="s">
        <v>2054</v>
      </c>
    </row>
    <row r="779">
      <c r="A779" s="5" t="s">
        <v>2054</v>
      </c>
    </row>
    <row r="780">
      <c r="A780" s="5" t="s">
        <v>2054</v>
      </c>
    </row>
    <row r="781">
      <c r="A781" s="5" t="s">
        <v>2054</v>
      </c>
    </row>
    <row r="782">
      <c r="A782" s="5" t="s">
        <v>2054</v>
      </c>
    </row>
    <row r="783">
      <c r="A783" s="5" t="s">
        <v>2054</v>
      </c>
    </row>
    <row r="784">
      <c r="A784" s="5" t="s">
        <v>2054</v>
      </c>
    </row>
    <row r="785">
      <c r="A785" s="5" t="s">
        <v>2054</v>
      </c>
    </row>
    <row r="786">
      <c r="A786" s="5" t="s">
        <v>2054</v>
      </c>
    </row>
    <row r="787">
      <c r="A787" s="5" t="s">
        <v>2054</v>
      </c>
    </row>
    <row r="788">
      <c r="A788" s="5" t="s">
        <v>2054</v>
      </c>
    </row>
    <row r="789">
      <c r="A789" s="5" t="s">
        <v>2054</v>
      </c>
    </row>
    <row r="790">
      <c r="A790" s="5" t="s">
        <v>2054</v>
      </c>
    </row>
    <row r="791">
      <c r="A791" s="5" t="s">
        <v>2054</v>
      </c>
    </row>
    <row r="792">
      <c r="A792" s="5" t="s">
        <v>2054</v>
      </c>
    </row>
    <row r="793">
      <c r="A793" s="5" t="s">
        <v>2054</v>
      </c>
    </row>
    <row r="794">
      <c r="A794" s="5" t="s">
        <v>2054</v>
      </c>
    </row>
    <row r="795">
      <c r="A795" s="5" t="s">
        <v>2054</v>
      </c>
    </row>
    <row r="796">
      <c r="A796" s="5" t="s">
        <v>2054</v>
      </c>
    </row>
    <row r="797">
      <c r="A797" s="5" t="s">
        <v>2054</v>
      </c>
    </row>
    <row r="798">
      <c r="A798" s="5" t="s">
        <v>2054</v>
      </c>
    </row>
    <row r="799">
      <c r="A799" s="5" t="s">
        <v>2054</v>
      </c>
    </row>
    <row r="800">
      <c r="A800" s="5" t="s">
        <v>2054</v>
      </c>
    </row>
    <row r="801">
      <c r="A801" s="5" t="s">
        <v>2054</v>
      </c>
    </row>
    <row r="802">
      <c r="A802" s="5" t="s">
        <v>2054</v>
      </c>
    </row>
    <row r="803">
      <c r="A803" s="5" t="s">
        <v>2054</v>
      </c>
    </row>
    <row r="804">
      <c r="A804" s="5" t="s">
        <v>2054</v>
      </c>
    </row>
    <row r="805">
      <c r="A805" s="5" t="s">
        <v>2054</v>
      </c>
    </row>
    <row r="806">
      <c r="A806" s="5" t="s">
        <v>2054</v>
      </c>
    </row>
    <row r="807">
      <c r="A807" s="5" t="s">
        <v>2054</v>
      </c>
    </row>
    <row r="808">
      <c r="A808" s="5" t="s">
        <v>2054</v>
      </c>
    </row>
    <row r="809">
      <c r="A809" s="5" t="s">
        <v>2054</v>
      </c>
    </row>
    <row r="810">
      <c r="A810" s="5" t="s">
        <v>2054</v>
      </c>
    </row>
    <row r="811">
      <c r="A811" s="5" t="s">
        <v>2054</v>
      </c>
    </row>
    <row r="812">
      <c r="A812" s="5" t="s">
        <v>2054</v>
      </c>
    </row>
    <row r="813">
      <c r="A813" s="5" t="s">
        <v>2054</v>
      </c>
    </row>
    <row r="814">
      <c r="A814" s="5" t="s">
        <v>2054</v>
      </c>
    </row>
    <row r="815">
      <c r="A815" s="5" t="s">
        <v>2054</v>
      </c>
    </row>
    <row r="816">
      <c r="A816" s="5" t="s">
        <v>2054</v>
      </c>
    </row>
    <row r="817">
      <c r="A817" s="5" t="s">
        <v>2054</v>
      </c>
    </row>
    <row r="818">
      <c r="A818" s="5" t="s">
        <v>2054</v>
      </c>
    </row>
    <row r="819">
      <c r="A819" s="5" t="s">
        <v>2054</v>
      </c>
    </row>
    <row r="820">
      <c r="A820" s="5" t="s">
        <v>2054</v>
      </c>
    </row>
    <row r="821">
      <c r="A821" s="5" t="s">
        <v>2054</v>
      </c>
    </row>
    <row r="822">
      <c r="A822" s="5" t="s">
        <v>2054</v>
      </c>
    </row>
    <row r="823">
      <c r="A823" s="5" t="s">
        <v>2054</v>
      </c>
    </row>
    <row r="824">
      <c r="A824" s="5" t="s">
        <v>2054</v>
      </c>
    </row>
    <row r="825">
      <c r="A825" s="5" t="s">
        <v>2054</v>
      </c>
    </row>
    <row r="826">
      <c r="A826" s="5" t="s">
        <v>2054</v>
      </c>
    </row>
    <row r="827">
      <c r="A827" s="5" t="s">
        <v>2054</v>
      </c>
    </row>
    <row r="828">
      <c r="A828" s="5" t="s">
        <v>2054</v>
      </c>
    </row>
    <row r="829">
      <c r="A829" s="5" t="s">
        <v>2054</v>
      </c>
    </row>
    <row r="830">
      <c r="A830" s="5" t="s">
        <v>2054</v>
      </c>
    </row>
    <row r="831">
      <c r="A831" s="5" t="s">
        <v>2054</v>
      </c>
    </row>
    <row r="832">
      <c r="A832" s="5" t="s">
        <v>2054</v>
      </c>
    </row>
    <row r="833">
      <c r="A833" s="5" t="s">
        <v>2054</v>
      </c>
    </row>
    <row r="834">
      <c r="A834" s="5" t="s">
        <v>2054</v>
      </c>
    </row>
    <row r="835">
      <c r="A835" s="5" t="s">
        <v>2054</v>
      </c>
    </row>
    <row r="836">
      <c r="A836" s="5" t="s">
        <v>2054</v>
      </c>
    </row>
    <row r="837">
      <c r="A837" s="5" t="s">
        <v>2054</v>
      </c>
    </row>
    <row r="838">
      <c r="A838" s="5" t="s">
        <v>2054</v>
      </c>
    </row>
    <row r="839">
      <c r="A839" s="5" t="s">
        <v>2054</v>
      </c>
    </row>
    <row r="840">
      <c r="A840" s="5" t="s">
        <v>2054</v>
      </c>
    </row>
    <row r="841">
      <c r="A841" s="5" t="s">
        <v>2054</v>
      </c>
    </row>
    <row r="842">
      <c r="A842" s="5" t="s">
        <v>2054</v>
      </c>
    </row>
    <row r="843">
      <c r="A843" s="5" t="s">
        <v>2054</v>
      </c>
    </row>
    <row r="844">
      <c r="A844" s="5" t="s">
        <v>2054</v>
      </c>
    </row>
    <row r="845">
      <c r="A845" s="5" t="s">
        <v>2054</v>
      </c>
    </row>
    <row r="846">
      <c r="A846" s="5" t="s">
        <v>2054</v>
      </c>
    </row>
    <row r="847">
      <c r="A847" s="5" t="s">
        <v>2054</v>
      </c>
    </row>
    <row r="848">
      <c r="A848" s="5" t="s">
        <v>2054</v>
      </c>
    </row>
    <row r="849">
      <c r="A849" s="5" t="s">
        <v>2054</v>
      </c>
    </row>
    <row r="850">
      <c r="A850" s="5" t="s">
        <v>2054</v>
      </c>
    </row>
    <row r="851">
      <c r="A851" s="5" t="s">
        <v>2054</v>
      </c>
    </row>
    <row r="852">
      <c r="A852" s="5" t="s">
        <v>2054</v>
      </c>
    </row>
    <row r="853">
      <c r="A853" s="5" t="s">
        <v>2054</v>
      </c>
    </row>
    <row r="854">
      <c r="A854" s="5" t="s">
        <v>2054</v>
      </c>
    </row>
    <row r="855">
      <c r="A855" s="5" t="s">
        <v>2054</v>
      </c>
    </row>
    <row r="856">
      <c r="A856" s="5" t="s">
        <v>2054</v>
      </c>
    </row>
    <row r="857">
      <c r="A857" s="5" t="s">
        <v>2054</v>
      </c>
    </row>
    <row r="858">
      <c r="A858" s="5" t="s">
        <v>2054</v>
      </c>
    </row>
    <row r="859">
      <c r="A859" s="5" t="s">
        <v>2054</v>
      </c>
    </row>
    <row r="860">
      <c r="A860" s="5" t="s">
        <v>2054</v>
      </c>
    </row>
    <row r="861">
      <c r="A861" s="5" t="s">
        <v>2054</v>
      </c>
    </row>
    <row r="862">
      <c r="A862" s="5" t="s">
        <v>2054</v>
      </c>
    </row>
    <row r="863">
      <c r="A863" s="5" t="s">
        <v>2054</v>
      </c>
    </row>
    <row r="864">
      <c r="A864" s="5" t="s">
        <v>2054</v>
      </c>
    </row>
    <row r="865">
      <c r="A865" s="5" t="s">
        <v>2054</v>
      </c>
    </row>
    <row r="866">
      <c r="A866" s="5" t="s">
        <v>2054</v>
      </c>
    </row>
    <row r="867">
      <c r="A867" s="5" t="s">
        <v>2054</v>
      </c>
    </row>
    <row r="868">
      <c r="A868" s="5" t="s">
        <v>2054</v>
      </c>
    </row>
    <row r="869">
      <c r="A869" s="5" t="s">
        <v>2054</v>
      </c>
    </row>
    <row r="870">
      <c r="A870" s="5" t="s">
        <v>2054</v>
      </c>
    </row>
    <row r="871">
      <c r="A871" s="5" t="s">
        <v>2054</v>
      </c>
    </row>
    <row r="872">
      <c r="A872" s="5" t="s">
        <v>2054</v>
      </c>
    </row>
    <row r="873">
      <c r="A873" s="5" t="s">
        <v>2054</v>
      </c>
    </row>
    <row r="874">
      <c r="A874" s="5" t="s">
        <v>2054</v>
      </c>
    </row>
    <row r="875">
      <c r="A875" s="5" t="s">
        <v>2054</v>
      </c>
    </row>
    <row r="876">
      <c r="A876" s="5" t="s">
        <v>2054</v>
      </c>
    </row>
    <row r="877">
      <c r="A877" s="5" t="s">
        <v>2054</v>
      </c>
    </row>
    <row r="878">
      <c r="A878" s="5" t="s">
        <v>2054</v>
      </c>
    </row>
    <row r="879">
      <c r="A879" s="5" t="s">
        <v>2054</v>
      </c>
    </row>
    <row r="880">
      <c r="A880" s="5" t="s">
        <v>2054</v>
      </c>
    </row>
    <row r="881">
      <c r="A881" s="5" t="s">
        <v>2054</v>
      </c>
    </row>
    <row r="882">
      <c r="A882" s="5" t="s">
        <v>2054</v>
      </c>
    </row>
    <row r="883">
      <c r="A883" s="5" t="s">
        <v>2054</v>
      </c>
    </row>
    <row r="884">
      <c r="A884" s="5" t="s">
        <v>2054</v>
      </c>
    </row>
    <row r="885">
      <c r="A885" s="5" t="s">
        <v>2054</v>
      </c>
    </row>
    <row r="886">
      <c r="A886" s="5" t="s">
        <v>2054</v>
      </c>
    </row>
    <row r="887">
      <c r="A887" s="5" t="s">
        <v>2054</v>
      </c>
    </row>
    <row r="888">
      <c r="A888" s="5" t="s">
        <v>2054</v>
      </c>
    </row>
    <row r="889">
      <c r="A889" s="5" t="s">
        <v>2054</v>
      </c>
    </row>
    <row r="890">
      <c r="A890" s="5" t="s">
        <v>2054</v>
      </c>
    </row>
    <row r="891">
      <c r="A891" s="5" t="s">
        <v>2054</v>
      </c>
    </row>
    <row r="892">
      <c r="A892" s="5" t="s">
        <v>2054</v>
      </c>
    </row>
    <row r="893">
      <c r="A893" s="5" t="s">
        <v>2054</v>
      </c>
    </row>
    <row r="894">
      <c r="A894" s="5" t="s">
        <v>2054</v>
      </c>
    </row>
    <row r="895">
      <c r="A895" s="5" t="s">
        <v>2054</v>
      </c>
    </row>
    <row r="896">
      <c r="A896" s="5" t="s">
        <v>2054</v>
      </c>
    </row>
    <row r="897">
      <c r="A897" s="5" t="s">
        <v>2054</v>
      </c>
    </row>
    <row r="898">
      <c r="A898" s="5" t="s">
        <v>2054</v>
      </c>
    </row>
    <row r="899">
      <c r="A899" s="5" t="s">
        <v>2054</v>
      </c>
    </row>
    <row r="900">
      <c r="A900" s="5" t="s">
        <v>2054</v>
      </c>
    </row>
    <row r="901">
      <c r="A901" s="5" t="s">
        <v>2054</v>
      </c>
    </row>
    <row r="902">
      <c r="A902" s="5" t="s">
        <v>2054</v>
      </c>
    </row>
    <row r="903">
      <c r="A903" s="5" t="s">
        <v>2054</v>
      </c>
    </row>
    <row r="904">
      <c r="A904" s="5" t="s">
        <v>2054</v>
      </c>
    </row>
    <row r="905">
      <c r="A905" s="5" t="s">
        <v>2054</v>
      </c>
    </row>
    <row r="906">
      <c r="A906" s="5" t="s">
        <v>2054</v>
      </c>
    </row>
    <row r="907">
      <c r="A907" s="5" t="s">
        <v>2054</v>
      </c>
    </row>
    <row r="908">
      <c r="A908" s="5" t="s">
        <v>2054</v>
      </c>
    </row>
    <row r="909">
      <c r="A909" s="5" t="s">
        <v>2054</v>
      </c>
    </row>
    <row r="910">
      <c r="A910" s="5" t="s">
        <v>2054</v>
      </c>
    </row>
    <row r="911">
      <c r="A911" s="5" t="s">
        <v>2054</v>
      </c>
    </row>
    <row r="912">
      <c r="A912" s="5" t="s">
        <v>2054</v>
      </c>
    </row>
    <row r="913">
      <c r="A913" s="5" t="s">
        <v>2054</v>
      </c>
    </row>
    <row r="914">
      <c r="A914" s="5" t="s">
        <v>2054</v>
      </c>
    </row>
    <row r="915">
      <c r="A915" s="5" t="s">
        <v>2054</v>
      </c>
    </row>
    <row r="916">
      <c r="A916" s="5" t="s">
        <v>2054</v>
      </c>
    </row>
    <row r="917">
      <c r="A917" s="5" t="s">
        <v>2054</v>
      </c>
    </row>
    <row r="918">
      <c r="A918" s="5" t="s">
        <v>2054</v>
      </c>
    </row>
    <row r="919">
      <c r="A919" s="5" t="s">
        <v>2054</v>
      </c>
    </row>
    <row r="920">
      <c r="A920" s="5" t="s">
        <v>2054</v>
      </c>
    </row>
    <row r="921">
      <c r="A921" s="5" t="s">
        <v>2054</v>
      </c>
    </row>
    <row r="922">
      <c r="A922" s="5" t="s">
        <v>2054</v>
      </c>
    </row>
    <row r="923">
      <c r="A923" s="5" t="s">
        <v>2054</v>
      </c>
    </row>
    <row r="924">
      <c r="A924" s="5" t="s">
        <v>2054</v>
      </c>
    </row>
    <row r="925">
      <c r="A925" s="5" t="s">
        <v>2054</v>
      </c>
    </row>
    <row r="926">
      <c r="A926" s="5" t="s">
        <v>2054</v>
      </c>
    </row>
    <row r="927">
      <c r="A927" s="5" t="s">
        <v>2054</v>
      </c>
    </row>
    <row r="928">
      <c r="A928" s="5" t="s">
        <v>2054</v>
      </c>
    </row>
    <row r="929">
      <c r="A929" s="5" t="s">
        <v>2054</v>
      </c>
    </row>
    <row r="930">
      <c r="A930" s="5" t="s">
        <v>2054</v>
      </c>
    </row>
    <row r="931">
      <c r="A931" s="5" t="s">
        <v>2054</v>
      </c>
    </row>
    <row r="932">
      <c r="A932" s="5" t="s">
        <v>2054</v>
      </c>
    </row>
    <row r="933">
      <c r="A933" s="5" t="s">
        <v>2054</v>
      </c>
    </row>
    <row r="934">
      <c r="A934" s="5" t="s">
        <v>2054</v>
      </c>
    </row>
    <row r="935">
      <c r="A935" s="5" t="s">
        <v>2054</v>
      </c>
    </row>
    <row r="936">
      <c r="A936" s="5" t="s">
        <v>2054</v>
      </c>
    </row>
    <row r="937">
      <c r="A937" s="5" t="s">
        <v>2054</v>
      </c>
    </row>
    <row r="938">
      <c r="A938" s="5" t="s">
        <v>2054</v>
      </c>
    </row>
    <row r="939">
      <c r="A939" s="5" t="s">
        <v>2054</v>
      </c>
    </row>
    <row r="940">
      <c r="A940" s="5" t="s">
        <v>2054</v>
      </c>
    </row>
    <row r="941">
      <c r="A941" s="5" t="s">
        <v>2054</v>
      </c>
    </row>
    <row r="942">
      <c r="A942" s="5" t="s">
        <v>2054</v>
      </c>
    </row>
    <row r="943">
      <c r="A943" s="5" t="s">
        <v>2054</v>
      </c>
    </row>
    <row r="944">
      <c r="A944" s="5" t="s">
        <v>2054</v>
      </c>
    </row>
    <row r="945">
      <c r="A945" s="5" t="s">
        <v>2054</v>
      </c>
    </row>
    <row r="946">
      <c r="A946" s="5" t="s">
        <v>2054</v>
      </c>
    </row>
    <row r="947">
      <c r="A947" s="5" t="s">
        <v>2054</v>
      </c>
    </row>
    <row r="948">
      <c r="A948" s="5" t="s">
        <v>2054</v>
      </c>
    </row>
    <row r="949">
      <c r="A949" s="5" t="s">
        <v>2054</v>
      </c>
    </row>
    <row r="950">
      <c r="A950" s="5" t="s">
        <v>2054</v>
      </c>
    </row>
    <row r="951">
      <c r="A951" s="5" t="s">
        <v>2054</v>
      </c>
    </row>
    <row r="952">
      <c r="A952" s="5" t="s">
        <v>2054</v>
      </c>
    </row>
    <row r="953">
      <c r="A953" s="5" t="s">
        <v>2054</v>
      </c>
    </row>
    <row r="954">
      <c r="A954" s="5" t="s">
        <v>2054</v>
      </c>
    </row>
    <row r="955">
      <c r="A955" s="5" t="s">
        <v>2054</v>
      </c>
    </row>
    <row r="956">
      <c r="A956" s="5" t="s">
        <v>2054</v>
      </c>
    </row>
    <row r="957">
      <c r="A957" s="5" t="s">
        <v>2054</v>
      </c>
    </row>
    <row r="958">
      <c r="A958" s="5" t="s">
        <v>2054</v>
      </c>
    </row>
    <row r="959">
      <c r="A959" s="5" t="s">
        <v>2054</v>
      </c>
    </row>
    <row r="960">
      <c r="A960" s="5" t="s">
        <v>2054</v>
      </c>
    </row>
    <row r="961">
      <c r="A961" s="5" t="s">
        <v>2054</v>
      </c>
    </row>
    <row r="962">
      <c r="A962" s="5" t="s">
        <v>2054</v>
      </c>
    </row>
    <row r="963">
      <c r="A963" s="5" t="s">
        <v>2054</v>
      </c>
    </row>
    <row r="964">
      <c r="A964" s="5" t="s">
        <v>2054</v>
      </c>
    </row>
    <row r="965">
      <c r="A965" s="5" t="s">
        <v>2054</v>
      </c>
    </row>
    <row r="966">
      <c r="A966" s="5" t="s">
        <v>2054</v>
      </c>
    </row>
    <row r="967">
      <c r="A967" s="5" t="s">
        <v>2054</v>
      </c>
    </row>
    <row r="968">
      <c r="A968" s="5" t="s">
        <v>2054</v>
      </c>
    </row>
    <row r="969">
      <c r="A969" s="5" t="s">
        <v>2054</v>
      </c>
    </row>
    <row r="970">
      <c r="A970" s="5" t="s">
        <v>2054</v>
      </c>
    </row>
    <row r="971">
      <c r="A971" s="5" t="s">
        <v>2054</v>
      </c>
    </row>
    <row r="972">
      <c r="A972" s="5" t="s">
        <v>2054</v>
      </c>
    </row>
    <row r="973">
      <c r="A973" s="5" t="s">
        <v>2054</v>
      </c>
    </row>
    <row r="974">
      <c r="A974" s="5" t="s">
        <v>2054</v>
      </c>
    </row>
    <row r="975">
      <c r="A975" s="5" t="s">
        <v>2054</v>
      </c>
    </row>
    <row r="976">
      <c r="A976" s="5" t="s">
        <v>2054</v>
      </c>
    </row>
    <row r="977">
      <c r="A977" s="5" t="s">
        <v>2054</v>
      </c>
    </row>
    <row r="978">
      <c r="A978" s="5" t="s">
        <v>2054</v>
      </c>
    </row>
    <row r="979">
      <c r="A979" s="5" t="s">
        <v>2054</v>
      </c>
    </row>
    <row r="980">
      <c r="A980" s="5" t="s">
        <v>2054</v>
      </c>
    </row>
    <row r="981">
      <c r="A981" s="5" t="s">
        <v>2054</v>
      </c>
    </row>
    <row r="982">
      <c r="A982" s="5" t="s">
        <v>2054</v>
      </c>
    </row>
    <row r="983">
      <c r="A983" s="5" t="s">
        <v>2054</v>
      </c>
    </row>
    <row r="984">
      <c r="A984" s="5" t="s">
        <v>2054</v>
      </c>
    </row>
    <row r="985">
      <c r="A985" s="5" t="s">
        <v>2054</v>
      </c>
    </row>
    <row r="986">
      <c r="A986" s="5" t="s">
        <v>2054</v>
      </c>
    </row>
    <row r="987">
      <c r="A987" s="5" t="s">
        <v>2054</v>
      </c>
    </row>
    <row r="988">
      <c r="A988" s="5" t="s">
        <v>2054</v>
      </c>
    </row>
    <row r="989">
      <c r="A989" s="5" t="s">
        <v>2054</v>
      </c>
    </row>
    <row r="990">
      <c r="A990" s="5" t="s">
        <v>2054</v>
      </c>
    </row>
    <row r="991">
      <c r="A991" s="5" t="s">
        <v>2054</v>
      </c>
    </row>
    <row r="992">
      <c r="A992" s="5" t="s">
        <v>2054</v>
      </c>
    </row>
    <row r="993">
      <c r="A993" s="5" t="s">
        <v>2054</v>
      </c>
    </row>
    <row r="994">
      <c r="A994" s="5" t="s">
        <v>2054</v>
      </c>
    </row>
    <row r="995">
      <c r="A995" s="5" t="s">
        <v>2054</v>
      </c>
    </row>
    <row r="996">
      <c r="A996" s="5" t="s">
        <v>2054</v>
      </c>
    </row>
    <row r="997">
      <c r="A997" s="5" t="s">
        <v>2054</v>
      </c>
    </row>
    <row r="998">
      <c r="A998" s="5" t="s">
        <v>2054</v>
      </c>
    </row>
    <row r="999">
      <c r="A999" s="5" t="s">
        <v>2054</v>
      </c>
    </row>
    <row r="1000">
      <c r="A1000" s="5" t="s">
        <v>2054</v>
      </c>
    </row>
    <row r="1001">
      <c r="A1001" s="5" t="s">
        <v>2054</v>
      </c>
    </row>
    <row r="1002">
      <c r="A1002" s="5" t="s">
        <v>2054</v>
      </c>
    </row>
    <row r="1003">
      <c r="A1003" s="5" t="s">
        <v>2054</v>
      </c>
    </row>
    <row r="1004">
      <c r="A1004" s="5" t="s">
        <v>2054</v>
      </c>
    </row>
    <row r="1005">
      <c r="A1005" s="5" t="s">
        <v>2054</v>
      </c>
    </row>
    <row r="1006">
      <c r="A1006" s="5" t="s">
        <v>2054</v>
      </c>
    </row>
    <row r="1007">
      <c r="A1007" s="5" t="s">
        <v>2054</v>
      </c>
    </row>
    <row r="1008">
      <c r="A1008" s="5" t="s">
        <v>2054</v>
      </c>
    </row>
    <row r="1009">
      <c r="A1009" s="5" t="s">
        <v>2054</v>
      </c>
    </row>
    <row r="1010">
      <c r="A1010" s="5" t="s">
        <v>2054</v>
      </c>
    </row>
    <row r="1011">
      <c r="A1011" s="5" t="s">
        <v>2054</v>
      </c>
    </row>
    <row r="1012">
      <c r="A1012" s="5" t="s">
        <v>2054</v>
      </c>
    </row>
    <row r="1013">
      <c r="A1013" s="5" t="s">
        <v>2054</v>
      </c>
    </row>
    <row r="1014">
      <c r="A1014" s="5" t="s">
        <v>2054</v>
      </c>
    </row>
    <row r="1015">
      <c r="A1015" s="5" t="s">
        <v>2054</v>
      </c>
    </row>
    <row r="1016">
      <c r="A1016" s="5" t="s">
        <v>2054</v>
      </c>
    </row>
    <row r="1017">
      <c r="A1017" s="5" t="s">
        <v>2054</v>
      </c>
    </row>
    <row r="1018">
      <c r="A1018" s="5" t="s">
        <v>2054</v>
      </c>
    </row>
    <row r="1019">
      <c r="A1019" s="5" t="s">
        <v>2054</v>
      </c>
    </row>
    <row r="1020">
      <c r="A1020" s="5" t="s">
        <v>2054</v>
      </c>
    </row>
    <row r="1021">
      <c r="A1021" s="5" t="s">
        <v>2054</v>
      </c>
    </row>
    <row r="1022">
      <c r="A1022" s="5" t="s">
        <v>2054</v>
      </c>
    </row>
    <row r="1023">
      <c r="A1023" s="5" t="s">
        <v>2054</v>
      </c>
    </row>
    <row r="1024">
      <c r="A1024" s="5" t="s">
        <v>2054</v>
      </c>
    </row>
    <row r="1025">
      <c r="A1025" s="5" t="s">
        <v>2054</v>
      </c>
    </row>
    <row r="1026">
      <c r="A1026" s="5" t="s">
        <v>2054</v>
      </c>
    </row>
    <row r="1027">
      <c r="A1027" s="5" t="s">
        <v>2054</v>
      </c>
    </row>
    <row r="1028">
      <c r="A1028" s="5" t="s">
        <v>2054</v>
      </c>
    </row>
    <row r="1029">
      <c r="A1029" s="5" t="s">
        <v>2054</v>
      </c>
    </row>
    <row r="1030">
      <c r="A1030" s="5" t="s">
        <v>2054</v>
      </c>
    </row>
    <row r="1031">
      <c r="A1031" s="5" t="s">
        <v>2054</v>
      </c>
    </row>
    <row r="1032">
      <c r="A1032" s="5" t="s">
        <v>2054</v>
      </c>
    </row>
    <row r="1033">
      <c r="A1033" s="5" t="s">
        <v>2054</v>
      </c>
    </row>
    <row r="1034">
      <c r="A1034" s="5" t="s">
        <v>2054</v>
      </c>
    </row>
    <row r="1035">
      <c r="A1035" s="5" t="s">
        <v>2054</v>
      </c>
    </row>
    <row r="1036">
      <c r="A1036" s="5" t="s">
        <v>2054</v>
      </c>
    </row>
    <row r="1037">
      <c r="A1037" s="5" t="s">
        <v>2054</v>
      </c>
    </row>
    <row r="1038">
      <c r="A1038" s="5" t="s">
        <v>2054</v>
      </c>
    </row>
    <row r="1039">
      <c r="A1039" s="5" t="s">
        <v>2054</v>
      </c>
    </row>
    <row r="1040">
      <c r="A1040" s="5" t="s">
        <v>2054</v>
      </c>
    </row>
    <row r="1041">
      <c r="A1041" s="5" t="s">
        <v>2054</v>
      </c>
    </row>
    <row r="1042">
      <c r="A1042" s="5" t="s">
        <v>2054</v>
      </c>
    </row>
    <row r="1043">
      <c r="A1043" s="5" t="s">
        <v>2054</v>
      </c>
    </row>
    <row r="1044">
      <c r="A1044" s="5" t="s">
        <v>2054</v>
      </c>
    </row>
    <row r="1045">
      <c r="A1045" s="5" t="s">
        <v>2054</v>
      </c>
    </row>
    <row r="1046">
      <c r="A1046" s="5" t="s">
        <v>2054</v>
      </c>
    </row>
    <row r="1047">
      <c r="A1047" s="5" t="s">
        <v>2054</v>
      </c>
    </row>
    <row r="1048">
      <c r="A1048" s="5" t="s">
        <v>2054</v>
      </c>
    </row>
    <row r="1049">
      <c r="A1049" s="5" t="s">
        <v>2054</v>
      </c>
    </row>
    <row r="1050">
      <c r="A1050" s="5" t="s">
        <v>2054</v>
      </c>
    </row>
    <row r="1051">
      <c r="A1051" s="5" t="s">
        <v>2054</v>
      </c>
    </row>
    <row r="1052">
      <c r="A1052" s="5" t="s">
        <v>2054</v>
      </c>
    </row>
    <row r="1053">
      <c r="A1053" s="5" t="s">
        <v>2054</v>
      </c>
    </row>
    <row r="1054">
      <c r="A1054" s="5" t="s">
        <v>2054</v>
      </c>
    </row>
    <row r="1055">
      <c r="A1055" s="5" t="s">
        <v>2054</v>
      </c>
    </row>
    <row r="1056">
      <c r="A1056" s="5" t="s">
        <v>2054</v>
      </c>
    </row>
    <row r="1057">
      <c r="A1057" s="5" t="s">
        <v>2054</v>
      </c>
    </row>
    <row r="1058">
      <c r="A1058" s="5" t="s">
        <v>2054</v>
      </c>
    </row>
    <row r="1059">
      <c r="A1059" s="5" t="s">
        <v>2054</v>
      </c>
    </row>
    <row r="1060">
      <c r="A1060" s="5" t="s">
        <v>2054</v>
      </c>
    </row>
    <row r="1061">
      <c r="A1061" s="5" t="s">
        <v>2054</v>
      </c>
    </row>
    <row r="1062">
      <c r="A1062" s="5" t="s">
        <v>2054</v>
      </c>
    </row>
    <row r="1063">
      <c r="A1063" s="5" t="s">
        <v>2054</v>
      </c>
    </row>
    <row r="1064">
      <c r="A1064" s="5" t="s">
        <v>2054</v>
      </c>
    </row>
    <row r="1065">
      <c r="A1065" s="5" t="s">
        <v>2054</v>
      </c>
    </row>
    <row r="1066">
      <c r="A1066" s="5" t="s">
        <v>2054</v>
      </c>
    </row>
    <row r="1067">
      <c r="A1067" s="5" t="s">
        <v>2054</v>
      </c>
    </row>
    <row r="1068">
      <c r="A1068" s="5" t="s">
        <v>2054</v>
      </c>
    </row>
    <row r="1069">
      <c r="A1069" s="5" t="s">
        <v>2054</v>
      </c>
    </row>
    <row r="1070">
      <c r="A1070" s="5" t="s">
        <v>2054</v>
      </c>
    </row>
    <row r="1071">
      <c r="A1071" s="5" t="s">
        <v>2054</v>
      </c>
    </row>
    <row r="1072">
      <c r="A1072" s="5" t="s">
        <v>2054</v>
      </c>
    </row>
    <row r="1073">
      <c r="A1073" s="5" t="s">
        <v>2054</v>
      </c>
    </row>
    <row r="1074">
      <c r="A1074" s="5" t="s">
        <v>2054</v>
      </c>
    </row>
    <row r="1075">
      <c r="A1075" s="5" t="s">
        <v>2054</v>
      </c>
    </row>
    <row r="1076">
      <c r="A1076" s="5" t="s">
        <v>2054</v>
      </c>
    </row>
    <row r="1077">
      <c r="A1077" s="5" t="s">
        <v>2054</v>
      </c>
    </row>
    <row r="1078">
      <c r="A1078" s="5" t="s">
        <v>2054</v>
      </c>
    </row>
    <row r="1079">
      <c r="A1079" s="5" t="s">
        <v>2054</v>
      </c>
    </row>
    <row r="1080">
      <c r="A1080" s="5" t="s">
        <v>2054</v>
      </c>
    </row>
    <row r="1081">
      <c r="A1081" s="5" t="s">
        <v>2054</v>
      </c>
    </row>
    <row r="1082">
      <c r="A1082" s="5" t="s">
        <v>2054</v>
      </c>
    </row>
    <row r="1083">
      <c r="A1083" s="5" t="s">
        <v>2054</v>
      </c>
    </row>
    <row r="1084">
      <c r="A1084" s="5" t="s">
        <v>2054</v>
      </c>
    </row>
    <row r="1085">
      <c r="A1085" s="5" t="s">
        <v>2054</v>
      </c>
    </row>
    <row r="1086">
      <c r="A1086" s="5" t="s">
        <v>2054</v>
      </c>
    </row>
    <row r="1087">
      <c r="A1087" s="5" t="s">
        <v>2054</v>
      </c>
    </row>
    <row r="1088">
      <c r="A1088" s="5" t="s">
        <v>2054</v>
      </c>
    </row>
    <row r="1089">
      <c r="A1089" s="5" t="s">
        <v>2054</v>
      </c>
    </row>
    <row r="1090">
      <c r="A1090" s="5" t="s">
        <v>2054</v>
      </c>
    </row>
    <row r="1091">
      <c r="A1091" s="5" t="s">
        <v>2054</v>
      </c>
    </row>
    <row r="1092">
      <c r="A1092" s="5" t="s">
        <v>2054</v>
      </c>
    </row>
    <row r="1093">
      <c r="A1093" s="5" t="s">
        <v>2054</v>
      </c>
    </row>
    <row r="1094">
      <c r="A1094" s="5" t="s">
        <v>2054</v>
      </c>
    </row>
    <row r="1095">
      <c r="A1095" s="5" t="s">
        <v>2054</v>
      </c>
    </row>
    <row r="1096">
      <c r="A1096" s="5" t="s">
        <v>2054</v>
      </c>
    </row>
    <row r="1097">
      <c r="A1097" s="5" t="s">
        <v>2054</v>
      </c>
    </row>
    <row r="1098">
      <c r="A1098" s="5" t="s">
        <v>2054</v>
      </c>
    </row>
    <row r="1099">
      <c r="A1099" s="5" t="s">
        <v>2054</v>
      </c>
    </row>
    <row r="1100">
      <c r="A1100" s="5" t="s">
        <v>2054</v>
      </c>
    </row>
    <row r="1101">
      <c r="A1101" s="5" t="s">
        <v>2054</v>
      </c>
    </row>
    <row r="1102">
      <c r="A1102" s="5" t="s">
        <v>2054</v>
      </c>
    </row>
    <row r="1103">
      <c r="A1103" s="5" t="s">
        <v>2054</v>
      </c>
    </row>
    <row r="1104">
      <c r="A1104" s="5" t="s">
        <v>2054</v>
      </c>
    </row>
    <row r="1105">
      <c r="A1105" s="5" t="s">
        <v>2054</v>
      </c>
    </row>
    <row r="1106">
      <c r="A1106" s="5" t="s">
        <v>2054</v>
      </c>
    </row>
    <row r="1107">
      <c r="A1107" s="5" t="s">
        <v>2054</v>
      </c>
    </row>
    <row r="1108">
      <c r="A1108" s="5" t="s">
        <v>2054</v>
      </c>
    </row>
    <row r="1109">
      <c r="A1109" s="5" t="s">
        <v>2054</v>
      </c>
    </row>
    <row r="1110">
      <c r="A1110" s="5" t="s">
        <v>2054</v>
      </c>
    </row>
    <row r="1111">
      <c r="A1111" s="5" t="s">
        <v>2054</v>
      </c>
    </row>
    <row r="1112">
      <c r="A1112" s="5" t="s">
        <v>2054</v>
      </c>
    </row>
    <row r="1113">
      <c r="A1113" s="5" t="s">
        <v>2054</v>
      </c>
    </row>
    <row r="1114">
      <c r="A1114" s="5" t="s">
        <v>2054</v>
      </c>
    </row>
    <row r="1115">
      <c r="A1115" s="5" t="s">
        <v>2054</v>
      </c>
    </row>
    <row r="1116">
      <c r="A1116" s="5" t="s">
        <v>2054</v>
      </c>
    </row>
    <row r="1117">
      <c r="A1117" s="5" t="s">
        <v>2054</v>
      </c>
    </row>
    <row r="1118">
      <c r="A1118" s="5" t="s">
        <v>2054</v>
      </c>
    </row>
    <row r="1119">
      <c r="A1119" s="5" t="s">
        <v>2054</v>
      </c>
    </row>
    <row r="1120">
      <c r="A1120" s="5" t="s">
        <v>2054</v>
      </c>
    </row>
    <row r="1121">
      <c r="A1121" s="5" t="s">
        <v>2054</v>
      </c>
    </row>
    <row r="1122">
      <c r="A1122" s="5" t="s">
        <v>2054</v>
      </c>
    </row>
    <row r="1123">
      <c r="A1123" s="5" t="s">
        <v>2054</v>
      </c>
    </row>
    <row r="1124">
      <c r="A1124" s="5" t="s">
        <v>2054</v>
      </c>
    </row>
    <row r="1125">
      <c r="A1125" s="5" t="s">
        <v>2054</v>
      </c>
    </row>
    <row r="1126">
      <c r="A1126" s="5" t="s">
        <v>2054</v>
      </c>
    </row>
    <row r="1127">
      <c r="A1127" s="5" t="s">
        <v>2054</v>
      </c>
    </row>
    <row r="1128">
      <c r="A1128" s="5" t="s">
        <v>2054</v>
      </c>
    </row>
    <row r="1129">
      <c r="A1129" s="5" t="s">
        <v>2054</v>
      </c>
    </row>
    <row r="1130">
      <c r="A1130" s="5" t="s">
        <v>2054</v>
      </c>
    </row>
    <row r="1131">
      <c r="A1131" s="5" t="s">
        <v>2054</v>
      </c>
    </row>
    <row r="1132">
      <c r="A1132" s="5" t="s">
        <v>2054</v>
      </c>
    </row>
    <row r="1133">
      <c r="A1133" s="5" t="s">
        <v>2054</v>
      </c>
    </row>
    <row r="1134">
      <c r="A1134" s="5" t="s">
        <v>2054</v>
      </c>
    </row>
    <row r="1135">
      <c r="A1135" s="5" t="s">
        <v>2054</v>
      </c>
    </row>
    <row r="1136">
      <c r="A1136" s="5" t="s">
        <v>2054</v>
      </c>
    </row>
    <row r="1137">
      <c r="A1137" s="5" t="s">
        <v>2054</v>
      </c>
    </row>
    <row r="1138">
      <c r="A1138" s="5" t="s">
        <v>2054</v>
      </c>
    </row>
    <row r="1139">
      <c r="A1139" s="5" t="s">
        <v>2054</v>
      </c>
    </row>
    <row r="1140">
      <c r="A1140" s="5" t="s">
        <v>2054</v>
      </c>
    </row>
    <row r="1141">
      <c r="A1141" s="5" t="s">
        <v>2054</v>
      </c>
    </row>
    <row r="1142">
      <c r="A1142" s="5" t="s">
        <v>2054</v>
      </c>
    </row>
    <row r="1143">
      <c r="A1143" s="5" t="s">
        <v>2054</v>
      </c>
    </row>
    <row r="1144">
      <c r="A1144" s="5" t="s">
        <v>2054</v>
      </c>
    </row>
    <row r="1145">
      <c r="A1145" s="5" t="s">
        <v>2054</v>
      </c>
    </row>
    <row r="1146">
      <c r="A1146" s="5" t="s">
        <v>2054</v>
      </c>
    </row>
    <row r="1147">
      <c r="A1147" s="5" t="s">
        <v>2054</v>
      </c>
    </row>
    <row r="1148">
      <c r="A1148" s="5" t="s">
        <v>2054</v>
      </c>
    </row>
    <row r="1149">
      <c r="A1149" s="5" t="s">
        <v>2054</v>
      </c>
    </row>
    <row r="1150">
      <c r="A1150" s="5" t="s">
        <v>2054</v>
      </c>
    </row>
    <row r="1151">
      <c r="A1151" s="5" t="s">
        <v>2054</v>
      </c>
    </row>
    <row r="1152">
      <c r="A1152" s="5" t="s">
        <v>2054</v>
      </c>
    </row>
    <row r="1153">
      <c r="A1153" s="5" t="s">
        <v>2054</v>
      </c>
    </row>
    <row r="1154">
      <c r="A1154" s="5" t="s">
        <v>2054</v>
      </c>
    </row>
    <row r="1155">
      <c r="A1155" s="5" t="s">
        <v>2054</v>
      </c>
    </row>
    <row r="1156">
      <c r="A1156" s="5" t="s">
        <v>2054</v>
      </c>
    </row>
    <row r="1157">
      <c r="A1157" s="5" t="s">
        <v>2054</v>
      </c>
    </row>
    <row r="1158">
      <c r="A1158" s="5" t="s">
        <v>2054</v>
      </c>
    </row>
    <row r="1159">
      <c r="A1159" s="5" t="s">
        <v>2054</v>
      </c>
    </row>
    <row r="1160">
      <c r="A1160" s="5" t="s">
        <v>2054</v>
      </c>
    </row>
    <row r="1161">
      <c r="A1161" s="5" t="s">
        <v>2054</v>
      </c>
    </row>
    <row r="1162">
      <c r="A1162" s="5" t="s">
        <v>2054</v>
      </c>
    </row>
    <row r="1163">
      <c r="A1163" s="5" t="s">
        <v>2054</v>
      </c>
    </row>
    <row r="1164">
      <c r="A1164" s="5" t="s">
        <v>2054</v>
      </c>
    </row>
    <row r="1165">
      <c r="A1165" s="5" t="s">
        <v>2054</v>
      </c>
    </row>
    <row r="1166">
      <c r="A1166" s="5" t="s">
        <v>2054</v>
      </c>
    </row>
    <row r="1167">
      <c r="A1167" s="5" t="s">
        <v>2054</v>
      </c>
    </row>
    <row r="1168">
      <c r="A1168" s="5" t="s">
        <v>2054</v>
      </c>
    </row>
    <row r="1169">
      <c r="A1169" s="5" t="s">
        <v>2054</v>
      </c>
    </row>
    <row r="1170">
      <c r="A1170" s="5" t="s">
        <v>2054</v>
      </c>
    </row>
    <row r="1171">
      <c r="A1171" s="5" t="s">
        <v>2054</v>
      </c>
    </row>
    <row r="1172">
      <c r="A1172" s="5" t="s">
        <v>2054</v>
      </c>
    </row>
    <row r="1173">
      <c r="A1173" s="5" t="s">
        <v>2054</v>
      </c>
    </row>
    <row r="1174">
      <c r="A1174" s="5" t="s">
        <v>2054</v>
      </c>
    </row>
    <row r="1175">
      <c r="A1175" s="5" t="s">
        <v>2054</v>
      </c>
    </row>
    <row r="1176">
      <c r="A1176" s="5" t="s">
        <v>2054</v>
      </c>
    </row>
    <row r="1177">
      <c r="A1177" s="5" t="s">
        <v>2054</v>
      </c>
    </row>
    <row r="1178">
      <c r="A1178" s="5" t="s">
        <v>2054</v>
      </c>
    </row>
    <row r="1179">
      <c r="A1179" s="5" t="s">
        <v>2054</v>
      </c>
    </row>
    <row r="1180">
      <c r="A1180" s="5" t="s">
        <v>2054</v>
      </c>
    </row>
    <row r="1181">
      <c r="A1181" s="5" t="s">
        <v>2054</v>
      </c>
    </row>
    <row r="1182">
      <c r="A1182" s="5" t="s">
        <v>2054</v>
      </c>
    </row>
    <row r="1183">
      <c r="A1183" s="5" t="s">
        <v>2054</v>
      </c>
    </row>
    <row r="1184">
      <c r="A1184" s="5" t="s">
        <v>2054</v>
      </c>
    </row>
    <row r="1185">
      <c r="A1185" s="5" t="s">
        <v>2054</v>
      </c>
    </row>
    <row r="1186">
      <c r="A1186" s="5" t="s">
        <v>2054</v>
      </c>
    </row>
    <row r="1187">
      <c r="A1187" s="5" t="s">
        <v>2054</v>
      </c>
    </row>
    <row r="1188">
      <c r="A1188" s="5" t="s">
        <v>2054</v>
      </c>
    </row>
    <row r="1189">
      <c r="A1189" s="5" t="s">
        <v>2054</v>
      </c>
    </row>
    <row r="1190">
      <c r="A1190" s="5" t="s">
        <v>2054</v>
      </c>
    </row>
    <row r="1191">
      <c r="A1191" s="5" t="s">
        <v>2054</v>
      </c>
    </row>
    <row r="1192">
      <c r="A1192" s="5" t="s">
        <v>2054</v>
      </c>
    </row>
    <row r="1193">
      <c r="A1193" s="5" t="s">
        <v>2054</v>
      </c>
    </row>
    <row r="1194">
      <c r="A1194" s="5" t="s">
        <v>2054</v>
      </c>
    </row>
    <row r="1195">
      <c r="A1195" s="5" t="s">
        <v>2054</v>
      </c>
    </row>
    <row r="1196">
      <c r="A1196" s="5" t="s">
        <v>2054</v>
      </c>
    </row>
    <row r="1197">
      <c r="A1197" s="5" t="s">
        <v>2054</v>
      </c>
    </row>
    <row r="1198">
      <c r="A1198" s="5" t="s">
        <v>2054</v>
      </c>
    </row>
    <row r="1199">
      <c r="A1199" s="5" t="s">
        <v>2054</v>
      </c>
    </row>
    <row r="1200">
      <c r="A1200" s="5" t="s">
        <v>2054</v>
      </c>
    </row>
    <row r="1201">
      <c r="A1201" s="5" t="s">
        <v>2054</v>
      </c>
    </row>
    <row r="1202">
      <c r="A1202" s="5" t="s">
        <v>2054</v>
      </c>
    </row>
    <row r="1203">
      <c r="A1203" s="5" t="s">
        <v>2054</v>
      </c>
    </row>
    <row r="1204">
      <c r="A1204" s="5" t="s">
        <v>2054</v>
      </c>
    </row>
    <row r="1205">
      <c r="A1205" s="5" t="s">
        <v>2054</v>
      </c>
    </row>
    <row r="1206">
      <c r="A1206" s="5" t="s">
        <v>2054</v>
      </c>
    </row>
    <row r="1207">
      <c r="A1207" s="5" t="s">
        <v>2054</v>
      </c>
    </row>
    <row r="1208">
      <c r="A1208" s="5" t="s">
        <v>2054</v>
      </c>
    </row>
    <row r="1209">
      <c r="A1209" s="5" t="s">
        <v>2054</v>
      </c>
    </row>
    <row r="1210">
      <c r="A1210" s="5" t="s">
        <v>2054</v>
      </c>
    </row>
    <row r="1211">
      <c r="A1211" s="5" t="s">
        <v>2054</v>
      </c>
    </row>
    <row r="1212">
      <c r="A1212" s="5" t="s">
        <v>2054</v>
      </c>
    </row>
    <row r="1213">
      <c r="A1213" s="5" t="s">
        <v>2054</v>
      </c>
    </row>
    <row r="1214">
      <c r="A1214" s="5" t="s">
        <v>2054</v>
      </c>
    </row>
    <row r="1215">
      <c r="A1215" s="5" t="s">
        <v>2054</v>
      </c>
    </row>
    <row r="1216">
      <c r="A1216" s="5" t="s">
        <v>2054</v>
      </c>
    </row>
    <row r="1217">
      <c r="A1217" s="5" t="s">
        <v>2054</v>
      </c>
    </row>
    <row r="1218">
      <c r="A1218" s="5" t="s">
        <v>2054</v>
      </c>
    </row>
    <row r="1219">
      <c r="A1219" s="5" t="s">
        <v>2054</v>
      </c>
    </row>
    <row r="1220">
      <c r="A1220" s="5" t="s">
        <v>2054</v>
      </c>
    </row>
    <row r="1221">
      <c r="A1221" s="5" t="s">
        <v>2054</v>
      </c>
    </row>
    <row r="1222">
      <c r="A1222" s="5" t="s">
        <v>2054</v>
      </c>
    </row>
    <row r="1223">
      <c r="A1223" s="5" t="s">
        <v>2054</v>
      </c>
    </row>
    <row r="1224">
      <c r="A1224" s="5" t="s">
        <v>2054</v>
      </c>
    </row>
    <row r="1225">
      <c r="A1225" s="5" t="s">
        <v>2054</v>
      </c>
    </row>
    <row r="1226">
      <c r="A1226" s="5" t="s">
        <v>2054</v>
      </c>
    </row>
    <row r="1227">
      <c r="A1227" s="5" t="s">
        <v>2054</v>
      </c>
    </row>
    <row r="1228">
      <c r="A1228" s="5" t="s">
        <v>2054</v>
      </c>
    </row>
    <row r="1229">
      <c r="A1229" s="5" t="s">
        <v>2054</v>
      </c>
    </row>
    <row r="1230">
      <c r="A1230" s="5" t="s">
        <v>2054</v>
      </c>
    </row>
    <row r="1231">
      <c r="A1231" s="5" t="s">
        <v>2054</v>
      </c>
    </row>
    <row r="1232">
      <c r="A1232" s="5" t="s">
        <v>2054</v>
      </c>
    </row>
    <row r="1233">
      <c r="A1233" s="5" t="s">
        <v>2054</v>
      </c>
    </row>
    <row r="1234">
      <c r="A1234" s="5" t="s">
        <v>2054</v>
      </c>
    </row>
    <row r="1235">
      <c r="A1235" s="5" t="s">
        <v>2054</v>
      </c>
    </row>
    <row r="1236">
      <c r="A1236" s="5" t="s">
        <v>2054</v>
      </c>
    </row>
    <row r="1237">
      <c r="A1237" s="5" t="s">
        <v>2054</v>
      </c>
    </row>
    <row r="1238">
      <c r="A1238" s="5" t="s">
        <v>2054</v>
      </c>
    </row>
    <row r="1239">
      <c r="A1239" s="5" t="s">
        <v>2054</v>
      </c>
    </row>
    <row r="1240">
      <c r="A1240" s="5" t="s">
        <v>2054</v>
      </c>
    </row>
    <row r="1241">
      <c r="A1241" s="5" t="s">
        <v>2054</v>
      </c>
    </row>
    <row r="1242">
      <c r="A1242" s="5" t="s">
        <v>2054</v>
      </c>
    </row>
    <row r="1243">
      <c r="A1243" s="5" t="s">
        <v>2054</v>
      </c>
    </row>
    <row r="1244">
      <c r="A1244" s="5" t="s">
        <v>2054</v>
      </c>
    </row>
    <row r="1245">
      <c r="A1245" s="5" t="s">
        <v>2054</v>
      </c>
    </row>
    <row r="1246">
      <c r="A1246" s="5" t="s">
        <v>2054</v>
      </c>
    </row>
    <row r="1247">
      <c r="A1247" s="5" t="s">
        <v>2054</v>
      </c>
    </row>
    <row r="1248">
      <c r="A1248" s="5" t="s">
        <v>2054</v>
      </c>
    </row>
    <row r="1249">
      <c r="A1249" s="5" t="s">
        <v>2054</v>
      </c>
    </row>
    <row r="1250">
      <c r="A1250" s="5" t="s">
        <v>2054</v>
      </c>
    </row>
    <row r="1251">
      <c r="A1251" s="5" t="s">
        <v>2054</v>
      </c>
    </row>
    <row r="1252">
      <c r="A1252" s="5" t="s">
        <v>2054</v>
      </c>
    </row>
    <row r="1253">
      <c r="A1253" s="5" t="s">
        <v>2054</v>
      </c>
    </row>
    <row r="1254">
      <c r="A1254" s="5" t="s">
        <v>2054</v>
      </c>
    </row>
    <row r="1255">
      <c r="A1255" s="5" t="s">
        <v>2054</v>
      </c>
    </row>
    <row r="1256">
      <c r="A1256" s="5" t="s">
        <v>2054</v>
      </c>
    </row>
    <row r="1257">
      <c r="A1257" s="5" t="s">
        <v>2054</v>
      </c>
    </row>
    <row r="1258">
      <c r="A1258" s="5" t="s">
        <v>2054</v>
      </c>
    </row>
    <row r="1259">
      <c r="A1259" s="5" t="s">
        <v>2054</v>
      </c>
    </row>
    <row r="1260">
      <c r="A1260" s="5" t="s">
        <v>2054</v>
      </c>
    </row>
    <row r="1261">
      <c r="A1261" s="5" t="s">
        <v>2054</v>
      </c>
    </row>
    <row r="1262">
      <c r="A1262" s="5" t="s">
        <v>2054</v>
      </c>
    </row>
    <row r="1263">
      <c r="A1263" s="5" t="s">
        <v>2054</v>
      </c>
    </row>
    <row r="1264">
      <c r="A1264" s="5" t="s">
        <v>2054</v>
      </c>
    </row>
    <row r="1265">
      <c r="A1265" s="5" t="s">
        <v>2054</v>
      </c>
    </row>
    <row r="1266">
      <c r="A1266" s="5" t="s">
        <v>2054</v>
      </c>
    </row>
    <row r="1267">
      <c r="A1267" s="5" t="s">
        <v>2054</v>
      </c>
    </row>
    <row r="1268">
      <c r="A1268" s="5" t="s">
        <v>2054</v>
      </c>
    </row>
    <row r="1269">
      <c r="A1269" s="5" t="s">
        <v>2054</v>
      </c>
    </row>
    <row r="1270">
      <c r="A1270" s="5" t="s">
        <v>2054</v>
      </c>
    </row>
    <row r="1271">
      <c r="A1271" s="5" t="s">
        <v>2054</v>
      </c>
    </row>
    <row r="1272">
      <c r="A1272" s="5" t="s">
        <v>2054</v>
      </c>
    </row>
    <row r="1273">
      <c r="A1273" s="5" t="s">
        <v>2054</v>
      </c>
    </row>
    <row r="1274">
      <c r="A1274" s="5" t="s">
        <v>2054</v>
      </c>
    </row>
    <row r="1275">
      <c r="A1275" s="5" t="s">
        <v>2054</v>
      </c>
    </row>
    <row r="1276">
      <c r="A1276" s="5" t="s">
        <v>2054</v>
      </c>
    </row>
    <row r="1277">
      <c r="A1277" s="5" t="s">
        <v>2054</v>
      </c>
    </row>
    <row r="1278">
      <c r="A1278" s="5" t="s">
        <v>2054</v>
      </c>
    </row>
    <row r="1279">
      <c r="A1279" s="5" t="s">
        <v>2054</v>
      </c>
    </row>
    <row r="1280">
      <c r="A1280" s="5" t="s">
        <v>2054</v>
      </c>
    </row>
    <row r="1281">
      <c r="A1281" s="5" t="s">
        <v>2054</v>
      </c>
    </row>
    <row r="1282">
      <c r="A1282" s="5" t="s">
        <v>2054</v>
      </c>
    </row>
    <row r="1283">
      <c r="A1283" s="5" t="s">
        <v>2054</v>
      </c>
    </row>
    <row r="1284">
      <c r="A1284" s="5" t="s">
        <v>2054</v>
      </c>
    </row>
    <row r="1285">
      <c r="A1285" s="5" t="s">
        <v>2054</v>
      </c>
    </row>
    <row r="1286">
      <c r="A1286" s="5" t="s">
        <v>2054</v>
      </c>
    </row>
    <row r="1287">
      <c r="A1287" s="5" t="s">
        <v>2054</v>
      </c>
    </row>
    <row r="1288">
      <c r="A1288" s="5" t="s">
        <v>2054</v>
      </c>
    </row>
    <row r="1289">
      <c r="A1289" s="5" t="s">
        <v>2054</v>
      </c>
    </row>
    <row r="1290">
      <c r="A1290" s="5" t="s">
        <v>2054</v>
      </c>
    </row>
    <row r="1291">
      <c r="A1291" s="5" t="s">
        <v>2054</v>
      </c>
    </row>
    <row r="1292">
      <c r="A1292" s="5" t="s">
        <v>2054</v>
      </c>
    </row>
    <row r="1293">
      <c r="A1293" s="5" t="s">
        <v>2054</v>
      </c>
    </row>
    <row r="1294">
      <c r="A1294" s="5" t="s">
        <v>2054</v>
      </c>
    </row>
    <row r="1295">
      <c r="A1295" s="5" t="s">
        <v>2054</v>
      </c>
    </row>
    <row r="1296">
      <c r="A1296" s="5" t="s">
        <v>2054</v>
      </c>
    </row>
    <row r="1297">
      <c r="A1297" s="5" t="s">
        <v>2054</v>
      </c>
    </row>
    <row r="1298">
      <c r="A1298" s="5" t="s">
        <v>2054</v>
      </c>
    </row>
    <row r="1299">
      <c r="A1299" s="5" t="s">
        <v>2054</v>
      </c>
    </row>
    <row r="1300">
      <c r="A1300" s="5" t="s">
        <v>2054</v>
      </c>
    </row>
    <row r="1301">
      <c r="A1301" s="5" t="s">
        <v>2054</v>
      </c>
    </row>
    <row r="1302">
      <c r="A1302" s="5" t="s">
        <v>2054</v>
      </c>
    </row>
    <row r="1303">
      <c r="A1303" s="5" t="s">
        <v>2054</v>
      </c>
    </row>
    <row r="1304">
      <c r="A1304" s="5" t="s">
        <v>2054</v>
      </c>
    </row>
    <row r="1305">
      <c r="A1305" s="5" t="s">
        <v>2054</v>
      </c>
    </row>
    <row r="1306">
      <c r="A1306" s="5" t="s">
        <v>2054</v>
      </c>
    </row>
    <row r="1307">
      <c r="A1307" s="5" t="s">
        <v>2054</v>
      </c>
    </row>
    <row r="1308">
      <c r="A1308" s="5" t="s">
        <v>2054</v>
      </c>
    </row>
    <row r="1309">
      <c r="A1309" s="5" t="s">
        <v>2054</v>
      </c>
    </row>
    <row r="1310">
      <c r="A1310" s="5" t="s">
        <v>2054</v>
      </c>
    </row>
    <row r="1311">
      <c r="A1311" s="5" t="s">
        <v>2054</v>
      </c>
    </row>
    <row r="1312">
      <c r="A1312" s="5" t="s">
        <v>2054</v>
      </c>
    </row>
    <row r="1313">
      <c r="A1313" s="5" t="s">
        <v>2054</v>
      </c>
    </row>
    <row r="1314">
      <c r="A1314" s="5" t="s">
        <v>2054</v>
      </c>
    </row>
    <row r="1315">
      <c r="A1315" s="5" t="s">
        <v>2054</v>
      </c>
    </row>
    <row r="1316">
      <c r="A1316" s="5" t="s">
        <v>2054</v>
      </c>
    </row>
    <row r="1317">
      <c r="A1317" s="5" t="s">
        <v>2054</v>
      </c>
    </row>
    <row r="1318">
      <c r="A1318" s="5" t="s">
        <v>2054</v>
      </c>
    </row>
    <row r="1319">
      <c r="A1319" s="5" t="s">
        <v>2054</v>
      </c>
    </row>
    <row r="1320">
      <c r="A1320" s="5" t="s">
        <v>2054</v>
      </c>
    </row>
    <row r="1321">
      <c r="A1321" s="5" t="s">
        <v>2054</v>
      </c>
    </row>
    <row r="1322">
      <c r="A1322" s="5" t="s">
        <v>2054</v>
      </c>
    </row>
    <row r="1323">
      <c r="A1323" s="5" t="s">
        <v>2054</v>
      </c>
    </row>
    <row r="1324">
      <c r="A1324" s="5" t="s">
        <v>2054</v>
      </c>
    </row>
    <row r="1325">
      <c r="A1325" s="5" t="s">
        <v>2054</v>
      </c>
    </row>
    <row r="1326">
      <c r="A1326" s="5" t="s">
        <v>2054</v>
      </c>
    </row>
    <row r="1327">
      <c r="A1327" s="5" t="s">
        <v>2054</v>
      </c>
    </row>
    <row r="1328">
      <c r="A1328" s="5" t="s">
        <v>2054</v>
      </c>
    </row>
    <row r="1329">
      <c r="A1329" s="5" t="s">
        <v>2054</v>
      </c>
    </row>
    <row r="1330">
      <c r="A1330" s="5" t="s">
        <v>2054</v>
      </c>
    </row>
    <row r="1331">
      <c r="A1331" s="5" t="s">
        <v>2054</v>
      </c>
    </row>
    <row r="1332">
      <c r="A1332" s="5" t="s">
        <v>2054</v>
      </c>
    </row>
    <row r="1333">
      <c r="A1333" s="5" t="s">
        <v>2054</v>
      </c>
    </row>
    <row r="1334">
      <c r="A1334" s="5" t="s">
        <v>2054</v>
      </c>
    </row>
    <row r="1335">
      <c r="A1335" s="5" t="s">
        <v>2054</v>
      </c>
    </row>
    <row r="1336">
      <c r="A1336" s="5" t="s">
        <v>2054</v>
      </c>
    </row>
    <row r="1337">
      <c r="A1337" s="5" t="s">
        <v>2054</v>
      </c>
    </row>
    <row r="1338">
      <c r="A1338" s="5" t="s">
        <v>2054</v>
      </c>
    </row>
    <row r="1339">
      <c r="A1339" s="5" t="s">
        <v>2054</v>
      </c>
    </row>
    <row r="1340">
      <c r="A1340" s="5" t="s">
        <v>2054</v>
      </c>
    </row>
    <row r="1341">
      <c r="A1341" s="5" t="s">
        <v>2054</v>
      </c>
    </row>
    <row r="1342">
      <c r="A1342" s="5" t="s">
        <v>2054</v>
      </c>
    </row>
    <row r="1343">
      <c r="A1343" s="5" t="s">
        <v>2054</v>
      </c>
    </row>
    <row r="1344">
      <c r="A1344" s="5" t="s">
        <v>2054</v>
      </c>
    </row>
    <row r="1345">
      <c r="A1345" s="5" t="s">
        <v>2054</v>
      </c>
    </row>
    <row r="1346">
      <c r="A1346" s="5" t="s">
        <v>2054</v>
      </c>
    </row>
    <row r="1347">
      <c r="A1347" s="5" t="s">
        <v>2054</v>
      </c>
    </row>
    <row r="1348">
      <c r="A1348" s="5" t="s">
        <v>2054</v>
      </c>
    </row>
    <row r="1349">
      <c r="A1349" s="5" t="s">
        <v>2054</v>
      </c>
    </row>
    <row r="1350">
      <c r="A1350" s="5" t="s">
        <v>2054</v>
      </c>
    </row>
    <row r="1351">
      <c r="A1351" s="5" t="s">
        <v>2054</v>
      </c>
    </row>
    <row r="1352">
      <c r="A1352" s="5" t="s">
        <v>2054</v>
      </c>
    </row>
    <row r="1353">
      <c r="A1353" s="5" t="s">
        <v>2054</v>
      </c>
    </row>
    <row r="1354">
      <c r="A1354" s="5" t="s">
        <v>2054</v>
      </c>
    </row>
    <row r="1355">
      <c r="A1355" s="5" t="s">
        <v>2054</v>
      </c>
    </row>
    <row r="1356">
      <c r="A1356" s="5" t="s">
        <v>2054</v>
      </c>
    </row>
    <row r="1357">
      <c r="A1357" s="5" t="s">
        <v>2054</v>
      </c>
    </row>
    <row r="1358">
      <c r="A1358" s="5" t="s">
        <v>2054</v>
      </c>
    </row>
    <row r="1359">
      <c r="A1359" s="5" t="s">
        <v>2054</v>
      </c>
    </row>
    <row r="1360">
      <c r="A1360" s="5" t="s">
        <v>2054</v>
      </c>
    </row>
    <row r="1361">
      <c r="A1361" s="5" t="s">
        <v>2054</v>
      </c>
    </row>
    <row r="1362">
      <c r="A1362" s="5" t="s">
        <v>2054</v>
      </c>
    </row>
    <row r="1363">
      <c r="A1363" s="5" t="s">
        <v>2054</v>
      </c>
    </row>
    <row r="1364">
      <c r="A1364" s="5" t="s">
        <v>2054</v>
      </c>
    </row>
    <row r="1365">
      <c r="A1365" s="5" t="s">
        <v>2054</v>
      </c>
    </row>
    <row r="1366">
      <c r="A1366" s="5" t="s">
        <v>2054</v>
      </c>
    </row>
    <row r="1367">
      <c r="A1367" s="5" t="s">
        <v>2054</v>
      </c>
    </row>
    <row r="1368">
      <c r="A1368" s="5" t="s">
        <v>2054</v>
      </c>
    </row>
    <row r="1369">
      <c r="A1369" s="5" t="s">
        <v>2054</v>
      </c>
    </row>
    <row r="1370">
      <c r="A1370" s="5" t="s">
        <v>2054</v>
      </c>
    </row>
    <row r="1371">
      <c r="A1371" s="5" t="s">
        <v>2054</v>
      </c>
    </row>
    <row r="1372">
      <c r="A1372" s="5" t="s">
        <v>2054</v>
      </c>
    </row>
    <row r="1373">
      <c r="A1373" s="5" t="s">
        <v>2054</v>
      </c>
    </row>
    <row r="1374">
      <c r="A1374" s="5" t="s">
        <v>2054</v>
      </c>
    </row>
    <row r="1375">
      <c r="A1375" s="5" t="s">
        <v>2054</v>
      </c>
    </row>
    <row r="1376">
      <c r="A1376" s="5" t="s">
        <v>2054</v>
      </c>
    </row>
    <row r="1377">
      <c r="A1377" s="5" t="s">
        <v>2054</v>
      </c>
    </row>
    <row r="1378">
      <c r="A1378" s="5" t="s">
        <v>2054</v>
      </c>
    </row>
    <row r="1379">
      <c r="A1379" s="5" t="s">
        <v>2054</v>
      </c>
    </row>
    <row r="1380">
      <c r="A1380" s="5" t="s">
        <v>2054</v>
      </c>
    </row>
    <row r="1381">
      <c r="A1381" s="5" t="s">
        <v>2054</v>
      </c>
    </row>
    <row r="1382">
      <c r="A1382" s="5" t="s">
        <v>2054</v>
      </c>
    </row>
    <row r="1383">
      <c r="A1383" s="5" t="s">
        <v>2054</v>
      </c>
    </row>
    <row r="1384">
      <c r="A1384" s="5" t="s">
        <v>2054</v>
      </c>
    </row>
    <row r="1385">
      <c r="A1385" s="5" t="s">
        <v>2054</v>
      </c>
    </row>
    <row r="1386">
      <c r="A1386" s="5" t="s">
        <v>2054</v>
      </c>
    </row>
    <row r="1387">
      <c r="A1387" s="5" t="s">
        <v>2054</v>
      </c>
    </row>
    <row r="1388">
      <c r="A1388" s="5" t="s">
        <v>2054</v>
      </c>
    </row>
    <row r="1389">
      <c r="A1389" s="5" t="s">
        <v>2054</v>
      </c>
    </row>
    <row r="1390">
      <c r="A1390" s="5" t="s">
        <v>2054</v>
      </c>
    </row>
    <row r="1391">
      <c r="A1391" s="5" t="s">
        <v>2054</v>
      </c>
    </row>
    <row r="1392">
      <c r="A1392" s="5" t="s">
        <v>2054</v>
      </c>
    </row>
    <row r="1393">
      <c r="A1393" s="5" t="s">
        <v>2054</v>
      </c>
    </row>
    <row r="1394">
      <c r="A1394" s="5" t="s">
        <v>2054</v>
      </c>
    </row>
    <row r="1395">
      <c r="A1395" s="5" t="s">
        <v>2054</v>
      </c>
    </row>
    <row r="1396">
      <c r="A1396" s="5" t="s">
        <v>2054</v>
      </c>
    </row>
    <row r="1397">
      <c r="A1397" s="5" t="s">
        <v>2054</v>
      </c>
    </row>
    <row r="1398">
      <c r="A1398" s="5" t="s">
        <v>2054</v>
      </c>
    </row>
    <row r="1399">
      <c r="A1399" s="5" t="s">
        <v>2054</v>
      </c>
    </row>
    <row r="1400">
      <c r="A1400" s="5" t="s">
        <v>2054</v>
      </c>
    </row>
    <row r="1401">
      <c r="A1401" s="5" t="s">
        <v>2054</v>
      </c>
    </row>
    <row r="1402">
      <c r="A1402" s="5" t="s">
        <v>2054</v>
      </c>
    </row>
    <row r="1403">
      <c r="A1403" s="5" t="s">
        <v>2054</v>
      </c>
    </row>
    <row r="1404">
      <c r="A1404" s="5" t="s">
        <v>2054</v>
      </c>
    </row>
    <row r="1405">
      <c r="A1405" s="5" t="s">
        <v>2054</v>
      </c>
    </row>
    <row r="1406">
      <c r="A1406" s="5" t="s">
        <v>2054</v>
      </c>
    </row>
    <row r="1407">
      <c r="A1407" s="5" t="s">
        <v>2054</v>
      </c>
    </row>
    <row r="1408">
      <c r="A1408" s="5" t="s">
        <v>2054</v>
      </c>
    </row>
    <row r="1409">
      <c r="A1409" s="5" t="s">
        <v>2054</v>
      </c>
    </row>
    <row r="1410">
      <c r="A1410" s="5" t="s">
        <v>2054</v>
      </c>
    </row>
    <row r="1411">
      <c r="A1411" s="5" t="s">
        <v>2054</v>
      </c>
    </row>
    <row r="1412">
      <c r="A1412" s="5" t="s">
        <v>2054</v>
      </c>
    </row>
    <row r="1413">
      <c r="A1413" s="5" t="s">
        <v>2054</v>
      </c>
    </row>
    <row r="1414">
      <c r="A1414" s="5" t="s">
        <v>2054</v>
      </c>
    </row>
    <row r="1415">
      <c r="A1415" s="5" t="s">
        <v>2054</v>
      </c>
    </row>
    <row r="1416">
      <c r="A1416" s="5" t="s">
        <v>2054</v>
      </c>
    </row>
    <row r="1417">
      <c r="A1417" s="5" t="s">
        <v>2054</v>
      </c>
    </row>
    <row r="1418">
      <c r="A1418" s="5" t="s">
        <v>2054</v>
      </c>
    </row>
    <row r="1419">
      <c r="A1419" s="5" t="s">
        <v>2054</v>
      </c>
    </row>
    <row r="1420">
      <c r="A1420" s="5" t="s">
        <v>2054</v>
      </c>
    </row>
    <row r="1421">
      <c r="A1421" s="5" t="s">
        <v>2054</v>
      </c>
    </row>
    <row r="1422">
      <c r="A1422" s="5" t="s">
        <v>2054</v>
      </c>
    </row>
    <row r="1423">
      <c r="A1423" s="5" t="s">
        <v>2054</v>
      </c>
    </row>
    <row r="1424">
      <c r="A1424" s="5" t="s">
        <v>2054</v>
      </c>
    </row>
    <row r="1425">
      <c r="A1425" s="5" t="s">
        <v>2054</v>
      </c>
    </row>
    <row r="1426">
      <c r="A1426" s="5" t="s">
        <v>2054</v>
      </c>
    </row>
    <row r="1427">
      <c r="A1427" s="5" t="s">
        <v>2054</v>
      </c>
    </row>
    <row r="1428">
      <c r="A1428" s="5" t="s">
        <v>2054</v>
      </c>
    </row>
    <row r="1429">
      <c r="A1429" s="5" t="s">
        <v>2054</v>
      </c>
    </row>
    <row r="1430">
      <c r="A1430" s="5" t="s">
        <v>2054</v>
      </c>
    </row>
    <row r="1431">
      <c r="A1431" s="5" t="s">
        <v>2054</v>
      </c>
    </row>
    <row r="1432">
      <c r="A1432" s="5" t="s">
        <v>2054</v>
      </c>
    </row>
    <row r="1433">
      <c r="A1433" s="5" t="s">
        <v>2054</v>
      </c>
    </row>
    <row r="1434">
      <c r="A1434" s="5" t="s">
        <v>2054</v>
      </c>
    </row>
    <row r="1435">
      <c r="A1435" s="5" t="s">
        <v>2054</v>
      </c>
    </row>
    <row r="1436">
      <c r="A1436" s="5" t="s">
        <v>2054</v>
      </c>
    </row>
    <row r="1437">
      <c r="A1437" s="5" t="s">
        <v>2054</v>
      </c>
    </row>
    <row r="1438">
      <c r="A1438" s="5" t="s">
        <v>2054</v>
      </c>
    </row>
    <row r="1439">
      <c r="A1439" s="5" t="s">
        <v>2054</v>
      </c>
    </row>
    <row r="1440">
      <c r="A1440" s="5" t="s">
        <v>2054</v>
      </c>
    </row>
    <row r="1441">
      <c r="A1441" s="5" t="s">
        <v>2054</v>
      </c>
    </row>
    <row r="1442">
      <c r="A1442" s="5" t="s">
        <v>2054</v>
      </c>
    </row>
    <row r="1443">
      <c r="A1443" s="5" t="s">
        <v>2054</v>
      </c>
    </row>
    <row r="1444">
      <c r="A1444" s="5" t="s">
        <v>2054</v>
      </c>
    </row>
    <row r="1445">
      <c r="A1445" s="5" t="s">
        <v>2054</v>
      </c>
    </row>
    <row r="1446">
      <c r="A1446" s="5" t="s">
        <v>2054</v>
      </c>
    </row>
    <row r="1447">
      <c r="A1447" s="5" t="s">
        <v>2054</v>
      </c>
    </row>
    <row r="1448">
      <c r="A1448" s="5" t="s">
        <v>2054</v>
      </c>
    </row>
    <row r="1449">
      <c r="A1449" s="5" t="s">
        <v>2054</v>
      </c>
    </row>
    <row r="1450">
      <c r="A1450" s="5" t="s">
        <v>2054</v>
      </c>
    </row>
    <row r="1451">
      <c r="A1451" s="5" t="s">
        <v>2054</v>
      </c>
    </row>
    <row r="1452">
      <c r="A1452" s="5" t="s">
        <v>2054</v>
      </c>
    </row>
    <row r="1453">
      <c r="A1453" s="5" t="s">
        <v>2054</v>
      </c>
    </row>
    <row r="1454">
      <c r="A1454" s="5" t="s">
        <v>2054</v>
      </c>
    </row>
    <row r="1455">
      <c r="A1455" s="5" t="s">
        <v>2054</v>
      </c>
    </row>
    <row r="1456">
      <c r="A1456" s="5" t="s">
        <v>2054</v>
      </c>
    </row>
    <row r="1457">
      <c r="A1457" s="5" t="s">
        <v>2054</v>
      </c>
    </row>
    <row r="1458">
      <c r="A1458" s="5" t="s">
        <v>2054</v>
      </c>
    </row>
    <row r="1459">
      <c r="A1459" s="5" t="s">
        <v>2054</v>
      </c>
    </row>
    <row r="1460">
      <c r="A1460" s="5" t="s">
        <v>2054</v>
      </c>
    </row>
    <row r="1461">
      <c r="A1461" s="5" t="s">
        <v>2054</v>
      </c>
    </row>
    <row r="1462">
      <c r="A1462" s="5" t="s">
        <v>2054</v>
      </c>
    </row>
    <row r="1463">
      <c r="A1463" s="5" t="s">
        <v>2054</v>
      </c>
    </row>
    <row r="1464">
      <c r="A1464" s="5" t="s">
        <v>2054</v>
      </c>
    </row>
    <row r="1465">
      <c r="A1465" s="5" t="s">
        <v>2054</v>
      </c>
    </row>
    <row r="1466">
      <c r="A1466" s="5" t="s">
        <v>2054</v>
      </c>
    </row>
    <row r="1467">
      <c r="A1467" s="5" t="s">
        <v>2054</v>
      </c>
    </row>
    <row r="1468">
      <c r="A1468" s="5" t="s">
        <v>2054</v>
      </c>
    </row>
    <row r="1469">
      <c r="A1469" s="5" t="s">
        <v>2054</v>
      </c>
    </row>
    <row r="1470">
      <c r="A1470" s="5" t="s">
        <v>2054</v>
      </c>
    </row>
    <row r="1471">
      <c r="A1471" s="5" t="s">
        <v>2054</v>
      </c>
    </row>
    <row r="1472">
      <c r="A1472" s="5" t="s">
        <v>2054</v>
      </c>
    </row>
    <row r="1473">
      <c r="A1473" s="5" t="s">
        <v>2054</v>
      </c>
    </row>
    <row r="1474">
      <c r="A1474" s="5" t="s">
        <v>2054</v>
      </c>
    </row>
    <row r="1475">
      <c r="A1475" s="5" t="s">
        <v>2054</v>
      </c>
    </row>
    <row r="1476">
      <c r="A1476" s="5" t="s">
        <v>2054</v>
      </c>
    </row>
    <row r="1477">
      <c r="A1477" s="5" t="s">
        <v>2054</v>
      </c>
    </row>
    <row r="1478">
      <c r="A1478" s="5" t="s">
        <v>2054</v>
      </c>
    </row>
    <row r="1479">
      <c r="A1479" s="5" t="s">
        <v>2054</v>
      </c>
    </row>
    <row r="1480">
      <c r="A1480" s="5" t="s">
        <v>2054</v>
      </c>
    </row>
    <row r="1481">
      <c r="A1481" s="5" t="s">
        <v>2054</v>
      </c>
    </row>
    <row r="1482">
      <c r="A1482" s="5" t="s">
        <v>2054</v>
      </c>
    </row>
    <row r="1483">
      <c r="A1483" s="5" t="s">
        <v>2054</v>
      </c>
    </row>
    <row r="1484">
      <c r="A1484" s="5" t="s">
        <v>2054</v>
      </c>
    </row>
    <row r="1485">
      <c r="A1485" s="5" t="s">
        <v>2054</v>
      </c>
    </row>
    <row r="1486">
      <c r="A1486" s="5" t="s">
        <v>2054</v>
      </c>
    </row>
    <row r="1487">
      <c r="A1487" s="5" t="s">
        <v>2054</v>
      </c>
    </row>
    <row r="1488">
      <c r="A1488" s="5" t="s">
        <v>2054</v>
      </c>
    </row>
    <row r="1489">
      <c r="A1489" s="5" t="s">
        <v>2054</v>
      </c>
    </row>
    <row r="1490">
      <c r="A1490" s="5" t="s">
        <v>2054</v>
      </c>
    </row>
    <row r="1491">
      <c r="A1491" s="5" t="s">
        <v>2054</v>
      </c>
    </row>
    <row r="1492">
      <c r="A1492" s="5" t="s">
        <v>2054</v>
      </c>
    </row>
    <row r="1493">
      <c r="A1493" s="5" t="s">
        <v>2054</v>
      </c>
    </row>
    <row r="1494">
      <c r="A1494" s="5" t="s">
        <v>2054</v>
      </c>
    </row>
    <row r="1495">
      <c r="A1495" s="5" t="s">
        <v>2054</v>
      </c>
    </row>
    <row r="1496">
      <c r="A1496" s="5" t="s">
        <v>2054</v>
      </c>
    </row>
    <row r="1497">
      <c r="A1497" s="5" t="s">
        <v>2054</v>
      </c>
    </row>
    <row r="1498">
      <c r="A1498" s="5" t="s">
        <v>2054</v>
      </c>
    </row>
    <row r="1499">
      <c r="A1499" s="5" t="s">
        <v>2054</v>
      </c>
    </row>
    <row r="1500">
      <c r="A1500" s="5" t="s">
        <v>2054</v>
      </c>
    </row>
    <row r="1501">
      <c r="A1501" s="5" t="s">
        <v>2054</v>
      </c>
    </row>
    <row r="1502">
      <c r="A1502" s="5" t="s">
        <v>2054</v>
      </c>
    </row>
    <row r="1503">
      <c r="A1503" s="5" t="s">
        <v>2054</v>
      </c>
    </row>
    <row r="1504">
      <c r="A1504" s="5" t="s">
        <v>2054</v>
      </c>
    </row>
    <row r="1505">
      <c r="A1505" s="5" t="s">
        <v>2054</v>
      </c>
    </row>
    <row r="1506">
      <c r="A1506" s="5" t="s">
        <v>2054</v>
      </c>
    </row>
    <row r="1507">
      <c r="A1507" s="5" t="s">
        <v>2054</v>
      </c>
    </row>
    <row r="1508">
      <c r="A1508" s="5" t="s">
        <v>2054</v>
      </c>
    </row>
    <row r="1509">
      <c r="A1509" s="5" t="s">
        <v>2054</v>
      </c>
    </row>
    <row r="1510">
      <c r="A1510" s="5" t="s">
        <v>2054</v>
      </c>
    </row>
    <row r="1511">
      <c r="A1511" s="5" t="s">
        <v>2054</v>
      </c>
    </row>
    <row r="1512">
      <c r="A1512" s="5" t="s">
        <v>2054</v>
      </c>
    </row>
    <row r="1513">
      <c r="A1513" s="5" t="s">
        <v>2054</v>
      </c>
    </row>
    <row r="1514">
      <c r="A1514" s="5" t="s">
        <v>2054</v>
      </c>
    </row>
    <row r="1515">
      <c r="A1515" s="5" t="s">
        <v>2054</v>
      </c>
    </row>
    <row r="1516">
      <c r="A1516" s="5" t="s">
        <v>2054</v>
      </c>
    </row>
    <row r="1517">
      <c r="A1517" s="5" t="s">
        <v>2054</v>
      </c>
    </row>
    <row r="1518">
      <c r="A1518" s="5" t="s">
        <v>2054</v>
      </c>
    </row>
    <row r="1519">
      <c r="A1519" s="5" t="s">
        <v>2054</v>
      </c>
    </row>
    <row r="1520">
      <c r="A1520" s="5" t="s">
        <v>2054</v>
      </c>
    </row>
    <row r="1521">
      <c r="A1521" s="5" t="s">
        <v>2054</v>
      </c>
    </row>
    <row r="1522">
      <c r="A1522" s="5" t="s">
        <v>2054</v>
      </c>
    </row>
    <row r="1523">
      <c r="A1523" s="5" t="s">
        <v>2054</v>
      </c>
    </row>
    <row r="1524">
      <c r="A1524" s="5" t="s">
        <v>2054</v>
      </c>
    </row>
    <row r="1525">
      <c r="A1525" s="5" t="s">
        <v>2054</v>
      </c>
    </row>
    <row r="1526">
      <c r="A1526" s="5" t="s">
        <v>2054</v>
      </c>
    </row>
    <row r="1527">
      <c r="A1527" s="5" t="s">
        <v>2054</v>
      </c>
    </row>
    <row r="1528">
      <c r="A1528" s="5" t="s">
        <v>2054</v>
      </c>
    </row>
    <row r="1529">
      <c r="A1529" s="5" t="s">
        <v>2054</v>
      </c>
    </row>
    <row r="1530">
      <c r="A1530" s="5" t="s">
        <v>2054</v>
      </c>
    </row>
    <row r="1531">
      <c r="A1531" s="5" t="s">
        <v>2054</v>
      </c>
    </row>
    <row r="1532">
      <c r="A1532" s="5" t="s">
        <v>2054</v>
      </c>
    </row>
    <row r="1533">
      <c r="A1533" s="5" t="s">
        <v>2054</v>
      </c>
    </row>
    <row r="1534">
      <c r="A1534" s="5" t="s">
        <v>2054</v>
      </c>
    </row>
    <row r="1535">
      <c r="A1535" s="5" t="s">
        <v>2054</v>
      </c>
    </row>
    <row r="1536">
      <c r="A1536" s="5" t="s">
        <v>2054</v>
      </c>
    </row>
    <row r="1537">
      <c r="A1537" s="5" t="s">
        <v>2054</v>
      </c>
    </row>
    <row r="1538">
      <c r="A1538" s="5" t="s">
        <v>2054</v>
      </c>
    </row>
    <row r="1539">
      <c r="A1539" s="5" t="s">
        <v>2054</v>
      </c>
    </row>
    <row r="1540">
      <c r="A1540" s="5" t="s">
        <v>2054</v>
      </c>
    </row>
    <row r="1541">
      <c r="A1541" s="5" t="s">
        <v>2054</v>
      </c>
    </row>
    <row r="1542">
      <c r="A1542" s="5" t="s">
        <v>2054</v>
      </c>
    </row>
    <row r="1543">
      <c r="A1543" s="5" t="s">
        <v>2054</v>
      </c>
    </row>
    <row r="1544">
      <c r="A1544" s="5" t="s">
        <v>2054</v>
      </c>
    </row>
    <row r="1545">
      <c r="A1545" s="5" t="s">
        <v>2054</v>
      </c>
    </row>
    <row r="1546">
      <c r="A1546" s="5" t="s">
        <v>2054</v>
      </c>
    </row>
    <row r="1547">
      <c r="A1547" s="5" t="s">
        <v>2054</v>
      </c>
    </row>
    <row r="1548">
      <c r="A1548" s="5" t="s">
        <v>2054</v>
      </c>
    </row>
    <row r="1549">
      <c r="A1549" s="5" t="s">
        <v>2054</v>
      </c>
    </row>
    <row r="1550">
      <c r="A1550" s="5" t="s">
        <v>2054</v>
      </c>
    </row>
    <row r="1551">
      <c r="A1551" s="5" t="s">
        <v>2054</v>
      </c>
    </row>
    <row r="1552">
      <c r="A1552" s="5" t="s">
        <v>2054</v>
      </c>
    </row>
    <row r="1553">
      <c r="A1553" s="5" t="s">
        <v>2054</v>
      </c>
    </row>
    <row r="1554">
      <c r="A1554" s="5" t="s">
        <v>2054</v>
      </c>
    </row>
    <row r="1555">
      <c r="A1555" s="5" t="s">
        <v>2054</v>
      </c>
    </row>
    <row r="1556">
      <c r="A1556" s="5" t="s">
        <v>2054</v>
      </c>
    </row>
    <row r="1557">
      <c r="A1557" s="5" t="s">
        <v>2054</v>
      </c>
    </row>
    <row r="1558">
      <c r="A1558" s="5" t="s">
        <v>2054</v>
      </c>
    </row>
    <row r="1559">
      <c r="A1559" s="5" t="s">
        <v>2054</v>
      </c>
    </row>
    <row r="1560">
      <c r="A1560" s="5" t="s">
        <v>2054</v>
      </c>
    </row>
    <row r="1561">
      <c r="A1561" s="5" t="s">
        <v>2054</v>
      </c>
    </row>
    <row r="1562">
      <c r="A1562" s="5" t="s">
        <v>2054</v>
      </c>
    </row>
    <row r="1563">
      <c r="A1563" s="5" t="s">
        <v>2054</v>
      </c>
    </row>
    <row r="1564">
      <c r="A1564" s="5" t="s">
        <v>2054</v>
      </c>
    </row>
    <row r="1565">
      <c r="A1565" s="5" t="s">
        <v>2054</v>
      </c>
    </row>
    <row r="1566">
      <c r="A1566" s="5" t="s">
        <v>2054</v>
      </c>
    </row>
    <row r="1567">
      <c r="A1567" s="5" t="s">
        <v>2054</v>
      </c>
    </row>
    <row r="1568">
      <c r="A1568" s="5" t="s">
        <v>2054</v>
      </c>
    </row>
    <row r="1569">
      <c r="A1569" s="5" t="s">
        <v>2054</v>
      </c>
    </row>
    <row r="1570">
      <c r="A1570" s="5" t="s">
        <v>2054</v>
      </c>
    </row>
    <row r="1571">
      <c r="A1571" s="5" t="s">
        <v>2054</v>
      </c>
    </row>
    <row r="1572">
      <c r="A1572" s="5" t="s">
        <v>2054</v>
      </c>
    </row>
    <row r="1573">
      <c r="A1573" s="5" t="s">
        <v>2054</v>
      </c>
    </row>
    <row r="1574">
      <c r="A1574" s="5" t="s">
        <v>2054</v>
      </c>
    </row>
    <row r="1575">
      <c r="A1575" s="5" t="s">
        <v>2054</v>
      </c>
    </row>
    <row r="1576">
      <c r="A1576" s="5" t="s">
        <v>2054</v>
      </c>
    </row>
    <row r="1577">
      <c r="A1577" s="5" t="s">
        <v>2054</v>
      </c>
    </row>
    <row r="1578">
      <c r="A1578" s="5" t="s">
        <v>2054</v>
      </c>
    </row>
    <row r="1579">
      <c r="A1579" s="5" t="s">
        <v>2054</v>
      </c>
    </row>
    <row r="1580">
      <c r="A1580" s="5" t="s">
        <v>2054</v>
      </c>
    </row>
    <row r="1581">
      <c r="A1581" s="5" t="s">
        <v>2054</v>
      </c>
    </row>
    <row r="1582">
      <c r="A1582" s="5" t="s">
        <v>2054</v>
      </c>
    </row>
    <row r="1583">
      <c r="A1583" s="5" t="s">
        <v>2054</v>
      </c>
    </row>
    <row r="1584">
      <c r="A1584" s="5" t="s">
        <v>2054</v>
      </c>
    </row>
    <row r="1585">
      <c r="A1585" s="5" t="s">
        <v>2054</v>
      </c>
    </row>
    <row r="1586">
      <c r="A1586" s="5" t="s">
        <v>2054</v>
      </c>
    </row>
    <row r="1587">
      <c r="A1587" s="5" t="s">
        <v>2054</v>
      </c>
    </row>
    <row r="1588">
      <c r="A1588" s="5" t="s">
        <v>2054</v>
      </c>
    </row>
    <row r="1589">
      <c r="A1589" s="5" t="s">
        <v>2054</v>
      </c>
    </row>
    <row r="1590">
      <c r="A1590" s="5" t="s">
        <v>2054</v>
      </c>
    </row>
    <row r="1591">
      <c r="A1591" s="5" t="s">
        <v>2054</v>
      </c>
    </row>
    <row r="1592">
      <c r="A1592" s="5" t="s">
        <v>2054</v>
      </c>
    </row>
    <row r="1593">
      <c r="A1593" s="5" t="s">
        <v>2054</v>
      </c>
    </row>
    <row r="1594">
      <c r="A1594" s="5" t="s">
        <v>2054</v>
      </c>
    </row>
    <row r="1595">
      <c r="A1595" s="5" t="s">
        <v>2054</v>
      </c>
    </row>
    <row r="1596">
      <c r="A1596" s="5" t="s">
        <v>2054</v>
      </c>
    </row>
    <row r="1597">
      <c r="A1597" s="5" t="s">
        <v>2054</v>
      </c>
    </row>
    <row r="1598">
      <c r="A1598" s="5" t="s">
        <v>2054</v>
      </c>
    </row>
    <row r="1599">
      <c r="A1599" s="5" t="s">
        <v>2054</v>
      </c>
    </row>
    <row r="1600">
      <c r="A1600" s="5" t="s">
        <v>2054</v>
      </c>
    </row>
    <row r="1601">
      <c r="A1601" s="5" t="s">
        <v>2054</v>
      </c>
    </row>
    <row r="1602">
      <c r="A1602" s="5" t="s">
        <v>2054</v>
      </c>
    </row>
    <row r="1603">
      <c r="A1603" s="5" t="s">
        <v>2054</v>
      </c>
    </row>
    <row r="1604">
      <c r="A1604" s="5" t="s">
        <v>2054</v>
      </c>
    </row>
    <row r="1605">
      <c r="A1605" s="5" t="s">
        <v>2054</v>
      </c>
    </row>
    <row r="1606">
      <c r="A1606" s="5" t="s">
        <v>2054</v>
      </c>
    </row>
    <row r="1607">
      <c r="A1607" s="5" t="s">
        <v>2054</v>
      </c>
    </row>
    <row r="1608">
      <c r="A1608" s="5" t="s">
        <v>2054</v>
      </c>
    </row>
    <row r="1609">
      <c r="A1609" s="5" t="s">
        <v>2054</v>
      </c>
    </row>
    <row r="1610">
      <c r="A1610" s="5" t="s">
        <v>2054</v>
      </c>
    </row>
    <row r="1611">
      <c r="A1611" s="5" t="s">
        <v>2054</v>
      </c>
    </row>
    <row r="1612">
      <c r="A1612" s="5" t="s">
        <v>2054</v>
      </c>
    </row>
    <row r="1613">
      <c r="A1613" s="5" t="s">
        <v>2054</v>
      </c>
    </row>
    <row r="1614">
      <c r="A1614" s="5" t="s">
        <v>2054</v>
      </c>
    </row>
    <row r="1615">
      <c r="A1615" s="5" t="s">
        <v>2054</v>
      </c>
    </row>
    <row r="1616">
      <c r="A1616" s="5" t="s">
        <v>2054</v>
      </c>
    </row>
    <row r="1617">
      <c r="A1617" s="5" t="s">
        <v>2054</v>
      </c>
    </row>
    <row r="1618">
      <c r="A1618" s="5" t="s">
        <v>2054</v>
      </c>
    </row>
    <row r="1619">
      <c r="A1619" s="5" t="s">
        <v>2054</v>
      </c>
    </row>
    <row r="1620">
      <c r="A1620" s="5" t="s">
        <v>2054</v>
      </c>
    </row>
    <row r="1621">
      <c r="A1621" s="5" t="s">
        <v>2054</v>
      </c>
    </row>
    <row r="1622">
      <c r="A1622" s="5" t="s">
        <v>2054</v>
      </c>
    </row>
    <row r="1623">
      <c r="A1623" s="5" t="s">
        <v>2054</v>
      </c>
    </row>
    <row r="1624">
      <c r="A1624" s="5" t="s">
        <v>2054</v>
      </c>
    </row>
    <row r="1625">
      <c r="A1625" s="5" t="s">
        <v>2054</v>
      </c>
    </row>
    <row r="1626">
      <c r="A1626" s="5" t="s">
        <v>2054</v>
      </c>
    </row>
    <row r="1627">
      <c r="A1627" s="5" t="s">
        <v>2054</v>
      </c>
    </row>
    <row r="1628">
      <c r="A1628" s="5" t="s">
        <v>2054</v>
      </c>
    </row>
    <row r="1629">
      <c r="A1629" s="5" t="s">
        <v>2054</v>
      </c>
    </row>
    <row r="1630">
      <c r="A1630" s="5" t="s">
        <v>2054</v>
      </c>
    </row>
    <row r="1631">
      <c r="A1631" s="5" t="s">
        <v>2054</v>
      </c>
    </row>
    <row r="1632">
      <c r="A1632" s="5" t="s">
        <v>2054</v>
      </c>
    </row>
    <row r="1633">
      <c r="A1633" s="5" t="s">
        <v>2054</v>
      </c>
    </row>
    <row r="1634">
      <c r="A1634" s="5" t="s">
        <v>2054</v>
      </c>
    </row>
    <row r="1635">
      <c r="A1635" s="5" t="s">
        <v>2054</v>
      </c>
    </row>
    <row r="1636">
      <c r="A1636" s="5" t="s">
        <v>2054</v>
      </c>
    </row>
    <row r="1637">
      <c r="A1637" s="5" t="s">
        <v>2054</v>
      </c>
    </row>
    <row r="1638">
      <c r="A1638" s="5" t="s">
        <v>2054</v>
      </c>
    </row>
    <row r="1639">
      <c r="A1639" s="5" t="s">
        <v>2054</v>
      </c>
    </row>
    <row r="1640">
      <c r="A1640" s="5" t="s">
        <v>2054</v>
      </c>
    </row>
    <row r="1641">
      <c r="A1641" s="5" t="s">
        <v>2054</v>
      </c>
    </row>
    <row r="1642">
      <c r="A1642" s="5" t="s">
        <v>2054</v>
      </c>
    </row>
    <row r="1643">
      <c r="A1643" s="5" t="s">
        <v>2054</v>
      </c>
    </row>
    <row r="1644">
      <c r="A1644" s="5" t="s">
        <v>2054</v>
      </c>
    </row>
    <row r="1645">
      <c r="A1645" s="5" t="s">
        <v>2054</v>
      </c>
    </row>
    <row r="1646">
      <c r="A1646" s="5" t="s">
        <v>2054</v>
      </c>
    </row>
    <row r="1647">
      <c r="A1647" s="5" t="s">
        <v>2054</v>
      </c>
    </row>
    <row r="1648">
      <c r="A1648" s="5" t="s">
        <v>2054</v>
      </c>
    </row>
    <row r="1649">
      <c r="A1649" s="5" t="s">
        <v>2054</v>
      </c>
    </row>
    <row r="1650">
      <c r="A1650" s="5" t="s">
        <v>2054</v>
      </c>
    </row>
    <row r="1651">
      <c r="A1651" s="5" t="s">
        <v>2054</v>
      </c>
    </row>
    <row r="1652">
      <c r="A1652" s="5" t="s">
        <v>2054</v>
      </c>
    </row>
    <row r="1653">
      <c r="A1653" s="5" t="s">
        <v>2054</v>
      </c>
    </row>
    <row r="1654">
      <c r="A1654" s="5" t="s">
        <v>2054</v>
      </c>
    </row>
    <row r="1655">
      <c r="A1655" s="5" t="s">
        <v>2054</v>
      </c>
    </row>
    <row r="1656">
      <c r="A1656" s="5" t="s">
        <v>2054</v>
      </c>
    </row>
    <row r="1657">
      <c r="A1657" s="5" t="s">
        <v>2054</v>
      </c>
    </row>
    <row r="1658">
      <c r="A1658" s="5" t="s">
        <v>2054</v>
      </c>
    </row>
    <row r="1659">
      <c r="A1659" s="5" t="s">
        <v>2054</v>
      </c>
    </row>
    <row r="1660">
      <c r="A1660" s="5" t="s">
        <v>2054</v>
      </c>
    </row>
    <row r="1661">
      <c r="A1661" s="5" t="s">
        <v>2054</v>
      </c>
    </row>
    <row r="1662">
      <c r="A1662" s="5" t="s">
        <v>2054</v>
      </c>
    </row>
    <row r="1663">
      <c r="A1663" s="5" t="s">
        <v>2054</v>
      </c>
    </row>
    <row r="1664">
      <c r="A1664" s="5" t="s">
        <v>2054</v>
      </c>
    </row>
    <row r="1665">
      <c r="A1665" s="5" t="s">
        <v>2054</v>
      </c>
    </row>
    <row r="1666">
      <c r="A1666" s="5" t="s">
        <v>2054</v>
      </c>
    </row>
    <row r="1667">
      <c r="A1667" s="5" t="s">
        <v>2054</v>
      </c>
    </row>
    <row r="1668">
      <c r="A1668" s="5" t="s">
        <v>2054</v>
      </c>
    </row>
    <row r="1669">
      <c r="A1669" s="5" t="s">
        <v>2054</v>
      </c>
    </row>
    <row r="1670">
      <c r="A1670" s="5" t="s">
        <v>2054</v>
      </c>
    </row>
    <row r="1671">
      <c r="A1671" s="5" t="s">
        <v>2054</v>
      </c>
    </row>
    <row r="1672">
      <c r="A1672" s="5" t="s">
        <v>2054</v>
      </c>
    </row>
    <row r="1673">
      <c r="A1673" s="5" t="s">
        <v>2054</v>
      </c>
    </row>
    <row r="1674">
      <c r="A1674" s="5" t="s">
        <v>2054</v>
      </c>
    </row>
    <row r="1675">
      <c r="A1675" s="5" t="s">
        <v>2054</v>
      </c>
    </row>
    <row r="1676">
      <c r="A1676" s="5" t="s">
        <v>2054</v>
      </c>
    </row>
    <row r="1677">
      <c r="A1677" s="5" t="s">
        <v>2054</v>
      </c>
    </row>
    <row r="1678">
      <c r="A1678" s="5" t="s">
        <v>2054</v>
      </c>
    </row>
    <row r="1679">
      <c r="A1679" s="5" t="s">
        <v>2054</v>
      </c>
    </row>
    <row r="1680">
      <c r="A1680" s="5" t="s">
        <v>2054</v>
      </c>
    </row>
    <row r="1681">
      <c r="A1681" s="5" t="s">
        <v>2054</v>
      </c>
    </row>
    <row r="1682">
      <c r="A1682" s="5" t="s">
        <v>2054</v>
      </c>
    </row>
    <row r="1683">
      <c r="A1683" s="5" t="s">
        <v>2054</v>
      </c>
    </row>
    <row r="1684">
      <c r="A1684" s="5" t="s">
        <v>2054</v>
      </c>
    </row>
    <row r="1685">
      <c r="A1685" s="5" t="s">
        <v>2054</v>
      </c>
    </row>
    <row r="1686">
      <c r="A1686" s="5" t="s">
        <v>2054</v>
      </c>
    </row>
    <row r="1687">
      <c r="A1687" s="5" t="s">
        <v>2054</v>
      </c>
    </row>
    <row r="1688">
      <c r="A1688" s="5" t="s">
        <v>2054</v>
      </c>
    </row>
    <row r="1689">
      <c r="A1689" s="5" t="s">
        <v>2054</v>
      </c>
    </row>
    <row r="1690">
      <c r="A1690" s="5" t="s">
        <v>2054</v>
      </c>
    </row>
    <row r="1691">
      <c r="A1691" s="5" t="s">
        <v>2054</v>
      </c>
    </row>
    <row r="1692">
      <c r="A1692" s="5" t="s">
        <v>2054</v>
      </c>
    </row>
    <row r="1693">
      <c r="A1693" s="5" t="s">
        <v>2054</v>
      </c>
    </row>
    <row r="1694">
      <c r="A1694" s="5" t="s">
        <v>2054</v>
      </c>
    </row>
    <row r="1695">
      <c r="A1695" s="5" t="s">
        <v>2054</v>
      </c>
    </row>
    <row r="1696">
      <c r="A1696" s="5" t="s">
        <v>2054</v>
      </c>
    </row>
    <row r="1697">
      <c r="A1697" s="5" t="s">
        <v>2054</v>
      </c>
    </row>
    <row r="1698">
      <c r="A1698" s="5" t="s">
        <v>2054</v>
      </c>
    </row>
    <row r="1699">
      <c r="A1699" s="5" t="s">
        <v>2054</v>
      </c>
    </row>
    <row r="1700">
      <c r="A1700" s="5" t="s">
        <v>2054</v>
      </c>
    </row>
    <row r="1701">
      <c r="A1701" s="5" t="s">
        <v>2054</v>
      </c>
    </row>
    <row r="1702">
      <c r="A1702" s="5" t="s">
        <v>2054</v>
      </c>
    </row>
    <row r="1703">
      <c r="A1703" s="5" t="s">
        <v>2054</v>
      </c>
    </row>
    <row r="1704">
      <c r="A1704" s="5" t="s">
        <v>2054</v>
      </c>
    </row>
    <row r="1705">
      <c r="A1705" s="5" t="s">
        <v>2054</v>
      </c>
    </row>
    <row r="1706">
      <c r="A1706" s="5" t="s">
        <v>2054</v>
      </c>
    </row>
    <row r="1707">
      <c r="A1707" s="5" t="s">
        <v>2054</v>
      </c>
    </row>
    <row r="1708">
      <c r="A1708" s="5" t="s">
        <v>2054</v>
      </c>
    </row>
    <row r="1709">
      <c r="A1709" s="5" t="s">
        <v>2054</v>
      </c>
    </row>
    <row r="1710">
      <c r="A1710" s="5" t="s">
        <v>2054</v>
      </c>
    </row>
    <row r="1711">
      <c r="A1711" s="5" t="s">
        <v>2054</v>
      </c>
    </row>
    <row r="1712">
      <c r="A1712" s="5" t="s">
        <v>2054</v>
      </c>
    </row>
    <row r="1713">
      <c r="A1713" s="5" t="s">
        <v>2054</v>
      </c>
    </row>
    <row r="1714">
      <c r="A1714" s="5" t="s">
        <v>2054</v>
      </c>
    </row>
    <row r="1715">
      <c r="A1715" s="5" t="s">
        <v>2054</v>
      </c>
    </row>
    <row r="1716">
      <c r="A1716" s="5" t="s">
        <v>2054</v>
      </c>
    </row>
    <row r="1717">
      <c r="A1717" s="5" t="s">
        <v>2054</v>
      </c>
    </row>
    <row r="1718">
      <c r="A1718" s="5" t="s">
        <v>2054</v>
      </c>
    </row>
    <row r="1719">
      <c r="A1719" s="5" t="s">
        <v>2054</v>
      </c>
    </row>
    <row r="1720">
      <c r="A1720" s="5" t="s">
        <v>2054</v>
      </c>
    </row>
    <row r="1721">
      <c r="A1721" s="5" t="s">
        <v>2054</v>
      </c>
    </row>
    <row r="1722">
      <c r="A1722" s="5" t="s">
        <v>2054</v>
      </c>
    </row>
    <row r="1723">
      <c r="A1723" s="5" t="s">
        <v>2054</v>
      </c>
    </row>
    <row r="1724">
      <c r="A1724" s="5" t="s">
        <v>2054</v>
      </c>
    </row>
    <row r="1725">
      <c r="A1725" s="5" t="s">
        <v>2054</v>
      </c>
    </row>
    <row r="1726">
      <c r="A1726" s="5" t="s">
        <v>2054</v>
      </c>
    </row>
    <row r="1727">
      <c r="A1727" s="5" t="s">
        <v>2054</v>
      </c>
    </row>
    <row r="1728">
      <c r="A1728" s="5" t="s">
        <v>2054</v>
      </c>
    </row>
    <row r="1729">
      <c r="A1729" s="5" t="s">
        <v>2054</v>
      </c>
    </row>
    <row r="1730">
      <c r="A1730" s="5" t="s">
        <v>2054</v>
      </c>
    </row>
    <row r="1731">
      <c r="A1731" s="5" t="s">
        <v>2054</v>
      </c>
    </row>
    <row r="1732">
      <c r="A1732" s="5" t="s">
        <v>2054</v>
      </c>
    </row>
    <row r="1733">
      <c r="A1733" s="5" t="s">
        <v>2054</v>
      </c>
    </row>
    <row r="1734">
      <c r="A1734" s="5" t="s">
        <v>2054</v>
      </c>
    </row>
    <row r="1735">
      <c r="A1735" s="5" t="s">
        <v>2054</v>
      </c>
    </row>
    <row r="1736">
      <c r="A1736" s="5" t="s">
        <v>2054</v>
      </c>
    </row>
    <row r="1737">
      <c r="A1737" s="5" t="s">
        <v>2054</v>
      </c>
    </row>
    <row r="1738">
      <c r="A1738" s="5" t="s">
        <v>2054</v>
      </c>
    </row>
    <row r="1739">
      <c r="A1739" s="5" t="s">
        <v>2054</v>
      </c>
    </row>
    <row r="1740">
      <c r="A1740" s="5" t="s">
        <v>2054</v>
      </c>
    </row>
    <row r="1741">
      <c r="A1741" s="5" t="s">
        <v>2054</v>
      </c>
    </row>
    <row r="1742">
      <c r="A1742" s="5" t="s">
        <v>2054</v>
      </c>
    </row>
    <row r="1743">
      <c r="A1743" s="5" t="s">
        <v>2054</v>
      </c>
    </row>
    <row r="1744">
      <c r="A1744" s="5" t="s">
        <v>2054</v>
      </c>
    </row>
    <row r="1745">
      <c r="A1745" s="5" t="s">
        <v>2054</v>
      </c>
    </row>
    <row r="1746">
      <c r="A1746" s="5" t="s">
        <v>2054</v>
      </c>
    </row>
    <row r="1747">
      <c r="A1747" s="5" t="s">
        <v>2054</v>
      </c>
    </row>
    <row r="1748">
      <c r="A1748" s="5" t="s">
        <v>2054</v>
      </c>
    </row>
    <row r="1749">
      <c r="A1749" s="5" t="s">
        <v>2054</v>
      </c>
    </row>
    <row r="1750">
      <c r="A1750" s="5" t="s">
        <v>2054</v>
      </c>
    </row>
    <row r="1751">
      <c r="A1751" s="5" t="s">
        <v>2054</v>
      </c>
    </row>
    <row r="1752">
      <c r="A1752" s="5" t="s">
        <v>2054</v>
      </c>
    </row>
    <row r="1753">
      <c r="A1753" s="5" t="s">
        <v>2054</v>
      </c>
    </row>
    <row r="1754">
      <c r="A1754" s="5" t="s">
        <v>2054</v>
      </c>
    </row>
    <row r="1755">
      <c r="A1755" s="5" t="s">
        <v>2054</v>
      </c>
    </row>
    <row r="1756">
      <c r="A1756" s="5" t="s">
        <v>2054</v>
      </c>
    </row>
    <row r="1757">
      <c r="A1757" s="5" t="s">
        <v>2054</v>
      </c>
    </row>
    <row r="1758">
      <c r="A1758" s="5" t="s">
        <v>2054</v>
      </c>
    </row>
    <row r="1759">
      <c r="A1759" s="5" t="s">
        <v>2054</v>
      </c>
    </row>
    <row r="1760">
      <c r="A1760" s="5" t="s">
        <v>2054</v>
      </c>
    </row>
    <row r="1761">
      <c r="A1761" s="5" t="s">
        <v>2054</v>
      </c>
    </row>
    <row r="1762">
      <c r="A1762" s="5" t="s">
        <v>2054</v>
      </c>
    </row>
    <row r="1763">
      <c r="A1763" s="5" t="s">
        <v>2054</v>
      </c>
    </row>
    <row r="1764">
      <c r="A1764" s="5" t="s">
        <v>2054</v>
      </c>
    </row>
    <row r="1765">
      <c r="A1765" s="5" t="s">
        <v>2054</v>
      </c>
    </row>
    <row r="1766">
      <c r="A1766" s="5" t="s">
        <v>2054</v>
      </c>
    </row>
    <row r="1767">
      <c r="A1767" s="5" t="s">
        <v>2054</v>
      </c>
    </row>
    <row r="1768">
      <c r="A1768" s="5" t="s">
        <v>2054</v>
      </c>
    </row>
    <row r="1769">
      <c r="A1769" s="5" t="s">
        <v>2054</v>
      </c>
    </row>
    <row r="1770">
      <c r="A1770" s="5" t="s">
        <v>2054</v>
      </c>
    </row>
    <row r="1771">
      <c r="A1771" s="5" t="s">
        <v>2054</v>
      </c>
    </row>
    <row r="1772">
      <c r="A1772" s="5" t="s">
        <v>2054</v>
      </c>
    </row>
    <row r="1773">
      <c r="A1773" s="5" t="s">
        <v>2054</v>
      </c>
    </row>
    <row r="1774">
      <c r="A1774" s="5" t="s">
        <v>2054</v>
      </c>
    </row>
    <row r="1775">
      <c r="A1775" s="5" t="s">
        <v>2054</v>
      </c>
    </row>
    <row r="1776">
      <c r="A1776" s="5" t="s">
        <v>2054</v>
      </c>
    </row>
    <row r="1777">
      <c r="A1777" s="5" t="s">
        <v>2054</v>
      </c>
    </row>
    <row r="1778">
      <c r="A1778" s="5" t="s">
        <v>2054</v>
      </c>
    </row>
    <row r="1779">
      <c r="A1779" s="5" t="s">
        <v>2054</v>
      </c>
    </row>
    <row r="1780">
      <c r="A1780" s="5" t="s">
        <v>2054</v>
      </c>
    </row>
    <row r="1781">
      <c r="A1781" s="5" t="s">
        <v>2054</v>
      </c>
    </row>
    <row r="1782">
      <c r="A1782" s="5" t="s">
        <v>2054</v>
      </c>
    </row>
    <row r="1783">
      <c r="A1783" s="5" t="s">
        <v>2054</v>
      </c>
    </row>
    <row r="1784">
      <c r="A1784" s="5" t="s">
        <v>2054</v>
      </c>
    </row>
    <row r="1785">
      <c r="A1785" s="5" t="s">
        <v>2054</v>
      </c>
    </row>
    <row r="1786">
      <c r="A1786" s="5" t="s">
        <v>2054</v>
      </c>
    </row>
    <row r="1787">
      <c r="A1787" s="5" t="s">
        <v>2054</v>
      </c>
    </row>
    <row r="1788">
      <c r="A1788" s="5" t="s">
        <v>2054</v>
      </c>
    </row>
    <row r="1789">
      <c r="A1789" s="5" t="s">
        <v>2054</v>
      </c>
    </row>
    <row r="1790">
      <c r="A1790" s="5" t="s">
        <v>2054</v>
      </c>
    </row>
    <row r="1791">
      <c r="A1791" s="5" t="s">
        <v>2054</v>
      </c>
    </row>
    <row r="1792">
      <c r="A1792" s="5" t="s">
        <v>2054</v>
      </c>
    </row>
    <row r="1793">
      <c r="A1793" s="5" t="s">
        <v>2054</v>
      </c>
    </row>
    <row r="1794">
      <c r="A1794" s="5" t="s">
        <v>2054</v>
      </c>
    </row>
    <row r="1795">
      <c r="A1795" s="5" t="s">
        <v>2054</v>
      </c>
    </row>
    <row r="1796">
      <c r="A1796" s="5" t="s">
        <v>2054</v>
      </c>
    </row>
    <row r="1797">
      <c r="A1797" s="5" t="s">
        <v>2054</v>
      </c>
    </row>
    <row r="1798">
      <c r="A1798" s="5" t="s">
        <v>2054</v>
      </c>
    </row>
    <row r="1799">
      <c r="A1799" s="5" t="s">
        <v>2054</v>
      </c>
    </row>
    <row r="1800">
      <c r="A1800" s="5" t="s">
        <v>2054</v>
      </c>
    </row>
    <row r="1801">
      <c r="A1801" s="5" t="s">
        <v>2054</v>
      </c>
    </row>
    <row r="1802">
      <c r="A1802" s="5" t="s">
        <v>2054</v>
      </c>
    </row>
    <row r="1803">
      <c r="A1803" s="5" t="s">
        <v>2054</v>
      </c>
    </row>
    <row r="1804">
      <c r="A1804" s="5" t="s">
        <v>2054</v>
      </c>
    </row>
    <row r="1805">
      <c r="A1805" s="5" t="s">
        <v>2054</v>
      </c>
    </row>
    <row r="1806">
      <c r="A1806" s="5" t="s">
        <v>2054</v>
      </c>
    </row>
    <row r="1807">
      <c r="A1807" s="5" t="s">
        <v>2054</v>
      </c>
    </row>
    <row r="1808">
      <c r="A1808" s="5" t="s">
        <v>2054</v>
      </c>
    </row>
    <row r="1809">
      <c r="A1809" s="5" t="s">
        <v>2054</v>
      </c>
    </row>
    <row r="1810">
      <c r="A1810" s="5" t="s">
        <v>2054</v>
      </c>
    </row>
    <row r="1811">
      <c r="A1811" s="5" t="s">
        <v>2054</v>
      </c>
    </row>
    <row r="1812">
      <c r="A1812" s="5" t="s">
        <v>2054</v>
      </c>
    </row>
    <row r="1813">
      <c r="A1813" s="5" t="s">
        <v>2054</v>
      </c>
    </row>
    <row r="1814">
      <c r="A1814" s="5" t="s">
        <v>2054</v>
      </c>
    </row>
    <row r="1815">
      <c r="A1815" s="5" t="s">
        <v>2054</v>
      </c>
    </row>
    <row r="1816">
      <c r="A1816" s="5" t="s">
        <v>2054</v>
      </c>
    </row>
    <row r="1817">
      <c r="A1817" s="5" t="s">
        <v>2054</v>
      </c>
    </row>
    <row r="1818">
      <c r="A1818" s="5" t="s">
        <v>2054</v>
      </c>
    </row>
    <row r="1819">
      <c r="A1819" s="5" t="s">
        <v>2054</v>
      </c>
    </row>
    <row r="1820">
      <c r="A1820" s="5" t="s">
        <v>2054</v>
      </c>
    </row>
    <row r="1821">
      <c r="A1821" s="5" t="s">
        <v>2054</v>
      </c>
    </row>
    <row r="1822">
      <c r="A1822" s="5" t="s">
        <v>2054</v>
      </c>
    </row>
    <row r="1823">
      <c r="A1823" s="5" t="s">
        <v>2054</v>
      </c>
    </row>
    <row r="1824">
      <c r="A1824" s="5" t="s">
        <v>2054</v>
      </c>
    </row>
    <row r="1825">
      <c r="A1825" s="5" t="s">
        <v>2054</v>
      </c>
    </row>
    <row r="1826">
      <c r="A1826" s="5" t="s">
        <v>2054</v>
      </c>
    </row>
    <row r="1827">
      <c r="A1827" s="5" t="s">
        <v>2054</v>
      </c>
    </row>
    <row r="1828">
      <c r="A1828" s="5" t="s">
        <v>2054</v>
      </c>
    </row>
    <row r="1829">
      <c r="A1829" s="5" t="s">
        <v>2054</v>
      </c>
    </row>
    <row r="1830">
      <c r="A1830" s="5" t="s">
        <v>2054</v>
      </c>
    </row>
    <row r="1831">
      <c r="A1831" s="5" t="s">
        <v>2054</v>
      </c>
    </row>
    <row r="1832">
      <c r="A1832" s="5" t="s">
        <v>2054</v>
      </c>
    </row>
    <row r="1833">
      <c r="A1833" s="5" t="s">
        <v>2054</v>
      </c>
    </row>
    <row r="1834">
      <c r="A1834" s="5" t="s">
        <v>2054</v>
      </c>
    </row>
    <row r="1835">
      <c r="A1835" s="5" t="s">
        <v>2054</v>
      </c>
    </row>
    <row r="1836">
      <c r="A1836" s="5" t="s">
        <v>2054</v>
      </c>
    </row>
    <row r="1837">
      <c r="A1837" s="5" t="s">
        <v>2054</v>
      </c>
    </row>
    <row r="1838">
      <c r="A1838" s="5" t="s">
        <v>2054</v>
      </c>
    </row>
    <row r="1839">
      <c r="A1839" s="5" t="s">
        <v>2054</v>
      </c>
    </row>
    <row r="1840">
      <c r="A1840" s="5" t="s">
        <v>2054</v>
      </c>
    </row>
    <row r="1841">
      <c r="A1841" s="5" t="s">
        <v>2054</v>
      </c>
    </row>
    <row r="1842">
      <c r="A1842" s="5" t="s">
        <v>2054</v>
      </c>
    </row>
    <row r="1843">
      <c r="A1843" s="5" t="s">
        <v>2054</v>
      </c>
    </row>
    <row r="1844">
      <c r="A1844" s="5" t="s">
        <v>2054</v>
      </c>
    </row>
    <row r="1845">
      <c r="A1845" s="5" t="s">
        <v>2054</v>
      </c>
    </row>
    <row r="1846">
      <c r="A1846" s="5" t="s">
        <v>2054</v>
      </c>
    </row>
    <row r="1847">
      <c r="A1847" s="5" t="s">
        <v>2054</v>
      </c>
    </row>
    <row r="1848">
      <c r="A1848" s="5" t="s">
        <v>2054</v>
      </c>
    </row>
    <row r="1849">
      <c r="A1849" s="5" t="s">
        <v>2054</v>
      </c>
    </row>
    <row r="1850">
      <c r="A1850" s="5" t="s">
        <v>2054</v>
      </c>
    </row>
    <row r="1851">
      <c r="A1851" s="5" t="s">
        <v>2054</v>
      </c>
    </row>
    <row r="1852">
      <c r="A1852" s="5" t="s">
        <v>2054</v>
      </c>
    </row>
    <row r="1853">
      <c r="A1853" s="5" t="s">
        <v>2054</v>
      </c>
    </row>
    <row r="1854">
      <c r="A1854" s="5" t="s">
        <v>2054</v>
      </c>
    </row>
    <row r="1855">
      <c r="A1855" s="5" t="s">
        <v>2054</v>
      </c>
    </row>
    <row r="1856">
      <c r="A1856" s="5" t="s">
        <v>2054</v>
      </c>
    </row>
    <row r="1857">
      <c r="A1857" s="5" t="s">
        <v>2054</v>
      </c>
    </row>
    <row r="1858">
      <c r="A1858" s="5" t="s">
        <v>2054</v>
      </c>
    </row>
    <row r="1859">
      <c r="A1859" s="5" t="s">
        <v>2054</v>
      </c>
    </row>
    <row r="1860">
      <c r="A1860" s="5" t="s">
        <v>2054</v>
      </c>
    </row>
    <row r="1861">
      <c r="A1861" s="5" t="s">
        <v>2054</v>
      </c>
    </row>
    <row r="1862">
      <c r="A1862" s="5" t="s">
        <v>2054</v>
      </c>
    </row>
    <row r="1863">
      <c r="A1863" s="5" t="s">
        <v>2054</v>
      </c>
    </row>
    <row r="1864">
      <c r="A1864" s="5" t="s">
        <v>2054</v>
      </c>
    </row>
    <row r="1865">
      <c r="A1865" s="5" t="s">
        <v>2054</v>
      </c>
    </row>
    <row r="1866">
      <c r="A1866" s="5" t="s">
        <v>2054</v>
      </c>
    </row>
    <row r="1867">
      <c r="A1867" s="5" t="s">
        <v>2054</v>
      </c>
    </row>
    <row r="1868">
      <c r="A1868" s="5" t="s">
        <v>2054</v>
      </c>
    </row>
    <row r="1869">
      <c r="A1869" s="5" t="s">
        <v>2054</v>
      </c>
    </row>
    <row r="1870">
      <c r="A1870" s="5" t="s">
        <v>2054</v>
      </c>
    </row>
    <row r="1871">
      <c r="A1871" s="5" t="s">
        <v>2054</v>
      </c>
    </row>
    <row r="1872">
      <c r="A1872" s="5" t="s">
        <v>2054</v>
      </c>
    </row>
    <row r="1873">
      <c r="A1873" s="5" t="s">
        <v>2054</v>
      </c>
    </row>
    <row r="1874">
      <c r="A1874" s="5" t="s">
        <v>2054</v>
      </c>
    </row>
    <row r="1875">
      <c r="A1875" s="5" t="s">
        <v>2054</v>
      </c>
    </row>
    <row r="1876">
      <c r="A1876" s="5" t="s">
        <v>2054</v>
      </c>
    </row>
    <row r="1877">
      <c r="A1877" s="5" t="s">
        <v>2054</v>
      </c>
    </row>
    <row r="1878">
      <c r="A1878" s="5" t="s">
        <v>2054</v>
      </c>
    </row>
    <row r="1879">
      <c r="A1879" s="5" t="s">
        <v>2054</v>
      </c>
    </row>
    <row r="1880">
      <c r="A1880" s="5" t="s">
        <v>2054</v>
      </c>
    </row>
    <row r="1881">
      <c r="A1881" s="5" t="s">
        <v>2054</v>
      </c>
    </row>
    <row r="1882">
      <c r="A1882" s="5" t="s">
        <v>2054</v>
      </c>
    </row>
    <row r="1883">
      <c r="A1883" s="5" t="s">
        <v>2054</v>
      </c>
    </row>
    <row r="1884">
      <c r="A1884" s="5" t="s">
        <v>2054</v>
      </c>
    </row>
    <row r="1885">
      <c r="A1885" s="5" t="s">
        <v>2054</v>
      </c>
    </row>
    <row r="1886">
      <c r="A1886" s="5" t="s">
        <v>2054</v>
      </c>
    </row>
    <row r="1887">
      <c r="A1887" s="5" t="s">
        <v>2054</v>
      </c>
    </row>
    <row r="1888">
      <c r="A1888" s="5" t="s">
        <v>2054</v>
      </c>
    </row>
    <row r="1889">
      <c r="A1889" s="5" t="s">
        <v>2054</v>
      </c>
    </row>
    <row r="1890">
      <c r="A1890" s="5" t="s">
        <v>2054</v>
      </c>
    </row>
    <row r="1891">
      <c r="A1891" s="5" t="s">
        <v>2054</v>
      </c>
    </row>
    <row r="1892">
      <c r="A1892" s="5" t="s">
        <v>2054</v>
      </c>
    </row>
    <row r="1893">
      <c r="A1893" s="5" t="s">
        <v>2054</v>
      </c>
    </row>
    <row r="1894">
      <c r="A1894" s="5" t="s">
        <v>2054</v>
      </c>
    </row>
    <row r="1895">
      <c r="A1895" s="5" t="s">
        <v>2054</v>
      </c>
    </row>
    <row r="1896">
      <c r="A1896" s="5" t="s">
        <v>2054</v>
      </c>
    </row>
    <row r="1897">
      <c r="A1897" s="5" t="s">
        <v>2054</v>
      </c>
    </row>
    <row r="1898">
      <c r="A1898" s="5" t="s">
        <v>2054</v>
      </c>
    </row>
    <row r="1899">
      <c r="A1899" s="5" t="s">
        <v>2054</v>
      </c>
    </row>
    <row r="1900">
      <c r="A1900" s="5" t="s">
        <v>2054</v>
      </c>
    </row>
    <row r="1901">
      <c r="A1901" s="5" t="s">
        <v>2054</v>
      </c>
    </row>
    <row r="1902">
      <c r="A1902" s="5" t="s">
        <v>2054</v>
      </c>
    </row>
    <row r="1903">
      <c r="A1903" s="5" t="s">
        <v>2054</v>
      </c>
    </row>
    <row r="1904">
      <c r="A1904" s="5" t="s">
        <v>2054</v>
      </c>
    </row>
    <row r="1905">
      <c r="A1905" s="5" t="s">
        <v>2054</v>
      </c>
    </row>
    <row r="1906">
      <c r="A1906" s="5" t="s">
        <v>2054</v>
      </c>
    </row>
    <row r="1907">
      <c r="A1907" s="5" t="s">
        <v>2054</v>
      </c>
    </row>
    <row r="1908">
      <c r="A1908" s="5" t="s">
        <v>2054</v>
      </c>
    </row>
    <row r="1909">
      <c r="A1909" s="5" t="s">
        <v>2054</v>
      </c>
    </row>
    <row r="1910">
      <c r="A1910" s="5" t="s">
        <v>2054</v>
      </c>
    </row>
    <row r="1911">
      <c r="A1911" s="5" t="s">
        <v>2054</v>
      </c>
    </row>
    <row r="1912">
      <c r="A1912" s="5" t="s">
        <v>2054</v>
      </c>
    </row>
    <row r="1913">
      <c r="A1913" s="5" t="s">
        <v>2054</v>
      </c>
    </row>
    <row r="1914">
      <c r="A1914" s="5" t="s">
        <v>2054</v>
      </c>
    </row>
    <row r="1915">
      <c r="A1915" s="5" t="s">
        <v>2054</v>
      </c>
    </row>
    <row r="1916">
      <c r="A1916" s="5" t="s">
        <v>2054</v>
      </c>
    </row>
    <row r="1917">
      <c r="A1917" s="5" t="s">
        <v>2054</v>
      </c>
    </row>
    <row r="1918">
      <c r="A1918" s="5" t="s">
        <v>2054</v>
      </c>
    </row>
    <row r="1919">
      <c r="A1919" s="5" t="s">
        <v>2054</v>
      </c>
    </row>
    <row r="1920">
      <c r="A1920" s="5" t="s">
        <v>2054</v>
      </c>
    </row>
    <row r="1921">
      <c r="A1921" s="5" t="s">
        <v>2054</v>
      </c>
    </row>
    <row r="1922">
      <c r="A1922" s="5" t="s">
        <v>2054</v>
      </c>
    </row>
    <row r="1923">
      <c r="A1923" s="5" t="s">
        <v>2054</v>
      </c>
    </row>
    <row r="1924">
      <c r="A1924" s="5" t="s">
        <v>2054</v>
      </c>
    </row>
    <row r="1925">
      <c r="A1925" s="5" t="s">
        <v>2054</v>
      </c>
    </row>
    <row r="1926">
      <c r="A1926" s="5" t="s">
        <v>2054</v>
      </c>
    </row>
    <row r="1927">
      <c r="A1927" s="5" t="s">
        <v>2054</v>
      </c>
    </row>
    <row r="1928">
      <c r="A1928" s="5" t="s">
        <v>2054</v>
      </c>
    </row>
    <row r="1929">
      <c r="A1929" s="5" t="s">
        <v>2054</v>
      </c>
    </row>
    <row r="1930">
      <c r="A1930" s="5" t="s">
        <v>2054</v>
      </c>
    </row>
    <row r="1931">
      <c r="A1931" s="5" t="s">
        <v>2054</v>
      </c>
    </row>
    <row r="1932">
      <c r="A1932" s="5" t="s">
        <v>2054</v>
      </c>
    </row>
    <row r="1933">
      <c r="A1933" s="5" t="s">
        <v>2054</v>
      </c>
    </row>
    <row r="1934">
      <c r="A1934" s="5" t="s">
        <v>2054</v>
      </c>
    </row>
    <row r="1935">
      <c r="A1935" s="5" t="s">
        <v>2054</v>
      </c>
    </row>
    <row r="1936">
      <c r="A1936" s="5" t="s">
        <v>2054</v>
      </c>
    </row>
    <row r="1937">
      <c r="A1937" s="5" t="s">
        <v>2054</v>
      </c>
    </row>
    <row r="1938">
      <c r="A1938" s="5" t="s">
        <v>2054</v>
      </c>
    </row>
    <row r="1939">
      <c r="A1939" s="5" t="s">
        <v>2054</v>
      </c>
    </row>
    <row r="1940">
      <c r="A1940" s="5" t="s">
        <v>2054</v>
      </c>
    </row>
    <row r="1941">
      <c r="A1941" s="5" t="s">
        <v>2054</v>
      </c>
    </row>
    <row r="1942">
      <c r="A1942" s="5" t="s">
        <v>2054</v>
      </c>
    </row>
    <row r="1943">
      <c r="A1943" s="5" t="s">
        <v>2054</v>
      </c>
    </row>
    <row r="1944">
      <c r="A1944" s="5" t="s">
        <v>2054</v>
      </c>
    </row>
    <row r="1945">
      <c r="A1945" s="5" t="s">
        <v>2054</v>
      </c>
    </row>
    <row r="1946">
      <c r="A1946" s="5" t="s">
        <v>2054</v>
      </c>
    </row>
    <row r="1947">
      <c r="A1947" s="5" t="s">
        <v>2054</v>
      </c>
    </row>
    <row r="1948">
      <c r="A1948" s="5" t="s">
        <v>2054</v>
      </c>
    </row>
    <row r="1949">
      <c r="A1949" s="5" t="s">
        <v>2054</v>
      </c>
    </row>
    <row r="1950">
      <c r="A1950" s="5" t="s">
        <v>2054</v>
      </c>
    </row>
    <row r="1951">
      <c r="A1951" s="5" t="s">
        <v>2054</v>
      </c>
    </row>
    <row r="1952">
      <c r="A1952" s="5" t="s">
        <v>2054</v>
      </c>
    </row>
    <row r="1953">
      <c r="A1953" s="5" t="s">
        <v>2054</v>
      </c>
    </row>
    <row r="1954">
      <c r="A1954" s="5" t="s">
        <v>2054</v>
      </c>
    </row>
    <row r="1955">
      <c r="A1955" s="5" t="s">
        <v>2054</v>
      </c>
    </row>
    <row r="1956">
      <c r="A1956" s="5" t="s">
        <v>2054</v>
      </c>
    </row>
    <row r="1957">
      <c r="A1957" s="5" t="s">
        <v>2054</v>
      </c>
    </row>
    <row r="1958">
      <c r="A1958" s="5" t="s">
        <v>2054</v>
      </c>
    </row>
    <row r="1959">
      <c r="A1959" s="5" t="s">
        <v>2054</v>
      </c>
    </row>
    <row r="1960">
      <c r="A1960" s="5" t="s">
        <v>2054</v>
      </c>
    </row>
    <row r="1961">
      <c r="A1961" s="5" t="s">
        <v>2054</v>
      </c>
    </row>
    <row r="1962">
      <c r="A1962" s="5" t="s">
        <v>2054</v>
      </c>
    </row>
    <row r="1963">
      <c r="A1963" s="5" t="s">
        <v>2054</v>
      </c>
    </row>
    <row r="1964">
      <c r="A1964" s="5" t="s">
        <v>2054</v>
      </c>
    </row>
    <row r="1965">
      <c r="A1965" s="5" t="s">
        <v>2054</v>
      </c>
    </row>
    <row r="1966">
      <c r="A1966" s="5" t="s">
        <v>2054</v>
      </c>
    </row>
    <row r="1967">
      <c r="A1967" s="5" t="s">
        <v>2054</v>
      </c>
    </row>
    <row r="1968">
      <c r="A1968" s="5" t="s">
        <v>2054</v>
      </c>
    </row>
    <row r="1969">
      <c r="A1969" s="5" t="s">
        <v>2054</v>
      </c>
    </row>
    <row r="1970">
      <c r="A1970" s="5" t="s">
        <v>2054</v>
      </c>
    </row>
    <row r="1971">
      <c r="A1971" s="5" t="s">
        <v>2054</v>
      </c>
    </row>
    <row r="1972">
      <c r="A1972" s="5" t="s">
        <v>2054</v>
      </c>
    </row>
    <row r="1973">
      <c r="A1973" s="5" t="s">
        <v>2054</v>
      </c>
    </row>
    <row r="1974">
      <c r="A1974" s="5" t="s">
        <v>2054</v>
      </c>
    </row>
    <row r="1975">
      <c r="A1975" s="5" t="s">
        <v>2054</v>
      </c>
    </row>
    <row r="1976">
      <c r="A1976" s="5" t="s">
        <v>2054</v>
      </c>
    </row>
    <row r="1977">
      <c r="A1977" s="5" t="s">
        <v>2054</v>
      </c>
    </row>
    <row r="1978">
      <c r="A1978" s="5" t="s">
        <v>2054</v>
      </c>
    </row>
    <row r="1979">
      <c r="A1979" s="5" t="s">
        <v>2054</v>
      </c>
    </row>
    <row r="1980">
      <c r="A1980" s="5" t="s">
        <v>2054</v>
      </c>
    </row>
    <row r="1981">
      <c r="A1981" s="5" t="s">
        <v>2054</v>
      </c>
    </row>
    <row r="1982">
      <c r="A1982" s="5" t="s">
        <v>2054</v>
      </c>
    </row>
    <row r="1983">
      <c r="A1983" s="5" t="s">
        <v>2054</v>
      </c>
    </row>
    <row r="1984">
      <c r="A1984" s="5" t="s">
        <v>2054</v>
      </c>
    </row>
    <row r="1985">
      <c r="A1985" s="5" t="s">
        <v>2054</v>
      </c>
    </row>
    <row r="1986">
      <c r="A1986" s="5" t="s">
        <v>2054</v>
      </c>
    </row>
    <row r="1987">
      <c r="A1987" s="5" t="s">
        <v>2054</v>
      </c>
    </row>
    <row r="1988">
      <c r="A1988" s="5" t="s">
        <v>2054</v>
      </c>
    </row>
    <row r="1989">
      <c r="A1989" s="5" t="s">
        <v>2054</v>
      </c>
    </row>
    <row r="1990">
      <c r="A1990" s="5" t="s">
        <v>2054</v>
      </c>
    </row>
    <row r="1991">
      <c r="A1991" s="5" t="s">
        <v>2054</v>
      </c>
    </row>
    <row r="1992">
      <c r="A1992" s="5" t="s">
        <v>2054</v>
      </c>
    </row>
    <row r="1993">
      <c r="A1993" s="5" t="s">
        <v>2054</v>
      </c>
    </row>
    <row r="1994">
      <c r="A1994" s="5" t="s">
        <v>2054</v>
      </c>
    </row>
    <row r="1995">
      <c r="A1995" s="5" t="s">
        <v>2054</v>
      </c>
    </row>
    <row r="1996">
      <c r="A1996" s="5" t="s">
        <v>2054</v>
      </c>
    </row>
    <row r="1997">
      <c r="A1997" s="5" t="s">
        <v>2054</v>
      </c>
    </row>
    <row r="1998">
      <c r="A1998" s="5" t="s">
        <v>2054</v>
      </c>
    </row>
    <row r="1999">
      <c r="A1999" s="5" t="s">
        <v>2054</v>
      </c>
    </row>
    <row r="2000">
      <c r="A2000" s="5" t="s">
        <v>2054</v>
      </c>
    </row>
    <row r="2001">
      <c r="A2001" s="5" t="s">
        <v>2054</v>
      </c>
    </row>
    <row r="2002">
      <c r="A2002" s="5" t="s">
        <v>2054</v>
      </c>
    </row>
    <row r="2003">
      <c r="A2003" s="5" t="s">
        <v>2054</v>
      </c>
    </row>
    <row r="2004">
      <c r="A2004" s="5" t="s">
        <v>2054</v>
      </c>
    </row>
    <row r="2005">
      <c r="A2005" s="5" t="s">
        <v>2054</v>
      </c>
    </row>
    <row r="2006">
      <c r="A2006" s="5" t="s">
        <v>2054</v>
      </c>
    </row>
    <row r="2007">
      <c r="A2007" s="5" t="s">
        <v>2054</v>
      </c>
    </row>
    <row r="2008">
      <c r="A2008" s="5" t="s">
        <v>2054</v>
      </c>
    </row>
    <row r="2009">
      <c r="A2009" s="5" t="s">
        <v>2054</v>
      </c>
    </row>
    <row r="2010">
      <c r="A2010" s="5" t="s">
        <v>2054</v>
      </c>
    </row>
    <row r="2011">
      <c r="A2011" s="5" t="s">
        <v>2054</v>
      </c>
    </row>
    <row r="2012">
      <c r="A2012" s="5" t="s">
        <v>2054</v>
      </c>
    </row>
    <row r="2013">
      <c r="A2013" s="5" t="s">
        <v>2054</v>
      </c>
    </row>
    <row r="2014">
      <c r="A2014" s="5" t="s">
        <v>2054</v>
      </c>
    </row>
    <row r="2015">
      <c r="A2015" s="5" t="s">
        <v>2054</v>
      </c>
    </row>
    <row r="2016">
      <c r="A2016" s="5" t="s">
        <v>2054</v>
      </c>
    </row>
    <row r="2017">
      <c r="A2017" s="5" t="s">
        <v>2054</v>
      </c>
    </row>
    <row r="2018">
      <c r="A2018" s="5" t="s">
        <v>2054</v>
      </c>
    </row>
    <row r="2019">
      <c r="A2019" s="5" t="s">
        <v>2054</v>
      </c>
    </row>
    <row r="2020">
      <c r="A2020" s="5" t="s">
        <v>2054</v>
      </c>
    </row>
    <row r="2021">
      <c r="A2021" s="5" t="s">
        <v>2054</v>
      </c>
    </row>
    <row r="2022">
      <c r="A2022" s="5" t="s">
        <v>2054</v>
      </c>
    </row>
    <row r="2023">
      <c r="A2023" s="5" t="s">
        <v>2054</v>
      </c>
    </row>
    <row r="2024">
      <c r="A2024" s="5" t="s">
        <v>2054</v>
      </c>
    </row>
    <row r="2025">
      <c r="A2025" s="5" t="s">
        <v>2054</v>
      </c>
    </row>
    <row r="2026">
      <c r="A2026" s="5" t="s">
        <v>2054</v>
      </c>
    </row>
    <row r="2027">
      <c r="A2027" s="5" t="s">
        <v>2054</v>
      </c>
    </row>
    <row r="2028">
      <c r="A2028" s="5" t="s">
        <v>2054</v>
      </c>
    </row>
    <row r="2029">
      <c r="A2029" s="5" t="s">
        <v>2054</v>
      </c>
    </row>
    <row r="2030">
      <c r="A2030" s="5" t="s">
        <v>2054</v>
      </c>
    </row>
    <row r="2031">
      <c r="A2031" s="5" t="s">
        <v>2054</v>
      </c>
    </row>
    <row r="2032">
      <c r="A2032" s="5" t="s">
        <v>2054</v>
      </c>
    </row>
    <row r="2033">
      <c r="A2033" s="5" t="s">
        <v>2054</v>
      </c>
    </row>
    <row r="2034">
      <c r="A2034" s="5" t="s">
        <v>2054</v>
      </c>
    </row>
    <row r="2035">
      <c r="A2035" s="5" t="s">
        <v>2054</v>
      </c>
    </row>
    <row r="2036">
      <c r="A2036" s="5" t="s">
        <v>2054</v>
      </c>
    </row>
    <row r="2037">
      <c r="A2037" s="5" t="s">
        <v>2054</v>
      </c>
    </row>
    <row r="2038">
      <c r="A2038" s="5" t="s">
        <v>2054</v>
      </c>
    </row>
    <row r="2039">
      <c r="A2039" s="5" t="s">
        <v>2054</v>
      </c>
    </row>
    <row r="2040">
      <c r="A2040" s="5" t="s">
        <v>2054</v>
      </c>
    </row>
    <row r="2041">
      <c r="A2041" s="5" t="s">
        <v>2054</v>
      </c>
    </row>
    <row r="2042">
      <c r="A2042" s="5" t="s">
        <v>2054</v>
      </c>
    </row>
    <row r="2043">
      <c r="A2043" s="5" t="s">
        <v>2054</v>
      </c>
    </row>
    <row r="2044">
      <c r="A2044" s="5" t="s">
        <v>2054</v>
      </c>
    </row>
    <row r="2045">
      <c r="A2045" s="5" t="s">
        <v>2054</v>
      </c>
    </row>
    <row r="2046">
      <c r="A2046" s="5" t="s">
        <v>2054</v>
      </c>
    </row>
    <row r="2047">
      <c r="A2047" s="5" t="s">
        <v>2054</v>
      </c>
    </row>
    <row r="2048">
      <c r="A2048" s="5" t="s">
        <v>2054</v>
      </c>
    </row>
    <row r="2049">
      <c r="A2049" s="5" t="s">
        <v>2054</v>
      </c>
    </row>
    <row r="2050">
      <c r="A2050" s="5" t="s">
        <v>2054</v>
      </c>
    </row>
    <row r="2051">
      <c r="A2051" s="5" t="s">
        <v>2054</v>
      </c>
    </row>
    <row r="2052">
      <c r="A2052" s="5" t="s">
        <v>2054</v>
      </c>
    </row>
    <row r="2053">
      <c r="A2053" s="5" t="s">
        <v>2054</v>
      </c>
    </row>
    <row r="2054">
      <c r="A2054" s="5" t="s">
        <v>2054</v>
      </c>
    </row>
    <row r="2055">
      <c r="A2055" s="5" t="s">
        <v>2054</v>
      </c>
    </row>
    <row r="2056">
      <c r="A2056" s="5" t="s">
        <v>2054</v>
      </c>
    </row>
    <row r="2057">
      <c r="A2057" s="5" t="s">
        <v>2054</v>
      </c>
    </row>
    <row r="2058">
      <c r="A2058" s="5" t="s">
        <v>2054</v>
      </c>
    </row>
    <row r="2059">
      <c r="A2059" s="5" t="s">
        <v>2054</v>
      </c>
    </row>
    <row r="2060">
      <c r="A2060" s="5" t="s">
        <v>2054</v>
      </c>
    </row>
    <row r="2061">
      <c r="A2061" s="5" t="s">
        <v>2054</v>
      </c>
    </row>
    <row r="2062">
      <c r="A2062" s="5" t="s">
        <v>2054</v>
      </c>
    </row>
    <row r="2063">
      <c r="A2063" s="5" t="s">
        <v>2054</v>
      </c>
    </row>
    <row r="2064">
      <c r="A2064" s="5" t="s">
        <v>2054</v>
      </c>
    </row>
    <row r="2065">
      <c r="A2065" s="5" t="s">
        <v>2054</v>
      </c>
    </row>
    <row r="2066">
      <c r="A2066" s="5" t="s">
        <v>2054</v>
      </c>
    </row>
    <row r="2067">
      <c r="A2067" s="5" t="s">
        <v>2054</v>
      </c>
    </row>
    <row r="2068">
      <c r="A2068" s="5" t="s">
        <v>2054</v>
      </c>
    </row>
    <row r="2069">
      <c r="A2069" s="5" t="s">
        <v>2054</v>
      </c>
    </row>
    <row r="2070">
      <c r="A2070" s="5" t="s">
        <v>2054</v>
      </c>
    </row>
    <row r="2071">
      <c r="A2071" s="5" t="s">
        <v>2054</v>
      </c>
    </row>
    <row r="2072">
      <c r="A2072" s="5" t="s">
        <v>2054</v>
      </c>
    </row>
    <row r="2073">
      <c r="A2073" s="5" t="s">
        <v>2054</v>
      </c>
    </row>
    <row r="2074">
      <c r="A2074" s="5" t="s">
        <v>2054</v>
      </c>
    </row>
    <row r="2075">
      <c r="A2075" s="5" t="s">
        <v>2054</v>
      </c>
    </row>
    <row r="2076">
      <c r="A2076" s="5" t="s">
        <v>2054</v>
      </c>
    </row>
    <row r="2077">
      <c r="A2077" s="5" t="s">
        <v>2054</v>
      </c>
    </row>
    <row r="2078">
      <c r="A2078" s="5" t="s">
        <v>2054</v>
      </c>
    </row>
    <row r="2079">
      <c r="A2079" s="5" t="s">
        <v>2054</v>
      </c>
    </row>
    <row r="2080">
      <c r="A2080" s="5" t="s">
        <v>2054</v>
      </c>
    </row>
    <row r="2081">
      <c r="A2081" s="5" t="s">
        <v>2054</v>
      </c>
    </row>
    <row r="2082">
      <c r="A2082" s="5" t="s">
        <v>2054</v>
      </c>
    </row>
    <row r="2083">
      <c r="A2083" s="5" t="s">
        <v>2054</v>
      </c>
    </row>
    <row r="2084">
      <c r="A2084" s="5" t="s">
        <v>2054</v>
      </c>
    </row>
    <row r="2085">
      <c r="A2085" s="5" t="s">
        <v>2054</v>
      </c>
    </row>
    <row r="2086">
      <c r="A2086" s="5" t="s">
        <v>2054</v>
      </c>
    </row>
    <row r="2087">
      <c r="A2087" s="5" t="s">
        <v>2054</v>
      </c>
    </row>
    <row r="2088">
      <c r="A2088" s="5" t="s">
        <v>2054</v>
      </c>
    </row>
    <row r="2089">
      <c r="A2089" s="5" t="s">
        <v>2054</v>
      </c>
    </row>
    <row r="2090">
      <c r="A2090" s="5" t="s">
        <v>2054</v>
      </c>
    </row>
    <row r="2091">
      <c r="A2091" s="5" t="s">
        <v>2054</v>
      </c>
    </row>
    <row r="2092">
      <c r="A2092" s="5" t="s">
        <v>2054</v>
      </c>
    </row>
    <row r="2093">
      <c r="A2093" s="5" t="s">
        <v>2054</v>
      </c>
    </row>
    <row r="2094">
      <c r="A2094" s="5" t="s">
        <v>2054</v>
      </c>
    </row>
    <row r="2095">
      <c r="A2095" s="5" t="s">
        <v>2054</v>
      </c>
    </row>
    <row r="2096">
      <c r="A2096" s="5" t="s">
        <v>2054</v>
      </c>
    </row>
    <row r="2097">
      <c r="A2097" s="5" t="s">
        <v>2054</v>
      </c>
    </row>
    <row r="2098">
      <c r="A2098" s="5" t="s">
        <v>2054</v>
      </c>
    </row>
    <row r="2099">
      <c r="A2099" s="5" t="s">
        <v>2054</v>
      </c>
    </row>
    <row r="2100">
      <c r="A2100" s="5" t="s">
        <v>2054</v>
      </c>
    </row>
    <row r="2101">
      <c r="A2101" s="5" t="s">
        <v>2054</v>
      </c>
    </row>
    <row r="2102">
      <c r="A2102" s="5" t="s">
        <v>2054</v>
      </c>
    </row>
    <row r="2103">
      <c r="A2103" s="5" t="s">
        <v>2054</v>
      </c>
    </row>
    <row r="2104">
      <c r="A2104" s="5" t="s">
        <v>2054</v>
      </c>
    </row>
    <row r="2105">
      <c r="A2105" s="5" t="s">
        <v>2054</v>
      </c>
    </row>
    <row r="2106">
      <c r="A2106" s="5" t="s">
        <v>2054</v>
      </c>
    </row>
    <row r="2107">
      <c r="A2107" s="5" t="s">
        <v>2054</v>
      </c>
    </row>
    <row r="2108">
      <c r="A2108" s="5" t="s">
        <v>2054</v>
      </c>
    </row>
    <row r="2109">
      <c r="A2109" s="5" t="s">
        <v>2054</v>
      </c>
    </row>
    <row r="2110">
      <c r="A2110" s="5" t="s">
        <v>2054</v>
      </c>
    </row>
    <row r="2111">
      <c r="A2111" s="5" t="s">
        <v>2054</v>
      </c>
    </row>
    <row r="2112">
      <c r="A2112" s="5" t="s">
        <v>2054</v>
      </c>
    </row>
    <row r="2113">
      <c r="A2113" s="5" t="s">
        <v>2054</v>
      </c>
    </row>
    <row r="2114">
      <c r="A2114" s="5" t="s">
        <v>2054</v>
      </c>
    </row>
    <row r="2115">
      <c r="A2115" s="5" t="s">
        <v>2054</v>
      </c>
    </row>
    <row r="2116">
      <c r="A2116" s="5" t="s">
        <v>2054</v>
      </c>
    </row>
    <row r="2117">
      <c r="A2117" s="5" t="s">
        <v>2054</v>
      </c>
    </row>
    <row r="2118">
      <c r="A2118" s="5" t="s">
        <v>2054</v>
      </c>
    </row>
    <row r="2119">
      <c r="A2119" s="5" t="s">
        <v>2054</v>
      </c>
    </row>
    <row r="2120">
      <c r="A2120" s="5" t="s">
        <v>2054</v>
      </c>
    </row>
    <row r="2121">
      <c r="A2121" s="5" t="s">
        <v>2054</v>
      </c>
    </row>
    <row r="2122">
      <c r="A2122" s="5" t="s">
        <v>2054</v>
      </c>
    </row>
    <row r="2123">
      <c r="A2123" s="5" t="s">
        <v>2054</v>
      </c>
    </row>
    <row r="2124">
      <c r="A2124" s="5" t="s">
        <v>2054</v>
      </c>
    </row>
    <row r="2125">
      <c r="A2125" s="5" t="s">
        <v>2054</v>
      </c>
    </row>
    <row r="2126">
      <c r="A2126" s="5" t="s">
        <v>2054</v>
      </c>
    </row>
    <row r="2127">
      <c r="A2127" s="5" t="s">
        <v>2054</v>
      </c>
    </row>
    <row r="2128">
      <c r="A2128" s="5" t="s">
        <v>2054</v>
      </c>
    </row>
    <row r="2129">
      <c r="A2129" s="5" t="s">
        <v>2054</v>
      </c>
    </row>
    <row r="2130">
      <c r="A2130" s="5" t="s">
        <v>2054</v>
      </c>
    </row>
    <row r="2131">
      <c r="A2131" s="5" t="s">
        <v>2054</v>
      </c>
    </row>
    <row r="2132">
      <c r="A2132" s="5" t="s">
        <v>2054</v>
      </c>
    </row>
    <row r="2133">
      <c r="A2133" s="5" t="s">
        <v>2054</v>
      </c>
    </row>
    <row r="2134">
      <c r="A2134" s="5" t="s">
        <v>2054</v>
      </c>
    </row>
    <row r="2135">
      <c r="A2135" s="5" t="s">
        <v>2054</v>
      </c>
    </row>
    <row r="2136">
      <c r="A2136" s="5" t="s">
        <v>2054</v>
      </c>
    </row>
    <row r="2137">
      <c r="A2137" s="5" t="s">
        <v>2054</v>
      </c>
    </row>
    <row r="2138">
      <c r="A2138" s="5" t="s">
        <v>2054</v>
      </c>
    </row>
    <row r="2139">
      <c r="A2139" s="5" t="s">
        <v>2054</v>
      </c>
    </row>
    <row r="2140">
      <c r="A2140" s="5" t="s">
        <v>2054</v>
      </c>
    </row>
    <row r="2141">
      <c r="A2141" s="5" t="s">
        <v>2054</v>
      </c>
    </row>
    <row r="2142">
      <c r="A2142" s="5" t="s">
        <v>2054</v>
      </c>
    </row>
    <row r="2143">
      <c r="A2143" s="5" t="s">
        <v>2054</v>
      </c>
    </row>
    <row r="2144">
      <c r="A2144" s="5" t="s">
        <v>2054</v>
      </c>
    </row>
    <row r="2145">
      <c r="A2145" s="5" t="s">
        <v>2054</v>
      </c>
    </row>
    <row r="2146">
      <c r="A2146" s="5" t="s">
        <v>2054</v>
      </c>
    </row>
    <row r="2147">
      <c r="A2147" s="5" t="s">
        <v>2054</v>
      </c>
    </row>
    <row r="2148">
      <c r="A2148" s="5" t="s">
        <v>2054</v>
      </c>
    </row>
    <row r="2149">
      <c r="A2149" s="5" t="s">
        <v>2054</v>
      </c>
    </row>
    <row r="2150">
      <c r="A2150" s="5" t="s">
        <v>2054</v>
      </c>
    </row>
    <row r="2151">
      <c r="A2151" s="5" t="s">
        <v>2054</v>
      </c>
    </row>
    <row r="2152">
      <c r="A2152" s="5" t="s">
        <v>2054</v>
      </c>
    </row>
    <row r="2153">
      <c r="A2153" s="5" t="s">
        <v>2054</v>
      </c>
    </row>
    <row r="2154">
      <c r="A2154" s="5" t="s">
        <v>2054</v>
      </c>
    </row>
    <row r="2155">
      <c r="A2155" s="5" t="s">
        <v>2054</v>
      </c>
    </row>
    <row r="2156">
      <c r="A2156" s="5" t="s">
        <v>2054</v>
      </c>
    </row>
    <row r="2157">
      <c r="A2157" s="5" t="s">
        <v>2054</v>
      </c>
    </row>
    <row r="2158">
      <c r="A2158" s="5" t="s">
        <v>2054</v>
      </c>
    </row>
    <row r="2159">
      <c r="A2159" s="5" t="s">
        <v>2054</v>
      </c>
    </row>
    <row r="2160">
      <c r="A2160" s="5" t="s">
        <v>2054</v>
      </c>
    </row>
    <row r="2161">
      <c r="A2161" s="5" t="s">
        <v>2054</v>
      </c>
    </row>
    <row r="2162">
      <c r="A2162" s="5" t="s">
        <v>2054</v>
      </c>
    </row>
    <row r="2163">
      <c r="A2163" s="5" t="s">
        <v>2054</v>
      </c>
    </row>
    <row r="2164">
      <c r="A2164" s="5" t="s">
        <v>2054</v>
      </c>
    </row>
    <row r="2165">
      <c r="A2165" s="5" t="s">
        <v>2054</v>
      </c>
    </row>
    <row r="2166">
      <c r="A2166" s="5" t="s">
        <v>2054</v>
      </c>
    </row>
    <row r="2167">
      <c r="A2167" s="5" t="s">
        <v>2054</v>
      </c>
    </row>
    <row r="2168">
      <c r="A2168" s="5" t="s">
        <v>2054</v>
      </c>
    </row>
    <row r="2169">
      <c r="A2169" s="5" t="s">
        <v>2054</v>
      </c>
    </row>
    <row r="2170">
      <c r="A2170" s="5" t="s">
        <v>2054</v>
      </c>
    </row>
    <row r="2171">
      <c r="A2171" s="5" t="s">
        <v>2054</v>
      </c>
    </row>
    <row r="2172">
      <c r="A2172" s="5" t="s">
        <v>2054</v>
      </c>
    </row>
    <row r="2173">
      <c r="A2173" s="5" t="s">
        <v>2054</v>
      </c>
    </row>
    <row r="2174">
      <c r="A2174" s="5" t="s">
        <v>2054</v>
      </c>
    </row>
    <row r="2175">
      <c r="A2175" s="5" t="s">
        <v>2054</v>
      </c>
    </row>
    <row r="2176">
      <c r="A2176" s="5" t="s">
        <v>2054</v>
      </c>
    </row>
    <row r="2177">
      <c r="A2177" s="5" t="s">
        <v>2054</v>
      </c>
    </row>
    <row r="2178">
      <c r="A2178" s="5" t="s">
        <v>2054</v>
      </c>
    </row>
    <row r="2179">
      <c r="A2179" s="5" t="s">
        <v>2054</v>
      </c>
    </row>
    <row r="2180">
      <c r="A2180" s="5" t="s">
        <v>2054</v>
      </c>
    </row>
    <row r="2181">
      <c r="A2181" s="5" t="s">
        <v>2054</v>
      </c>
    </row>
    <row r="2182">
      <c r="A2182" s="5" t="s">
        <v>2054</v>
      </c>
    </row>
    <row r="2183">
      <c r="A2183" s="5" t="s">
        <v>2054</v>
      </c>
    </row>
    <row r="2184">
      <c r="A2184" s="5" t="s">
        <v>2054</v>
      </c>
    </row>
    <row r="2185">
      <c r="A2185" s="5" t="s">
        <v>2054</v>
      </c>
    </row>
    <row r="2186">
      <c r="A2186" s="5" t="s">
        <v>2054</v>
      </c>
    </row>
    <row r="2187">
      <c r="A2187" s="5" t="s">
        <v>2054</v>
      </c>
    </row>
    <row r="2188">
      <c r="A2188" s="5" t="s">
        <v>2054</v>
      </c>
    </row>
    <row r="2189">
      <c r="A2189" s="5" t="s">
        <v>2054</v>
      </c>
    </row>
    <row r="2190">
      <c r="A2190" s="5" t="s">
        <v>2054</v>
      </c>
    </row>
    <row r="2191">
      <c r="A2191" s="5" t="s">
        <v>2054</v>
      </c>
    </row>
    <row r="2192">
      <c r="A2192" s="5" t="s">
        <v>2054</v>
      </c>
    </row>
    <row r="2193">
      <c r="A2193" s="5" t="s">
        <v>2054</v>
      </c>
    </row>
    <row r="2194">
      <c r="A2194" s="5" t="s">
        <v>2054</v>
      </c>
    </row>
    <row r="2195">
      <c r="A2195" s="5" t="s">
        <v>2054</v>
      </c>
    </row>
    <row r="2196">
      <c r="A2196" s="5" t="s">
        <v>2054</v>
      </c>
    </row>
    <row r="2197">
      <c r="A2197" s="5" t="s">
        <v>2054</v>
      </c>
    </row>
    <row r="2198">
      <c r="A2198" s="5" t="s">
        <v>2054</v>
      </c>
    </row>
    <row r="2199">
      <c r="A2199" s="5" t="s">
        <v>2054</v>
      </c>
    </row>
    <row r="2200">
      <c r="A2200" s="5" t="s">
        <v>2054</v>
      </c>
    </row>
    <row r="2201">
      <c r="A2201" s="5" t="s">
        <v>2054</v>
      </c>
    </row>
    <row r="2202">
      <c r="A2202" s="5" t="s">
        <v>2054</v>
      </c>
    </row>
    <row r="2203">
      <c r="A2203" s="5" t="s">
        <v>2054</v>
      </c>
    </row>
    <row r="2204">
      <c r="A2204" s="5" t="s">
        <v>2054</v>
      </c>
    </row>
    <row r="2205">
      <c r="A2205" s="5" t="s">
        <v>2054</v>
      </c>
    </row>
    <row r="2206">
      <c r="A2206" s="5" t="s">
        <v>2054</v>
      </c>
    </row>
    <row r="2207">
      <c r="A2207" s="5" t="s">
        <v>2054</v>
      </c>
    </row>
    <row r="2208">
      <c r="A2208" s="5" t="s">
        <v>2054</v>
      </c>
    </row>
    <row r="2209">
      <c r="A2209" s="5" t="s">
        <v>2054</v>
      </c>
    </row>
    <row r="2210">
      <c r="A2210" s="5" t="s">
        <v>2054</v>
      </c>
    </row>
    <row r="2211">
      <c r="A2211" s="5" t="s">
        <v>2054</v>
      </c>
    </row>
    <row r="2212">
      <c r="A2212" s="5" t="s">
        <v>2054</v>
      </c>
    </row>
    <row r="2213">
      <c r="A2213" s="5" t="s">
        <v>2054</v>
      </c>
    </row>
    <row r="2214">
      <c r="A2214" s="5" t="s">
        <v>2054</v>
      </c>
    </row>
    <row r="2215">
      <c r="A2215" s="5" t="s">
        <v>2054</v>
      </c>
    </row>
    <row r="2216">
      <c r="A2216" s="5" t="s">
        <v>2054</v>
      </c>
    </row>
    <row r="2217">
      <c r="A2217" s="5" t="s">
        <v>2054</v>
      </c>
    </row>
    <row r="2218">
      <c r="A2218" s="5" t="s">
        <v>2054</v>
      </c>
    </row>
    <row r="2219">
      <c r="A2219" s="5" t="s">
        <v>2054</v>
      </c>
    </row>
    <row r="2220">
      <c r="A2220" s="5" t="s">
        <v>2054</v>
      </c>
    </row>
    <row r="2221">
      <c r="A2221" s="5" t="s">
        <v>2054</v>
      </c>
    </row>
    <row r="2222">
      <c r="A2222" s="5" t="s">
        <v>2054</v>
      </c>
    </row>
    <row r="2223">
      <c r="A2223" s="5" t="s">
        <v>2054</v>
      </c>
    </row>
    <row r="2224">
      <c r="A2224" s="5" t="s">
        <v>2054</v>
      </c>
    </row>
    <row r="2225">
      <c r="A2225" s="5" t="s">
        <v>2054</v>
      </c>
    </row>
    <row r="2226">
      <c r="A2226" s="5" t="s">
        <v>2054</v>
      </c>
    </row>
    <row r="2227">
      <c r="A2227" s="5" t="s">
        <v>2054</v>
      </c>
    </row>
    <row r="2228">
      <c r="A2228" s="5" t="s">
        <v>2054</v>
      </c>
    </row>
    <row r="2229">
      <c r="A2229" s="5" t="s">
        <v>2054</v>
      </c>
    </row>
    <row r="2230">
      <c r="A2230" s="5" t="s">
        <v>2054</v>
      </c>
    </row>
    <row r="2231">
      <c r="A2231" s="5" t="s">
        <v>2054</v>
      </c>
    </row>
    <row r="2232">
      <c r="A2232" s="5" t="s">
        <v>2054</v>
      </c>
    </row>
    <row r="2233">
      <c r="A2233" s="5" t="s">
        <v>2054</v>
      </c>
    </row>
    <row r="2234">
      <c r="A2234" s="5" t="s">
        <v>2054</v>
      </c>
    </row>
    <row r="2235">
      <c r="A2235" s="5" t="s">
        <v>2054</v>
      </c>
    </row>
    <row r="2236">
      <c r="A2236" s="5" t="s">
        <v>2054</v>
      </c>
    </row>
    <row r="2237">
      <c r="A2237" s="5" t="s">
        <v>2054</v>
      </c>
    </row>
    <row r="2238">
      <c r="A2238" s="5" t="s">
        <v>2054</v>
      </c>
    </row>
    <row r="2239">
      <c r="A2239" s="5" t="s">
        <v>2054</v>
      </c>
    </row>
    <row r="2240">
      <c r="A2240" s="5" t="s">
        <v>2054</v>
      </c>
    </row>
    <row r="2241">
      <c r="A2241" s="5" t="s">
        <v>2054</v>
      </c>
    </row>
    <row r="2242">
      <c r="A2242" s="5" t="s">
        <v>2054</v>
      </c>
    </row>
    <row r="2243">
      <c r="A2243" s="5" t="s">
        <v>2054</v>
      </c>
    </row>
    <row r="2244">
      <c r="A2244" s="5" t="s">
        <v>2054</v>
      </c>
    </row>
    <row r="2245">
      <c r="A2245" s="5" t="s">
        <v>2054</v>
      </c>
    </row>
    <row r="2246">
      <c r="A2246" s="5" t="s">
        <v>2054</v>
      </c>
    </row>
    <row r="2247">
      <c r="A2247" s="5" t="s">
        <v>2054</v>
      </c>
    </row>
    <row r="2248">
      <c r="A2248" s="5" t="s">
        <v>2054</v>
      </c>
    </row>
    <row r="2249">
      <c r="A2249" s="5" t="s">
        <v>2054</v>
      </c>
    </row>
    <row r="2250">
      <c r="A2250" s="5" t="s">
        <v>2054</v>
      </c>
    </row>
    <row r="2251">
      <c r="A2251" s="5" t="s">
        <v>2054</v>
      </c>
    </row>
    <row r="2252">
      <c r="A2252" s="5" t="s">
        <v>2054</v>
      </c>
    </row>
    <row r="2253">
      <c r="A2253" s="5" t="s">
        <v>2054</v>
      </c>
    </row>
    <row r="2254">
      <c r="A2254" s="5" t="s">
        <v>2054</v>
      </c>
    </row>
    <row r="2255">
      <c r="A2255" s="5" t="s">
        <v>2054</v>
      </c>
    </row>
    <row r="2256">
      <c r="A2256" s="5" t="s">
        <v>2054</v>
      </c>
    </row>
    <row r="2257">
      <c r="A2257" s="5" t="s">
        <v>2054</v>
      </c>
    </row>
    <row r="2258">
      <c r="A2258" s="5" t="s">
        <v>2054</v>
      </c>
    </row>
    <row r="2259">
      <c r="A2259" s="5" t="s">
        <v>2054</v>
      </c>
    </row>
    <row r="2260">
      <c r="A2260" s="5" t="s">
        <v>2054</v>
      </c>
    </row>
    <row r="2261">
      <c r="A2261" s="5" t="s">
        <v>2054</v>
      </c>
    </row>
    <row r="2262">
      <c r="A2262" s="5" t="s">
        <v>2054</v>
      </c>
    </row>
    <row r="2263">
      <c r="A2263" s="5" t="s">
        <v>2054</v>
      </c>
    </row>
    <row r="2264">
      <c r="A2264" s="5" t="s">
        <v>2054</v>
      </c>
    </row>
    <row r="2265">
      <c r="A2265" s="5" t="s">
        <v>2054</v>
      </c>
    </row>
    <row r="2266">
      <c r="A2266" s="5" t="s">
        <v>2054</v>
      </c>
    </row>
    <row r="2267">
      <c r="A2267" s="5" t="s">
        <v>2054</v>
      </c>
    </row>
    <row r="2268">
      <c r="A2268" s="5" t="s">
        <v>2054</v>
      </c>
    </row>
    <row r="2269">
      <c r="A2269" s="5" t="s">
        <v>2054</v>
      </c>
    </row>
    <row r="2270">
      <c r="A2270" s="5" t="s">
        <v>2054</v>
      </c>
    </row>
    <row r="2271">
      <c r="A2271" s="5" t="s">
        <v>2054</v>
      </c>
    </row>
    <row r="2272">
      <c r="A2272" s="5" t="s">
        <v>2054</v>
      </c>
    </row>
    <row r="2273">
      <c r="A2273" s="5" t="s">
        <v>2054</v>
      </c>
    </row>
    <row r="2274">
      <c r="A2274" s="5" t="s">
        <v>2054</v>
      </c>
    </row>
    <row r="2275">
      <c r="A2275" s="5" t="s">
        <v>2054</v>
      </c>
    </row>
    <row r="2276">
      <c r="A2276" s="5" t="s">
        <v>2054</v>
      </c>
    </row>
    <row r="2277">
      <c r="A2277" s="5" t="s">
        <v>2054</v>
      </c>
    </row>
    <row r="2278">
      <c r="A2278" s="5" t="s">
        <v>2054</v>
      </c>
    </row>
    <row r="2279">
      <c r="A2279" s="5" t="s">
        <v>2054</v>
      </c>
    </row>
    <row r="2280">
      <c r="A2280" s="5" t="s">
        <v>2054</v>
      </c>
    </row>
    <row r="2281">
      <c r="A2281" s="5" t="s">
        <v>2054</v>
      </c>
    </row>
    <row r="2282">
      <c r="A2282" s="5" t="s">
        <v>2054</v>
      </c>
    </row>
    <row r="2283">
      <c r="A2283" s="5" t="s">
        <v>2054</v>
      </c>
    </row>
    <row r="2284">
      <c r="A2284" s="5" t="s">
        <v>2054</v>
      </c>
    </row>
    <row r="2285">
      <c r="A2285" s="5" t="s">
        <v>2054</v>
      </c>
    </row>
    <row r="2286">
      <c r="A2286" s="5" t="s">
        <v>2054</v>
      </c>
    </row>
    <row r="2287">
      <c r="A2287" s="5" t="s">
        <v>2054</v>
      </c>
    </row>
    <row r="2288">
      <c r="A2288" s="5" t="s">
        <v>2054</v>
      </c>
    </row>
    <row r="2289">
      <c r="A2289" s="5" t="s">
        <v>2054</v>
      </c>
    </row>
    <row r="2290">
      <c r="A2290" s="5" t="s">
        <v>2054</v>
      </c>
    </row>
    <row r="2291">
      <c r="A2291" s="5" t="s">
        <v>2054</v>
      </c>
    </row>
    <row r="2292">
      <c r="A2292" s="5" t="s">
        <v>2054</v>
      </c>
    </row>
    <row r="2293">
      <c r="A2293" s="5" t="s">
        <v>2054</v>
      </c>
    </row>
    <row r="2294">
      <c r="A2294" s="5" t="s">
        <v>2054</v>
      </c>
    </row>
    <row r="2295">
      <c r="A2295" s="5" t="s">
        <v>2054</v>
      </c>
    </row>
    <row r="2296">
      <c r="A2296" s="5" t="s">
        <v>2054</v>
      </c>
    </row>
    <row r="2297">
      <c r="A2297" s="5" t="s">
        <v>2054</v>
      </c>
    </row>
    <row r="2298">
      <c r="A2298" s="5" t="s">
        <v>2054</v>
      </c>
    </row>
    <row r="2299">
      <c r="A2299" s="5" t="s">
        <v>2054</v>
      </c>
    </row>
    <row r="2300">
      <c r="A2300" s="5" t="s">
        <v>2054</v>
      </c>
    </row>
    <row r="2301">
      <c r="A2301" s="5" t="s">
        <v>2054</v>
      </c>
    </row>
    <row r="2302">
      <c r="A2302" s="5" t="s">
        <v>2054</v>
      </c>
    </row>
    <row r="2303">
      <c r="A2303" s="5" t="s">
        <v>2054</v>
      </c>
    </row>
    <row r="2304">
      <c r="A2304" s="5" t="s">
        <v>2054</v>
      </c>
    </row>
    <row r="2305">
      <c r="A2305" s="5" t="s">
        <v>2054</v>
      </c>
    </row>
    <row r="2306">
      <c r="A2306" s="5" t="s">
        <v>2054</v>
      </c>
    </row>
    <row r="2307">
      <c r="A2307" s="5" t="s">
        <v>2054</v>
      </c>
    </row>
    <row r="2308">
      <c r="A2308" s="5" t="s">
        <v>2054</v>
      </c>
    </row>
    <row r="2309">
      <c r="A2309" s="5" t="s">
        <v>2054</v>
      </c>
    </row>
    <row r="2310">
      <c r="A2310" s="5" t="s">
        <v>2054</v>
      </c>
    </row>
    <row r="2311">
      <c r="A2311" s="5" t="s">
        <v>2054</v>
      </c>
    </row>
    <row r="2312">
      <c r="A2312" s="5" t="s">
        <v>2054</v>
      </c>
    </row>
    <row r="2313">
      <c r="A2313" s="5" t="s">
        <v>2054</v>
      </c>
    </row>
    <row r="2314">
      <c r="A2314" s="5" t="s">
        <v>2054</v>
      </c>
    </row>
    <row r="2315">
      <c r="A2315" s="5" t="s">
        <v>2054</v>
      </c>
    </row>
    <row r="2316">
      <c r="A2316" s="5" t="s">
        <v>2054</v>
      </c>
    </row>
    <row r="2317">
      <c r="A2317" s="5" t="s">
        <v>2054</v>
      </c>
    </row>
    <row r="2318">
      <c r="A2318" s="5" t="s">
        <v>2054</v>
      </c>
    </row>
    <row r="2319">
      <c r="A2319" s="5" t="s">
        <v>2054</v>
      </c>
    </row>
    <row r="2320">
      <c r="A2320" s="5" t="s">
        <v>2054</v>
      </c>
    </row>
    <row r="2321">
      <c r="A2321" s="5" t="s">
        <v>2054</v>
      </c>
    </row>
    <row r="2322">
      <c r="A2322" s="5" t="s">
        <v>2054</v>
      </c>
    </row>
    <row r="2323">
      <c r="A2323" s="5" t="s">
        <v>2054</v>
      </c>
    </row>
    <row r="2324">
      <c r="A2324" s="5" t="s">
        <v>2054</v>
      </c>
    </row>
    <row r="2325">
      <c r="A2325" s="5" t="s">
        <v>2054</v>
      </c>
    </row>
    <row r="2326">
      <c r="A2326" s="5" t="s">
        <v>2054</v>
      </c>
    </row>
    <row r="2327">
      <c r="A2327" s="5" t="s">
        <v>2054</v>
      </c>
    </row>
    <row r="2328">
      <c r="A2328" s="5" t="s">
        <v>2054</v>
      </c>
    </row>
    <row r="2329">
      <c r="A2329" s="5" t="s">
        <v>2054</v>
      </c>
    </row>
    <row r="2330">
      <c r="A2330" s="5" t="s">
        <v>2054</v>
      </c>
    </row>
    <row r="2331">
      <c r="A2331" s="5" t="s">
        <v>2054</v>
      </c>
    </row>
    <row r="2332">
      <c r="A2332" s="5" t="s">
        <v>2054</v>
      </c>
    </row>
    <row r="2333">
      <c r="A2333" s="5" t="s">
        <v>2054</v>
      </c>
    </row>
    <row r="2334">
      <c r="A2334" s="5" t="s">
        <v>2054</v>
      </c>
    </row>
    <row r="2335">
      <c r="A2335" s="5" t="s">
        <v>2054</v>
      </c>
    </row>
    <row r="2336">
      <c r="A2336" s="5" t="s">
        <v>2054</v>
      </c>
    </row>
    <row r="2337">
      <c r="A2337" s="5" t="s">
        <v>2054</v>
      </c>
    </row>
    <row r="2338">
      <c r="A2338" s="5" t="s">
        <v>2054</v>
      </c>
    </row>
    <row r="2339">
      <c r="A2339" s="5" t="s">
        <v>2054</v>
      </c>
    </row>
    <row r="2340">
      <c r="A2340" s="5" t="s">
        <v>2054</v>
      </c>
    </row>
    <row r="2341">
      <c r="A2341" s="5" t="s">
        <v>2054</v>
      </c>
    </row>
    <row r="2342">
      <c r="A2342" s="5" t="s">
        <v>2054</v>
      </c>
    </row>
    <row r="2343">
      <c r="A2343" s="5" t="s">
        <v>2054</v>
      </c>
    </row>
    <row r="2344">
      <c r="A2344" s="5" t="s">
        <v>2054</v>
      </c>
    </row>
    <row r="2345">
      <c r="A2345" s="5" t="s">
        <v>2054</v>
      </c>
    </row>
    <row r="2346">
      <c r="A2346" s="5" t="s">
        <v>2054</v>
      </c>
    </row>
    <row r="2347">
      <c r="A2347" s="5" t="s">
        <v>2054</v>
      </c>
    </row>
    <row r="2348">
      <c r="A2348" s="5" t="s">
        <v>2054</v>
      </c>
    </row>
    <row r="2349">
      <c r="A2349" s="5" t="s">
        <v>2054</v>
      </c>
    </row>
    <row r="2350">
      <c r="A2350" s="5" t="s">
        <v>2054</v>
      </c>
    </row>
    <row r="2351">
      <c r="A2351" s="5" t="s">
        <v>2054</v>
      </c>
    </row>
    <row r="2352">
      <c r="A2352" s="5" t="s">
        <v>2054</v>
      </c>
    </row>
    <row r="2353">
      <c r="A2353" s="5" t="s">
        <v>2054</v>
      </c>
    </row>
    <row r="2354">
      <c r="A2354" s="5" t="s">
        <v>2054</v>
      </c>
    </row>
    <row r="2355">
      <c r="A2355" s="5" t="s">
        <v>2054</v>
      </c>
    </row>
    <row r="2356">
      <c r="A2356" s="5" t="s">
        <v>2054</v>
      </c>
    </row>
    <row r="2357">
      <c r="A2357" s="5" t="s">
        <v>2054</v>
      </c>
    </row>
    <row r="2358">
      <c r="A2358" s="5" t="s">
        <v>2054</v>
      </c>
    </row>
    <row r="2359">
      <c r="A2359" s="5" t="s">
        <v>2054</v>
      </c>
    </row>
    <row r="2360">
      <c r="A2360" s="5" t="s">
        <v>2054</v>
      </c>
    </row>
    <row r="2361">
      <c r="A2361" s="5" t="s">
        <v>2054</v>
      </c>
    </row>
    <row r="2362">
      <c r="A2362" s="5" t="s">
        <v>2054</v>
      </c>
    </row>
    <row r="2363">
      <c r="A2363" s="5" t="s">
        <v>2054</v>
      </c>
    </row>
    <row r="2364">
      <c r="A2364" s="5" t="s">
        <v>2054</v>
      </c>
    </row>
    <row r="2365">
      <c r="A2365" s="5" t="s">
        <v>2054</v>
      </c>
    </row>
    <row r="2366">
      <c r="A2366" s="5" t="s">
        <v>2054</v>
      </c>
    </row>
    <row r="2367">
      <c r="A2367" s="5" t="s">
        <v>2054</v>
      </c>
    </row>
    <row r="2368">
      <c r="A2368" s="5" t="s">
        <v>2054</v>
      </c>
    </row>
    <row r="2369">
      <c r="A2369" s="5" t="s">
        <v>2054</v>
      </c>
    </row>
    <row r="2370">
      <c r="A2370" s="5" t="s">
        <v>2054</v>
      </c>
    </row>
    <row r="2371">
      <c r="A2371" s="5" t="s">
        <v>2054</v>
      </c>
    </row>
    <row r="2372">
      <c r="A2372" s="5" t="s">
        <v>2054</v>
      </c>
    </row>
    <row r="2373">
      <c r="A2373" s="5" t="s">
        <v>2054</v>
      </c>
    </row>
    <row r="2374">
      <c r="A2374" s="5" t="s">
        <v>2054</v>
      </c>
    </row>
    <row r="2375">
      <c r="A2375" s="5" t="s">
        <v>2054</v>
      </c>
    </row>
    <row r="2376">
      <c r="A2376" s="5" t="s">
        <v>2054</v>
      </c>
    </row>
    <row r="2377">
      <c r="A2377" s="5" t="s">
        <v>2054</v>
      </c>
    </row>
    <row r="2378">
      <c r="A2378" s="5" t="s">
        <v>2054</v>
      </c>
    </row>
    <row r="2379">
      <c r="A2379" s="5" t="s">
        <v>2054</v>
      </c>
    </row>
    <row r="2380">
      <c r="A2380" s="5" t="s">
        <v>2054</v>
      </c>
    </row>
    <row r="2381">
      <c r="A2381" s="5" t="s">
        <v>2054</v>
      </c>
    </row>
    <row r="2382">
      <c r="A2382" s="5" t="s">
        <v>2054</v>
      </c>
    </row>
    <row r="2383">
      <c r="A2383" s="5" t="s">
        <v>2054</v>
      </c>
    </row>
    <row r="2384">
      <c r="A2384" s="5" t="s">
        <v>2054</v>
      </c>
    </row>
    <row r="2385">
      <c r="A2385" s="5" t="s">
        <v>2054</v>
      </c>
    </row>
    <row r="2386">
      <c r="A2386" s="5" t="s">
        <v>2054</v>
      </c>
    </row>
    <row r="2387">
      <c r="A2387" s="5" t="s">
        <v>2054</v>
      </c>
    </row>
    <row r="2388">
      <c r="A2388" s="5" t="s">
        <v>2054</v>
      </c>
    </row>
    <row r="2389">
      <c r="A2389" s="5" t="s">
        <v>2054</v>
      </c>
    </row>
    <row r="2390">
      <c r="A2390" s="5" t="s">
        <v>2054</v>
      </c>
    </row>
    <row r="2391">
      <c r="A2391" s="5" t="s">
        <v>2054</v>
      </c>
    </row>
    <row r="2392">
      <c r="A2392" s="5" t="s">
        <v>2054</v>
      </c>
    </row>
    <row r="2393">
      <c r="A2393" s="5" t="s">
        <v>2054</v>
      </c>
    </row>
    <row r="2394">
      <c r="A2394" s="5" t="s">
        <v>2054</v>
      </c>
    </row>
    <row r="2395">
      <c r="A2395" s="5" t="s">
        <v>2054</v>
      </c>
    </row>
    <row r="2396">
      <c r="A2396" s="5" t="s">
        <v>2054</v>
      </c>
    </row>
    <row r="2397">
      <c r="A2397" s="5" t="s">
        <v>2054</v>
      </c>
    </row>
    <row r="2398">
      <c r="A2398" s="5" t="s">
        <v>2054</v>
      </c>
    </row>
    <row r="2399">
      <c r="A2399" s="5" t="s">
        <v>2054</v>
      </c>
    </row>
    <row r="2400">
      <c r="A2400" s="5" t="s">
        <v>2054</v>
      </c>
    </row>
    <row r="2401">
      <c r="A2401" s="5" t="s">
        <v>2054</v>
      </c>
    </row>
    <row r="2402">
      <c r="A2402" s="5" t="s">
        <v>2054</v>
      </c>
    </row>
    <row r="2403">
      <c r="A2403" s="5" t="s">
        <v>2054</v>
      </c>
    </row>
    <row r="2404">
      <c r="A2404" s="5" t="s">
        <v>2054</v>
      </c>
    </row>
    <row r="2405">
      <c r="A2405" s="5" t="s">
        <v>2054</v>
      </c>
    </row>
    <row r="2406">
      <c r="A2406" s="5" t="s">
        <v>2054</v>
      </c>
    </row>
    <row r="2407">
      <c r="A2407" s="5" t="s">
        <v>2054</v>
      </c>
    </row>
    <row r="2408">
      <c r="A2408" s="5" t="s">
        <v>2054</v>
      </c>
    </row>
    <row r="2409">
      <c r="A2409" s="5" t="s">
        <v>2054</v>
      </c>
    </row>
    <row r="2410">
      <c r="A2410" s="5" t="s">
        <v>2054</v>
      </c>
    </row>
    <row r="2411">
      <c r="A2411" s="5" t="s">
        <v>2054</v>
      </c>
    </row>
    <row r="2412">
      <c r="A2412" s="5" t="s">
        <v>2054</v>
      </c>
    </row>
    <row r="2413">
      <c r="A2413" s="5" t="s">
        <v>2054</v>
      </c>
    </row>
    <row r="2414">
      <c r="A2414" s="5" t="s">
        <v>2054</v>
      </c>
    </row>
    <row r="2415">
      <c r="A2415" s="5" t="s">
        <v>2054</v>
      </c>
    </row>
    <row r="2416">
      <c r="A2416" s="5" t="s">
        <v>2054</v>
      </c>
    </row>
    <row r="2417">
      <c r="A2417" s="5" t="s">
        <v>2054</v>
      </c>
    </row>
    <row r="2418">
      <c r="A2418" s="5" t="s">
        <v>2054</v>
      </c>
    </row>
    <row r="2419">
      <c r="A2419" s="5" t="s">
        <v>2054</v>
      </c>
    </row>
    <row r="2420">
      <c r="A2420" s="5" t="s">
        <v>2054</v>
      </c>
    </row>
    <row r="2421">
      <c r="A2421" s="5" t="s">
        <v>2054</v>
      </c>
    </row>
    <row r="2422">
      <c r="A2422" s="5" t="s">
        <v>2054</v>
      </c>
    </row>
    <row r="2423">
      <c r="A2423" s="5" t="s">
        <v>2054</v>
      </c>
    </row>
    <row r="2424">
      <c r="A2424" s="5" t="s">
        <v>2054</v>
      </c>
    </row>
    <row r="2425">
      <c r="A2425" s="5" t="s">
        <v>2054</v>
      </c>
    </row>
    <row r="2426">
      <c r="A2426" s="5" t="s">
        <v>2054</v>
      </c>
    </row>
    <row r="2427">
      <c r="A2427" s="5" t="s">
        <v>2054</v>
      </c>
    </row>
    <row r="2428">
      <c r="A2428" s="5" t="s">
        <v>2054</v>
      </c>
    </row>
    <row r="2429">
      <c r="A2429" s="5" t="s">
        <v>2054</v>
      </c>
    </row>
    <row r="2430">
      <c r="A2430" s="5" t="s">
        <v>2054</v>
      </c>
    </row>
    <row r="2431">
      <c r="A2431" s="5" t="s">
        <v>2054</v>
      </c>
    </row>
    <row r="2432">
      <c r="A2432" s="5" t="s">
        <v>2054</v>
      </c>
    </row>
    <row r="2433">
      <c r="A2433" s="5" t="s">
        <v>2054</v>
      </c>
    </row>
    <row r="2434">
      <c r="A2434" s="5" t="s">
        <v>2054</v>
      </c>
    </row>
    <row r="2435">
      <c r="A2435" s="5" t="s">
        <v>2054</v>
      </c>
    </row>
    <row r="2436">
      <c r="A2436" s="5" t="s">
        <v>2054</v>
      </c>
    </row>
    <row r="2437">
      <c r="A2437" s="5" t="s">
        <v>2054</v>
      </c>
    </row>
    <row r="2438">
      <c r="A2438" s="5" t="s">
        <v>2054</v>
      </c>
    </row>
    <row r="2439">
      <c r="A2439" s="5" t="s">
        <v>2054</v>
      </c>
    </row>
    <row r="2440">
      <c r="A2440" s="5" t="s">
        <v>2054</v>
      </c>
    </row>
    <row r="2441">
      <c r="A2441" s="5" t="s">
        <v>2054</v>
      </c>
    </row>
    <row r="2442">
      <c r="A2442" s="5" t="s">
        <v>2054</v>
      </c>
    </row>
    <row r="2443">
      <c r="A2443" s="5" t="s">
        <v>2054</v>
      </c>
    </row>
    <row r="2444">
      <c r="A2444" s="5" t="s">
        <v>2054</v>
      </c>
    </row>
    <row r="2445">
      <c r="A2445" s="5" t="s">
        <v>2054</v>
      </c>
    </row>
    <row r="2446">
      <c r="A2446" s="5" t="s">
        <v>2054</v>
      </c>
    </row>
    <row r="2447">
      <c r="A2447" s="5" t="s">
        <v>2054</v>
      </c>
    </row>
    <row r="2448">
      <c r="A2448" s="5" t="s">
        <v>2054</v>
      </c>
    </row>
    <row r="2449">
      <c r="A2449" s="5" t="s">
        <v>2054</v>
      </c>
    </row>
    <row r="2450">
      <c r="A2450" s="5" t="s">
        <v>2054</v>
      </c>
    </row>
    <row r="2451">
      <c r="A2451" s="5" t="s">
        <v>2054</v>
      </c>
    </row>
    <row r="2452">
      <c r="A2452" s="5" t="s">
        <v>2054</v>
      </c>
    </row>
    <row r="2453">
      <c r="A2453" s="5" t="s">
        <v>2054</v>
      </c>
    </row>
    <row r="2454">
      <c r="A2454" s="5" t="s">
        <v>2054</v>
      </c>
    </row>
    <row r="2455">
      <c r="A2455" s="5" t="s">
        <v>2054</v>
      </c>
    </row>
    <row r="2456">
      <c r="A2456" s="5" t="s">
        <v>2054</v>
      </c>
    </row>
    <row r="2457">
      <c r="A2457" s="5" t="s">
        <v>2054</v>
      </c>
    </row>
    <row r="2458">
      <c r="A2458" s="5" t="s">
        <v>2054</v>
      </c>
    </row>
    <row r="2459">
      <c r="A2459" s="5" t="s">
        <v>2054</v>
      </c>
    </row>
    <row r="2460">
      <c r="A2460" s="5" t="s">
        <v>2054</v>
      </c>
    </row>
    <row r="2461">
      <c r="A2461" s="5" t="s">
        <v>2054</v>
      </c>
    </row>
    <row r="2462">
      <c r="A2462" s="5" t="s">
        <v>2054</v>
      </c>
    </row>
    <row r="2463">
      <c r="A2463" s="5" t="s">
        <v>2054</v>
      </c>
    </row>
    <row r="2464">
      <c r="A2464" s="5" t="s">
        <v>2054</v>
      </c>
    </row>
    <row r="2465">
      <c r="A2465" s="5" t="s">
        <v>2054</v>
      </c>
    </row>
    <row r="2466">
      <c r="A2466" s="5" t="s">
        <v>2054</v>
      </c>
    </row>
    <row r="2467">
      <c r="A2467" s="5" t="s">
        <v>2054</v>
      </c>
    </row>
    <row r="2468">
      <c r="A2468" s="5" t="s">
        <v>2054</v>
      </c>
    </row>
    <row r="2469">
      <c r="A2469" s="5" t="s">
        <v>2054</v>
      </c>
    </row>
    <row r="2470">
      <c r="A2470" s="5" t="s">
        <v>2054</v>
      </c>
    </row>
    <row r="2471">
      <c r="A2471" s="5" t="s">
        <v>2054</v>
      </c>
    </row>
    <row r="2472">
      <c r="A2472" s="5" t="s">
        <v>2054</v>
      </c>
    </row>
    <row r="2473">
      <c r="A2473" s="5" t="s">
        <v>2054</v>
      </c>
    </row>
    <row r="2474">
      <c r="A2474" s="5" t="s">
        <v>2054</v>
      </c>
    </row>
    <row r="2475">
      <c r="A2475" s="5" t="s">
        <v>2054</v>
      </c>
    </row>
    <row r="2476">
      <c r="A2476" s="5" t="s">
        <v>2054</v>
      </c>
    </row>
    <row r="2477">
      <c r="A2477" s="5" t="s">
        <v>2054</v>
      </c>
    </row>
    <row r="2478">
      <c r="A2478" s="5" t="s">
        <v>2054</v>
      </c>
    </row>
    <row r="2479">
      <c r="A2479" s="5" t="s">
        <v>2054</v>
      </c>
    </row>
    <row r="2480">
      <c r="A2480" s="5" t="s">
        <v>2054</v>
      </c>
    </row>
    <row r="2481">
      <c r="A2481" s="5" t="s">
        <v>2054</v>
      </c>
    </row>
    <row r="2482">
      <c r="A2482" s="5" t="s">
        <v>2054</v>
      </c>
    </row>
    <row r="2483">
      <c r="A2483" s="5" t="s">
        <v>2054</v>
      </c>
    </row>
    <row r="2484">
      <c r="A2484" s="5" t="s">
        <v>2054</v>
      </c>
    </row>
    <row r="2485">
      <c r="A2485" s="5" t="s">
        <v>2054</v>
      </c>
    </row>
    <row r="2486">
      <c r="A2486" s="5" t="s">
        <v>2054</v>
      </c>
    </row>
    <row r="2487">
      <c r="A2487" s="5" t="s">
        <v>2054</v>
      </c>
    </row>
    <row r="2488">
      <c r="A2488" s="5" t="s">
        <v>2054</v>
      </c>
    </row>
    <row r="2489">
      <c r="A2489" s="5" t="s">
        <v>2054</v>
      </c>
    </row>
    <row r="2490">
      <c r="A2490" s="5" t="s">
        <v>2054</v>
      </c>
    </row>
    <row r="2491">
      <c r="A2491" s="5" t="s">
        <v>2054</v>
      </c>
    </row>
    <row r="2492">
      <c r="A2492" s="5" t="s">
        <v>2054</v>
      </c>
    </row>
    <row r="2493">
      <c r="A2493" s="5" t="s">
        <v>2054</v>
      </c>
    </row>
    <row r="2494">
      <c r="A2494" s="5" t="s">
        <v>2054</v>
      </c>
    </row>
    <row r="2495">
      <c r="A2495" s="5" t="s">
        <v>2054</v>
      </c>
    </row>
    <row r="2496">
      <c r="A2496" s="5" t="s">
        <v>2054</v>
      </c>
    </row>
    <row r="2497">
      <c r="A2497" s="5" t="s">
        <v>2054</v>
      </c>
    </row>
    <row r="2498">
      <c r="A2498" s="5" t="s">
        <v>2054</v>
      </c>
    </row>
    <row r="2499">
      <c r="A2499" s="5" t="s">
        <v>2054</v>
      </c>
    </row>
    <row r="2500">
      <c r="A2500" s="5" t="s">
        <v>2054</v>
      </c>
    </row>
    <row r="2501">
      <c r="A2501" s="5" t="s">
        <v>2054</v>
      </c>
    </row>
    <row r="2502">
      <c r="A2502" s="5" t="s">
        <v>2054</v>
      </c>
    </row>
    <row r="2503">
      <c r="A2503" s="5" t="s">
        <v>2054</v>
      </c>
    </row>
    <row r="2504">
      <c r="A2504" s="5" t="s">
        <v>2054</v>
      </c>
    </row>
    <row r="2505">
      <c r="A2505" s="5" t="s">
        <v>2054</v>
      </c>
    </row>
    <row r="2506">
      <c r="A2506" s="5" t="s">
        <v>2054</v>
      </c>
    </row>
    <row r="2507">
      <c r="A2507" s="5" t="s">
        <v>2054</v>
      </c>
    </row>
    <row r="2508">
      <c r="A2508" s="5" t="s">
        <v>2054</v>
      </c>
    </row>
    <row r="2509">
      <c r="A2509" s="5" t="s">
        <v>2054</v>
      </c>
    </row>
    <row r="2510">
      <c r="A2510" s="5" t="s">
        <v>2054</v>
      </c>
    </row>
    <row r="2511">
      <c r="A2511" s="5" t="s">
        <v>2054</v>
      </c>
    </row>
    <row r="2512">
      <c r="A2512" s="5" t="s">
        <v>2054</v>
      </c>
    </row>
    <row r="2513">
      <c r="A2513" s="5" t="s">
        <v>2054</v>
      </c>
    </row>
    <row r="2514">
      <c r="A2514" s="5" t="s">
        <v>2054</v>
      </c>
    </row>
    <row r="2515">
      <c r="A2515" s="5" t="s">
        <v>2054</v>
      </c>
    </row>
    <row r="2516">
      <c r="A2516" s="5" t="s">
        <v>2054</v>
      </c>
    </row>
    <row r="2517">
      <c r="A2517" s="5" t="s">
        <v>2054</v>
      </c>
    </row>
    <row r="2518">
      <c r="A2518" s="5" t="s">
        <v>2054</v>
      </c>
    </row>
    <row r="2519">
      <c r="A2519" s="5" t="s">
        <v>2054</v>
      </c>
    </row>
    <row r="2520">
      <c r="A2520" s="5" t="s">
        <v>2054</v>
      </c>
    </row>
    <row r="2521">
      <c r="A2521" s="5" t="s">
        <v>2054</v>
      </c>
    </row>
    <row r="2522">
      <c r="A2522" s="5" t="s">
        <v>2054</v>
      </c>
    </row>
    <row r="2523">
      <c r="A2523" s="5" t="s">
        <v>2054</v>
      </c>
    </row>
    <row r="2524">
      <c r="A2524" s="5" t="s">
        <v>2054</v>
      </c>
    </row>
    <row r="2525">
      <c r="A2525" s="5" t="s">
        <v>2054</v>
      </c>
    </row>
    <row r="2526">
      <c r="A2526" s="5" t="s">
        <v>2054</v>
      </c>
    </row>
    <row r="2527">
      <c r="A2527" s="5" t="s">
        <v>2054</v>
      </c>
    </row>
    <row r="2528">
      <c r="A2528" s="5" t="s">
        <v>2054</v>
      </c>
    </row>
    <row r="2529">
      <c r="A2529" s="5" t="s">
        <v>2054</v>
      </c>
    </row>
    <row r="2530">
      <c r="A2530" s="5" t="s">
        <v>2054</v>
      </c>
    </row>
    <row r="2531">
      <c r="A2531" s="5" t="s">
        <v>2054</v>
      </c>
    </row>
    <row r="2532">
      <c r="A2532" s="5" t="s">
        <v>2054</v>
      </c>
    </row>
    <row r="2533">
      <c r="A2533" s="5" t="s">
        <v>2054</v>
      </c>
    </row>
    <row r="2534">
      <c r="A2534" s="5" t="s">
        <v>2054</v>
      </c>
    </row>
    <row r="2535">
      <c r="A2535" s="5" t="s">
        <v>2054</v>
      </c>
    </row>
    <row r="2536">
      <c r="A2536" s="5" t="s">
        <v>2054</v>
      </c>
    </row>
    <row r="2537">
      <c r="A2537" s="5" t="s">
        <v>2054</v>
      </c>
    </row>
    <row r="2538">
      <c r="A2538" s="5" t="s">
        <v>2054</v>
      </c>
    </row>
    <row r="2539">
      <c r="A2539" s="5" t="s">
        <v>2054</v>
      </c>
    </row>
    <row r="2540">
      <c r="A2540" s="5" t="s">
        <v>2054</v>
      </c>
    </row>
    <row r="2541">
      <c r="A2541" s="5" t="s">
        <v>2054</v>
      </c>
    </row>
    <row r="2542">
      <c r="A2542" s="5" t="s">
        <v>2054</v>
      </c>
    </row>
    <row r="2543">
      <c r="A2543" s="5" t="s">
        <v>2054</v>
      </c>
    </row>
    <row r="2544">
      <c r="A2544" s="5" t="s">
        <v>2054</v>
      </c>
    </row>
    <row r="2545">
      <c r="A2545" s="5" t="s">
        <v>2054</v>
      </c>
    </row>
    <row r="2546">
      <c r="A2546" s="5" t="s">
        <v>2054</v>
      </c>
    </row>
    <row r="2547">
      <c r="A2547" s="5" t="s">
        <v>2054</v>
      </c>
    </row>
    <row r="2548">
      <c r="A2548" s="5" t="s">
        <v>2054</v>
      </c>
    </row>
    <row r="2549">
      <c r="A2549" s="5" t="s">
        <v>2054</v>
      </c>
    </row>
    <row r="2550">
      <c r="A2550" s="5" t="s">
        <v>2054</v>
      </c>
    </row>
    <row r="2551">
      <c r="A2551" s="5" t="s">
        <v>2054</v>
      </c>
    </row>
    <row r="2552">
      <c r="A2552" s="5" t="s">
        <v>2054</v>
      </c>
    </row>
    <row r="2553">
      <c r="A2553" s="5" t="s">
        <v>2054</v>
      </c>
    </row>
    <row r="2554">
      <c r="A2554" s="5" t="s">
        <v>2054</v>
      </c>
    </row>
    <row r="2555">
      <c r="A2555" s="5" t="s">
        <v>2054</v>
      </c>
    </row>
    <row r="2556">
      <c r="A2556" s="5" t="s">
        <v>2054</v>
      </c>
    </row>
    <row r="2557">
      <c r="A2557" s="5" t="s">
        <v>2054</v>
      </c>
    </row>
    <row r="2558">
      <c r="A2558" s="5" t="s">
        <v>2054</v>
      </c>
    </row>
    <row r="2559">
      <c r="A2559" s="5" t="s">
        <v>2054</v>
      </c>
    </row>
    <row r="2560">
      <c r="A2560" s="5" t="s">
        <v>2054</v>
      </c>
    </row>
    <row r="2561">
      <c r="A2561" s="5" t="s">
        <v>2054</v>
      </c>
    </row>
    <row r="2562">
      <c r="A2562" s="5" t="s">
        <v>2054</v>
      </c>
    </row>
    <row r="2563">
      <c r="A2563" s="5" t="s">
        <v>2054</v>
      </c>
    </row>
    <row r="2564">
      <c r="A2564" s="5" t="s">
        <v>2054</v>
      </c>
    </row>
    <row r="2565">
      <c r="A2565" s="5" t="s">
        <v>2054</v>
      </c>
    </row>
    <row r="2566">
      <c r="A2566" s="5" t="s">
        <v>2054</v>
      </c>
    </row>
    <row r="2567">
      <c r="A2567" s="5" t="s">
        <v>2054</v>
      </c>
    </row>
    <row r="2568">
      <c r="A2568" s="5" t="s">
        <v>2054</v>
      </c>
    </row>
    <row r="2569">
      <c r="A2569" s="5" t="s">
        <v>2054</v>
      </c>
    </row>
    <row r="2570">
      <c r="A2570" s="5" t="s">
        <v>2054</v>
      </c>
    </row>
    <row r="2571">
      <c r="A2571" s="5" t="s">
        <v>2054</v>
      </c>
    </row>
    <row r="2572">
      <c r="A2572" s="5" t="s">
        <v>2054</v>
      </c>
    </row>
    <row r="2573">
      <c r="A2573" s="5" t="s">
        <v>2054</v>
      </c>
    </row>
    <row r="2574">
      <c r="A2574" s="5" t="s">
        <v>2054</v>
      </c>
    </row>
    <row r="2575">
      <c r="A2575" s="5" t="s">
        <v>2054</v>
      </c>
    </row>
    <row r="2576">
      <c r="A2576" s="5" t="s">
        <v>2054</v>
      </c>
    </row>
    <row r="2577">
      <c r="A2577" s="5" t="s">
        <v>2054</v>
      </c>
    </row>
    <row r="2578">
      <c r="A2578" s="5" t="s">
        <v>2054</v>
      </c>
    </row>
    <row r="2579">
      <c r="A2579" s="5" t="s">
        <v>2054</v>
      </c>
    </row>
    <row r="2580">
      <c r="A2580" s="5" t="s">
        <v>2054</v>
      </c>
    </row>
    <row r="2581">
      <c r="A2581" s="5" t="s">
        <v>2054</v>
      </c>
    </row>
    <row r="2582">
      <c r="A2582" s="5" t="s">
        <v>2054</v>
      </c>
    </row>
    <row r="2583">
      <c r="A2583" s="5" t="s">
        <v>2054</v>
      </c>
    </row>
    <row r="2584">
      <c r="A2584" s="5" t="s">
        <v>2054</v>
      </c>
    </row>
    <row r="2585">
      <c r="A2585" s="5" t="s">
        <v>2054</v>
      </c>
    </row>
    <row r="2586">
      <c r="A2586" s="5" t="s">
        <v>2054</v>
      </c>
    </row>
    <row r="2587">
      <c r="A2587" s="5" t="s">
        <v>2054</v>
      </c>
    </row>
    <row r="2588">
      <c r="A2588" s="5" t="s">
        <v>2054</v>
      </c>
    </row>
    <row r="2589">
      <c r="A2589" s="5" t="s">
        <v>2054</v>
      </c>
    </row>
    <row r="2590">
      <c r="A2590" s="5" t="s">
        <v>2054</v>
      </c>
    </row>
    <row r="2591">
      <c r="A2591" s="5" t="s">
        <v>2054</v>
      </c>
    </row>
    <row r="2592">
      <c r="A2592" s="5" t="s">
        <v>2054</v>
      </c>
    </row>
    <row r="2593">
      <c r="A2593" s="5" t="s">
        <v>2054</v>
      </c>
    </row>
    <row r="2594">
      <c r="A2594" s="5" t="s">
        <v>2054</v>
      </c>
    </row>
    <row r="2595">
      <c r="A2595" s="5" t="s">
        <v>2054</v>
      </c>
    </row>
    <row r="2596">
      <c r="A2596" s="5" t="s">
        <v>2054</v>
      </c>
    </row>
    <row r="2597">
      <c r="A2597" s="5" t="s">
        <v>2054</v>
      </c>
    </row>
    <row r="2598">
      <c r="A2598" s="5" t="s">
        <v>2054</v>
      </c>
    </row>
    <row r="2599">
      <c r="A2599" s="5" t="s">
        <v>2054</v>
      </c>
    </row>
    <row r="2600">
      <c r="A2600" s="5" t="s">
        <v>2054</v>
      </c>
    </row>
    <row r="2601">
      <c r="A2601" s="5" t="s">
        <v>2054</v>
      </c>
    </row>
    <row r="2602">
      <c r="A2602" s="5" t="s">
        <v>2054</v>
      </c>
    </row>
    <row r="2603">
      <c r="A2603" s="5" t="s">
        <v>2054</v>
      </c>
    </row>
    <row r="2604">
      <c r="A2604" s="5" t="s">
        <v>2054</v>
      </c>
    </row>
    <row r="2605">
      <c r="A2605" s="5" t="s">
        <v>2054</v>
      </c>
    </row>
    <row r="2606">
      <c r="A2606" s="5" t="s">
        <v>2054</v>
      </c>
    </row>
    <row r="2607">
      <c r="A2607" s="5" t="s">
        <v>2054</v>
      </c>
    </row>
    <row r="2608">
      <c r="A2608" s="5" t="s">
        <v>2054</v>
      </c>
    </row>
    <row r="2609">
      <c r="A2609" s="5" t="s">
        <v>2054</v>
      </c>
    </row>
    <row r="2610">
      <c r="A2610" s="5" t="s">
        <v>2054</v>
      </c>
    </row>
    <row r="2611">
      <c r="A2611" s="5" t="s">
        <v>2054</v>
      </c>
    </row>
    <row r="2612">
      <c r="A2612" s="5" t="s">
        <v>2054</v>
      </c>
    </row>
    <row r="2613">
      <c r="A2613" s="5" t="s">
        <v>2054</v>
      </c>
    </row>
    <row r="2614">
      <c r="A2614" s="5" t="s">
        <v>2054</v>
      </c>
    </row>
    <row r="2615">
      <c r="A2615" s="5" t="s">
        <v>2054</v>
      </c>
    </row>
    <row r="2616">
      <c r="A2616" s="5" t="s">
        <v>2054</v>
      </c>
    </row>
    <row r="2617">
      <c r="A2617" s="5" t="s">
        <v>2054</v>
      </c>
    </row>
    <row r="2618">
      <c r="A2618" s="5" t="s">
        <v>2054</v>
      </c>
    </row>
    <row r="2619">
      <c r="A2619" s="5" t="s">
        <v>2054</v>
      </c>
    </row>
    <row r="2620">
      <c r="A2620" s="5" t="s">
        <v>2054</v>
      </c>
    </row>
    <row r="2621">
      <c r="A2621" s="5" t="s">
        <v>2054</v>
      </c>
    </row>
    <row r="2622">
      <c r="A2622" s="5" t="s">
        <v>2054</v>
      </c>
    </row>
    <row r="2623">
      <c r="A2623" s="5" t="s">
        <v>2054</v>
      </c>
    </row>
    <row r="2624">
      <c r="A2624" s="5" t="s">
        <v>2054</v>
      </c>
    </row>
    <row r="2625">
      <c r="A2625" s="5" t="s">
        <v>2054</v>
      </c>
    </row>
    <row r="2626">
      <c r="A2626" s="5" t="s">
        <v>2054</v>
      </c>
    </row>
    <row r="2627">
      <c r="A2627" s="5" t="s">
        <v>2054</v>
      </c>
    </row>
    <row r="2628">
      <c r="A2628" s="5" t="s">
        <v>2054</v>
      </c>
    </row>
    <row r="2629">
      <c r="A2629" s="5" t="s">
        <v>2054</v>
      </c>
    </row>
    <row r="2630">
      <c r="A2630" s="5" t="s">
        <v>2054</v>
      </c>
    </row>
    <row r="2631">
      <c r="A2631" s="5" t="s">
        <v>2054</v>
      </c>
    </row>
    <row r="2632">
      <c r="A2632" s="5" t="s">
        <v>2054</v>
      </c>
    </row>
    <row r="2633">
      <c r="A2633" s="5" t="s">
        <v>2054</v>
      </c>
    </row>
    <row r="2634">
      <c r="A2634" s="5" t="s">
        <v>2054</v>
      </c>
    </row>
    <row r="2635">
      <c r="A2635" s="5" t="s">
        <v>2054</v>
      </c>
    </row>
    <row r="2636">
      <c r="A2636" s="5" t="s">
        <v>2054</v>
      </c>
    </row>
    <row r="2637">
      <c r="A2637" s="5" t="s">
        <v>2054</v>
      </c>
    </row>
    <row r="2638">
      <c r="A2638" s="5" t="s">
        <v>2054</v>
      </c>
    </row>
    <row r="2639">
      <c r="A2639" s="5" t="s">
        <v>2054</v>
      </c>
    </row>
    <row r="2640">
      <c r="A2640" s="5" t="s">
        <v>2054</v>
      </c>
    </row>
    <row r="2641">
      <c r="A2641" s="5" t="s">
        <v>2054</v>
      </c>
    </row>
    <row r="2642">
      <c r="A2642" s="5" t="s">
        <v>2054</v>
      </c>
    </row>
    <row r="2643">
      <c r="A2643" s="5" t="s">
        <v>2054</v>
      </c>
    </row>
    <row r="2644">
      <c r="A2644" s="5" t="s">
        <v>2054</v>
      </c>
    </row>
    <row r="2645">
      <c r="A2645" s="5" t="s">
        <v>2054</v>
      </c>
    </row>
    <row r="2646">
      <c r="A2646" s="5" t="s">
        <v>2054</v>
      </c>
    </row>
    <row r="2647">
      <c r="A2647" s="5" t="s">
        <v>2054</v>
      </c>
    </row>
    <row r="2648">
      <c r="A2648" s="5" t="s">
        <v>2054</v>
      </c>
    </row>
    <row r="2649">
      <c r="A2649" s="5" t="s">
        <v>2054</v>
      </c>
    </row>
    <row r="2650">
      <c r="A2650" s="5" t="s">
        <v>2054</v>
      </c>
    </row>
    <row r="2651">
      <c r="A2651" s="5" t="s">
        <v>2054</v>
      </c>
    </row>
    <row r="2652">
      <c r="A2652" s="5" t="s">
        <v>2054</v>
      </c>
    </row>
    <row r="2653">
      <c r="A2653" s="5" t="s">
        <v>2054</v>
      </c>
    </row>
    <row r="2654">
      <c r="A2654" s="5" t="s">
        <v>2054</v>
      </c>
    </row>
    <row r="2655">
      <c r="A2655" s="5" t="s">
        <v>2054</v>
      </c>
    </row>
    <row r="2656">
      <c r="A2656" s="5" t="s">
        <v>2054</v>
      </c>
    </row>
    <row r="2657">
      <c r="A2657" s="5" t="s">
        <v>2054</v>
      </c>
    </row>
    <row r="2658">
      <c r="A2658" s="5" t="s">
        <v>2054</v>
      </c>
    </row>
    <row r="2659">
      <c r="A2659" s="5" t="s">
        <v>2054</v>
      </c>
    </row>
    <row r="2660">
      <c r="A2660" s="5" t="s">
        <v>2054</v>
      </c>
    </row>
    <row r="2661">
      <c r="A2661" s="5" t="s">
        <v>2054</v>
      </c>
    </row>
    <row r="2662">
      <c r="A2662" s="5" t="s">
        <v>2054</v>
      </c>
    </row>
    <row r="2663">
      <c r="A2663" s="5" t="s">
        <v>2054</v>
      </c>
    </row>
    <row r="2664">
      <c r="A2664" s="5" t="s">
        <v>2054</v>
      </c>
    </row>
    <row r="2665">
      <c r="A2665" s="5" t="s">
        <v>2054</v>
      </c>
    </row>
    <row r="2666">
      <c r="A2666" s="5" t="s">
        <v>2054</v>
      </c>
    </row>
    <row r="2667">
      <c r="A2667" s="5" t="s">
        <v>2054</v>
      </c>
    </row>
    <row r="2668">
      <c r="A2668" s="5" t="s">
        <v>2054</v>
      </c>
    </row>
    <row r="2669">
      <c r="A2669" s="5" t="s">
        <v>2054</v>
      </c>
    </row>
    <row r="2670">
      <c r="A2670" s="5" t="s">
        <v>2054</v>
      </c>
    </row>
    <row r="2671">
      <c r="A2671" s="5" t="s">
        <v>2054</v>
      </c>
    </row>
    <row r="2672">
      <c r="A2672" s="5" t="s">
        <v>2054</v>
      </c>
    </row>
    <row r="2673">
      <c r="A2673" s="5" t="s">
        <v>2054</v>
      </c>
    </row>
    <row r="2674">
      <c r="A2674" s="5" t="s">
        <v>2054</v>
      </c>
    </row>
    <row r="2675">
      <c r="A2675" s="5" t="s">
        <v>2054</v>
      </c>
    </row>
    <row r="2676">
      <c r="A2676" s="5" t="s">
        <v>2054</v>
      </c>
    </row>
    <row r="2677">
      <c r="A2677" s="5" t="s">
        <v>2054</v>
      </c>
    </row>
    <row r="2678">
      <c r="A2678" s="5" t="s">
        <v>2054</v>
      </c>
    </row>
    <row r="2679">
      <c r="A2679" s="5" t="s">
        <v>2054</v>
      </c>
    </row>
    <row r="2680">
      <c r="A2680" s="5" t="s">
        <v>2054</v>
      </c>
    </row>
    <row r="2681">
      <c r="A2681" s="5" t="s">
        <v>2054</v>
      </c>
    </row>
    <row r="2682">
      <c r="A2682" s="5" t="s">
        <v>2054</v>
      </c>
    </row>
    <row r="2683">
      <c r="A2683" s="5" t="s">
        <v>2054</v>
      </c>
    </row>
    <row r="2684">
      <c r="A2684" s="5" t="s">
        <v>2054</v>
      </c>
    </row>
    <row r="2685">
      <c r="A2685" s="5" t="s">
        <v>2054</v>
      </c>
    </row>
    <row r="2686">
      <c r="A2686" s="5" t="s">
        <v>2054</v>
      </c>
    </row>
    <row r="2687">
      <c r="A2687" s="5" t="s">
        <v>2054</v>
      </c>
    </row>
    <row r="2688">
      <c r="A2688" s="5" t="s">
        <v>2054</v>
      </c>
    </row>
    <row r="2689">
      <c r="A2689" s="5" t="s">
        <v>2054</v>
      </c>
    </row>
    <row r="2690">
      <c r="A2690" s="5" t="s">
        <v>2054</v>
      </c>
    </row>
    <row r="2691">
      <c r="A2691" s="5" t="s">
        <v>2054</v>
      </c>
    </row>
    <row r="2692">
      <c r="A2692" s="5" t="s">
        <v>2054</v>
      </c>
    </row>
    <row r="2693">
      <c r="A2693" s="5" t="s">
        <v>2054</v>
      </c>
    </row>
    <row r="2694">
      <c r="A2694" s="5" t="s">
        <v>2054</v>
      </c>
    </row>
    <row r="2695">
      <c r="A2695" s="5" t="s">
        <v>2054</v>
      </c>
    </row>
    <row r="2696">
      <c r="A2696" s="5" t="s">
        <v>2054</v>
      </c>
    </row>
    <row r="2697">
      <c r="A2697" s="5" t="s">
        <v>2054</v>
      </c>
    </row>
    <row r="2698">
      <c r="A2698" s="5" t="s">
        <v>2054</v>
      </c>
    </row>
    <row r="2699">
      <c r="A2699" s="5" t="s">
        <v>2054</v>
      </c>
    </row>
    <row r="2700">
      <c r="A2700" s="5" t="s">
        <v>2054</v>
      </c>
    </row>
    <row r="2701">
      <c r="A2701" s="5" t="s">
        <v>2054</v>
      </c>
    </row>
    <row r="2702">
      <c r="A2702" s="5" t="s">
        <v>2054</v>
      </c>
    </row>
    <row r="2703">
      <c r="A2703" s="5" t="s">
        <v>2054</v>
      </c>
    </row>
    <row r="2704">
      <c r="A2704" s="5" t="s">
        <v>2054</v>
      </c>
    </row>
    <row r="2705">
      <c r="A2705" s="5" t="s">
        <v>2054</v>
      </c>
    </row>
    <row r="2706">
      <c r="A2706" s="5" t="s">
        <v>2054</v>
      </c>
    </row>
    <row r="2707">
      <c r="A2707" s="5" t="s">
        <v>2054</v>
      </c>
    </row>
    <row r="2708">
      <c r="A2708" s="5" t="s">
        <v>2054</v>
      </c>
    </row>
    <row r="2709">
      <c r="A2709" s="5" t="s">
        <v>2054</v>
      </c>
    </row>
    <row r="2710">
      <c r="A2710" s="5" t="s">
        <v>2054</v>
      </c>
    </row>
    <row r="2711">
      <c r="A2711" s="5" t="s">
        <v>2054</v>
      </c>
    </row>
    <row r="2712">
      <c r="A2712" s="5" t="s">
        <v>2054</v>
      </c>
    </row>
    <row r="2713">
      <c r="A2713" s="5" t="s">
        <v>2054</v>
      </c>
    </row>
    <row r="2714">
      <c r="A2714" s="5" t="s">
        <v>2054</v>
      </c>
    </row>
    <row r="2715">
      <c r="A2715" s="5" t="s">
        <v>2054</v>
      </c>
    </row>
    <row r="2716">
      <c r="A2716" s="5" t="s">
        <v>2054</v>
      </c>
    </row>
    <row r="2717">
      <c r="A2717" s="5" t="s">
        <v>2054</v>
      </c>
    </row>
    <row r="2718">
      <c r="A2718" s="5" t="s">
        <v>2054</v>
      </c>
    </row>
    <row r="2719">
      <c r="A2719" s="5" t="s">
        <v>2054</v>
      </c>
    </row>
    <row r="2720">
      <c r="A2720" s="5" t="s">
        <v>2054</v>
      </c>
    </row>
    <row r="2721">
      <c r="A2721" s="5" t="s">
        <v>2054</v>
      </c>
    </row>
    <row r="2722">
      <c r="A2722" s="5" t="s">
        <v>2054</v>
      </c>
    </row>
    <row r="2723">
      <c r="A2723" s="5" t="s">
        <v>2054</v>
      </c>
    </row>
    <row r="2724">
      <c r="A2724" s="5" t="s">
        <v>2054</v>
      </c>
    </row>
    <row r="2725">
      <c r="A2725" s="5" t="s">
        <v>2054</v>
      </c>
    </row>
    <row r="2726">
      <c r="A2726" s="5" t="s">
        <v>2054</v>
      </c>
    </row>
    <row r="2727">
      <c r="A2727" s="5" t="s">
        <v>2054</v>
      </c>
    </row>
    <row r="2728">
      <c r="A2728" s="5" t="s">
        <v>2054</v>
      </c>
    </row>
    <row r="2729">
      <c r="A2729" s="5" t="s">
        <v>2054</v>
      </c>
    </row>
    <row r="2730">
      <c r="A2730" s="5" t="s">
        <v>2054</v>
      </c>
    </row>
    <row r="2731">
      <c r="A2731" s="5" t="s">
        <v>2054</v>
      </c>
    </row>
    <row r="2732">
      <c r="A2732" s="5" t="s">
        <v>2054</v>
      </c>
    </row>
    <row r="2733">
      <c r="A2733" s="5" t="s">
        <v>2054</v>
      </c>
    </row>
    <row r="2734">
      <c r="A2734" s="5" t="s">
        <v>2054</v>
      </c>
    </row>
    <row r="2735">
      <c r="A2735" s="5" t="s">
        <v>2054</v>
      </c>
    </row>
    <row r="2736">
      <c r="A2736" s="5" t="s">
        <v>2054</v>
      </c>
    </row>
    <row r="2737">
      <c r="A2737" s="5" t="s">
        <v>2054</v>
      </c>
    </row>
    <row r="2738">
      <c r="A2738" s="5" t="s">
        <v>2054</v>
      </c>
    </row>
    <row r="2739">
      <c r="A2739" s="5" t="s">
        <v>2054</v>
      </c>
    </row>
    <row r="2740">
      <c r="A2740" s="5" t="s">
        <v>2054</v>
      </c>
    </row>
    <row r="2741">
      <c r="A2741" s="5" t="s">
        <v>2054</v>
      </c>
    </row>
    <row r="2742">
      <c r="A2742" s="5" t="s">
        <v>2054</v>
      </c>
    </row>
    <row r="2743">
      <c r="A2743" s="5" t="s">
        <v>2054</v>
      </c>
    </row>
    <row r="2744">
      <c r="A2744" s="5" t="s">
        <v>2054</v>
      </c>
    </row>
    <row r="2745">
      <c r="A2745" s="5" t="s">
        <v>2054</v>
      </c>
    </row>
    <row r="2746">
      <c r="A2746" s="5" t="s">
        <v>2054</v>
      </c>
    </row>
    <row r="2747">
      <c r="A2747" s="5" t="s">
        <v>2054</v>
      </c>
    </row>
    <row r="2748">
      <c r="A2748" s="5" t="s">
        <v>2054</v>
      </c>
    </row>
    <row r="2749">
      <c r="A2749" s="5" t="s">
        <v>2054</v>
      </c>
    </row>
    <row r="2750">
      <c r="A2750" s="5" t="s">
        <v>2054</v>
      </c>
    </row>
    <row r="2751">
      <c r="A2751" s="5" t="s">
        <v>2054</v>
      </c>
    </row>
    <row r="2752">
      <c r="A2752" s="5" t="s">
        <v>2054</v>
      </c>
    </row>
    <row r="2753">
      <c r="A2753" s="5" t="s">
        <v>2054</v>
      </c>
    </row>
    <row r="2754">
      <c r="A2754" s="5" t="s">
        <v>2054</v>
      </c>
    </row>
    <row r="2755">
      <c r="A2755" s="5" t="s">
        <v>2054</v>
      </c>
    </row>
    <row r="2756">
      <c r="A2756" s="5" t="s">
        <v>2054</v>
      </c>
    </row>
    <row r="2757">
      <c r="A2757" s="5" t="s">
        <v>2054</v>
      </c>
    </row>
    <row r="2758">
      <c r="A2758" s="5" t="s">
        <v>2054</v>
      </c>
    </row>
    <row r="2759">
      <c r="A2759" s="5" t="s">
        <v>2054</v>
      </c>
    </row>
    <row r="2760">
      <c r="A2760" s="5" t="s">
        <v>2054</v>
      </c>
    </row>
    <row r="2761">
      <c r="A2761" s="5" t="s">
        <v>2054</v>
      </c>
    </row>
    <row r="2762">
      <c r="A2762" s="5" t="s">
        <v>2054</v>
      </c>
    </row>
    <row r="2763">
      <c r="A2763" s="5" t="s">
        <v>2054</v>
      </c>
    </row>
    <row r="2764">
      <c r="A2764" s="5" t="s">
        <v>2054</v>
      </c>
    </row>
    <row r="2765">
      <c r="A2765" s="5" t="s">
        <v>2054</v>
      </c>
    </row>
    <row r="2766">
      <c r="A2766" s="5" t="s">
        <v>2054</v>
      </c>
    </row>
    <row r="2767">
      <c r="A2767" s="5" t="s">
        <v>2054</v>
      </c>
    </row>
    <row r="2768">
      <c r="A2768" s="5" t="s">
        <v>2054</v>
      </c>
    </row>
    <row r="2769">
      <c r="A2769" s="5" t="s">
        <v>2054</v>
      </c>
    </row>
    <row r="2770">
      <c r="A2770" s="5" t="s">
        <v>2054</v>
      </c>
    </row>
    <row r="2771">
      <c r="A2771" s="5" t="s">
        <v>2054</v>
      </c>
    </row>
    <row r="2772">
      <c r="A2772" s="5" t="s">
        <v>2054</v>
      </c>
    </row>
    <row r="2773">
      <c r="A2773" s="5" t="s">
        <v>2054</v>
      </c>
    </row>
    <row r="2774">
      <c r="A2774" s="5" t="s">
        <v>2054</v>
      </c>
    </row>
    <row r="2775">
      <c r="A2775" s="5" t="s">
        <v>2054</v>
      </c>
    </row>
    <row r="2776">
      <c r="A2776" s="5" t="s">
        <v>2054</v>
      </c>
    </row>
    <row r="2777">
      <c r="A2777" s="5" t="s">
        <v>2054</v>
      </c>
    </row>
    <row r="2778">
      <c r="A2778" s="5" t="s">
        <v>2054</v>
      </c>
    </row>
    <row r="2779">
      <c r="A2779" s="5" t="s">
        <v>2054</v>
      </c>
    </row>
    <row r="2780">
      <c r="A2780" s="5" t="s">
        <v>2054</v>
      </c>
    </row>
    <row r="2781">
      <c r="A2781" s="5" t="s">
        <v>2054</v>
      </c>
    </row>
    <row r="2782">
      <c r="A2782" s="5" t="s">
        <v>2054</v>
      </c>
    </row>
    <row r="2783">
      <c r="A2783" s="5" t="s">
        <v>2054</v>
      </c>
    </row>
    <row r="2784">
      <c r="A2784" s="5" t="s">
        <v>2054</v>
      </c>
    </row>
    <row r="2785">
      <c r="A2785" s="5" t="s">
        <v>2054</v>
      </c>
    </row>
    <row r="2786">
      <c r="A2786" s="5" t="s">
        <v>2054</v>
      </c>
    </row>
    <row r="2787">
      <c r="A2787" s="5" t="s">
        <v>2054</v>
      </c>
    </row>
    <row r="2788">
      <c r="A2788" s="5" t="s">
        <v>2054</v>
      </c>
    </row>
    <row r="2789">
      <c r="A2789" s="5" t="s">
        <v>2054</v>
      </c>
    </row>
    <row r="2790">
      <c r="A2790" s="5" t="s">
        <v>2054</v>
      </c>
    </row>
    <row r="2791">
      <c r="A2791" s="5" t="s">
        <v>2054</v>
      </c>
    </row>
    <row r="2792">
      <c r="A2792" s="5" t="s">
        <v>2054</v>
      </c>
    </row>
    <row r="2793">
      <c r="A2793" s="5" t="s">
        <v>2054</v>
      </c>
    </row>
    <row r="2794">
      <c r="A2794" s="5" t="s">
        <v>2054</v>
      </c>
    </row>
    <row r="2795">
      <c r="A2795" s="5" t="s">
        <v>2054</v>
      </c>
    </row>
    <row r="2796">
      <c r="A2796" s="5" t="s">
        <v>2054</v>
      </c>
    </row>
    <row r="2797">
      <c r="A2797" s="5" t="s">
        <v>2054</v>
      </c>
    </row>
    <row r="2798">
      <c r="A2798" s="5" t="s">
        <v>2054</v>
      </c>
    </row>
    <row r="2799">
      <c r="A2799" s="5" t="s">
        <v>2054</v>
      </c>
    </row>
    <row r="2800">
      <c r="A2800" s="5" t="s">
        <v>2054</v>
      </c>
    </row>
    <row r="2801">
      <c r="A2801" s="5" t="s">
        <v>2054</v>
      </c>
    </row>
    <row r="2802">
      <c r="A2802" s="5" t="s">
        <v>2054</v>
      </c>
    </row>
    <row r="2803">
      <c r="A2803" s="5" t="s">
        <v>2054</v>
      </c>
    </row>
    <row r="2804">
      <c r="A2804" s="5" t="s">
        <v>2054</v>
      </c>
    </row>
    <row r="2805">
      <c r="A2805" s="5" t="s">
        <v>2054</v>
      </c>
    </row>
    <row r="2806">
      <c r="A2806" s="5" t="s">
        <v>2054</v>
      </c>
    </row>
    <row r="2807">
      <c r="A2807" s="5" t="s">
        <v>2054</v>
      </c>
    </row>
    <row r="2808">
      <c r="A2808" s="5" t="s">
        <v>2054</v>
      </c>
    </row>
    <row r="2809">
      <c r="A2809" s="5" t="s">
        <v>2054</v>
      </c>
    </row>
    <row r="2810">
      <c r="A2810" s="5" t="s">
        <v>2054</v>
      </c>
    </row>
    <row r="2811">
      <c r="A2811" s="5" t="s">
        <v>2054</v>
      </c>
    </row>
    <row r="2812">
      <c r="A2812" s="5" t="s">
        <v>2054</v>
      </c>
    </row>
    <row r="2813">
      <c r="A2813" s="5" t="s">
        <v>2054</v>
      </c>
    </row>
    <row r="2814">
      <c r="A2814" s="5" t="s">
        <v>2054</v>
      </c>
    </row>
    <row r="2815">
      <c r="A2815" s="5" t="s">
        <v>2054</v>
      </c>
    </row>
    <row r="2816">
      <c r="A2816" s="5" t="s">
        <v>2054</v>
      </c>
    </row>
    <row r="2817">
      <c r="A2817" s="5" t="s">
        <v>2054</v>
      </c>
    </row>
    <row r="2818">
      <c r="A2818" s="5" t="s">
        <v>2054</v>
      </c>
    </row>
    <row r="2819">
      <c r="A2819" s="5" t="s">
        <v>2054</v>
      </c>
    </row>
    <row r="2820">
      <c r="A2820" s="5" t="s">
        <v>2054</v>
      </c>
    </row>
    <row r="2821">
      <c r="A2821" s="5" t="s">
        <v>2054</v>
      </c>
    </row>
    <row r="2822">
      <c r="A2822" s="5" t="s">
        <v>2054</v>
      </c>
    </row>
    <row r="2823">
      <c r="A2823" s="5" t="s">
        <v>2054</v>
      </c>
    </row>
    <row r="2824">
      <c r="A2824" s="5" t="s">
        <v>2054</v>
      </c>
    </row>
    <row r="2825">
      <c r="A2825" s="5" t="s">
        <v>2054</v>
      </c>
    </row>
    <row r="2826">
      <c r="A2826" s="5" t="s">
        <v>2054</v>
      </c>
    </row>
    <row r="2827">
      <c r="A2827" s="5" t="s">
        <v>2054</v>
      </c>
    </row>
    <row r="2828">
      <c r="A2828" s="5" t="s">
        <v>2054</v>
      </c>
    </row>
    <row r="2829">
      <c r="A2829" s="5" t="s">
        <v>2054</v>
      </c>
    </row>
    <row r="2830">
      <c r="A2830" s="5" t="s">
        <v>2054</v>
      </c>
    </row>
    <row r="2831">
      <c r="A2831" s="5" t="s">
        <v>2054</v>
      </c>
    </row>
    <row r="2832">
      <c r="A2832" s="5" t="s">
        <v>2054</v>
      </c>
    </row>
    <row r="2833">
      <c r="A2833" s="5" t="s">
        <v>2054</v>
      </c>
    </row>
    <row r="2834">
      <c r="A2834" s="5" t="s">
        <v>2054</v>
      </c>
    </row>
    <row r="2835">
      <c r="A2835" s="5" t="s">
        <v>2054</v>
      </c>
    </row>
    <row r="2836">
      <c r="A2836" s="5" t="s">
        <v>2054</v>
      </c>
    </row>
    <row r="2837">
      <c r="A2837" s="5" t="s">
        <v>2054</v>
      </c>
    </row>
    <row r="2838">
      <c r="A2838" s="5" t="s">
        <v>2054</v>
      </c>
    </row>
    <row r="2839">
      <c r="A2839" s="5" t="s">
        <v>2054</v>
      </c>
    </row>
    <row r="2840">
      <c r="A2840" s="5" t="s">
        <v>2054</v>
      </c>
    </row>
    <row r="2841">
      <c r="A2841" s="5" t="s">
        <v>2054</v>
      </c>
    </row>
    <row r="2842">
      <c r="A2842" s="5" t="s">
        <v>2054</v>
      </c>
    </row>
    <row r="2843">
      <c r="A2843" s="5" t="s">
        <v>2054</v>
      </c>
    </row>
    <row r="2844">
      <c r="A2844" s="5" t="s">
        <v>2054</v>
      </c>
    </row>
    <row r="2845">
      <c r="A2845" s="5" t="s">
        <v>2054</v>
      </c>
    </row>
    <row r="2846">
      <c r="A2846" s="5" t="s">
        <v>2054</v>
      </c>
    </row>
    <row r="2847">
      <c r="A2847" s="5" t="s">
        <v>2054</v>
      </c>
    </row>
    <row r="2848">
      <c r="A2848" s="5" t="s">
        <v>2054</v>
      </c>
    </row>
    <row r="2849">
      <c r="A2849" s="5" t="s">
        <v>2054</v>
      </c>
    </row>
    <row r="2850">
      <c r="A2850" s="5" t="s">
        <v>2054</v>
      </c>
    </row>
    <row r="2851">
      <c r="A2851" s="5" t="s">
        <v>2054</v>
      </c>
    </row>
    <row r="2852">
      <c r="A2852" s="5" t="s">
        <v>2054</v>
      </c>
    </row>
    <row r="2853">
      <c r="A2853" s="5" t="s">
        <v>2054</v>
      </c>
    </row>
    <row r="2854">
      <c r="A2854" s="5" t="s">
        <v>2054</v>
      </c>
    </row>
    <row r="2855">
      <c r="A2855" s="5" t="s">
        <v>2054</v>
      </c>
    </row>
    <row r="2856">
      <c r="A2856" s="5" t="s">
        <v>2054</v>
      </c>
    </row>
    <row r="2857">
      <c r="A2857" s="5" t="s">
        <v>2054</v>
      </c>
    </row>
    <row r="2858">
      <c r="A2858" s="5" t="s">
        <v>2054</v>
      </c>
    </row>
    <row r="2859">
      <c r="A2859" s="5" t="s">
        <v>2054</v>
      </c>
    </row>
    <row r="2860">
      <c r="A2860" s="5" t="s">
        <v>2054</v>
      </c>
    </row>
    <row r="2861">
      <c r="A2861" s="5" t="s">
        <v>2054</v>
      </c>
    </row>
    <row r="2862">
      <c r="A2862" s="5" t="s">
        <v>2054</v>
      </c>
    </row>
    <row r="2863">
      <c r="A2863" s="5" t="s">
        <v>2054</v>
      </c>
    </row>
    <row r="2864">
      <c r="A2864" s="5" t="s">
        <v>2054</v>
      </c>
    </row>
    <row r="2865">
      <c r="A2865" s="5" t="s">
        <v>2054</v>
      </c>
    </row>
    <row r="2866">
      <c r="A2866" s="5" t="s">
        <v>2054</v>
      </c>
    </row>
    <row r="2867">
      <c r="A2867" s="5" t="s">
        <v>2054</v>
      </c>
    </row>
    <row r="2868">
      <c r="A2868" s="5" t="s">
        <v>2054</v>
      </c>
    </row>
    <row r="2869">
      <c r="A2869" s="5" t="s">
        <v>2054</v>
      </c>
    </row>
    <row r="2870">
      <c r="A2870" s="5" t="s">
        <v>2054</v>
      </c>
    </row>
    <row r="2871">
      <c r="A2871" s="5" t="s">
        <v>2054</v>
      </c>
    </row>
    <row r="2872">
      <c r="A2872" s="5" t="s">
        <v>2054</v>
      </c>
    </row>
    <row r="2873">
      <c r="A2873" s="5" t="s">
        <v>2054</v>
      </c>
    </row>
    <row r="2874">
      <c r="A2874" s="5" t="s">
        <v>2054</v>
      </c>
    </row>
    <row r="2875">
      <c r="A2875" s="5" t="s">
        <v>2054</v>
      </c>
    </row>
    <row r="2876">
      <c r="A2876" s="5" t="s">
        <v>2054</v>
      </c>
    </row>
    <row r="2877">
      <c r="A2877" s="5" t="s">
        <v>2054</v>
      </c>
    </row>
    <row r="2878">
      <c r="A2878" s="5" t="s">
        <v>2054</v>
      </c>
    </row>
    <row r="2879">
      <c r="A2879" s="5" t="s">
        <v>2054</v>
      </c>
    </row>
    <row r="2880">
      <c r="A2880" s="5" t="s">
        <v>2054</v>
      </c>
    </row>
    <row r="2881">
      <c r="A2881" s="5" t="s">
        <v>2054</v>
      </c>
    </row>
    <row r="2882">
      <c r="A2882" s="5" t="s">
        <v>2054</v>
      </c>
    </row>
    <row r="2883">
      <c r="A2883" s="5" t="s">
        <v>2054</v>
      </c>
    </row>
    <row r="2884">
      <c r="A2884" s="5" t="s">
        <v>2054</v>
      </c>
    </row>
    <row r="2885">
      <c r="A2885" s="5" t="s">
        <v>2054</v>
      </c>
    </row>
    <row r="2886">
      <c r="A2886" s="5" t="s">
        <v>2054</v>
      </c>
    </row>
    <row r="2887">
      <c r="A2887" s="5" t="s">
        <v>2054</v>
      </c>
    </row>
    <row r="2888">
      <c r="A2888" s="5" t="s">
        <v>2054</v>
      </c>
    </row>
    <row r="2889">
      <c r="A2889" s="5" t="s">
        <v>2054</v>
      </c>
    </row>
    <row r="2890">
      <c r="A2890" s="5" t="s">
        <v>2054</v>
      </c>
    </row>
    <row r="2891">
      <c r="A2891" s="5" t="s">
        <v>2054</v>
      </c>
    </row>
    <row r="2892">
      <c r="A2892" s="5" t="s">
        <v>2054</v>
      </c>
    </row>
    <row r="2893">
      <c r="A2893" s="5" t="s">
        <v>2054</v>
      </c>
    </row>
    <row r="2894">
      <c r="A2894" s="5" t="s">
        <v>2054</v>
      </c>
    </row>
    <row r="2895">
      <c r="A2895" s="5" t="s">
        <v>2054</v>
      </c>
    </row>
    <row r="2896">
      <c r="A2896" s="5" t="s">
        <v>2054</v>
      </c>
    </row>
    <row r="2897">
      <c r="A2897" s="5" t="s">
        <v>2054</v>
      </c>
    </row>
    <row r="2898">
      <c r="A2898" s="5" t="s">
        <v>2054</v>
      </c>
    </row>
    <row r="2899">
      <c r="A2899" s="5" t="s">
        <v>2054</v>
      </c>
    </row>
    <row r="2900">
      <c r="A2900" s="5" t="s">
        <v>2054</v>
      </c>
    </row>
    <row r="2901">
      <c r="A2901" s="5" t="s">
        <v>2054</v>
      </c>
    </row>
    <row r="2902">
      <c r="A2902" s="5" t="s">
        <v>2054</v>
      </c>
    </row>
    <row r="2903">
      <c r="A2903" s="5" t="s">
        <v>2054</v>
      </c>
    </row>
    <row r="2904">
      <c r="A2904" s="5" t="s">
        <v>2054</v>
      </c>
    </row>
    <row r="2905">
      <c r="A2905" s="5" t="s">
        <v>2054</v>
      </c>
    </row>
    <row r="2906">
      <c r="A2906" s="5" t="s">
        <v>2054</v>
      </c>
    </row>
    <row r="2907">
      <c r="A2907" s="5" t="s">
        <v>2054</v>
      </c>
    </row>
    <row r="2908">
      <c r="A2908" s="5" t="s">
        <v>2054</v>
      </c>
    </row>
    <row r="2909">
      <c r="A2909" s="5" t="s">
        <v>2054</v>
      </c>
    </row>
    <row r="2910">
      <c r="A2910" s="5" t="s">
        <v>2054</v>
      </c>
    </row>
    <row r="2911">
      <c r="A2911" s="5" t="s">
        <v>2054</v>
      </c>
    </row>
    <row r="2912">
      <c r="A2912" s="5" t="s">
        <v>2054</v>
      </c>
    </row>
    <row r="2913">
      <c r="A2913" s="5" t="s">
        <v>2054</v>
      </c>
    </row>
    <row r="2914">
      <c r="A2914" s="5" t="s">
        <v>2054</v>
      </c>
    </row>
    <row r="2915">
      <c r="A2915" s="5" t="s">
        <v>2054</v>
      </c>
    </row>
    <row r="2916">
      <c r="A2916" s="5" t="s">
        <v>2054</v>
      </c>
    </row>
    <row r="2917">
      <c r="A2917" s="5" t="s">
        <v>2054</v>
      </c>
    </row>
    <row r="2918">
      <c r="A2918" s="5" t="s">
        <v>2054</v>
      </c>
    </row>
    <row r="2919">
      <c r="A2919" s="5" t="s">
        <v>2054</v>
      </c>
    </row>
    <row r="2920">
      <c r="A2920" s="5" t="s">
        <v>2054</v>
      </c>
    </row>
    <row r="2921">
      <c r="A2921" s="5" t="s">
        <v>2054</v>
      </c>
    </row>
    <row r="2922">
      <c r="A2922" s="5" t="s">
        <v>2054</v>
      </c>
    </row>
    <row r="2923">
      <c r="A2923" s="5" t="s">
        <v>2054</v>
      </c>
    </row>
    <row r="2924">
      <c r="A2924" s="5" t="s">
        <v>2054</v>
      </c>
    </row>
    <row r="2925">
      <c r="A2925" s="5" t="s">
        <v>2054</v>
      </c>
    </row>
    <row r="2926">
      <c r="A2926" s="5" t="s">
        <v>2054</v>
      </c>
    </row>
    <row r="2927">
      <c r="A2927" s="5" t="s">
        <v>2054</v>
      </c>
    </row>
    <row r="2928">
      <c r="A2928" s="5" t="s">
        <v>2054</v>
      </c>
    </row>
    <row r="2929">
      <c r="A2929" s="5" t="s">
        <v>2054</v>
      </c>
    </row>
    <row r="2930">
      <c r="A2930" s="5" t="s">
        <v>2054</v>
      </c>
    </row>
    <row r="2931">
      <c r="A2931" s="5" t="s">
        <v>2054</v>
      </c>
    </row>
    <row r="2932">
      <c r="A2932" s="5" t="s">
        <v>2054</v>
      </c>
    </row>
    <row r="2933">
      <c r="A2933" s="5" t="s">
        <v>2054</v>
      </c>
    </row>
    <row r="2934">
      <c r="A2934" s="5" t="s">
        <v>2054</v>
      </c>
    </row>
    <row r="2935">
      <c r="A2935" s="5" t="s">
        <v>2054</v>
      </c>
    </row>
    <row r="2936">
      <c r="A2936" s="5" t="s">
        <v>2054</v>
      </c>
    </row>
    <row r="2937">
      <c r="A2937" s="5" t="s">
        <v>2054</v>
      </c>
    </row>
    <row r="2938">
      <c r="A2938" s="5" t="s">
        <v>2054</v>
      </c>
    </row>
    <row r="2939">
      <c r="A2939" s="5" t="s">
        <v>2054</v>
      </c>
    </row>
    <row r="2940">
      <c r="A2940" s="5" t="s">
        <v>2054</v>
      </c>
    </row>
    <row r="2941">
      <c r="A2941" s="5" t="s">
        <v>2054</v>
      </c>
    </row>
    <row r="2942">
      <c r="A2942" s="5" t="s">
        <v>2054</v>
      </c>
    </row>
    <row r="2943">
      <c r="A2943" s="5" t="s">
        <v>2054</v>
      </c>
    </row>
    <row r="2944">
      <c r="A2944" s="5" t="s">
        <v>2054</v>
      </c>
    </row>
    <row r="2945">
      <c r="A2945" s="5" t="s">
        <v>2054</v>
      </c>
    </row>
    <row r="2946">
      <c r="A2946" s="5" t="s">
        <v>2054</v>
      </c>
    </row>
    <row r="2947">
      <c r="A2947" s="5" t="s">
        <v>2054</v>
      </c>
    </row>
    <row r="2948">
      <c r="A2948" s="5" t="s">
        <v>2054</v>
      </c>
    </row>
    <row r="2949">
      <c r="A2949" s="5" t="s">
        <v>2054</v>
      </c>
    </row>
    <row r="2950">
      <c r="A2950" s="5" t="s">
        <v>2054</v>
      </c>
    </row>
    <row r="2951">
      <c r="A2951" s="5" t="s">
        <v>2054</v>
      </c>
    </row>
    <row r="2952">
      <c r="A2952" s="5" t="s">
        <v>2054</v>
      </c>
    </row>
    <row r="2953">
      <c r="A2953" s="5" t="s">
        <v>2054</v>
      </c>
    </row>
    <row r="2954">
      <c r="A2954" s="5" t="s">
        <v>2054</v>
      </c>
    </row>
    <row r="2955">
      <c r="A2955" s="5" t="s">
        <v>2054</v>
      </c>
    </row>
    <row r="2956">
      <c r="A2956" s="5" t="s">
        <v>2054</v>
      </c>
    </row>
    <row r="2957">
      <c r="A2957" s="5" t="s">
        <v>2054</v>
      </c>
    </row>
    <row r="2958">
      <c r="A2958" s="5" t="s">
        <v>2054</v>
      </c>
    </row>
    <row r="2959">
      <c r="A2959" s="5" t="s">
        <v>2054</v>
      </c>
    </row>
    <row r="2960">
      <c r="A2960" s="5" t="s">
        <v>2054</v>
      </c>
    </row>
    <row r="2961">
      <c r="A2961" s="5" t="s">
        <v>2054</v>
      </c>
    </row>
    <row r="2962">
      <c r="A2962" s="5" t="s">
        <v>2054</v>
      </c>
    </row>
    <row r="2963">
      <c r="A2963" s="5" t="s">
        <v>2054</v>
      </c>
    </row>
    <row r="2964">
      <c r="A2964" s="5" t="s">
        <v>2054</v>
      </c>
    </row>
    <row r="2965">
      <c r="A2965" s="5" t="s">
        <v>2054</v>
      </c>
    </row>
    <row r="2966">
      <c r="A2966" s="5" t="s">
        <v>2054</v>
      </c>
    </row>
    <row r="2967">
      <c r="A2967" s="5" t="s">
        <v>2054</v>
      </c>
    </row>
    <row r="2968">
      <c r="A2968" s="5" t="s">
        <v>2054</v>
      </c>
    </row>
    <row r="2969">
      <c r="A2969" s="5" t="s">
        <v>2054</v>
      </c>
    </row>
    <row r="2970">
      <c r="A2970" s="5" t="s">
        <v>2054</v>
      </c>
    </row>
    <row r="2971">
      <c r="A2971" s="5" t="s">
        <v>2054</v>
      </c>
    </row>
    <row r="2972">
      <c r="A2972" s="5" t="s">
        <v>2054</v>
      </c>
    </row>
    <row r="2973">
      <c r="A2973" s="5" t="s">
        <v>2054</v>
      </c>
    </row>
    <row r="2974">
      <c r="A2974" s="5" t="s">
        <v>2054</v>
      </c>
    </row>
    <row r="2975">
      <c r="A2975" s="5" t="s">
        <v>2054</v>
      </c>
    </row>
    <row r="2976">
      <c r="A2976" s="5" t="s">
        <v>2054</v>
      </c>
    </row>
    <row r="2977">
      <c r="A2977" s="5" t="s">
        <v>2054</v>
      </c>
    </row>
    <row r="2978">
      <c r="A2978" s="5" t="s">
        <v>2054</v>
      </c>
    </row>
    <row r="2979">
      <c r="A2979" s="5" t="s">
        <v>2054</v>
      </c>
    </row>
    <row r="2980">
      <c r="A2980" s="5" t="s">
        <v>2054</v>
      </c>
    </row>
    <row r="2981">
      <c r="A2981" s="5" t="s">
        <v>2054</v>
      </c>
    </row>
    <row r="2982">
      <c r="A2982" s="5" t="s">
        <v>2054</v>
      </c>
    </row>
    <row r="2983">
      <c r="A2983" s="5" t="s">
        <v>2054</v>
      </c>
    </row>
    <row r="2984">
      <c r="A2984" s="5" t="s">
        <v>2054</v>
      </c>
    </row>
    <row r="2985">
      <c r="A2985" s="5" t="s">
        <v>2054</v>
      </c>
    </row>
    <row r="2986">
      <c r="A2986" s="5" t="s">
        <v>2054</v>
      </c>
    </row>
    <row r="2987">
      <c r="A2987" s="5" t="s">
        <v>2054</v>
      </c>
    </row>
    <row r="2988">
      <c r="A2988" s="5" t="s">
        <v>2054</v>
      </c>
    </row>
    <row r="2989">
      <c r="A2989" s="5" t="s">
        <v>2054</v>
      </c>
    </row>
    <row r="2990">
      <c r="A2990" s="5" t="s">
        <v>2054</v>
      </c>
    </row>
    <row r="2991">
      <c r="A2991" s="5" t="s">
        <v>2054</v>
      </c>
    </row>
    <row r="2992">
      <c r="A2992" s="5" t="s">
        <v>2054</v>
      </c>
    </row>
    <row r="2993">
      <c r="A2993" s="5" t="s">
        <v>2054</v>
      </c>
    </row>
    <row r="2994">
      <c r="A2994" s="5" t="s">
        <v>2054</v>
      </c>
    </row>
    <row r="2995">
      <c r="A2995" s="5" t="s">
        <v>2054</v>
      </c>
    </row>
    <row r="2996">
      <c r="A2996" s="5" t="s">
        <v>2054</v>
      </c>
    </row>
    <row r="2997">
      <c r="A2997" s="5" t="s">
        <v>2054</v>
      </c>
    </row>
    <row r="2998">
      <c r="A2998" s="5" t="s">
        <v>2054</v>
      </c>
    </row>
    <row r="2999">
      <c r="A2999" s="5" t="s">
        <v>2054</v>
      </c>
    </row>
    <row r="3000">
      <c r="A3000" s="5" t="s">
        <v>2054</v>
      </c>
    </row>
    <row r="3001">
      <c r="A3001" s="5" t="s">
        <v>2054</v>
      </c>
    </row>
    <row r="3002">
      <c r="A3002" s="5" t="s">
        <v>2054</v>
      </c>
    </row>
    <row r="3003">
      <c r="A3003" s="5" t="s">
        <v>2054</v>
      </c>
    </row>
    <row r="3004">
      <c r="A3004" s="5" t="s">
        <v>2054</v>
      </c>
    </row>
    <row r="3005">
      <c r="A3005" s="5" t="s">
        <v>2054</v>
      </c>
    </row>
    <row r="3006">
      <c r="A3006" s="5" t="s">
        <v>2054</v>
      </c>
    </row>
    <row r="3007">
      <c r="A3007" s="5" t="s">
        <v>2054</v>
      </c>
    </row>
    <row r="3008">
      <c r="A3008" s="5" t="s">
        <v>2054</v>
      </c>
    </row>
    <row r="3009">
      <c r="A3009" s="5" t="s">
        <v>2054</v>
      </c>
    </row>
    <row r="3010">
      <c r="A3010" s="5" t="s">
        <v>2054</v>
      </c>
    </row>
    <row r="3011">
      <c r="A3011" s="5" t="s">
        <v>2054</v>
      </c>
    </row>
    <row r="3012">
      <c r="A3012" s="5" t="s">
        <v>2054</v>
      </c>
    </row>
    <row r="3013">
      <c r="A3013" s="5" t="s">
        <v>2054</v>
      </c>
    </row>
    <row r="3014">
      <c r="A3014" s="5" t="s">
        <v>2054</v>
      </c>
    </row>
    <row r="3015">
      <c r="A3015" s="5" t="s">
        <v>2054</v>
      </c>
    </row>
    <row r="3016">
      <c r="A3016" s="5" t="s">
        <v>2054</v>
      </c>
    </row>
    <row r="3017">
      <c r="A3017" s="5" t="s">
        <v>2054</v>
      </c>
    </row>
    <row r="3018">
      <c r="A3018" s="5" t="s">
        <v>2054</v>
      </c>
    </row>
    <row r="3019">
      <c r="A3019" s="5" t="s">
        <v>2054</v>
      </c>
    </row>
    <row r="3020">
      <c r="A3020" s="5" t="s">
        <v>2054</v>
      </c>
    </row>
    <row r="3021">
      <c r="A3021" s="5" t="s">
        <v>2054</v>
      </c>
    </row>
    <row r="3022">
      <c r="A3022" s="5" t="s">
        <v>2054</v>
      </c>
    </row>
    <row r="3023">
      <c r="A3023" s="5" t="s">
        <v>2054</v>
      </c>
    </row>
    <row r="3024">
      <c r="A3024" s="5" t="s">
        <v>2054</v>
      </c>
    </row>
    <row r="3025">
      <c r="A3025" s="5" t="s">
        <v>2054</v>
      </c>
    </row>
    <row r="3026">
      <c r="A3026" s="5" t="s">
        <v>2054</v>
      </c>
    </row>
    <row r="3027">
      <c r="A3027" s="5" t="s">
        <v>2054</v>
      </c>
    </row>
    <row r="3028">
      <c r="A3028" s="5" t="s">
        <v>2054</v>
      </c>
    </row>
    <row r="3029">
      <c r="A3029" s="5" t="s">
        <v>2054</v>
      </c>
    </row>
    <row r="3030">
      <c r="A3030" s="5" t="s">
        <v>2054</v>
      </c>
    </row>
    <row r="3031">
      <c r="A3031" s="5" t="s">
        <v>2054</v>
      </c>
    </row>
    <row r="3032">
      <c r="A3032" s="5" t="s">
        <v>2054</v>
      </c>
    </row>
    <row r="3033">
      <c r="A3033" s="5" t="s">
        <v>2054</v>
      </c>
    </row>
    <row r="3034">
      <c r="A3034" s="5" t="s">
        <v>2054</v>
      </c>
    </row>
    <row r="3035">
      <c r="A3035" s="5" t="s">
        <v>2054</v>
      </c>
    </row>
    <row r="3036">
      <c r="A3036" s="5" t="s">
        <v>2054</v>
      </c>
    </row>
    <row r="3037">
      <c r="A3037" s="5" t="s">
        <v>2054</v>
      </c>
    </row>
    <row r="3038">
      <c r="A3038" s="5" t="s">
        <v>2054</v>
      </c>
    </row>
    <row r="3039">
      <c r="A3039" s="5" t="s">
        <v>2054</v>
      </c>
    </row>
    <row r="3040">
      <c r="A3040" s="5" t="s">
        <v>2054</v>
      </c>
    </row>
    <row r="3041">
      <c r="A3041" s="5" t="s">
        <v>2054</v>
      </c>
    </row>
    <row r="3042">
      <c r="A3042" s="5" t="s">
        <v>2054</v>
      </c>
    </row>
    <row r="3043">
      <c r="A3043" s="5" t="s">
        <v>2054</v>
      </c>
    </row>
    <row r="3044">
      <c r="A3044" s="5" t="s">
        <v>2054</v>
      </c>
    </row>
    <row r="3045">
      <c r="A3045" s="5" t="s">
        <v>2054</v>
      </c>
    </row>
    <row r="3046">
      <c r="A3046" s="5" t="s">
        <v>2054</v>
      </c>
    </row>
    <row r="3047">
      <c r="A3047" s="5" t="s">
        <v>2054</v>
      </c>
    </row>
    <row r="3048">
      <c r="A3048" s="5" t="s">
        <v>2054</v>
      </c>
    </row>
    <row r="3049">
      <c r="A3049" s="5" t="s">
        <v>2054</v>
      </c>
    </row>
    <row r="3050">
      <c r="A3050" s="5" t="s">
        <v>2054</v>
      </c>
    </row>
    <row r="3051">
      <c r="A3051" s="5" t="s">
        <v>2054</v>
      </c>
    </row>
    <row r="3052">
      <c r="A3052" s="5" t="s">
        <v>2054</v>
      </c>
    </row>
    <row r="3053">
      <c r="A3053" s="5" t="s">
        <v>2054</v>
      </c>
    </row>
    <row r="3054">
      <c r="A3054" s="5" t="s">
        <v>2054</v>
      </c>
    </row>
    <row r="3055">
      <c r="A3055" s="5" t="s">
        <v>2054</v>
      </c>
    </row>
    <row r="3056">
      <c r="A3056" s="5" t="s">
        <v>2054</v>
      </c>
    </row>
    <row r="3057">
      <c r="A3057" s="5" t="s">
        <v>2054</v>
      </c>
    </row>
    <row r="3058">
      <c r="A3058" s="5" t="s">
        <v>2054</v>
      </c>
    </row>
    <row r="3059">
      <c r="A3059" s="5" t="s">
        <v>2054</v>
      </c>
    </row>
    <row r="3060">
      <c r="A3060" s="5" t="s">
        <v>2054</v>
      </c>
    </row>
    <row r="3061">
      <c r="A3061" s="5" t="s">
        <v>2054</v>
      </c>
    </row>
    <row r="3062">
      <c r="A3062" s="5" t="s">
        <v>2054</v>
      </c>
    </row>
    <row r="3063">
      <c r="A3063" s="5" t="s">
        <v>2054</v>
      </c>
    </row>
    <row r="3064">
      <c r="A3064" s="5" t="s">
        <v>2054</v>
      </c>
    </row>
    <row r="3065">
      <c r="A3065" s="5" t="s">
        <v>2054</v>
      </c>
    </row>
    <row r="3066">
      <c r="A3066" s="5" t="s">
        <v>2054</v>
      </c>
    </row>
    <row r="3067">
      <c r="A3067" s="5" t="s">
        <v>2054</v>
      </c>
    </row>
    <row r="3068">
      <c r="A3068" s="5" t="s">
        <v>2054</v>
      </c>
    </row>
    <row r="3069">
      <c r="A3069" s="5" t="s">
        <v>2054</v>
      </c>
    </row>
    <row r="3070">
      <c r="A3070" s="5" t="s">
        <v>2054</v>
      </c>
    </row>
    <row r="3071">
      <c r="A3071" s="5" t="s">
        <v>2054</v>
      </c>
    </row>
    <row r="3072">
      <c r="A3072" s="5" t="s">
        <v>2054</v>
      </c>
    </row>
    <row r="3073">
      <c r="A3073" s="5" t="s">
        <v>2054</v>
      </c>
    </row>
    <row r="3074">
      <c r="A3074" s="5" t="s">
        <v>2054</v>
      </c>
    </row>
    <row r="3075">
      <c r="A3075" s="5" t="s">
        <v>2054</v>
      </c>
    </row>
    <row r="3076">
      <c r="A3076" s="5" t="s">
        <v>2054</v>
      </c>
    </row>
    <row r="3077">
      <c r="A3077" s="5" t="s">
        <v>2054</v>
      </c>
    </row>
    <row r="3078">
      <c r="A3078" s="5" t="s">
        <v>2054</v>
      </c>
    </row>
    <row r="3079">
      <c r="A3079" s="5" t="s">
        <v>2054</v>
      </c>
    </row>
    <row r="3080">
      <c r="A3080" s="5" t="s">
        <v>2054</v>
      </c>
    </row>
    <row r="3081">
      <c r="A3081" s="5" t="s">
        <v>2054</v>
      </c>
    </row>
    <row r="3082">
      <c r="A3082" s="5" t="s">
        <v>2054</v>
      </c>
    </row>
    <row r="3083">
      <c r="A3083" s="5" t="s">
        <v>2054</v>
      </c>
    </row>
    <row r="3084">
      <c r="A3084" s="5" t="s">
        <v>2054</v>
      </c>
    </row>
    <row r="3085">
      <c r="A3085" s="5" t="s">
        <v>2054</v>
      </c>
    </row>
    <row r="3086">
      <c r="A3086" s="5" t="s">
        <v>2054</v>
      </c>
    </row>
    <row r="3087">
      <c r="A3087" s="5" t="s">
        <v>2054</v>
      </c>
    </row>
    <row r="3088">
      <c r="A3088" s="5" t="s">
        <v>2054</v>
      </c>
    </row>
    <row r="3089">
      <c r="A3089" s="5" t="s">
        <v>2054</v>
      </c>
    </row>
    <row r="3090">
      <c r="A3090" s="5" t="s">
        <v>2054</v>
      </c>
    </row>
    <row r="3091">
      <c r="A3091" s="5" t="s">
        <v>2054</v>
      </c>
    </row>
    <row r="3092">
      <c r="A3092" s="5" t="s">
        <v>2054</v>
      </c>
    </row>
    <row r="3093">
      <c r="A3093" s="5" t="s">
        <v>2054</v>
      </c>
    </row>
    <row r="3094">
      <c r="A3094" s="5" t="s">
        <v>2054</v>
      </c>
    </row>
    <row r="3095">
      <c r="A3095" s="5" t="s">
        <v>2054</v>
      </c>
    </row>
    <row r="3096">
      <c r="A3096" s="5" t="s">
        <v>2054</v>
      </c>
    </row>
    <row r="3097">
      <c r="A3097" s="5" t="s">
        <v>2054</v>
      </c>
    </row>
    <row r="3098">
      <c r="A3098" s="5" t="s">
        <v>2054</v>
      </c>
    </row>
    <row r="3099">
      <c r="A3099" s="5" t="s">
        <v>2054</v>
      </c>
    </row>
    <row r="3100">
      <c r="A3100" s="5" t="s">
        <v>2054</v>
      </c>
    </row>
    <row r="3101">
      <c r="A3101" s="5" t="s">
        <v>2054</v>
      </c>
    </row>
    <row r="3102">
      <c r="A3102" s="5" t="s">
        <v>2054</v>
      </c>
    </row>
    <row r="3103">
      <c r="A3103" s="5" t="s">
        <v>2054</v>
      </c>
    </row>
    <row r="3104">
      <c r="A3104" s="5" t="s">
        <v>2054</v>
      </c>
    </row>
    <row r="3105">
      <c r="A3105" s="5" t="s">
        <v>2054</v>
      </c>
    </row>
    <row r="3106">
      <c r="A3106" s="5" t="s">
        <v>2054</v>
      </c>
    </row>
    <row r="3107">
      <c r="A3107" s="5" t="s">
        <v>2054</v>
      </c>
    </row>
    <row r="3108">
      <c r="A3108" s="5" t="s">
        <v>2054</v>
      </c>
    </row>
    <row r="3109">
      <c r="A3109" s="5" t="s">
        <v>2054</v>
      </c>
    </row>
    <row r="3110">
      <c r="A3110" s="5" t="s">
        <v>2054</v>
      </c>
    </row>
    <row r="3111">
      <c r="A3111" s="5" t="s">
        <v>2054</v>
      </c>
    </row>
    <row r="3112">
      <c r="A3112" s="5" t="s">
        <v>2054</v>
      </c>
    </row>
    <row r="3113">
      <c r="A3113" s="5" t="s">
        <v>2054</v>
      </c>
    </row>
    <row r="3114">
      <c r="A3114" s="5" t="s">
        <v>2054</v>
      </c>
    </row>
    <row r="3115">
      <c r="A3115" s="5" t="s">
        <v>2054</v>
      </c>
    </row>
    <row r="3116">
      <c r="A3116" s="5" t="s">
        <v>2054</v>
      </c>
    </row>
    <row r="3117">
      <c r="A3117" s="5" t="s">
        <v>2054</v>
      </c>
    </row>
    <row r="3118">
      <c r="A3118" s="5" t="s">
        <v>2054</v>
      </c>
    </row>
    <row r="3119">
      <c r="A3119" s="5" t="s">
        <v>2054</v>
      </c>
    </row>
    <row r="3120">
      <c r="A3120" s="5" t="s">
        <v>2054</v>
      </c>
    </row>
    <row r="3121">
      <c r="A3121" s="5" t="s">
        <v>2054</v>
      </c>
    </row>
    <row r="3122">
      <c r="A3122" s="5" t="s">
        <v>2054</v>
      </c>
    </row>
    <row r="3123">
      <c r="A3123" s="5" t="s">
        <v>2054</v>
      </c>
    </row>
    <row r="3124">
      <c r="A3124" s="5" t="s">
        <v>2054</v>
      </c>
    </row>
    <row r="3125">
      <c r="A3125" s="5" t="s">
        <v>2054</v>
      </c>
    </row>
    <row r="3126">
      <c r="A3126" s="5" t="s">
        <v>2054</v>
      </c>
    </row>
    <row r="3127">
      <c r="A3127" s="5" t="s">
        <v>2054</v>
      </c>
    </row>
    <row r="3128">
      <c r="A3128" s="5" t="s">
        <v>2054</v>
      </c>
    </row>
    <row r="3129">
      <c r="A3129" s="5" t="s">
        <v>2054</v>
      </c>
    </row>
    <row r="3130">
      <c r="A3130" s="5" t="s">
        <v>2054</v>
      </c>
    </row>
    <row r="3131">
      <c r="A3131" s="5" t="s">
        <v>2054</v>
      </c>
    </row>
    <row r="3132">
      <c r="A3132" s="5" t="s">
        <v>2054</v>
      </c>
    </row>
    <row r="3133">
      <c r="A3133" s="5" t="s">
        <v>2054</v>
      </c>
    </row>
    <row r="3134">
      <c r="A3134" s="5" t="s">
        <v>2054</v>
      </c>
    </row>
    <row r="3135">
      <c r="A3135" s="5" t="s">
        <v>2054</v>
      </c>
    </row>
    <row r="3136">
      <c r="A3136" s="5" t="s">
        <v>2054</v>
      </c>
    </row>
    <row r="3137">
      <c r="A3137" s="5" t="s">
        <v>2054</v>
      </c>
    </row>
    <row r="3138">
      <c r="A3138" s="5" t="s">
        <v>2054</v>
      </c>
    </row>
    <row r="3139">
      <c r="A3139" s="5" t="s">
        <v>2054</v>
      </c>
    </row>
    <row r="3140">
      <c r="A3140" s="5" t="s">
        <v>2054</v>
      </c>
    </row>
    <row r="3141">
      <c r="A3141" s="5" t="s">
        <v>2054</v>
      </c>
    </row>
    <row r="3142">
      <c r="A3142" s="5" t="s">
        <v>2054</v>
      </c>
    </row>
    <row r="3143">
      <c r="A3143" s="5" t="s">
        <v>2054</v>
      </c>
    </row>
    <row r="3144">
      <c r="A3144" s="5" t="s">
        <v>2054</v>
      </c>
    </row>
    <row r="3145">
      <c r="A3145" s="5" t="s">
        <v>2054</v>
      </c>
    </row>
    <row r="3146">
      <c r="A3146" s="5" t="s">
        <v>2054</v>
      </c>
    </row>
    <row r="3147">
      <c r="A3147" s="5" t="s">
        <v>2054</v>
      </c>
    </row>
    <row r="3148">
      <c r="A3148" s="5" t="s">
        <v>2054</v>
      </c>
    </row>
    <row r="3149">
      <c r="A3149" s="5" t="s">
        <v>2054</v>
      </c>
    </row>
    <row r="3150">
      <c r="A3150" s="5" t="s">
        <v>2054</v>
      </c>
    </row>
    <row r="3151">
      <c r="A3151" s="5" t="s">
        <v>2054</v>
      </c>
    </row>
    <row r="3152">
      <c r="A3152" s="5" t="s">
        <v>2054</v>
      </c>
    </row>
    <row r="3153">
      <c r="A3153" s="5" t="s">
        <v>2054</v>
      </c>
    </row>
    <row r="3154">
      <c r="A3154" s="5" t="s">
        <v>2054</v>
      </c>
    </row>
    <row r="3155">
      <c r="A3155" s="5" t="s">
        <v>2054</v>
      </c>
    </row>
    <row r="3156">
      <c r="A3156" s="5" t="s">
        <v>2054</v>
      </c>
    </row>
    <row r="3157">
      <c r="A3157" s="5" t="s">
        <v>2054</v>
      </c>
    </row>
    <row r="3158">
      <c r="A3158" s="5" t="s">
        <v>2054</v>
      </c>
    </row>
    <row r="3159">
      <c r="A3159" s="5" t="s">
        <v>2054</v>
      </c>
    </row>
    <row r="3160">
      <c r="A3160" s="5" t="s">
        <v>2054</v>
      </c>
    </row>
    <row r="3161">
      <c r="A3161" s="5" t="s">
        <v>2054</v>
      </c>
    </row>
    <row r="3162">
      <c r="A3162" s="5" t="s">
        <v>2054</v>
      </c>
    </row>
    <row r="3163">
      <c r="A3163" s="5" t="s">
        <v>2054</v>
      </c>
    </row>
    <row r="3164">
      <c r="A3164" s="5" t="s">
        <v>2054</v>
      </c>
    </row>
    <row r="3165">
      <c r="A3165" s="5" t="s">
        <v>2054</v>
      </c>
    </row>
    <row r="3166">
      <c r="A3166" s="5" t="s">
        <v>2054</v>
      </c>
    </row>
    <row r="3167">
      <c r="A3167" s="5" t="s">
        <v>2054</v>
      </c>
    </row>
    <row r="3168">
      <c r="A3168" s="5" t="s">
        <v>2054</v>
      </c>
    </row>
    <row r="3169">
      <c r="A3169" s="5" t="s">
        <v>2054</v>
      </c>
    </row>
    <row r="3170">
      <c r="A3170" s="5" t="s">
        <v>2054</v>
      </c>
    </row>
    <row r="3171">
      <c r="A3171" s="5" t="s">
        <v>2054</v>
      </c>
    </row>
    <row r="3172">
      <c r="A3172" s="5" t="s">
        <v>2054</v>
      </c>
    </row>
    <row r="3173">
      <c r="A3173" s="5" t="s">
        <v>2054</v>
      </c>
    </row>
    <row r="3174">
      <c r="A3174" s="5" t="s">
        <v>2054</v>
      </c>
    </row>
    <row r="3175">
      <c r="A3175" s="5" t="s">
        <v>2054</v>
      </c>
    </row>
    <row r="3176">
      <c r="A3176" s="5" t="s">
        <v>2054</v>
      </c>
    </row>
    <row r="3177">
      <c r="A3177" s="5" t="s">
        <v>2054</v>
      </c>
    </row>
    <row r="3178">
      <c r="A3178" s="5" t="s">
        <v>2054</v>
      </c>
    </row>
    <row r="3179">
      <c r="A3179" s="5" t="s">
        <v>2054</v>
      </c>
    </row>
    <row r="3180">
      <c r="A3180" s="5" t="s">
        <v>2054</v>
      </c>
    </row>
    <row r="3181">
      <c r="A3181" s="5" t="s">
        <v>2054</v>
      </c>
    </row>
    <row r="3182">
      <c r="A3182" s="5" t="s">
        <v>2054</v>
      </c>
    </row>
    <row r="3183">
      <c r="A3183" s="5" t="s">
        <v>2054</v>
      </c>
    </row>
    <row r="3184">
      <c r="A3184" s="5" t="s">
        <v>2054</v>
      </c>
    </row>
    <row r="3185">
      <c r="A3185" s="5" t="s">
        <v>2054</v>
      </c>
    </row>
    <row r="3186">
      <c r="A3186" s="5" t="s">
        <v>2054</v>
      </c>
    </row>
    <row r="3187">
      <c r="A3187" s="5" t="s">
        <v>2054</v>
      </c>
    </row>
    <row r="3188">
      <c r="A3188" s="5" t="s">
        <v>2054</v>
      </c>
    </row>
    <row r="3189">
      <c r="A3189" s="5" t="s">
        <v>2054</v>
      </c>
    </row>
    <row r="3190">
      <c r="A3190" s="5" t="s">
        <v>2054</v>
      </c>
    </row>
    <row r="3191">
      <c r="A3191" s="5" t="s">
        <v>2054</v>
      </c>
    </row>
    <row r="3192">
      <c r="A3192" s="5" t="s">
        <v>2054</v>
      </c>
    </row>
    <row r="3193">
      <c r="A3193" s="5" t="s">
        <v>2054</v>
      </c>
    </row>
    <row r="3194">
      <c r="A3194" s="5" t="s">
        <v>2054</v>
      </c>
    </row>
    <row r="3195">
      <c r="A3195" s="5" t="s">
        <v>2054</v>
      </c>
    </row>
    <row r="3196">
      <c r="A3196" s="5" t="s">
        <v>2054</v>
      </c>
    </row>
    <row r="3197">
      <c r="A3197" s="5" t="s">
        <v>2054</v>
      </c>
    </row>
    <row r="3198">
      <c r="A3198" s="5" t="s">
        <v>2054</v>
      </c>
    </row>
    <row r="3199">
      <c r="A3199" s="5" t="s">
        <v>2054</v>
      </c>
    </row>
    <row r="3200">
      <c r="A3200" s="5" t="s">
        <v>2054</v>
      </c>
    </row>
    <row r="3201">
      <c r="A3201" s="5" t="s">
        <v>2054</v>
      </c>
    </row>
    <row r="3202">
      <c r="A3202" s="5" t="s">
        <v>2054</v>
      </c>
    </row>
    <row r="3203">
      <c r="A3203" s="5" t="s">
        <v>2054</v>
      </c>
    </row>
    <row r="3204">
      <c r="A3204" s="5" t="s">
        <v>2054</v>
      </c>
    </row>
    <row r="3205">
      <c r="A3205" s="5" t="s">
        <v>2054</v>
      </c>
    </row>
    <row r="3206">
      <c r="A3206" s="5" t="s">
        <v>2054</v>
      </c>
    </row>
    <row r="3207">
      <c r="A3207" s="5" t="s">
        <v>2054</v>
      </c>
    </row>
    <row r="3208">
      <c r="A3208" s="5" t="s">
        <v>2054</v>
      </c>
    </row>
    <row r="3209">
      <c r="A3209" s="5" t="s">
        <v>2054</v>
      </c>
    </row>
    <row r="3210">
      <c r="A3210" s="5" t="s">
        <v>2054</v>
      </c>
    </row>
    <row r="3211">
      <c r="A3211" s="5" t="s">
        <v>2054</v>
      </c>
    </row>
    <row r="3212">
      <c r="A3212" s="5" t="s">
        <v>2054</v>
      </c>
    </row>
    <row r="3213">
      <c r="A3213" s="5" t="s">
        <v>2054</v>
      </c>
    </row>
    <row r="3214">
      <c r="A3214" s="5" t="s">
        <v>2054</v>
      </c>
    </row>
    <row r="3215">
      <c r="A3215" s="5" t="s">
        <v>2054</v>
      </c>
    </row>
    <row r="3216">
      <c r="A3216" s="5" t="s">
        <v>2054</v>
      </c>
    </row>
    <row r="3217">
      <c r="A3217" s="5" t="s">
        <v>2054</v>
      </c>
    </row>
    <row r="3218">
      <c r="A3218" s="5" t="s">
        <v>2054</v>
      </c>
    </row>
    <row r="3219">
      <c r="A3219" s="5" t="s">
        <v>2054</v>
      </c>
    </row>
    <row r="3220">
      <c r="A3220" s="5" t="s">
        <v>2054</v>
      </c>
    </row>
    <row r="3221">
      <c r="A3221" s="5" t="s">
        <v>2054</v>
      </c>
    </row>
    <row r="3222">
      <c r="A3222" s="5" t="s">
        <v>2054</v>
      </c>
    </row>
    <row r="3223">
      <c r="A3223" s="5" t="s">
        <v>2054</v>
      </c>
    </row>
    <row r="3224">
      <c r="A3224" s="5" t="s">
        <v>2054</v>
      </c>
    </row>
    <row r="3225">
      <c r="A3225" s="5" t="s">
        <v>2054</v>
      </c>
    </row>
    <row r="3226">
      <c r="A3226" s="5" t="s">
        <v>2054</v>
      </c>
    </row>
    <row r="3227">
      <c r="A3227" s="5" t="s">
        <v>2054</v>
      </c>
    </row>
    <row r="3228">
      <c r="A3228" s="5" t="s">
        <v>2054</v>
      </c>
    </row>
    <row r="3229">
      <c r="A3229" s="5" t="s">
        <v>2054</v>
      </c>
    </row>
    <row r="3230">
      <c r="A3230" s="5" t="s">
        <v>2054</v>
      </c>
    </row>
    <row r="3231">
      <c r="A3231" s="5" t="s">
        <v>2054</v>
      </c>
    </row>
    <row r="3232">
      <c r="A3232" s="5" t="s">
        <v>2054</v>
      </c>
    </row>
    <row r="3233">
      <c r="A3233" s="5" t="s">
        <v>2054</v>
      </c>
    </row>
    <row r="3234">
      <c r="A3234" s="5" t="s">
        <v>2054</v>
      </c>
    </row>
    <row r="3235">
      <c r="A3235" s="5" t="s">
        <v>2054</v>
      </c>
    </row>
    <row r="3236">
      <c r="A3236" s="5" t="s">
        <v>2054</v>
      </c>
    </row>
    <row r="3237">
      <c r="A3237" s="5" t="s">
        <v>2054</v>
      </c>
    </row>
    <row r="3238">
      <c r="A3238" s="5" t="s">
        <v>2054</v>
      </c>
    </row>
    <row r="3239">
      <c r="A3239" s="5" t="s">
        <v>2054</v>
      </c>
    </row>
    <row r="3240">
      <c r="A3240" s="5" t="s">
        <v>2054</v>
      </c>
    </row>
    <row r="3241">
      <c r="A3241" s="5" t="s">
        <v>2054</v>
      </c>
    </row>
    <row r="3242">
      <c r="A3242" s="5" t="s">
        <v>2054</v>
      </c>
    </row>
    <row r="3243">
      <c r="A3243" s="5" t="s">
        <v>2054</v>
      </c>
    </row>
    <row r="3244">
      <c r="A3244" s="5" t="s">
        <v>2054</v>
      </c>
    </row>
    <row r="3245">
      <c r="A3245" s="5" t="s">
        <v>2054</v>
      </c>
    </row>
    <row r="3246">
      <c r="A3246" s="5" t="s">
        <v>2054</v>
      </c>
    </row>
    <row r="3247">
      <c r="A3247" s="5" t="s">
        <v>2054</v>
      </c>
    </row>
    <row r="3248">
      <c r="A3248" s="5" t="s">
        <v>2054</v>
      </c>
    </row>
    <row r="3249">
      <c r="A3249" s="5" t="s">
        <v>2054</v>
      </c>
    </row>
    <row r="3250">
      <c r="A3250" s="5" t="s">
        <v>2054</v>
      </c>
    </row>
    <row r="3251">
      <c r="A3251" s="5" t="s">
        <v>2054</v>
      </c>
    </row>
    <row r="3252">
      <c r="A3252" s="5" t="s">
        <v>2054</v>
      </c>
    </row>
    <row r="3253">
      <c r="A3253" s="5" t="s">
        <v>2054</v>
      </c>
    </row>
    <row r="3254">
      <c r="A3254" s="5" t="s">
        <v>2054</v>
      </c>
    </row>
    <row r="3255">
      <c r="A3255" s="5" t="s">
        <v>2054</v>
      </c>
    </row>
    <row r="3256">
      <c r="A3256" s="5" t="s">
        <v>2054</v>
      </c>
    </row>
    <row r="3257">
      <c r="A3257" s="5" t="s">
        <v>2054</v>
      </c>
    </row>
    <row r="3258">
      <c r="A3258" s="5" t="s">
        <v>2054</v>
      </c>
    </row>
    <row r="3259">
      <c r="A3259" s="5" t="s">
        <v>2054</v>
      </c>
    </row>
    <row r="3260">
      <c r="A3260" s="5" t="s">
        <v>2054</v>
      </c>
    </row>
    <row r="3261">
      <c r="A3261" s="5" t="s">
        <v>2054</v>
      </c>
    </row>
    <row r="3262">
      <c r="A3262" s="5" t="s">
        <v>2054</v>
      </c>
    </row>
    <row r="3263">
      <c r="A3263" s="5" t="s">
        <v>2054</v>
      </c>
    </row>
    <row r="3264">
      <c r="A3264" s="5" t="s">
        <v>2054</v>
      </c>
    </row>
    <row r="3265">
      <c r="A3265" s="5" t="s">
        <v>2054</v>
      </c>
    </row>
    <row r="3266">
      <c r="A3266" s="5" t="s">
        <v>2054</v>
      </c>
    </row>
    <row r="3267">
      <c r="A3267" s="5" t="s">
        <v>2054</v>
      </c>
    </row>
    <row r="3268">
      <c r="A3268" s="5" t="s">
        <v>2054</v>
      </c>
    </row>
    <row r="3269">
      <c r="A3269" s="5" t="s">
        <v>2054</v>
      </c>
    </row>
    <row r="3270">
      <c r="A3270" s="5" t="s">
        <v>2054</v>
      </c>
    </row>
    <row r="3271">
      <c r="A3271" s="5" t="s">
        <v>2054</v>
      </c>
    </row>
    <row r="3272">
      <c r="A3272" s="5" t="s">
        <v>2054</v>
      </c>
    </row>
    <row r="3273">
      <c r="A3273" s="5" t="s">
        <v>2054</v>
      </c>
    </row>
    <row r="3274">
      <c r="A3274" s="5" t="s">
        <v>2054</v>
      </c>
    </row>
    <row r="3275">
      <c r="A3275" s="5" t="s">
        <v>2054</v>
      </c>
    </row>
    <row r="3276">
      <c r="A3276" s="5" t="s">
        <v>2054</v>
      </c>
    </row>
    <row r="3277">
      <c r="A3277" s="5" t="s">
        <v>2054</v>
      </c>
    </row>
    <row r="3278">
      <c r="A3278" s="5" t="s">
        <v>2054</v>
      </c>
    </row>
    <row r="3279">
      <c r="A3279" s="5" t="s">
        <v>2054</v>
      </c>
    </row>
    <row r="3280">
      <c r="A3280" s="5" t="s">
        <v>2054</v>
      </c>
    </row>
    <row r="3281">
      <c r="A3281" s="5" t="s">
        <v>2054</v>
      </c>
    </row>
    <row r="3282">
      <c r="A3282" s="5" t="s">
        <v>2054</v>
      </c>
    </row>
    <row r="3283">
      <c r="A3283" s="5" t="s">
        <v>2054</v>
      </c>
    </row>
    <row r="3284">
      <c r="A3284" s="5" t="s">
        <v>2054</v>
      </c>
    </row>
    <row r="3285">
      <c r="A3285" s="5" t="s">
        <v>2054</v>
      </c>
    </row>
    <row r="3286">
      <c r="A3286" s="5" t="s">
        <v>2054</v>
      </c>
    </row>
    <row r="3287">
      <c r="A3287" s="5" t="s">
        <v>2054</v>
      </c>
    </row>
    <row r="3288">
      <c r="A3288" s="5" t="s">
        <v>2054</v>
      </c>
    </row>
    <row r="3289">
      <c r="A3289" s="5" t="s">
        <v>2054</v>
      </c>
    </row>
    <row r="3290">
      <c r="A3290" s="5" t="s">
        <v>2054</v>
      </c>
    </row>
    <row r="3291">
      <c r="A3291" s="5" t="s">
        <v>2054</v>
      </c>
    </row>
    <row r="3292">
      <c r="A3292" s="5" t="s">
        <v>2054</v>
      </c>
    </row>
    <row r="3293">
      <c r="A3293" s="5" t="s">
        <v>2054</v>
      </c>
    </row>
    <row r="3294">
      <c r="A3294" s="5" t="s">
        <v>2054</v>
      </c>
    </row>
    <row r="3295">
      <c r="A3295" s="5" t="s">
        <v>2054</v>
      </c>
    </row>
    <row r="3296">
      <c r="A3296" s="5" t="s">
        <v>2054</v>
      </c>
    </row>
    <row r="3297">
      <c r="A3297" s="5" t="s">
        <v>2054</v>
      </c>
    </row>
    <row r="3298">
      <c r="A3298" s="5" t="s">
        <v>2054</v>
      </c>
    </row>
    <row r="3299">
      <c r="A3299" s="5" t="s">
        <v>2054</v>
      </c>
    </row>
    <row r="3300">
      <c r="A3300" s="5" t="s">
        <v>2054</v>
      </c>
    </row>
    <row r="3301">
      <c r="A3301" s="5" t="s">
        <v>2054</v>
      </c>
    </row>
    <row r="3302">
      <c r="A3302" s="5" t="s">
        <v>2054</v>
      </c>
    </row>
    <row r="3303">
      <c r="A3303" s="5" t="s">
        <v>2054</v>
      </c>
    </row>
    <row r="3304">
      <c r="A3304" s="5" t="s">
        <v>2054</v>
      </c>
    </row>
    <row r="3305">
      <c r="A3305" s="5" t="s">
        <v>2054</v>
      </c>
    </row>
    <row r="3306">
      <c r="A3306" s="5" t="s">
        <v>2054</v>
      </c>
    </row>
    <row r="3307">
      <c r="A3307" s="5" t="s">
        <v>2054</v>
      </c>
    </row>
    <row r="3308">
      <c r="A3308" s="5" t="s">
        <v>2054</v>
      </c>
    </row>
    <row r="3309">
      <c r="A3309" s="5" t="s">
        <v>2054</v>
      </c>
    </row>
    <row r="3310">
      <c r="A3310" s="5" t="s">
        <v>2054</v>
      </c>
    </row>
    <row r="3311">
      <c r="A3311" s="5" t="s">
        <v>2054</v>
      </c>
    </row>
    <row r="3312">
      <c r="A3312" s="5" t="s">
        <v>2054</v>
      </c>
    </row>
    <row r="3313">
      <c r="A3313" s="5" t="s">
        <v>2054</v>
      </c>
    </row>
    <row r="3314">
      <c r="A3314" s="5" t="s">
        <v>2054</v>
      </c>
    </row>
    <row r="3315">
      <c r="A3315" s="5" t="s">
        <v>2054</v>
      </c>
    </row>
    <row r="3316">
      <c r="A3316" s="5" t="s">
        <v>2054</v>
      </c>
    </row>
    <row r="3317">
      <c r="A3317" s="5" t="s">
        <v>2054</v>
      </c>
    </row>
    <row r="3318">
      <c r="A3318" s="5" t="s">
        <v>2054</v>
      </c>
    </row>
    <row r="3319">
      <c r="A3319" s="5" t="s">
        <v>2054</v>
      </c>
    </row>
    <row r="3320">
      <c r="A3320" s="5" t="s">
        <v>2054</v>
      </c>
    </row>
    <row r="3321">
      <c r="A3321" s="5" t="s">
        <v>2054</v>
      </c>
    </row>
    <row r="3322">
      <c r="A3322" s="5" t="s">
        <v>2054</v>
      </c>
    </row>
    <row r="3323">
      <c r="A3323" s="5" t="s">
        <v>2054</v>
      </c>
    </row>
    <row r="3324">
      <c r="A3324" s="5" t="s">
        <v>2054</v>
      </c>
    </row>
    <row r="3325">
      <c r="A3325" s="5" t="s">
        <v>2054</v>
      </c>
    </row>
    <row r="3326">
      <c r="A3326" s="5" t="s">
        <v>2054</v>
      </c>
    </row>
    <row r="3327">
      <c r="A3327" s="5" t="s">
        <v>2054</v>
      </c>
    </row>
    <row r="3328">
      <c r="A3328" s="5" t="s">
        <v>2054</v>
      </c>
    </row>
    <row r="3329">
      <c r="A3329" s="5" t="s">
        <v>2054</v>
      </c>
    </row>
    <row r="3330">
      <c r="A3330" s="5" t="s">
        <v>2054</v>
      </c>
    </row>
    <row r="3331">
      <c r="A3331" s="5" t="s">
        <v>2054</v>
      </c>
    </row>
    <row r="3332">
      <c r="A3332" s="5" t="s">
        <v>2054</v>
      </c>
    </row>
    <row r="3333">
      <c r="A3333" s="5" t="s">
        <v>2054</v>
      </c>
    </row>
    <row r="3334">
      <c r="A3334" s="5" t="s">
        <v>2054</v>
      </c>
    </row>
    <row r="3335">
      <c r="A3335" s="5" t="s">
        <v>2054</v>
      </c>
    </row>
    <row r="3336">
      <c r="A3336" s="5" t="s">
        <v>2054</v>
      </c>
    </row>
    <row r="3337">
      <c r="A3337" s="5" t="s">
        <v>2054</v>
      </c>
    </row>
    <row r="3338">
      <c r="A3338" s="5" t="s">
        <v>2054</v>
      </c>
    </row>
    <row r="3339">
      <c r="A3339" s="5" t="s">
        <v>2054</v>
      </c>
    </row>
    <row r="3340">
      <c r="A3340" s="5" t="s">
        <v>2054</v>
      </c>
    </row>
    <row r="3341">
      <c r="A3341" s="5" t="s">
        <v>2054</v>
      </c>
    </row>
    <row r="3342">
      <c r="A3342" s="5" t="s">
        <v>2054</v>
      </c>
    </row>
    <row r="3343">
      <c r="A3343" s="5" t="s">
        <v>2054</v>
      </c>
    </row>
    <row r="3344">
      <c r="A3344" s="5" t="s">
        <v>2054</v>
      </c>
    </row>
    <row r="3345">
      <c r="A3345" s="5" t="s">
        <v>2054</v>
      </c>
    </row>
    <row r="3346">
      <c r="A3346" s="5" t="s">
        <v>2054</v>
      </c>
    </row>
    <row r="3347">
      <c r="A3347" s="5" t="s">
        <v>2054</v>
      </c>
    </row>
    <row r="3348">
      <c r="A3348" s="5" t="s">
        <v>2054</v>
      </c>
    </row>
    <row r="3349">
      <c r="A3349" s="5" t="s">
        <v>2054</v>
      </c>
    </row>
    <row r="3350">
      <c r="A3350" s="5" t="s">
        <v>2054</v>
      </c>
    </row>
    <row r="3351">
      <c r="A3351" s="5" t="s">
        <v>2054</v>
      </c>
    </row>
    <row r="3352">
      <c r="A3352" s="5" t="s">
        <v>2054</v>
      </c>
    </row>
    <row r="3353">
      <c r="A3353" s="5" t="s">
        <v>2054</v>
      </c>
    </row>
    <row r="3354">
      <c r="A3354" s="5" t="s">
        <v>2054</v>
      </c>
    </row>
    <row r="3355">
      <c r="A3355" s="5" t="s">
        <v>2054</v>
      </c>
    </row>
    <row r="3356">
      <c r="A3356" s="5" t="s">
        <v>2054</v>
      </c>
    </row>
    <row r="3357">
      <c r="A3357" s="5" t="s">
        <v>2054</v>
      </c>
    </row>
    <row r="3358">
      <c r="A3358" s="5" t="s">
        <v>2054</v>
      </c>
    </row>
    <row r="3359">
      <c r="A3359" s="5" t="s">
        <v>2054</v>
      </c>
    </row>
    <row r="3360">
      <c r="A3360" s="5" t="s">
        <v>2054</v>
      </c>
    </row>
    <row r="3361">
      <c r="A3361" s="5" t="s">
        <v>2054</v>
      </c>
    </row>
    <row r="3362">
      <c r="A3362" s="5" t="s">
        <v>2054</v>
      </c>
    </row>
    <row r="3363">
      <c r="A3363" s="5" t="s">
        <v>2054</v>
      </c>
    </row>
    <row r="3364">
      <c r="A3364" s="5" t="s">
        <v>2054</v>
      </c>
    </row>
    <row r="3365">
      <c r="A3365" s="5" t="s">
        <v>2054</v>
      </c>
    </row>
    <row r="3366">
      <c r="A3366" s="5" t="s">
        <v>2054</v>
      </c>
    </row>
    <row r="3367">
      <c r="A3367" s="5" t="s">
        <v>2054</v>
      </c>
    </row>
    <row r="3368">
      <c r="A3368" s="5" t="s">
        <v>2054</v>
      </c>
    </row>
    <row r="3369">
      <c r="A3369" s="5" t="s">
        <v>2054</v>
      </c>
    </row>
    <row r="3370">
      <c r="A3370" s="5" t="s">
        <v>2054</v>
      </c>
    </row>
    <row r="3371">
      <c r="A3371" s="5" t="s">
        <v>2054</v>
      </c>
    </row>
    <row r="3372">
      <c r="A3372" s="5" t="s">
        <v>2054</v>
      </c>
    </row>
    <row r="3373">
      <c r="A3373" s="5" t="s">
        <v>2054</v>
      </c>
    </row>
    <row r="3374">
      <c r="A3374" s="5" t="s">
        <v>2054</v>
      </c>
    </row>
    <row r="3375">
      <c r="A3375" s="5" t="s">
        <v>2054</v>
      </c>
    </row>
    <row r="3376">
      <c r="A3376" s="5" t="s">
        <v>2054</v>
      </c>
    </row>
    <row r="3377">
      <c r="A3377" s="5" t="s">
        <v>2054</v>
      </c>
    </row>
    <row r="3378">
      <c r="A3378" s="5" t="s">
        <v>2054</v>
      </c>
    </row>
    <row r="3379">
      <c r="A3379" s="5" t="s">
        <v>2054</v>
      </c>
    </row>
    <row r="3380">
      <c r="A3380" s="5" t="s">
        <v>2054</v>
      </c>
    </row>
    <row r="3381">
      <c r="A3381" s="5" t="s">
        <v>2054</v>
      </c>
    </row>
    <row r="3382">
      <c r="A3382" s="5" t="s">
        <v>2054</v>
      </c>
    </row>
    <row r="3383">
      <c r="A3383" s="5" t="s">
        <v>2054</v>
      </c>
    </row>
    <row r="3384">
      <c r="A3384" s="5" t="s">
        <v>2054</v>
      </c>
    </row>
    <row r="3385">
      <c r="A3385" s="5" t="s">
        <v>2054</v>
      </c>
    </row>
    <row r="3386">
      <c r="A3386" s="5" t="s">
        <v>2054</v>
      </c>
    </row>
    <row r="3387">
      <c r="A3387" s="5" t="s">
        <v>2054</v>
      </c>
    </row>
    <row r="3388">
      <c r="A3388" s="5" t="s">
        <v>2054</v>
      </c>
    </row>
    <row r="3389">
      <c r="A3389" s="5" t="s">
        <v>2054</v>
      </c>
    </row>
    <row r="3390">
      <c r="A3390" s="5" t="s">
        <v>2054</v>
      </c>
    </row>
    <row r="3391">
      <c r="A3391" s="5" t="s">
        <v>2054</v>
      </c>
    </row>
    <row r="3392">
      <c r="A3392" s="5" t="s">
        <v>2054</v>
      </c>
    </row>
    <row r="3393">
      <c r="A3393" s="5" t="s">
        <v>2054</v>
      </c>
    </row>
    <row r="3394">
      <c r="A3394" s="5" t="s">
        <v>2054</v>
      </c>
    </row>
    <row r="3395">
      <c r="A3395" s="5" t="s">
        <v>2054</v>
      </c>
    </row>
    <row r="3396">
      <c r="A3396" s="5" t="s">
        <v>2054</v>
      </c>
    </row>
    <row r="3397">
      <c r="A3397" s="5" t="s">
        <v>2054</v>
      </c>
    </row>
    <row r="3398">
      <c r="A3398" s="5" t="s">
        <v>2054</v>
      </c>
    </row>
    <row r="3399">
      <c r="A3399" s="5" t="s">
        <v>2054</v>
      </c>
    </row>
    <row r="3400">
      <c r="A3400" s="5" t="s">
        <v>2054</v>
      </c>
    </row>
    <row r="3401">
      <c r="A3401" s="5" t="s">
        <v>2054</v>
      </c>
    </row>
    <row r="3402">
      <c r="A3402" s="5" t="s">
        <v>2054</v>
      </c>
    </row>
    <row r="3403">
      <c r="A3403" s="5" t="s">
        <v>2054</v>
      </c>
    </row>
    <row r="3404">
      <c r="A3404" s="5" t="s">
        <v>2054</v>
      </c>
    </row>
    <row r="3405">
      <c r="A3405" s="5" t="s">
        <v>2054</v>
      </c>
    </row>
    <row r="3406">
      <c r="A3406" s="5" t="s">
        <v>2054</v>
      </c>
    </row>
    <row r="3407">
      <c r="A3407" s="5" t="s">
        <v>2054</v>
      </c>
    </row>
    <row r="3408">
      <c r="A3408" s="5" t="s">
        <v>2054</v>
      </c>
    </row>
    <row r="3409">
      <c r="A3409" s="5" t="s">
        <v>2054</v>
      </c>
    </row>
    <row r="3410">
      <c r="A3410" s="5" t="s">
        <v>2054</v>
      </c>
    </row>
    <row r="3411">
      <c r="A3411" s="5" t="s">
        <v>2054</v>
      </c>
    </row>
    <row r="3412">
      <c r="A3412" s="5" t="s">
        <v>2054</v>
      </c>
    </row>
    <row r="3413">
      <c r="A3413" s="5" t="s">
        <v>2054</v>
      </c>
    </row>
    <row r="3414">
      <c r="A3414" s="5" t="s">
        <v>2054</v>
      </c>
    </row>
    <row r="3415">
      <c r="A3415" s="5" t="s">
        <v>2054</v>
      </c>
    </row>
    <row r="3416">
      <c r="A3416" s="5" t="s">
        <v>2054</v>
      </c>
    </row>
    <row r="3417">
      <c r="A3417" s="5" t="s">
        <v>2054</v>
      </c>
    </row>
    <row r="3418">
      <c r="A3418" s="5" t="s">
        <v>2054</v>
      </c>
    </row>
    <row r="3419">
      <c r="A3419" s="5" t="s">
        <v>2054</v>
      </c>
    </row>
    <row r="3420">
      <c r="A3420" s="5" t="s">
        <v>2054</v>
      </c>
    </row>
    <row r="3421">
      <c r="A3421" s="5" t="s">
        <v>2054</v>
      </c>
    </row>
    <row r="3422">
      <c r="A3422" s="5" t="s">
        <v>2054</v>
      </c>
    </row>
    <row r="3423">
      <c r="A3423" s="5" t="s">
        <v>2054</v>
      </c>
    </row>
    <row r="3424">
      <c r="A3424" s="5" t="s">
        <v>2054</v>
      </c>
    </row>
    <row r="3425">
      <c r="A3425" s="5" t="s">
        <v>2054</v>
      </c>
    </row>
    <row r="3426">
      <c r="A3426" s="5" t="s">
        <v>2054</v>
      </c>
    </row>
    <row r="3427">
      <c r="A3427" s="5" t="s">
        <v>2054</v>
      </c>
    </row>
    <row r="3428">
      <c r="A3428" s="5" t="s">
        <v>2054</v>
      </c>
    </row>
    <row r="3429">
      <c r="A3429" s="5" t="s">
        <v>2054</v>
      </c>
    </row>
    <row r="3430">
      <c r="A3430" s="5" t="s">
        <v>2054</v>
      </c>
    </row>
    <row r="3431">
      <c r="A3431" s="5" t="s">
        <v>2054</v>
      </c>
    </row>
    <row r="3432">
      <c r="A3432" s="5" t="s">
        <v>2054</v>
      </c>
    </row>
    <row r="3433">
      <c r="A3433" s="5" t="s">
        <v>2054</v>
      </c>
    </row>
    <row r="3434">
      <c r="A3434" s="5" t="s">
        <v>2054</v>
      </c>
    </row>
    <row r="3435">
      <c r="A3435" s="5" t="s">
        <v>2054</v>
      </c>
    </row>
    <row r="3436">
      <c r="A3436" s="5" t="s">
        <v>2054</v>
      </c>
    </row>
    <row r="3437">
      <c r="A3437" s="5" t="s">
        <v>2054</v>
      </c>
    </row>
    <row r="3438">
      <c r="A3438" s="5" t="s">
        <v>2054</v>
      </c>
    </row>
    <row r="3439">
      <c r="A3439" s="5" t="s">
        <v>2054</v>
      </c>
    </row>
    <row r="3440">
      <c r="A3440" s="5" t="s">
        <v>2054</v>
      </c>
    </row>
    <row r="3441">
      <c r="A3441" s="5" t="s">
        <v>2054</v>
      </c>
    </row>
    <row r="3442">
      <c r="A3442" s="5" t="s">
        <v>2054</v>
      </c>
    </row>
    <row r="3443">
      <c r="A3443" s="5" t="s">
        <v>2054</v>
      </c>
    </row>
    <row r="3444">
      <c r="A3444" s="5" t="s">
        <v>2054</v>
      </c>
    </row>
    <row r="3445">
      <c r="A3445" s="5" t="s">
        <v>2054</v>
      </c>
    </row>
    <row r="3446">
      <c r="A3446" s="5" t="s">
        <v>2054</v>
      </c>
    </row>
    <row r="3447">
      <c r="A3447" s="5" t="s">
        <v>2054</v>
      </c>
    </row>
    <row r="3448">
      <c r="A3448" s="5" t="s">
        <v>2054</v>
      </c>
    </row>
    <row r="3449">
      <c r="A3449" s="5" t="s">
        <v>2054</v>
      </c>
    </row>
    <row r="3450">
      <c r="A3450" s="5" t="s">
        <v>2054</v>
      </c>
    </row>
    <row r="3451">
      <c r="A3451" s="5" t="s">
        <v>2054</v>
      </c>
    </row>
    <row r="3452">
      <c r="A3452" s="5" t="s">
        <v>2054</v>
      </c>
    </row>
    <row r="3453">
      <c r="A3453" s="5" t="s">
        <v>2054</v>
      </c>
    </row>
    <row r="3454">
      <c r="A3454" s="5" t="s">
        <v>2054</v>
      </c>
    </row>
    <row r="3455">
      <c r="A3455" s="5" t="s">
        <v>2054</v>
      </c>
    </row>
    <row r="3456">
      <c r="A3456" s="5" t="s">
        <v>2054</v>
      </c>
    </row>
    <row r="3457">
      <c r="A3457" s="5" t="s">
        <v>2054</v>
      </c>
    </row>
    <row r="3458">
      <c r="A3458" s="5" t="s">
        <v>2054</v>
      </c>
    </row>
    <row r="3459">
      <c r="A3459" s="5" t="s">
        <v>2054</v>
      </c>
    </row>
    <row r="3460">
      <c r="A3460" s="5" t="s">
        <v>2054</v>
      </c>
    </row>
    <row r="3461">
      <c r="A3461" s="5" t="s">
        <v>2054</v>
      </c>
    </row>
    <row r="3462">
      <c r="A3462" s="5" t="s">
        <v>2054</v>
      </c>
    </row>
    <row r="3463">
      <c r="A3463" s="5" t="s">
        <v>2054</v>
      </c>
    </row>
    <row r="3464">
      <c r="A3464" s="5" t="s">
        <v>2054</v>
      </c>
    </row>
    <row r="3465">
      <c r="A3465" s="5" t="s">
        <v>2054</v>
      </c>
    </row>
    <row r="3466">
      <c r="A3466" s="5" t="s">
        <v>2054</v>
      </c>
    </row>
    <row r="3467">
      <c r="A3467" s="5" t="s">
        <v>2054</v>
      </c>
    </row>
    <row r="3468">
      <c r="A3468" s="5" t="s">
        <v>2054</v>
      </c>
    </row>
    <row r="3469">
      <c r="A3469" s="5" t="s">
        <v>2054</v>
      </c>
    </row>
    <row r="3470">
      <c r="A3470" s="5" t="s">
        <v>2054</v>
      </c>
    </row>
    <row r="3471">
      <c r="A3471" s="5" t="s">
        <v>2054</v>
      </c>
    </row>
    <row r="3472">
      <c r="A3472" s="5" t="s">
        <v>2054</v>
      </c>
    </row>
    <row r="3473">
      <c r="A3473" s="5" t="s">
        <v>2054</v>
      </c>
    </row>
    <row r="3474">
      <c r="A3474" s="5" t="s">
        <v>2054</v>
      </c>
    </row>
    <row r="3475">
      <c r="A3475" s="5" t="s">
        <v>2054</v>
      </c>
    </row>
    <row r="3476">
      <c r="A3476" s="5" t="s">
        <v>2054</v>
      </c>
    </row>
    <row r="3477">
      <c r="A3477" s="5" t="s">
        <v>2054</v>
      </c>
    </row>
    <row r="3478">
      <c r="A3478" s="5" t="s">
        <v>2054</v>
      </c>
    </row>
    <row r="3479">
      <c r="A3479" s="5" t="s">
        <v>2054</v>
      </c>
    </row>
    <row r="3480">
      <c r="A3480" s="5" t="s">
        <v>2054</v>
      </c>
    </row>
    <row r="3481">
      <c r="A3481" s="5" t="s">
        <v>2054</v>
      </c>
    </row>
    <row r="3482">
      <c r="A3482" s="5" t="s">
        <v>2054</v>
      </c>
    </row>
    <row r="3483">
      <c r="A3483" s="5" t="s">
        <v>2054</v>
      </c>
    </row>
    <row r="3484">
      <c r="A3484" s="5" t="s">
        <v>2054</v>
      </c>
    </row>
    <row r="3485">
      <c r="A3485" s="5" t="s">
        <v>2054</v>
      </c>
    </row>
    <row r="3486">
      <c r="A3486" s="5" t="s">
        <v>2054</v>
      </c>
    </row>
    <row r="3487">
      <c r="A3487" s="5" t="s">
        <v>2054</v>
      </c>
    </row>
    <row r="3488">
      <c r="A3488" s="5" t="s">
        <v>2054</v>
      </c>
    </row>
    <row r="3489">
      <c r="A3489" s="5" t="s">
        <v>2054</v>
      </c>
    </row>
    <row r="3490">
      <c r="A3490" s="5" t="s">
        <v>2054</v>
      </c>
    </row>
    <row r="3491">
      <c r="A3491" s="5" t="s">
        <v>2054</v>
      </c>
    </row>
    <row r="3492">
      <c r="A3492" s="5" t="s">
        <v>2054</v>
      </c>
    </row>
    <row r="3493">
      <c r="A3493" s="5" t="s">
        <v>2054</v>
      </c>
    </row>
    <row r="3494">
      <c r="A3494" s="5" t="s">
        <v>2054</v>
      </c>
    </row>
    <row r="3495">
      <c r="A3495" s="5" t="s">
        <v>2054</v>
      </c>
    </row>
    <row r="3496">
      <c r="A3496" s="5" t="s">
        <v>2054</v>
      </c>
    </row>
    <row r="3497">
      <c r="A3497" s="5" t="s">
        <v>2054</v>
      </c>
    </row>
    <row r="3498">
      <c r="A3498" s="5" t="s">
        <v>2054</v>
      </c>
    </row>
    <row r="3499">
      <c r="A3499" s="5" t="s">
        <v>2054</v>
      </c>
    </row>
    <row r="3500">
      <c r="A3500" s="5" t="s">
        <v>2054</v>
      </c>
    </row>
    <row r="3501">
      <c r="A3501" s="5" t="s">
        <v>2054</v>
      </c>
    </row>
    <row r="3502">
      <c r="A3502" s="5" t="s">
        <v>2054</v>
      </c>
    </row>
    <row r="3503">
      <c r="A3503" s="5" t="s">
        <v>2054</v>
      </c>
    </row>
    <row r="3504">
      <c r="A3504" s="5" t="s">
        <v>2054</v>
      </c>
    </row>
    <row r="3505">
      <c r="A3505" s="5" t="s">
        <v>2054</v>
      </c>
    </row>
    <row r="3506">
      <c r="A3506" s="5" t="s">
        <v>2054</v>
      </c>
    </row>
    <row r="3507">
      <c r="A3507" s="5" t="s">
        <v>2054</v>
      </c>
    </row>
    <row r="3508">
      <c r="A3508" s="5" t="s">
        <v>2054</v>
      </c>
    </row>
    <row r="3509">
      <c r="A3509" s="5" t="s">
        <v>2054</v>
      </c>
    </row>
    <row r="3510">
      <c r="A3510" s="5" t="s">
        <v>2054</v>
      </c>
    </row>
    <row r="3511">
      <c r="A3511" s="5" t="s">
        <v>2054</v>
      </c>
    </row>
    <row r="3512">
      <c r="A3512" s="5" t="s">
        <v>2054</v>
      </c>
    </row>
    <row r="3513">
      <c r="A3513" s="5" t="s">
        <v>2054</v>
      </c>
    </row>
    <row r="3514">
      <c r="A3514" s="5" t="s">
        <v>2054</v>
      </c>
    </row>
    <row r="3515">
      <c r="A3515" s="5" t="s">
        <v>2054</v>
      </c>
    </row>
    <row r="3516">
      <c r="A3516" s="5" t="s">
        <v>2054</v>
      </c>
    </row>
    <row r="3517">
      <c r="A3517" s="5" t="s">
        <v>2054</v>
      </c>
    </row>
    <row r="3518">
      <c r="A3518" s="5" t="s">
        <v>2054</v>
      </c>
    </row>
    <row r="3519">
      <c r="A3519" s="5" t="s">
        <v>2054</v>
      </c>
    </row>
    <row r="3520">
      <c r="A3520" s="5" t="s">
        <v>2054</v>
      </c>
    </row>
    <row r="3521">
      <c r="A3521" s="5" t="s">
        <v>2054</v>
      </c>
    </row>
    <row r="3522">
      <c r="A3522" s="5" t="s">
        <v>2054</v>
      </c>
    </row>
    <row r="3523">
      <c r="A3523" s="5" t="s">
        <v>2054</v>
      </c>
    </row>
    <row r="3524">
      <c r="A3524" s="5" t="s">
        <v>2054</v>
      </c>
    </row>
    <row r="3525">
      <c r="A3525" s="5" t="s">
        <v>2054</v>
      </c>
    </row>
    <row r="3526">
      <c r="A3526" s="5" t="s">
        <v>2054</v>
      </c>
    </row>
    <row r="3527">
      <c r="A3527" s="5" t="s">
        <v>2054</v>
      </c>
    </row>
    <row r="3528">
      <c r="A3528" s="5" t="s">
        <v>2054</v>
      </c>
    </row>
    <row r="3529">
      <c r="A3529" s="5" t="s">
        <v>2054</v>
      </c>
    </row>
    <row r="3530">
      <c r="A3530" s="5" t="s">
        <v>2054</v>
      </c>
    </row>
    <row r="3531">
      <c r="A3531" s="5" t="s">
        <v>2054</v>
      </c>
    </row>
    <row r="3532">
      <c r="A3532" s="5" t="s">
        <v>2054</v>
      </c>
    </row>
    <row r="3533">
      <c r="A3533" s="5" t="s">
        <v>2054</v>
      </c>
    </row>
    <row r="3534">
      <c r="A3534" s="5" t="s">
        <v>2054</v>
      </c>
    </row>
    <row r="3535">
      <c r="A3535" s="5" t="s">
        <v>2054</v>
      </c>
    </row>
    <row r="3536">
      <c r="A3536" s="5" t="s">
        <v>2054</v>
      </c>
    </row>
    <row r="3537">
      <c r="A3537" s="5" t="s">
        <v>2054</v>
      </c>
    </row>
    <row r="3538">
      <c r="A3538" s="5" t="s">
        <v>2054</v>
      </c>
    </row>
    <row r="3539">
      <c r="A3539" s="5" t="s">
        <v>2054</v>
      </c>
    </row>
    <row r="3540">
      <c r="A3540" s="5" t="s">
        <v>2054</v>
      </c>
    </row>
    <row r="3541">
      <c r="A3541" s="5" t="s">
        <v>2054</v>
      </c>
    </row>
    <row r="3542">
      <c r="A3542" s="5" t="s">
        <v>2054</v>
      </c>
    </row>
    <row r="3543">
      <c r="A3543" s="5" t="s">
        <v>2054</v>
      </c>
    </row>
    <row r="3544">
      <c r="A3544" s="5" t="s">
        <v>2054</v>
      </c>
    </row>
    <row r="3545">
      <c r="A3545" s="5" t="s">
        <v>2054</v>
      </c>
    </row>
    <row r="3546">
      <c r="A3546" s="5" t="s">
        <v>2054</v>
      </c>
    </row>
    <row r="3547">
      <c r="A3547" s="5" t="s">
        <v>2054</v>
      </c>
    </row>
    <row r="3548">
      <c r="A3548" s="5" t="s">
        <v>2054</v>
      </c>
    </row>
    <row r="3549">
      <c r="A3549" s="5" t="s">
        <v>2054</v>
      </c>
    </row>
    <row r="3550">
      <c r="A3550" s="5" t="s">
        <v>2054</v>
      </c>
    </row>
    <row r="3551">
      <c r="A3551" s="5" t="s">
        <v>2054</v>
      </c>
    </row>
    <row r="3552">
      <c r="A3552" s="5" t="s">
        <v>2054</v>
      </c>
    </row>
    <row r="3553">
      <c r="A3553" s="5" t="s">
        <v>2054</v>
      </c>
    </row>
    <row r="3554">
      <c r="A3554" s="5" t="s">
        <v>2054</v>
      </c>
    </row>
    <row r="3555">
      <c r="A3555" s="5" t="s">
        <v>2054</v>
      </c>
    </row>
    <row r="3556">
      <c r="A3556" s="5" t="s">
        <v>2054</v>
      </c>
    </row>
    <row r="3557">
      <c r="A3557" s="5" t="s">
        <v>2054</v>
      </c>
    </row>
    <row r="3558">
      <c r="A3558" s="5" t="s">
        <v>2054</v>
      </c>
    </row>
    <row r="3559">
      <c r="A3559" s="5" t="s">
        <v>2054</v>
      </c>
    </row>
    <row r="3560">
      <c r="A3560" s="5" t="s">
        <v>2054</v>
      </c>
    </row>
    <row r="3561">
      <c r="A3561" s="5" t="s">
        <v>2054</v>
      </c>
    </row>
    <row r="3562">
      <c r="A3562" s="5" t="s">
        <v>2054</v>
      </c>
    </row>
    <row r="3563">
      <c r="A3563" s="5" t="s">
        <v>2054</v>
      </c>
    </row>
    <row r="3564">
      <c r="A3564" s="5" t="s">
        <v>2054</v>
      </c>
    </row>
    <row r="3565">
      <c r="A3565" s="5" t="s">
        <v>2054</v>
      </c>
    </row>
    <row r="3566">
      <c r="A3566" s="5" t="s">
        <v>2054</v>
      </c>
    </row>
    <row r="3567">
      <c r="A3567" s="5" t="s">
        <v>2054</v>
      </c>
    </row>
    <row r="3568">
      <c r="A3568" s="5" t="s">
        <v>2054</v>
      </c>
    </row>
    <row r="3569">
      <c r="A3569" s="5" t="s">
        <v>2054</v>
      </c>
    </row>
    <row r="3570">
      <c r="A3570" s="5" t="s">
        <v>2054</v>
      </c>
    </row>
    <row r="3571">
      <c r="A3571" s="5" t="s">
        <v>2054</v>
      </c>
    </row>
    <row r="3572">
      <c r="A3572" s="5" t="s">
        <v>2054</v>
      </c>
    </row>
    <row r="3573">
      <c r="A3573" s="5" t="s">
        <v>2054</v>
      </c>
    </row>
    <row r="3574">
      <c r="A3574" s="5" t="s">
        <v>2054</v>
      </c>
    </row>
    <row r="3575">
      <c r="A3575" s="5" t="s">
        <v>2054</v>
      </c>
    </row>
    <row r="3576">
      <c r="A3576" s="5" t="s">
        <v>2054</v>
      </c>
    </row>
    <row r="3577">
      <c r="A3577" s="5" t="s">
        <v>2054</v>
      </c>
    </row>
    <row r="3578">
      <c r="A3578" s="5" t="s">
        <v>2054</v>
      </c>
    </row>
    <row r="3579">
      <c r="A3579" s="5" t="s">
        <v>2054</v>
      </c>
    </row>
    <row r="3580">
      <c r="A3580" s="5" t="s">
        <v>2054</v>
      </c>
    </row>
    <row r="3581">
      <c r="A3581" s="5" t="s">
        <v>2054</v>
      </c>
    </row>
    <row r="3582">
      <c r="A3582" s="5" t="s">
        <v>2054</v>
      </c>
    </row>
    <row r="3583">
      <c r="A3583" s="5" t="s">
        <v>2054</v>
      </c>
    </row>
    <row r="3584">
      <c r="A3584" s="5" t="s">
        <v>2054</v>
      </c>
    </row>
    <row r="3585">
      <c r="A3585" s="5" t="s">
        <v>2054</v>
      </c>
    </row>
    <row r="3586">
      <c r="A3586" s="5" t="s">
        <v>2054</v>
      </c>
    </row>
    <row r="3587">
      <c r="A3587" s="5" t="s">
        <v>2054</v>
      </c>
    </row>
    <row r="3588">
      <c r="A3588" s="5" t="s">
        <v>2054</v>
      </c>
    </row>
    <row r="3589">
      <c r="A3589" s="5" t="s">
        <v>2054</v>
      </c>
    </row>
    <row r="3590">
      <c r="A3590" s="5" t="s">
        <v>2054</v>
      </c>
    </row>
    <row r="3591">
      <c r="A3591" s="5" t="s">
        <v>2054</v>
      </c>
    </row>
    <row r="3592">
      <c r="A3592" s="5" t="s">
        <v>2054</v>
      </c>
    </row>
    <row r="3593">
      <c r="A3593" s="5" t="s">
        <v>2054</v>
      </c>
    </row>
    <row r="3594">
      <c r="A3594" s="5" t="s">
        <v>2054</v>
      </c>
    </row>
    <row r="3595">
      <c r="A3595" s="5" t="s">
        <v>2054</v>
      </c>
    </row>
    <row r="3596">
      <c r="A3596" s="5" t="s">
        <v>2054</v>
      </c>
    </row>
    <row r="3597">
      <c r="A3597" s="5" t="s">
        <v>2054</v>
      </c>
    </row>
    <row r="3598">
      <c r="A3598" s="5" t="s">
        <v>2054</v>
      </c>
    </row>
    <row r="3599">
      <c r="A3599" s="5" t="s">
        <v>2054</v>
      </c>
    </row>
    <row r="3600">
      <c r="A3600" s="5" t="s">
        <v>2054</v>
      </c>
    </row>
    <row r="3601">
      <c r="A3601" s="5" t="s">
        <v>2054</v>
      </c>
    </row>
    <row r="3602">
      <c r="A3602" s="5" t="s">
        <v>2054</v>
      </c>
    </row>
    <row r="3603">
      <c r="A3603" s="5" t="s">
        <v>2054</v>
      </c>
    </row>
    <row r="3604">
      <c r="A3604" s="5" t="s">
        <v>2054</v>
      </c>
    </row>
    <row r="3605">
      <c r="A3605" s="5" t="s">
        <v>2054</v>
      </c>
    </row>
    <row r="3606">
      <c r="A3606" s="5" t="s">
        <v>2054</v>
      </c>
    </row>
    <row r="3607">
      <c r="A3607" s="5" t="s">
        <v>2054</v>
      </c>
    </row>
    <row r="3608">
      <c r="A3608" s="5" t="s">
        <v>2054</v>
      </c>
    </row>
    <row r="3609">
      <c r="A3609" s="5" t="s">
        <v>2054</v>
      </c>
    </row>
    <row r="3610">
      <c r="A3610" s="5" t="s">
        <v>2054</v>
      </c>
    </row>
    <row r="3611">
      <c r="A3611" s="5" t="s">
        <v>2054</v>
      </c>
    </row>
    <row r="3612">
      <c r="A3612" s="5" t="s">
        <v>2054</v>
      </c>
    </row>
    <row r="3613">
      <c r="A3613" s="5" t="s">
        <v>2054</v>
      </c>
    </row>
    <row r="3614">
      <c r="A3614" s="5" t="s">
        <v>2054</v>
      </c>
    </row>
    <row r="3615">
      <c r="A3615" s="5" t="s">
        <v>2054</v>
      </c>
    </row>
    <row r="3616">
      <c r="A3616" s="5" t="s">
        <v>2054</v>
      </c>
    </row>
    <row r="3617">
      <c r="A3617" s="5" t="s">
        <v>2054</v>
      </c>
    </row>
    <row r="3618">
      <c r="A3618" s="5" t="s">
        <v>2054</v>
      </c>
    </row>
    <row r="3619">
      <c r="A3619" s="5" t="s">
        <v>2054</v>
      </c>
    </row>
    <row r="3620">
      <c r="A3620" s="5" t="s">
        <v>2054</v>
      </c>
    </row>
    <row r="3621">
      <c r="A3621" s="5" t="s">
        <v>2054</v>
      </c>
    </row>
    <row r="3622">
      <c r="A3622" s="5" t="s">
        <v>2054</v>
      </c>
    </row>
    <row r="3623">
      <c r="A3623" s="5" t="s">
        <v>2054</v>
      </c>
    </row>
    <row r="3624">
      <c r="A3624" s="5" t="s">
        <v>2054</v>
      </c>
    </row>
    <row r="3625">
      <c r="A3625" s="5" t="s">
        <v>2054</v>
      </c>
    </row>
    <row r="3626">
      <c r="A3626" s="5" t="s">
        <v>2054</v>
      </c>
    </row>
    <row r="3627">
      <c r="A3627" s="5" t="s">
        <v>2054</v>
      </c>
    </row>
    <row r="3628">
      <c r="A3628" s="5" t="s">
        <v>2054</v>
      </c>
    </row>
    <row r="3629">
      <c r="A3629" s="5" t="s">
        <v>2054</v>
      </c>
    </row>
    <row r="3630">
      <c r="A3630" s="5" t="s">
        <v>2054</v>
      </c>
    </row>
    <row r="3631">
      <c r="A3631" s="5" t="s">
        <v>2054</v>
      </c>
    </row>
    <row r="3632">
      <c r="A3632" s="5" t="s">
        <v>2054</v>
      </c>
    </row>
    <row r="3633">
      <c r="A3633" s="5" t="s">
        <v>2054</v>
      </c>
    </row>
    <row r="3634">
      <c r="A3634" s="5" t="s">
        <v>2054</v>
      </c>
    </row>
    <row r="3635">
      <c r="A3635" s="5" t="s">
        <v>2054</v>
      </c>
    </row>
    <row r="3636">
      <c r="A3636" s="5" t="s">
        <v>2054</v>
      </c>
    </row>
    <row r="3637">
      <c r="A3637" s="5" t="s">
        <v>2054</v>
      </c>
    </row>
    <row r="3638">
      <c r="A3638" s="5" t="s">
        <v>2054</v>
      </c>
    </row>
    <row r="3639">
      <c r="A3639" s="5" t="s">
        <v>2054</v>
      </c>
    </row>
    <row r="3640">
      <c r="A3640" s="5" t="s">
        <v>2054</v>
      </c>
    </row>
    <row r="3641">
      <c r="A3641" s="5" t="s">
        <v>2054</v>
      </c>
    </row>
    <row r="3642">
      <c r="A3642" s="5" t="s">
        <v>2054</v>
      </c>
    </row>
    <row r="3643">
      <c r="A3643" s="5" t="s">
        <v>2054</v>
      </c>
    </row>
    <row r="3644">
      <c r="A3644" s="5" t="s">
        <v>2054</v>
      </c>
    </row>
    <row r="3645">
      <c r="A3645" s="5" t="s">
        <v>2054</v>
      </c>
    </row>
    <row r="3646">
      <c r="A3646" s="5" t="s">
        <v>2054</v>
      </c>
    </row>
    <row r="3647">
      <c r="A3647" s="5" t="s">
        <v>2054</v>
      </c>
    </row>
    <row r="3648">
      <c r="A3648" s="5" t="s">
        <v>2054</v>
      </c>
    </row>
    <row r="3649">
      <c r="A3649" s="5" t="s">
        <v>2054</v>
      </c>
    </row>
    <row r="3650">
      <c r="A3650" s="5" t="s">
        <v>2054</v>
      </c>
    </row>
    <row r="3651">
      <c r="A3651" s="5" t="s">
        <v>2054</v>
      </c>
    </row>
    <row r="3652">
      <c r="A3652" s="5" t="s">
        <v>2054</v>
      </c>
    </row>
    <row r="3653">
      <c r="A3653" s="5" t="s">
        <v>2054</v>
      </c>
    </row>
    <row r="3654">
      <c r="A3654" s="5" t="s">
        <v>2054</v>
      </c>
    </row>
    <row r="3655">
      <c r="A3655" s="5" t="s">
        <v>2054</v>
      </c>
    </row>
    <row r="3656">
      <c r="A3656" s="5" t="s">
        <v>2054</v>
      </c>
    </row>
    <row r="3657">
      <c r="A3657" s="5" t="s">
        <v>2054</v>
      </c>
    </row>
    <row r="3658">
      <c r="A3658" s="5" t="s">
        <v>2054</v>
      </c>
    </row>
    <row r="3659">
      <c r="A3659" s="5" t="s">
        <v>2054</v>
      </c>
    </row>
    <row r="3660">
      <c r="A3660" s="5" t="s">
        <v>2054</v>
      </c>
    </row>
    <row r="3661">
      <c r="A3661" s="5" t="s">
        <v>2054</v>
      </c>
    </row>
    <row r="3662">
      <c r="A3662" s="5" t="s">
        <v>2054</v>
      </c>
    </row>
    <row r="3663">
      <c r="A3663" s="5" t="s">
        <v>2054</v>
      </c>
    </row>
    <row r="3664">
      <c r="A3664" s="5" t="s">
        <v>2054</v>
      </c>
    </row>
    <row r="3665">
      <c r="A3665" s="5" t="s">
        <v>2054</v>
      </c>
    </row>
    <row r="3666">
      <c r="A3666" s="5" t="s">
        <v>2054</v>
      </c>
    </row>
    <row r="3667">
      <c r="A3667" s="5" t="s">
        <v>2054</v>
      </c>
    </row>
    <row r="3668">
      <c r="A3668" s="5" t="s">
        <v>2054</v>
      </c>
    </row>
    <row r="3669">
      <c r="A3669" s="5" t="s">
        <v>2054</v>
      </c>
    </row>
    <row r="3670">
      <c r="A3670" s="5" t="s">
        <v>2054</v>
      </c>
    </row>
    <row r="3671">
      <c r="A3671" s="5" t="s">
        <v>2054</v>
      </c>
    </row>
    <row r="3672">
      <c r="A3672" s="5" t="s">
        <v>2054</v>
      </c>
    </row>
    <row r="3673">
      <c r="A3673" s="5" t="s">
        <v>2054</v>
      </c>
    </row>
    <row r="3674">
      <c r="A3674" s="5" t="s">
        <v>2054</v>
      </c>
    </row>
    <row r="3675">
      <c r="A3675" s="5" t="s">
        <v>2054</v>
      </c>
    </row>
    <row r="3676">
      <c r="A3676" s="5" t="s">
        <v>2054</v>
      </c>
    </row>
    <row r="3677">
      <c r="A3677" s="5" t="s">
        <v>2054</v>
      </c>
    </row>
    <row r="3678">
      <c r="A3678" s="5" t="s">
        <v>2054</v>
      </c>
    </row>
    <row r="3679">
      <c r="A3679" s="5" t="s">
        <v>2054</v>
      </c>
    </row>
    <row r="3680">
      <c r="A3680" s="5" t="s">
        <v>2054</v>
      </c>
    </row>
    <row r="3681">
      <c r="A3681" s="5" t="s">
        <v>2054</v>
      </c>
    </row>
    <row r="3682">
      <c r="A3682" s="5" t="s">
        <v>2054</v>
      </c>
    </row>
    <row r="3683">
      <c r="A3683" s="5" t="s">
        <v>2054</v>
      </c>
    </row>
    <row r="3684">
      <c r="A3684" s="5" t="s">
        <v>2054</v>
      </c>
    </row>
    <row r="3685">
      <c r="A3685" s="5" t="s">
        <v>2054</v>
      </c>
    </row>
    <row r="3686">
      <c r="A3686" s="5" t="s">
        <v>2054</v>
      </c>
    </row>
    <row r="3687">
      <c r="A3687" s="5" t="s">
        <v>2054</v>
      </c>
    </row>
    <row r="3688">
      <c r="A3688" s="5" t="s">
        <v>2054</v>
      </c>
    </row>
    <row r="3689">
      <c r="A3689" s="5" t="s">
        <v>2054</v>
      </c>
    </row>
    <row r="3690">
      <c r="A3690" s="5" t="s">
        <v>2054</v>
      </c>
    </row>
    <row r="3691">
      <c r="A3691" s="5" t="s">
        <v>2054</v>
      </c>
    </row>
    <row r="3692">
      <c r="A3692" s="5" t="s">
        <v>2054</v>
      </c>
    </row>
    <row r="3693">
      <c r="A3693" s="5" t="s">
        <v>2054</v>
      </c>
    </row>
    <row r="3694">
      <c r="A3694" s="5" t="s">
        <v>2054</v>
      </c>
    </row>
    <row r="3695">
      <c r="A3695" s="5" t="s">
        <v>2054</v>
      </c>
    </row>
    <row r="3696">
      <c r="A3696" s="5" t="s">
        <v>2054</v>
      </c>
    </row>
    <row r="3697">
      <c r="A3697" s="5" t="s">
        <v>2054</v>
      </c>
    </row>
    <row r="3698">
      <c r="A3698" s="5" t="s">
        <v>2054</v>
      </c>
    </row>
    <row r="3699">
      <c r="A3699" s="5" t="s">
        <v>2054</v>
      </c>
    </row>
    <row r="3700">
      <c r="A3700" s="5" t="s">
        <v>2054</v>
      </c>
    </row>
    <row r="3701">
      <c r="A3701" s="5" t="s">
        <v>2054</v>
      </c>
    </row>
    <row r="3702">
      <c r="A3702" s="5" t="s">
        <v>2054</v>
      </c>
    </row>
    <row r="3703">
      <c r="A3703" s="5" t="s">
        <v>2054</v>
      </c>
    </row>
    <row r="3704">
      <c r="A3704" s="5" t="s">
        <v>2054</v>
      </c>
    </row>
    <row r="3705">
      <c r="A3705" s="5" t="s">
        <v>2054</v>
      </c>
    </row>
    <row r="3706">
      <c r="A3706" s="5" t="s">
        <v>2054</v>
      </c>
    </row>
    <row r="3707">
      <c r="A3707" s="5" t="s">
        <v>2054</v>
      </c>
    </row>
    <row r="3708">
      <c r="A3708" s="5" t="s">
        <v>2054</v>
      </c>
    </row>
    <row r="3709">
      <c r="A3709" s="5" t="s">
        <v>2054</v>
      </c>
    </row>
    <row r="3710">
      <c r="A3710" s="5" t="s">
        <v>2054</v>
      </c>
    </row>
    <row r="3711">
      <c r="A3711" s="5" t="s">
        <v>2054</v>
      </c>
    </row>
    <row r="3712">
      <c r="A3712" s="5" t="s">
        <v>2054</v>
      </c>
    </row>
    <row r="3713">
      <c r="A3713" s="5" t="s">
        <v>2054</v>
      </c>
    </row>
    <row r="3714">
      <c r="A3714" s="5" t="s">
        <v>2054</v>
      </c>
    </row>
    <row r="3715">
      <c r="A3715" s="5" t="s">
        <v>2054</v>
      </c>
    </row>
    <row r="3716">
      <c r="A3716" s="5" t="s">
        <v>2054</v>
      </c>
    </row>
    <row r="3717">
      <c r="A3717" s="5" t="s">
        <v>2054</v>
      </c>
    </row>
    <row r="3718">
      <c r="A3718" s="5" t="s">
        <v>2054</v>
      </c>
    </row>
    <row r="3719">
      <c r="A3719" s="5" t="s">
        <v>2054</v>
      </c>
    </row>
    <row r="3720">
      <c r="A3720" s="5" t="s">
        <v>2054</v>
      </c>
    </row>
    <row r="3721">
      <c r="A3721" s="5" t="s">
        <v>2054</v>
      </c>
    </row>
    <row r="3722">
      <c r="A3722" s="5" t="s">
        <v>2054</v>
      </c>
    </row>
    <row r="3723">
      <c r="A3723" s="5" t="s">
        <v>2054</v>
      </c>
    </row>
    <row r="3724">
      <c r="A3724" s="5" t="s">
        <v>2054</v>
      </c>
    </row>
    <row r="3725">
      <c r="A3725" s="5" t="s">
        <v>2054</v>
      </c>
    </row>
    <row r="3726">
      <c r="A3726" s="5" t="s">
        <v>2054</v>
      </c>
    </row>
    <row r="3727">
      <c r="A3727" s="5" t="s">
        <v>2054</v>
      </c>
    </row>
    <row r="3728">
      <c r="A3728" s="5" t="s">
        <v>2054</v>
      </c>
    </row>
    <row r="3729">
      <c r="A3729" s="5" t="s">
        <v>2054</v>
      </c>
    </row>
    <row r="3730">
      <c r="A3730" s="5" t="s">
        <v>2054</v>
      </c>
    </row>
    <row r="3731">
      <c r="A3731" s="5" t="s">
        <v>2054</v>
      </c>
    </row>
    <row r="3732">
      <c r="A3732" s="5" t="s">
        <v>2054</v>
      </c>
    </row>
    <row r="3733">
      <c r="A3733" s="5" t="s">
        <v>2054</v>
      </c>
    </row>
    <row r="3734">
      <c r="A3734" s="5" t="s">
        <v>2054</v>
      </c>
    </row>
    <row r="3735">
      <c r="A3735" s="5" t="s">
        <v>2054</v>
      </c>
    </row>
    <row r="3736">
      <c r="A3736" s="5" t="s">
        <v>2054</v>
      </c>
    </row>
    <row r="3737">
      <c r="A3737" s="5" t="s">
        <v>2054</v>
      </c>
    </row>
    <row r="3738">
      <c r="A3738" s="5" t="s">
        <v>2054</v>
      </c>
    </row>
    <row r="3739">
      <c r="A3739" s="5" t="s">
        <v>2054</v>
      </c>
    </row>
    <row r="3740">
      <c r="A3740" s="5" t="s">
        <v>2054</v>
      </c>
    </row>
    <row r="3741">
      <c r="A3741" s="5" t="s">
        <v>2054</v>
      </c>
    </row>
    <row r="3742">
      <c r="A3742" s="5" t="s">
        <v>2054</v>
      </c>
    </row>
    <row r="3743">
      <c r="A3743" s="5" t="s">
        <v>2054</v>
      </c>
    </row>
    <row r="3744">
      <c r="A3744" s="5" t="s">
        <v>2054</v>
      </c>
    </row>
    <row r="3745">
      <c r="A3745" s="5" t="s">
        <v>2054</v>
      </c>
    </row>
    <row r="3746">
      <c r="A3746" s="5" t="s">
        <v>2054</v>
      </c>
    </row>
    <row r="3747">
      <c r="A3747" s="5" t="s">
        <v>2054</v>
      </c>
    </row>
    <row r="3748">
      <c r="A3748" s="5" t="s">
        <v>2054</v>
      </c>
    </row>
    <row r="3749">
      <c r="A3749" s="5" t="s">
        <v>2054</v>
      </c>
    </row>
    <row r="3750">
      <c r="A3750" s="5" t="s">
        <v>2054</v>
      </c>
    </row>
    <row r="3751">
      <c r="A3751" s="5" t="s">
        <v>2054</v>
      </c>
    </row>
    <row r="3752">
      <c r="A3752" s="5" t="s">
        <v>2054</v>
      </c>
    </row>
    <row r="3753">
      <c r="A3753" s="5" t="s">
        <v>2054</v>
      </c>
    </row>
    <row r="3754">
      <c r="A3754" s="5" t="s">
        <v>2054</v>
      </c>
    </row>
    <row r="3755">
      <c r="A3755" s="5" t="s">
        <v>2054</v>
      </c>
    </row>
    <row r="3756">
      <c r="A3756" s="5" t="s">
        <v>2054</v>
      </c>
    </row>
    <row r="3757">
      <c r="A3757" s="5" t="s">
        <v>2054</v>
      </c>
    </row>
    <row r="3758">
      <c r="A3758" s="5" t="s">
        <v>2054</v>
      </c>
    </row>
    <row r="3759">
      <c r="A3759" s="5" t="s">
        <v>2054</v>
      </c>
    </row>
    <row r="3760">
      <c r="A3760" s="5" t="s">
        <v>2054</v>
      </c>
    </row>
    <row r="3761">
      <c r="A3761" s="5" t="s">
        <v>2054</v>
      </c>
    </row>
    <row r="3762">
      <c r="A3762" s="5" t="s">
        <v>2054</v>
      </c>
    </row>
    <row r="3763">
      <c r="A3763" s="5" t="s">
        <v>2054</v>
      </c>
    </row>
    <row r="3764">
      <c r="A3764" s="5" t="s">
        <v>2054</v>
      </c>
    </row>
    <row r="3765">
      <c r="A3765" s="5" t="s">
        <v>2054</v>
      </c>
    </row>
    <row r="3766">
      <c r="A3766" s="5" t="s">
        <v>2054</v>
      </c>
    </row>
    <row r="3767">
      <c r="A3767" s="5" t="s">
        <v>2054</v>
      </c>
    </row>
    <row r="3768">
      <c r="A3768" s="5" t="s">
        <v>2054</v>
      </c>
    </row>
    <row r="3769">
      <c r="A3769" s="5" t="s">
        <v>2054</v>
      </c>
    </row>
    <row r="3770">
      <c r="A3770" s="5" t="s">
        <v>2054</v>
      </c>
    </row>
    <row r="3771">
      <c r="A3771" s="5" t="s">
        <v>2054</v>
      </c>
    </row>
    <row r="3772">
      <c r="A3772" s="5" t="s">
        <v>2054</v>
      </c>
    </row>
    <row r="3773">
      <c r="A3773" s="5" t="s">
        <v>2054</v>
      </c>
    </row>
    <row r="3774">
      <c r="A3774" s="5" t="s">
        <v>2054</v>
      </c>
    </row>
    <row r="3775">
      <c r="A3775" s="5" t="s">
        <v>2054</v>
      </c>
    </row>
    <row r="3776">
      <c r="A3776" s="5" t="s">
        <v>2054</v>
      </c>
    </row>
    <row r="3777">
      <c r="A3777" s="5" t="s">
        <v>2054</v>
      </c>
    </row>
    <row r="3778">
      <c r="A3778" s="5" t="s">
        <v>2054</v>
      </c>
    </row>
    <row r="3779">
      <c r="A3779" s="5" t="s">
        <v>2054</v>
      </c>
    </row>
    <row r="3780">
      <c r="A3780" s="5" t="s">
        <v>2054</v>
      </c>
    </row>
    <row r="3781">
      <c r="A3781" s="5" t="s">
        <v>2054</v>
      </c>
    </row>
    <row r="3782">
      <c r="A3782" s="5" t="s">
        <v>2054</v>
      </c>
    </row>
    <row r="3783">
      <c r="A3783" s="5" t="s">
        <v>2054</v>
      </c>
    </row>
    <row r="3784">
      <c r="A3784" s="5" t="s">
        <v>2054</v>
      </c>
    </row>
    <row r="3785">
      <c r="A3785" s="5" t="s">
        <v>2054</v>
      </c>
    </row>
    <row r="3786">
      <c r="A3786" s="5" t="s">
        <v>2054</v>
      </c>
    </row>
    <row r="3787">
      <c r="A3787" s="5" t="s">
        <v>2054</v>
      </c>
    </row>
    <row r="3788">
      <c r="A3788" s="5" t="s">
        <v>2054</v>
      </c>
    </row>
    <row r="3789">
      <c r="A3789" s="5" t="s">
        <v>2054</v>
      </c>
    </row>
    <row r="3790">
      <c r="A3790" s="5" t="s">
        <v>2054</v>
      </c>
    </row>
    <row r="3791">
      <c r="A3791" s="5" t="s">
        <v>2054</v>
      </c>
    </row>
    <row r="3792">
      <c r="A3792" s="5" t="s">
        <v>2054</v>
      </c>
    </row>
    <row r="3793">
      <c r="A3793" s="5" t="s">
        <v>2054</v>
      </c>
    </row>
    <row r="3794">
      <c r="A3794" s="5" t="s">
        <v>2054</v>
      </c>
    </row>
    <row r="3795">
      <c r="A3795" s="5" t="s">
        <v>2054</v>
      </c>
    </row>
    <row r="3796">
      <c r="A3796" s="5" t="s">
        <v>2054</v>
      </c>
    </row>
    <row r="3797">
      <c r="A3797" s="5" t="s">
        <v>2054</v>
      </c>
    </row>
    <row r="3798">
      <c r="A3798" s="5" t="s">
        <v>2054</v>
      </c>
    </row>
    <row r="3799">
      <c r="A3799" s="5" t="s">
        <v>2054</v>
      </c>
    </row>
    <row r="3800">
      <c r="A3800" s="5" t="s">
        <v>2054</v>
      </c>
    </row>
    <row r="3801">
      <c r="A3801" s="5" t="s">
        <v>2054</v>
      </c>
    </row>
    <row r="3802">
      <c r="A3802" s="5" t="s">
        <v>2054</v>
      </c>
    </row>
    <row r="3803">
      <c r="A3803" s="5" t="s">
        <v>2054</v>
      </c>
    </row>
    <row r="3804">
      <c r="A3804" s="5" t="s">
        <v>2054</v>
      </c>
    </row>
    <row r="3805">
      <c r="A3805" s="5" t="s">
        <v>2054</v>
      </c>
    </row>
    <row r="3806">
      <c r="A3806" s="5" t="s">
        <v>2054</v>
      </c>
    </row>
    <row r="3807">
      <c r="A3807" s="5" t="s">
        <v>2054</v>
      </c>
    </row>
    <row r="3808">
      <c r="A3808" s="5" t="s">
        <v>2054</v>
      </c>
    </row>
    <row r="3809">
      <c r="A3809" s="5" t="s">
        <v>2054</v>
      </c>
    </row>
    <row r="3810">
      <c r="A3810" s="5" t="s">
        <v>2054</v>
      </c>
    </row>
    <row r="3811">
      <c r="A3811" s="5" t="s">
        <v>2054</v>
      </c>
    </row>
    <row r="3812">
      <c r="A3812" s="5" t="s">
        <v>2054</v>
      </c>
    </row>
    <row r="3813">
      <c r="A3813" s="5" t="s">
        <v>2054</v>
      </c>
    </row>
    <row r="3814">
      <c r="A3814" s="5" t="s">
        <v>2054</v>
      </c>
    </row>
    <row r="3815">
      <c r="A3815" s="5" t="s">
        <v>2054</v>
      </c>
    </row>
    <row r="3816">
      <c r="A3816" s="5" t="s">
        <v>2054</v>
      </c>
    </row>
    <row r="3817">
      <c r="A3817" s="5" t="s">
        <v>2054</v>
      </c>
    </row>
    <row r="3818">
      <c r="A3818" s="5" t="s">
        <v>2054</v>
      </c>
    </row>
    <row r="3819">
      <c r="A3819" s="5" t="s">
        <v>2054</v>
      </c>
    </row>
    <row r="3820">
      <c r="A3820" s="5" t="s">
        <v>2054</v>
      </c>
    </row>
    <row r="3821">
      <c r="A3821" s="5" t="s">
        <v>2054</v>
      </c>
    </row>
    <row r="3822">
      <c r="A3822" s="5" t="s">
        <v>2054</v>
      </c>
    </row>
    <row r="3823">
      <c r="A3823" s="5" t="s">
        <v>2054</v>
      </c>
    </row>
    <row r="3824">
      <c r="A3824" s="5" t="s">
        <v>2054</v>
      </c>
    </row>
    <row r="3825">
      <c r="A3825" s="5" t="s">
        <v>2054</v>
      </c>
    </row>
    <row r="3826">
      <c r="A3826" s="5" t="s">
        <v>2054</v>
      </c>
    </row>
    <row r="3827">
      <c r="A3827" s="5" t="s">
        <v>2054</v>
      </c>
    </row>
    <row r="3828">
      <c r="A3828" s="5" t="s">
        <v>2054</v>
      </c>
    </row>
    <row r="3829">
      <c r="A3829" s="5" t="s">
        <v>2054</v>
      </c>
    </row>
    <row r="3830">
      <c r="A3830" s="5" t="s">
        <v>2054</v>
      </c>
    </row>
    <row r="3831">
      <c r="A3831" s="5" t="s">
        <v>2054</v>
      </c>
    </row>
    <row r="3832">
      <c r="A3832" s="5" t="s">
        <v>2054</v>
      </c>
    </row>
    <row r="3833">
      <c r="A3833" s="5" t="s">
        <v>2054</v>
      </c>
    </row>
    <row r="3834">
      <c r="A3834" s="5" t="s">
        <v>2054</v>
      </c>
    </row>
    <row r="3835">
      <c r="A3835" s="5" t="s">
        <v>2054</v>
      </c>
    </row>
    <row r="3836">
      <c r="A3836" s="5" t="s">
        <v>2054</v>
      </c>
    </row>
    <row r="3837">
      <c r="A3837" s="5" t="s">
        <v>2054</v>
      </c>
    </row>
    <row r="3838">
      <c r="A3838" s="5" t="s">
        <v>2054</v>
      </c>
    </row>
    <row r="3839">
      <c r="A3839" s="5" t="s">
        <v>2054</v>
      </c>
    </row>
    <row r="3840">
      <c r="A3840" s="5" t="s">
        <v>2054</v>
      </c>
    </row>
    <row r="3841">
      <c r="A3841" s="5" t="s">
        <v>2054</v>
      </c>
    </row>
    <row r="3842">
      <c r="A3842" s="5" t="s">
        <v>2054</v>
      </c>
    </row>
    <row r="3843">
      <c r="A3843" s="5" t="s">
        <v>2054</v>
      </c>
    </row>
    <row r="3844">
      <c r="A3844" s="5" t="s">
        <v>2054</v>
      </c>
    </row>
    <row r="3845">
      <c r="A3845" s="5" t="s">
        <v>2054</v>
      </c>
    </row>
    <row r="3846">
      <c r="A3846" s="5" t="s">
        <v>2054</v>
      </c>
    </row>
    <row r="3847">
      <c r="A3847" s="5" t="s">
        <v>2054</v>
      </c>
    </row>
    <row r="3848">
      <c r="A3848" s="5" t="s">
        <v>2054</v>
      </c>
    </row>
    <row r="3849">
      <c r="A3849" s="5" t="s">
        <v>2054</v>
      </c>
    </row>
    <row r="3850">
      <c r="A3850" s="5" t="s">
        <v>2054</v>
      </c>
    </row>
    <row r="3851">
      <c r="A3851" s="5" t="s">
        <v>2054</v>
      </c>
    </row>
    <row r="3852">
      <c r="A3852" s="5" t="s">
        <v>2054</v>
      </c>
    </row>
    <row r="3853">
      <c r="A3853" s="5" t="s">
        <v>2054</v>
      </c>
    </row>
    <row r="3854">
      <c r="A3854" s="5" t="s">
        <v>2054</v>
      </c>
    </row>
    <row r="3855">
      <c r="A3855" s="5" t="s">
        <v>2054</v>
      </c>
    </row>
    <row r="3856">
      <c r="A3856" s="5" t="s">
        <v>2054</v>
      </c>
    </row>
    <row r="3857">
      <c r="A3857" s="5" t="s">
        <v>2054</v>
      </c>
    </row>
    <row r="3858">
      <c r="A3858" s="5" t="s">
        <v>2054</v>
      </c>
    </row>
    <row r="3859">
      <c r="A3859" s="5" t="s">
        <v>2054</v>
      </c>
    </row>
    <row r="3860">
      <c r="A3860" s="5" t="s">
        <v>2054</v>
      </c>
    </row>
    <row r="3861">
      <c r="A3861" s="5" t="s">
        <v>2054</v>
      </c>
    </row>
    <row r="3862">
      <c r="A3862" s="5" t="s">
        <v>2054</v>
      </c>
    </row>
    <row r="3863">
      <c r="A3863" s="5" t="s">
        <v>2054</v>
      </c>
    </row>
    <row r="3864">
      <c r="A3864" s="5" t="s">
        <v>2054</v>
      </c>
    </row>
    <row r="3865">
      <c r="A3865" s="5" t="s">
        <v>2054</v>
      </c>
    </row>
    <row r="3866">
      <c r="A3866" s="5" t="s">
        <v>2054</v>
      </c>
    </row>
    <row r="3867">
      <c r="A3867" s="5" t="s">
        <v>2054</v>
      </c>
    </row>
    <row r="3868">
      <c r="A3868" s="5" t="s">
        <v>2054</v>
      </c>
    </row>
    <row r="3869">
      <c r="A3869" s="5" t="s">
        <v>2054</v>
      </c>
    </row>
    <row r="3870">
      <c r="A3870" s="5" t="s">
        <v>2054</v>
      </c>
    </row>
    <row r="3871">
      <c r="A3871" s="5" t="s">
        <v>2054</v>
      </c>
    </row>
    <row r="3872">
      <c r="A3872" s="5" t="s">
        <v>2054</v>
      </c>
    </row>
    <row r="3873">
      <c r="A3873" s="5" t="s">
        <v>2054</v>
      </c>
    </row>
    <row r="3874">
      <c r="A3874" s="5" t="s">
        <v>2054</v>
      </c>
    </row>
    <row r="3875">
      <c r="A3875" s="5" t="s">
        <v>2054</v>
      </c>
    </row>
    <row r="3876">
      <c r="A3876" s="5" t="s">
        <v>2054</v>
      </c>
    </row>
    <row r="3877">
      <c r="A3877" s="5" t="s">
        <v>2054</v>
      </c>
    </row>
    <row r="3878">
      <c r="A3878" s="5" t="s">
        <v>2054</v>
      </c>
    </row>
    <row r="3879">
      <c r="A3879" s="5" t="s">
        <v>2054</v>
      </c>
    </row>
    <row r="3880">
      <c r="A3880" s="5" t="s">
        <v>2054</v>
      </c>
    </row>
    <row r="3881">
      <c r="A3881" s="5" t="s">
        <v>2054</v>
      </c>
    </row>
    <row r="3882">
      <c r="A3882" s="5" t="s">
        <v>2054</v>
      </c>
    </row>
    <row r="3883">
      <c r="A3883" s="5" t="s">
        <v>2054</v>
      </c>
    </row>
    <row r="3884">
      <c r="A3884" s="5" t="s">
        <v>2054</v>
      </c>
    </row>
    <row r="3885">
      <c r="A3885" s="5" t="s">
        <v>2054</v>
      </c>
    </row>
    <row r="3886">
      <c r="A3886" s="5" t="s">
        <v>2054</v>
      </c>
    </row>
    <row r="3887">
      <c r="A3887" s="5" t="s">
        <v>2054</v>
      </c>
    </row>
    <row r="3888">
      <c r="A3888" s="5" t="s">
        <v>2054</v>
      </c>
    </row>
    <row r="3889">
      <c r="A3889" s="5" t="s">
        <v>2054</v>
      </c>
    </row>
    <row r="3890">
      <c r="A3890" s="5" t="s">
        <v>2054</v>
      </c>
    </row>
    <row r="3891">
      <c r="A3891" s="5" t="s">
        <v>2054</v>
      </c>
    </row>
    <row r="3892">
      <c r="A3892" s="5" t="s">
        <v>2054</v>
      </c>
    </row>
    <row r="3893">
      <c r="A3893" s="5" t="s">
        <v>2054</v>
      </c>
    </row>
    <row r="3894">
      <c r="A3894" s="5" t="s">
        <v>2054</v>
      </c>
    </row>
    <row r="3895">
      <c r="A3895" s="5" t="s">
        <v>2054</v>
      </c>
    </row>
    <row r="3896">
      <c r="A3896" s="5" t="s">
        <v>2054</v>
      </c>
    </row>
    <row r="3897">
      <c r="A3897" s="5" t="s">
        <v>2054</v>
      </c>
    </row>
    <row r="3898">
      <c r="A3898" s="5" t="s">
        <v>2054</v>
      </c>
    </row>
    <row r="3899">
      <c r="A3899" s="5" t="s">
        <v>2054</v>
      </c>
    </row>
    <row r="3900">
      <c r="A3900" s="5" t="s">
        <v>2054</v>
      </c>
    </row>
    <row r="3901">
      <c r="A3901" s="5" t="s">
        <v>2054</v>
      </c>
    </row>
    <row r="3902">
      <c r="A3902" s="5" t="s">
        <v>2054</v>
      </c>
    </row>
    <row r="3903">
      <c r="A3903" s="5" t="s">
        <v>2054</v>
      </c>
    </row>
    <row r="3904">
      <c r="A3904" s="5" t="s">
        <v>2054</v>
      </c>
    </row>
    <row r="3905">
      <c r="A3905" s="5" t="s">
        <v>2054</v>
      </c>
    </row>
    <row r="3906">
      <c r="A3906" s="5" t="s">
        <v>2054</v>
      </c>
    </row>
    <row r="3907">
      <c r="A3907" s="5" t="s">
        <v>2054</v>
      </c>
    </row>
    <row r="3908">
      <c r="A3908" s="5" t="s">
        <v>2054</v>
      </c>
    </row>
    <row r="3909">
      <c r="A3909" s="5" t="s">
        <v>2054</v>
      </c>
    </row>
    <row r="3910">
      <c r="A3910" s="5" t="s">
        <v>2054</v>
      </c>
    </row>
    <row r="3911">
      <c r="A3911" s="5" t="s">
        <v>2054</v>
      </c>
    </row>
    <row r="3912">
      <c r="A3912" s="5" t="s">
        <v>2054</v>
      </c>
    </row>
    <row r="3913">
      <c r="A3913" s="5" t="s">
        <v>2054</v>
      </c>
    </row>
    <row r="3914">
      <c r="A3914" s="5" t="s">
        <v>2054</v>
      </c>
    </row>
    <row r="3915">
      <c r="A3915" s="5" t="s">
        <v>2054</v>
      </c>
    </row>
    <row r="3916">
      <c r="A3916" s="5" t="s">
        <v>2054</v>
      </c>
    </row>
    <row r="3917">
      <c r="A3917" s="5" t="s">
        <v>2054</v>
      </c>
    </row>
    <row r="3918">
      <c r="A3918" s="5" t="s">
        <v>2054</v>
      </c>
    </row>
    <row r="3919">
      <c r="A3919" s="5" t="s">
        <v>2054</v>
      </c>
    </row>
    <row r="3920">
      <c r="A3920" s="5" t="s">
        <v>2054</v>
      </c>
    </row>
    <row r="3921">
      <c r="A3921" s="5" t="s">
        <v>2054</v>
      </c>
    </row>
    <row r="3922">
      <c r="A3922" s="5" t="s">
        <v>2054</v>
      </c>
    </row>
    <row r="3923">
      <c r="A3923" s="5" t="s">
        <v>2054</v>
      </c>
    </row>
    <row r="3924">
      <c r="A3924" s="5" t="s">
        <v>2054</v>
      </c>
    </row>
    <row r="3925">
      <c r="A3925" s="5" t="s">
        <v>2054</v>
      </c>
    </row>
    <row r="3926">
      <c r="A3926" s="5" t="s">
        <v>2054</v>
      </c>
    </row>
    <row r="3927">
      <c r="A3927" s="5" t="s">
        <v>2054</v>
      </c>
    </row>
    <row r="3928">
      <c r="A3928" s="5" t="s">
        <v>2054</v>
      </c>
    </row>
    <row r="3929">
      <c r="A3929" s="5" t="s">
        <v>2054</v>
      </c>
    </row>
    <row r="3930">
      <c r="A3930" s="5" t="s">
        <v>2054</v>
      </c>
    </row>
    <row r="3931">
      <c r="A3931" s="5" t="s">
        <v>2054</v>
      </c>
    </row>
    <row r="3932">
      <c r="A3932" s="5" t="s">
        <v>2054</v>
      </c>
    </row>
    <row r="3933">
      <c r="A3933" s="5" t="s">
        <v>2054</v>
      </c>
    </row>
    <row r="3934">
      <c r="A3934" s="5" t="s">
        <v>2054</v>
      </c>
    </row>
    <row r="3935">
      <c r="A3935" s="5" t="s">
        <v>2054</v>
      </c>
    </row>
    <row r="3936">
      <c r="A3936" s="5" t="s">
        <v>2054</v>
      </c>
    </row>
    <row r="3937">
      <c r="A3937" s="5" t="s">
        <v>2054</v>
      </c>
    </row>
    <row r="3938">
      <c r="A3938" s="5" t="s">
        <v>2054</v>
      </c>
    </row>
    <row r="3939">
      <c r="A3939" s="5" t="s">
        <v>2054</v>
      </c>
    </row>
    <row r="3940">
      <c r="A3940" s="5" t="s">
        <v>2054</v>
      </c>
    </row>
    <row r="3941">
      <c r="A3941" s="5" t="s">
        <v>2054</v>
      </c>
    </row>
    <row r="3942">
      <c r="A3942" s="5" t="s">
        <v>2054</v>
      </c>
    </row>
    <row r="3943">
      <c r="A3943" s="5" t="s">
        <v>2054</v>
      </c>
    </row>
    <row r="3944">
      <c r="A3944" s="5" t="s">
        <v>2054</v>
      </c>
    </row>
    <row r="3945">
      <c r="A3945" s="5" t="s">
        <v>2054</v>
      </c>
    </row>
    <row r="3946">
      <c r="A3946" s="5" t="s">
        <v>2054</v>
      </c>
    </row>
    <row r="3947">
      <c r="A3947" s="5" t="s">
        <v>2054</v>
      </c>
    </row>
    <row r="3948">
      <c r="A3948" s="5" t="s">
        <v>2054</v>
      </c>
    </row>
    <row r="3949">
      <c r="A3949" s="5" t="s">
        <v>2054</v>
      </c>
    </row>
    <row r="3950">
      <c r="A3950" s="5" t="s">
        <v>2054</v>
      </c>
    </row>
    <row r="3951">
      <c r="A3951" s="5" t="s">
        <v>2054</v>
      </c>
    </row>
    <row r="3952">
      <c r="A3952" s="5" t="s">
        <v>2054</v>
      </c>
    </row>
    <row r="3953">
      <c r="A3953" s="5" t="s">
        <v>2054</v>
      </c>
    </row>
    <row r="3954">
      <c r="A3954" s="5" t="s">
        <v>2054</v>
      </c>
    </row>
    <row r="3955">
      <c r="A3955" s="5" t="s">
        <v>2054</v>
      </c>
    </row>
    <row r="3956">
      <c r="A3956" s="5" t="s">
        <v>2054</v>
      </c>
    </row>
    <row r="3957">
      <c r="A3957" s="5" t="s">
        <v>2054</v>
      </c>
    </row>
    <row r="3958">
      <c r="A3958" s="5" t="s">
        <v>2054</v>
      </c>
    </row>
    <row r="3959">
      <c r="A3959" s="5" t="s">
        <v>2054</v>
      </c>
    </row>
    <row r="3960">
      <c r="A3960" s="5" t="s">
        <v>2054</v>
      </c>
    </row>
    <row r="3961">
      <c r="A3961" s="5" t="s">
        <v>2054</v>
      </c>
    </row>
    <row r="3962">
      <c r="A3962" s="5" t="s">
        <v>2054</v>
      </c>
    </row>
    <row r="3963">
      <c r="A3963" s="5" t="s">
        <v>2054</v>
      </c>
    </row>
    <row r="3964">
      <c r="A3964" s="5" t="s">
        <v>2054</v>
      </c>
    </row>
    <row r="3965">
      <c r="A3965" s="5" t="s">
        <v>2054</v>
      </c>
    </row>
    <row r="3966">
      <c r="A3966" s="5" t="s">
        <v>2054</v>
      </c>
    </row>
    <row r="3967">
      <c r="A3967" s="5" t="s">
        <v>2054</v>
      </c>
    </row>
    <row r="3968">
      <c r="A3968" s="5" t="s">
        <v>2054</v>
      </c>
    </row>
    <row r="3969">
      <c r="A3969" s="5" t="s">
        <v>2054</v>
      </c>
    </row>
    <row r="3970">
      <c r="A3970" s="5" t="s">
        <v>2054</v>
      </c>
    </row>
    <row r="3971">
      <c r="A3971" s="5" t="s">
        <v>2054</v>
      </c>
    </row>
    <row r="3972">
      <c r="A3972" s="5" t="s">
        <v>2054</v>
      </c>
    </row>
    <row r="3973">
      <c r="A3973" s="5" t="s">
        <v>2054</v>
      </c>
    </row>
    <row r="3974">
      <c r="A3974" s="5" t="s">
        <v>2054</v>
      </c>
    </row>
    <row r="3975">
      <c r="A3975" s="5" t="s">
        <v>2054</v>
      </c>
    </row>
    <row r="3976">
      <c r="A3976" s="5" t="s">
        <v>2054</v>
      </c>
    </row>
    <row r="3977">
      <c r="A3977" s="5" t="s">
        <v>2054</v>
      </c>
    </row>
    <row r="3978">
      <c r="A3978" s="5" t="s">
        <v>2054</v>
      </c>
    </row>
    <row r="3979">
      <c r="A3979" s="5" t="s">
        <v>2054</v>
      </c>
    </row>
    <row r="3980">
      <c r="A3980" s="5" t="s">
        <v>2054</v>
      </c>
    </row>
    <row r="3981">
      <c r="A3981" s="5" t="s">
        <v>2054</v>
      </c>
    </row>
    <row r="3982">
      <c r="A3982" s="5" t="s">
        <v>2054</v>
      </c>
    </row>
    <row r="3983">
      <c r="A3983" s="5" t="s">
        <v>2054</v>
      </c>
    </row>
    <row r="3984">
      <c r="A3984" s="5" t="s">
        <v>2054</v>
      </c>
    </row>
    <row r="3985">
      <c r="A3985" s="5" t="s">
        <v>2054</v>
      </c>
    </row>
    <row r="3986">
      <c r="A3986" s="5" t="s">
        <v>2054</v>
      </c>
    </row>
    <row r="3987">
      <c r="A3987" s="5" t="s">
        <v>2054</v>
      </c>
    </row>
    <row r="3988">
      <c r="A3988" s="5" t="s">
        <v>2054</v>
      </c>
    </row>
    <row r="3989">
      <c r="A3989" s="5" t="s">
        <v>2054</v>
      </c>
    </row>
    <row r="3990">
      <c r="A3990" s="5" t="s">
        <v>2054</v>
      </c>
    </row>
    <row r="3991">
      <c r="A3991" s="5" t="s">
        <v>2054</v>
      </c>
    </row>
    <row r="3992">
      <c r="A3992" s="5" t="s">
        <v>2054</v>
      </c>
    </row>
    <row r="3993">
      <c r="A3993" s="5" t="s">
        <v>2054</v>
      </c>
    </row>
    <row r="3994">
      <c r="A3994" s="5" t="s">
        <v>2054</v>
      </c>
    </row>
    <row r="3995">
      <c r="A3995" s="5" t="s">
        <v>2054</v>
      </c>
    </row>
    <row r="3996">
      <c r="A3996" s="5" t="s">
        <v>2054</v>
      </c>
    </row>
    <row r="3997">
      <c r="A3997" s="5" t="s">
        <v>2054</v>
      </c>
    </row>
    <row r="3998">
      <c r="A3998" s="5" t="s">
        <v>2054</v>
      </c>
    </row>
    <row r="3999">
      <c r="A3999" s="5" t="s">
        <v>2054</v>
      </c>
    </row>
    <row r="4000">
      <c r="A4000" s="5" t="s">
        <v>2054</v>
      </c>
    </row>
    <row r="4001">
      <c r="A4001" s="5" t="s">
        <v>2054</v>
      </c>
    </row>
    <row r="4002">
      <c r="A4002" s="5" t="s">
        <v>2054</v>
      </c>
    </row>
    <row r="4003">
      <c r="A4003" s="5" t="s">
        <v>2054</v>
      </c>
    </row>
    <row r="4004">
      <c r="A4004" s="5" t="s">
        <v>2054</v>
      </c>
    </row>
    <row r="4005">
      <c r="A4005" s="5" t="s">
        <v>2054</v>
      </c>
    </row>
    <row r="4006">
      <c r="A4006" s="5" t="s">
        <v>2054</v>
      </c>
    </row>
    <row r="4007">
      <c r="A4007" s="5" t="s">
        <v>2054</v>
      </c>
    </row>
    <row r="4008">
      <c r="A4008" s="5" t="s">
        <v>2054</v>
      </c>
    </row>
    <row r="4009">
      <c r="A4009" s="5" t="s">
        <v>2054</v>
      </c>
    </row>
    <row r="4010">
      <c r="A4010" s="5" t="s">
        <v>2054</v>
      </c>
    </row>
    <row r="4011">
      <c r="A4011" s="5" t="s">
        <v>2054</v>
      </c>
    </row>
    <row r="4012">
      <c r="A4012" s="5" t="s">
        <v>2054</v>
      </c>
    </row>
    <row r="4013">
      <c r="A4013" s="5" t="s">
        <v>2054</v>
      </c>
    </row>
    <row r="4014">
      <c r="A4014" s="5" t="s">
        <v>2054</v>
      </c>
    </row>
    <row r="4015">
      <c r="A4015" s="5" t="s">
        <v>2054</v>
      </c>
    </row>
    <row r="4016">
      <c r="A4016" s="5" t="s">
        <v>2054</v>
      </c>
    </row>
    <row r="4017">
      <c r="A4017" s="5" t="s">
        <v>2054</v>
      </c>
    </row>
    <row r="4018">
      <c r="A4018" s="5" t="s">
        <v>2054</v>
      </c>
    </row>
    <row r="4019">
      <c r="A4019" s="5" t="s">
        <v>2054</v>
      </c>
    </row>
    <row r="4020">
      <c r="A4020" s="5" t="s">
        <v>2054</v>
      </c>
    </row>
    <row r="4021">
      <c r="A4021" s="5" t="s">
        <v>2054</v>
      </c>
    </row>
    <row r="4022">
      <c r="A4022" s="5" t="s">
        <v>2054</v>
      </c>
    </row>
    <row r="4023">
      <c r="A4023" s="5" t="s">
        <v>2054</v>
      </c>
    </row>
    <row r="4024">
      <c r="A4024" s="5" t="s">
        <v>2054</v>
      </c>
    </row>
    <row r="4025">
      <c r="A4025" s="5" t="s">
        <v>2054</v>
      </c>
    </row>
    <row r="4026">
      <c r="A4026" s="5" t="s">
        <v>2054</v>
      </c>
    </row>
    <row r="4027">
      <c r="A4027" s="5" t="s">
        <v>2054</v>
      </c>
    </row>
    <row r="4028">
      <c r="A4028" s="5" t="s">
        <v>2054</v>
      </c>
    </row>
    <row r="4029">
      <c r="A4029" s="5" t="s">
        <v>2054</v>
      </c>
    </row>
    <row r="4030">
      <c r="A4030" s="5" t="s">
        <v>2054</v>
      </c>
    </row>
    <row r="4031">
      <c r="A4031" s="5" t="s">
        <v>2054</v>
      </c>
    </row>
    <row r="4032">
      <c r="A4032" s="5" t="s">
        <v>2054</v>
      </c>
    </row>
    <row r="4033">
      <c r="A4033" s="5" t="s">
        <v>2054</v>
      </c>
    </row>
    <row r="4034">
      <c r="A4034" s="5" t="s">
        <v>2054</v>
      </c>
    </row>
    <row r="4035">
      <c r="A4035" s="5" t="s">
        <v>2054</v>
      </c>
    </row>
    <row r="4036">
      <c r="A4036" s="5" t="s">
        <v>2054</v>
      </c>
    </row>
    <row r="4037">
      <c r="A4037" s="5" t="s">
        <v>2054</v>
      </c>
    </row>
    <row r="4038">
      <c r="A4038" s="5" t="s">
        <v>2054</v>
      </c>
    </row>
    <row r="4039">
      <c r="A4039" s="5" t="s">
        <v>2054</v>
      </c>
    </row>
    <row r="4040">
      <c r="A4040" s="5" t="s">
        <v>2054</v>
      </c>
    </row>
    <row r="4041">
      <c r="A4041" s="5" t="s">
        <v>2054</v>
      </c>
    </row>
    <row r="4042">
      <c r="A4042" s="5" t="s">
        <v>2054</v>
      </c>
    </row>
    <row r="4043">
      <c r="A4043" s="5" t="s">
        <v>2054</v>
      </c>
    </row>
    <row r="4044">
      <c r="A4044" s="5" t="s">
        <v>2054</v>
      </c>
    </row>
    <row r="4045">
      <c r="A4045" s="5" t="s">
        <v>2054</v>
      </c>
    </row>
    <row r="4046">
      <c r="A4046" s="5" t="s">
        <v>2054</v>
      </c>
    </row>
    <row r="4047">
      <c r="A4047" s="5" t="s">
        <v>2054</v>
      </c>
    </row>
    <row r="4048">
      <c r="A4048" s="5" t="s">
        <v>2054</v>
      </c>
    </row>
    <row r="4049">
      <c r="A4049" s="5" t="s">
        <v>2054</v>
      </c>
    </row>
    <row r="4050">
      <c r="A4050" s="5" t="s">
        <v>2054</v>
      </c>
    </row>
    <row r="4051">
      <c r="A4051" s="5" t="s">
        <v>2054</v>
      </c>
    </row>
    <row r="4052">
      <c r="A4052" s="5" t="s">
        <v>2054</v>
      </c>
    </row>
    <row r="4053">
      <c r="A4053" s="5" t="s">
        <v>2054</v>
      </c>
    </row>
    <row r="4054">
      <c r="A4054" s="5" t="s">
        <v>2054</v>
      </c>
    </row>
    <row r="4055">
      <c r="A4055" s="5" t="s">
        <v>2054</v>
      </c>
    </row>
    <row r="4056">
      <c r="A4056" s="5" t="s">
        <v>2054</v>
      </c>
    </row>
    <row r="4057">
      <c r="A4057" s="5" t="s">
        <v>2054</v>
      </c>
    </row>
    <row r="4058">
      <c r="A4058" s="5" t="s">
        <v>2054</v>
      </c>
    </row>
    <row r="4059">
      <c r="A4059" s="5" t="s">
        <v>2054</v>
      </c>
    </row>
    <row r="4060">
      <c r="A4060" s="5" t="s">
        <v>2054</v>
      </c>
    </row>
    <row r="4061">
      <c r="A4061" s="5" t="s">
        <v>2054</v>
      </c>
    </row>
    <row r="4062">
      <c r="A4062" s="5" t="s">
        <v>2054</v>
      </c>
    </row>
    <row r="4063">
      <c r="A4063" s="5" t="s">
        <v>2054</v>
      </c>
    </row>
    <row r="4064">
      <c r="A4064" s="5" t="s">
        <v>2054</v>
      </c>
    </row>
    <row r="4065">
      <c r="A4065" s="5" t="s">
        <v>2054</v>
      </c>
    </row>
    <row r="4066">
      <c r="A4066" s="5" t="s">
        <v>2054</v>
      </c>
    </row>
    <row r="4067">
      <c r="A4067" s="5" t="s">
        <v>2054</v>
      </c>
    </row>
    <row r="4068">
      <c r="A4068" s="5" t="s">
        <v>2054</v>
      </c>
    </row>
    <row r="4069">
      <c r="A4069" s="5" t="s">
        <v>2054</v>
      </c>
    </row>
    <row r="4070">
      <c r="A4070" s="5" t="s">
        <v>2054</v>
      </c>
    </row>
    <row r="4071">
      <c r="A4071" s="5" t="s">
        <v>2054</v>
      </c>
    </row>
    <row r="4072">
      <c r="A4072" s="5" t="s">
        <v>2054</v>
      </c>
    </row>
    <row r="4073">
      <c r="A4073" s="5" t="s">
        <v>2054</v>
      </c>
    </row>
    <row r="4074">
      <c r="A4074" s="5" t="s">
        <v>2054</v>
      </c>
    </row>
    <row r="4075">
      <c r="A4075" s="5" t="s">
        <v>2054</v>
      </c>
    </row>
    <row r="4076">
      <c r="A4076" s="5" t="s">
        <v>2054</v>
      </c>
    </row>
    <row r="4077">
      <c r="A4077" s="5" t="s">
        <v>2054</v>
      </c>
    </row>
    <row r="4078">
      <c r="A4078" s="5" t="s">
        <v>2054</v>
      </c>
    </row>
    <row r="4079">
      <c r="A4079" s="5" t="s">
        <v>2054</v>
      </c>
    </row>
    <row r="4080">
      <c r="A4080" s="5" t="s">
        <v>2054</v>
      </c>
    </row>
    <row r="4081">
      <c r="A4081" s="5" t="s">
        <v>2054</v>
      </c>
    </row>
    <row r="4082">
      <c r="A4082" s="5" t="s">
        <v>2054</v>
      </c>
    </row>
    <row r="4083">
      <c r="A4083" s="5" t="s">
        <v>2054</v>
      </c>
    </row>
    <row r="4084">
      <c r="A4084" s="5" t="s">
        <v>2054</v>
      </c>
    </row>
    <row r="4085">
      <c r="A4085" s="5" t="s">
        <v>2054</v>
      </c>
    </row>
    <row r="4086">
      <c r="A4086" s="5" t="s">
        <v>2054</v>
      </c>
    </row>
    <row r="4087">
      <c r="A4087" s="5" t="s">
        <v>2054</v>
      </c>
    </row>
    <row r="4088">
      <c r="A4088" s="5" t="s">
        <v>2054</v>
      </c>
    </row>
    <row r="4089">
      <c r="A4089" s="5" t="s">
        <v>2054</v>
      </c>
    </row>
    <row r="4090">
      <c r="A4090" s="5" t="s">
        <v>2054</v>
      </c>
    </row>
    <row r="4091">
      <c r="A4091" s="5" t="s">
        <v>2054</v>
      </c>
    </row>
    <row r="4092">
      <c r="A4092" s="5" t="s">
        <v>2054</v>
      </c>
    </row>
    <row r="4093">
      <c r="A4093" s="5" t="s">
        <v>2054</v>
      </c>
    </row>
    <row r="4094">
      <c r="A4094" s="5" t="s">
        <v>2054</v>
      </c>
    </row>
    <row r="4095">
      <c r="A4095" s="5" t="s">
        <v>2054</v>
      </c>
    </row>
    <row r="4096">
      <c r="A4096" s="5" t="s">
        <v>2054</v>
      </c>
    </row>
    <row r="4097">
      <c r="A4097" s="5" t="s">
        <v>2054</v>
      </c>
    </row>
    <row r="4098">
      <c r="A4098" s="5" t="s">
        <v>2054</v>
      </c>
    </row>
    <row r="4099">
      <c r="A4099" s="5" t="s">
        <v>2054</v>
      </c>
    </row>
    <row r="4100">
      <c r="A4100" s="5" t="s">
        <v>2054</v>
      </c>
    </row>
    <row r="4101">
      <c r="A4101" s="5" t="s">
        <v>2054</v>
      </c>
    </row>
    <row r="4102">
      <c r="A4102" s="5" t="s">
        <v>2054</v>
      </c>
    </row>
    <row r="4103">
      <c r="A4103" s="5" t="s">
        <v>2054</v>
      </c>
    </row>
    <row r="4104">
      <c r="A4104" s="5" t="s">
        <v>2054</v>
      </c>
    </row>
    <row r="4105">
      <c r="A4105" s="5" t="s">
        <v>2054</v>
      </c>
    </row>
    <row r="4106">
      <c r="A4106" s="5" t="s">
        <v>2054</v>
      </c>
    </row>
    <row r="4107">
      <c r="A4107" s="5" t="s">
        <v>2054</v>
      </c>
    </row>
    <row r="4108">
      <c r="A4108" s="5" t="s">
        <v>2054</v>
      </c>
    </row>
    <row r="4109">
      <c r="A4109" s="5" t="s">
        <v>2054</v>
      </c>
    </row>
    <row r="4110">
      <c r="A4110" s="5" t="s">
        <v>2054</v>
      </c>
    </row>
    <row r="4111">
      <c r="A4111" s="5" t="s">
        <v>2054</v>
      </c>
    </row>
    <row r="4112">
      <c r="A4112" s="5" t="s">
        <v>2054</v>
      </c>
    </row>
    <row r="4113">
      <c r="A4113" s="5" t="s">
        <v>2054</v>
      </c>
    </row>
    <row r="4114">
      <c r="A4114" s="5" t="s">
        <v>2054</v>
      </c>
    </row>
    <row r="4115">
      <c r="A4115" s="5" t="s">
        <v>2054</v>
      </c>
    </row>
    <row r="4116">
      <c r="A4116" s="5" t="s">
        <v>2054</v>
      </c>
    </row>
    <row r="4117">
      <c r="A4117" s="5" t="s">
        <v>2054</v>
      </c>
    </row>
    <row r="4118">
      <c r="A4118" s="5" t="s">
        <v>2054</v>
      </c>
    </row>
    <row r="4119">
      <c r="A4119" s="5" t="s">
        <v>2054</v>
      </c>
    </row>
    <row r="4120">
      <c r="A4120" s="5" t="s">
        <v>2054</v>
      </c>
    </row>
    <row r="4121">
      <c r="A4121" s="5" t="s">
        <v>2054</v>
      </c>
    </row>
    <row r="4122">
      <c r="A4122" s="5" t="s">
        <v>2054</v>
      </c>
    </row>
    <row r="4123">
      <c r="A4123" s="5" t="s">
        <v>2054</v>
      </c>
    </row>
    <row r="4124">
      <c r="A4124" s="5" t="s">
        <v>2054</v>
      </c>
    </row>
    <row r="4125">
      <c r="A4125" s="5" t="s">
        <v>2054</v>
      </c>
    </row>
    <row r="4126">
      <c r="A4126" s="5" t="s">
        <v>2054</v>
      </c>
    </row>
    <row r="4127">
      <c r="A4127" s="5" t="s">
        <v>2054</v>
      </c>
    </row>
    <row r="4128">
      <c r="A4128" s="5" t="s">
        <v>2054</v>
      </c>
    </row>
    <row r="4129">
      <c r="A4129" s="5" t="s">
        <v>2054</v>
      </c>
    </row>
    <row r="4130">
      <c r="A4130" s="5" t="s">
        <v>2054</v>
      </c>
    </row>
    <row r="4131">
      <c r="A4131" s="5" t="s">
        <v>2054</v>
      </c>
    </row>
    <row r="4132">
      <c r="A4132" s="5" t="s">
        <v>2054</v>
      </c>
    </row>
    <row r="4133">
      <c r="A4133" s="5" t="s">
        <v>2054</v>
      </c>
    </row>
    <row r="4134">
      <c r="A4134" s="5" t="s">
        <v>2054</v>
      </c>
    </row>
    <row r="4135">
      <c r="A4135" s="5" t="s">
        <v>2054</v>
      </c>
    </row>
    <row r="4136">
      <c r="A4136" s="5" t="s">
        <v>2054</v>
      </c>
    </row>
    <row r="4137">
      <c r="A4137" s="5" t="s">
        <v>2054</v>
      </c>
    </row>
    <row r="4138">
      <c r="A4138" s="5" t="s">
        <v>2054</v>
      </c>
    </row>
    <row r="4139">
      <c r="A4139" s="5" t="s">
        <v>2054</v>
      </c>
    </row>
    <row r="4140">
      <c r="A4140" s="5" t="s">
        <v>2054</v>
      </c>
    </row>
    <row r="4141">
      <c r="A4141" s="5" t="s">
        <v>2054</v>
      </c>
    </row>
    <row r="4142">
      <c r="A4142" s="5" t="s">
        <v>2054</v>
      </c>
    </row>
    <row r="4143">
      <c r="A4143" s="5" t="s">
        <v>2054</v>
      </c>
    </row>
    <row r="4144">
      <c r="A4144" s="5" t="s">
        <v>2054</v>
      </c>
    </row>
    <row r="4145">
      <c r="A4145" s="5" t="s">
        <v>2054</v>
      </c>
    </row>
    <row r="4146">
      <c r="A4146" s="5" t="s">
        <v>2054</v>
      </c>
    </row>
    <row r="4147">
      <c r="A4147" s="5" t="s">
        <v>2054</v>
      </c>
    </row>
    <row r="4148">
      <c r="A4148" s="5" t="s">
        <v>2054</v>
      </c>
    </row>
    <row r="4149">
      <c r="A4149" s="5" t="s">
        <v>2054</v>
      </c>
    </row>
    <row r="4150">
      <c r="A4150" s="5" t="s">
        <v>2054</v>
      </c>
    </row>
    <row r="4151">
      <c r="A4151" s="5" t="s">
        <v>2054</v>
      </c>
    </row>
    <row r="4152">
      <c r="A4152" s="5" t="s">
        <v>2054</v>
      </c>
    </row>
    <row r="4153">
      <c r="A4153" s="5" t="s">
        <v>2054</v>
      </c>
    </row>
    <row r="4154">
      <c r="A4154" s="5" t="s">
        <v>2054</v>
      </c>
    </row>
    <row r="4155">
      <c r="A4155" s="5" t="s">
        <v>2054</v>
      </c>
    </row>
    <row r="4156">
      <c r="A4156" s="5" t="s">
        <v>2054</v>
      </c>
    </row>
    <row r="4157">
      <c r="A4157" s="5" t="s">
        <v>2054</v>
      </c>
    </row>
    <row r="4158">
      <c r="A4158" s="5" t="s">
        <v>2054</v>
      </c>
    </row>
    <row r="4159">
      <c r="A4159" s="5" t="s">
        <v>2054</v>
      </c>
    </row>
    <row r="4160">
      <c r="A4160" s="5" t="s">
        <v>2054</v>
      </c>
    </row>
    <row r="4161">
      <c r="A4161" s="5" t="s">
        <v>2054</v>
      </c>
    </row>
    <row r="4162">
      <c r="A4162" s="5" t="s">
        <v>2054</v>
      </c>
    </row>
    <row r="4163">
      <c r="A4163" s="5" t="s">
        <v>2054</v>
      </c>
    </row>
    <row r="4164">
      <c r="A4164" s="5" t="s">
        <v>2054</v>
      </c>
    </row>
    <row r="4165">
      <c r="A4165" s="5" t="s">
        <v>2054</v>
      </c>
    </row>
    <row r="4166">
      <c r="A4166" s="5" t="s">
        <v>2054</v>
      </c>
    </row>
    <row r="4167">
      <c r="A4167" s="5" t="s">
        <v>2054</v>
      </c>
    </row>
    <row r="4168">
      <c r="A4168" s="5" t="s">
        <v>2054</v>
      </c>
    </row>
    <row r="4169">
      <c r="A4169" s="5" t="s">
        <v>2054</v>
      </c>
    </row>
    <row r="4170">
      <c r="A4170" s="5" t="s">
        <v>2054</v>
      </c>
    </row>
    <row r="4171">
      <c r="A4171" s="5" t="s">
        <v>2054</v>
      </c>
    </row>
    <row r="4172">
      <c r="A4172" s="5" t="s">
        <v>2054</v>
      </c>
    </row>
    <row r="4173">
      <c r="A4173" s="5" t="s">
        <v>2054</v>
      </c>
    </row>
    <row r="4174">
      <c r="A4174" s="5" t="s">
        <v>2054</v>
      </c>
    </row>
    <row r="4175">
      <c r="A4175" s="5" t="s">
        <v>2054</v>
      </c>
    </row>
    <row r="4176">
      <c r="A4176" s="5" t="s">
        <v>2054</v>
      </c>
    </row>
    <row r="4177">
      <c r="A4177" s="5" t="s">
        <v>2054</v>
      </c>
    </row>
    <row r="4178">
      <c r="A4178" s="5" t="s">
        <v>2054</v>
      </c>
    </row>
    <row r="4179">
      <c r="A4179" s="5" t="s">
        <v>2054</v>
      </c>
    </row>
    <row r="4180">
      <c r="A4180" s="5" t="s">
        <v>2054</v>
      </c>
    </row>
    <row r="4181">
      <c r="A4181" s="5" t="s">
        <v>2054</v>
      </c>
    </row>
    <row r="4182">
      <c r="A4182" s="5" t="s">
        <v>2054</v>
      </c>
    </row>
    <row r="4183">
      <c r="A4183" s="5" t="s">
        <v>2054</v>
      </c>
    </row>
    <row r="4184">
      <c r="A4184" s="5" t="s">
        <v>2054</v>
      </c>
    </row>
    <row r="4185">
      <c r="A4185" s="5" t="s">
        <v>2054</v>
      </c>
    </row>
    <row r="4186">
      <c r="A4186" s="5" t="s">
        <v>2054</v>
      </c>
    </row>
    <row r="4187">
      <c r="A4187" s="5" t="s">
        <v>2054</v>
      </c>
    </row>
    <row r="4188">
      <c r="A4188" s="5" t="s">
        <v>2054</v>
      </c>
    </row>
    <row r="4189">
      <c r="A4189" s="5" t="s">
        <v>2054</v>
      </c>
    </row>
    <row r="4190">
      <c r="A4190" s="5" t="s">
        <v>2054</v>
      </c>
    </row>
    <row r="4191">
      <c r="A4191" s="5" t="s">
        <v>2054</v>
      </c>
    </row>
    <row r="4192">
      <c r="A4192" s="5" t="s">
        <v>2054</v>
      </c>
    </row>
    <row r="4193">
      <c r="A4193" s="5" t="s">
        <v>2054</v>
      </c>
    </row>
    <row r="4194">
      <c r="A4194" s="5" t="s">
        <v>2054</v>
      </c>
    </row>
    <row r="4195">
      <c r="A4195" s="5" t="s">
        <v>2054</v>
      </c>
    </row>
    <row r="4196">
      <c r="A4196" s="5" t="s">
        <v>2054</v>
      </c>
    </row>
    <row r="4197">
      <c r="A4197" s="5" t="s">
        <v>2054</v>
      </c>
    </row>
    <row r="4198">
      <c r="A4198" s="5" t="s">
        <v>2054</v>
      </c>
    </row>
    <row r="4199">
      <c r="A4199" s="5" t="s">
        <v>2054</v>
      </c>
    </row>
    <row r="4200">
      <c r="A4200" s="5" t="s">
        <v>2054</v>
      </c>
    </row>
    <row r="4201">
      <c r="A4201" s="5" t="s">
        <v>2054</v>
      </c>
    </row>
    <row r="4202">
      <c r="A4202" s="5" t="s">
        <v>2054</v>
      </c>
    </row>
    <row r="4203">
      <c r="A4203" s="5" t="s">
        <v>2054</v>
      </c>
    </row>
    <row r="4204">
      <c r="A4204" s="5" t="s">
        <v>2054</v>
      </c>
    </row>
    <row r="4205">
      <c r="A4205" s="5" t="s">
        <v>2054</v>
      </c>
    </row>
    <row r="4206">
      <c r="A4206" s="5" t="s">
        <v>2054</v>
      </c>
    </row>
    <row r="4207">
      <c r="A4207" s="5" t="s">
        <v>2054</v>
      </c>
    </row>
    <row r="4208">
      <c r="A4208" s="5" t="s">
        <v>2054</v>
      </c>
    </row>
    <row r="4209">
      <c r="A4209" s="5" t="s">
        <v>2054</v>
      </c>
    </row>
    <row r="4210">
      <c r="A4210" s="5" t="s">
        <v>2054</v>
      </c>
    </row>
    <row r="4211">
      <c r="A4211" s="5" t="s">
        <v>2054</v>
      </c>
    </row>
    <row r="4212">
      <c r="A4212" s="5" t="s">
        <v>2054</v>
      </c>
    </row>
    <row r="4213">
      <c r="A4213" s="5" t="s">
        <v>2054</v>
      </c>
    </row>
    <row r="4214">
      <c r="A4214" s="5" t="s">
        <v>2054</v>
      </c>
    </row>
    <row r="4215">
      <c r="A4215" s="5" t="s">
        <v>2054</v>
      </c>
    </row>
    <row r="4216">
      <c r="A4216" s="5" t="s">
        <v>2054</v>
      </c>
    </row>
    <row r="4217">
      <c r="A4217" s="5" t="s">
        <v>2054</v>
      </c>
    </row>
    <row r="4218">
      <c r="A4218" s="5" t="s">
        <v>2054</v>
      </c>
    </row>
    <row r="4219">
      <c r="A4219" s="5" t="s">
        <v>2054</v>
      </c>
    </row>
    <row r="4220">
      <c r="A4220" s="5" t="s">
        <v>2054</v>
      </c>
    </row>
    <row r="4221">
      <c r="A4221" s="5" t="s">
        <v>2054</v>
      </c>
    </row>
    <row r="4222">
      <c r="A4222" s="5" t="s">
        <v>2054</v>
      </c>
    </row>
    <row r="4223">
      <c r="A4223" s="5" t="s">
        <v>2054</v>
      </c>
    </row>
    <row r="4224">
      <c r="A4224" s="5" t="s">
        <v>2054</v>
      </c>
    </row>
    <row r="4225">
      <c r="A4225" s="5" t="s">
        <v>2054</v>
      </c>
    </row>
    <row r="4226">
      <c r="A4226" s="5" t="s">
        <v>2054</v>
      </c>
    </row>
    <row r="4227">
      <c r="A4227" s="5" t="s">
        <v>2054</v>
      </c>
    </row>
    <row r="4228">
      <c r="A4228" s="5" t="s">
        <v>2054</v>
      </c>
    </row>
    <row r="4229">
      <c r="A4229" s="5" t="s">
        <v>2054</v>
      </c>
    </row>
    <row r="4230">
      <c r="A4230" s="5" t="s">
        <v>2054</v>
      </c>
    </row>
    <row r="4231">
      <c r="A4231" s="5" t="s">
        <v>2054</v>
      </c>
    </row>
    <row r="4232">
      <c r="A4232" s="5" t="s">
        <v>2054</v>
      </c>
    </row>
    <row r="4233">
      <c r="A4233" s="5" t="s">
        <v>2054</v>
      </c>
    </row>
    <row r="4234">
      <c r="A4234" s="5" t="s">
        <v>2054</v>
      </c>
    </row>
    <row r="4235">
      <c r="A4235" s="5" t="s">
        <v>2054</v>
      </c>
    </row>
    <row r="4236">
      <c r="A4236" s="5" t="s">
        <v>2054</v>
      </c>
    </row>
    <row r="4237">
      <c r="A4237" s="5" t="s">
        <v>2054</v>
      </c>
    </row>
    <row r="4238">
      <c r="A4238" s="5" t="s">
        <v>2054</v>
      </c>
    </row>
    <row r="4239">
      <c r="A4239" s="5" t="s">
        <v>2054</v>
      </c>
    </row>
    <row r="4240">
      <c r="A4240" s="5" t="s">
        <v>2054</v>
      </c>
    </row>
    <row r="4241">
      <c r="A4241" s="5" t="s">
        <v>2054</v>
      </c>
    </row>
    <row r="4242">
      <c r="A4242" s="5" t="s">
        <v>2054</v>
      </c>
    </row>
    <row r="4243">
      <c r="A4243" s="5" t="s">
        <v>2054</v>
      </c>
    </row>
    <row r="4244">
      <c r="A4244" s="5" t="s">
        <v>2054</v>
      </c>
    </row>
    <row r="4245">
      <c r="A4245" s="5" t="s">
        <v>2054</v>
      </c>
    </row>
    <row r="4246">
      <c r="A4246" s="5" t="s">
        <v>2054</v>
      </c>
    </row>
    <row r="4247">
      <c r="A4247" s="5" t="s">
        <v>2054</v>
      </c>
    </row>
    <row r="4248">
      <c r="A4248" s="5" t="s">
        <v>2054</v>
      </c>
    </row>
    <row r="4249">
      <c r="A4249" s="5" t="s">
        <v>2054</v>
      </c>
    </row>
    <row r="4250">
      <c r="A4250" s="5" t="s">
        <v>2054</v>
      </c>
    </row>
    <row r="4251">
      <c r="A4251" s="5" t="s">
        <v>2054</v>
      </c>
    </row>
    <row r="4252">
      <c r="A4252" s="5" t="s">
        <v>2054</v>
      </c>
    </row>
    <row r="4253">
      <c r="A4253" s="5" t="s">
        <v>2054</v>
      </c>
    </row>
    <row r="4254">
      <c r="A4254" s="5" t="s">
        <v>2054</v>
      </c>
    </row>
    <row r="4255">
      <c r="A4255" s="5" t="s">
        <v>2054</v>
      </c>
    </row>
    <row r="4256">
      <c r="A4256" s="5" t="s">
        <v>2054</v>
      </c>
    </row>
    <row r="4257">
      <c r="A4257" s="5" t="s">
        <v>2054</v>
      </c>
    </row>
    <row r="4258">
      <c r="A4258" s="5" t="s">
        <v>2054</v>
      </c>
    </row>
    <row r="4259">
      <c r="A4259" s="5" t="s">
        <v>2054</v>
      </c>
    </row>
    <row r="4260">
      <c r="A4260" s="5" t="s">
        <v>2054</v>
      </c>
    </row>
    <row r="4261">
      <c r="A4261" s="5" t="s">
        <v>2054</v>
      </c>
    </row>
    <row r="4262">
      <c r="A4262" s="5" t="s">
        <v>2054</v>
      </c>
    </row>
    <row r="4263">
      <c r="A4263" s="5" t="s">
        <v>2054</v>
      </c>
    </row>
    <row r="4264">
      <c r="A4264" s="5" t="s">
        <v>2054</v>
      </c>
    </row>
    <row r="4265">
      <c r="A4265" s="5" t="s">
        <v>2054</v>
      </c>
    </row>
    <row r="4266">
      <c r="A4266" s="5" t="s">
        <v>2054</v>
      </c>
    </row>
    <row r="4267">
      <c r="A4267" s="5" t="s">
        <v>2054</v>
      </c>
    </row>
    <row r="4268">
      <c r="A4268" s="5" t="s">
        <v>2054</v>
      </c>
    </row>
    <row r="4269">
      <c r="A4269" s="5" t="s">
        <v>2054</v>
      </c>
    </row>
    <row r="4270">
      <c r="A4270" s="5" t="s">
        <v>2054</v>
      </c>
    </row>
    <row r="4271">
      <c r="A4271" s="5" t="s">
        <v>2054</v>
      </c>
    </row>
    <row r="4272">
      <c r="A4272" s="5" t="s">
        <v>2054</v>
      </c>
    </row>
    <row r="4273">
      <c r="A4273" s="5" t="s">
        <v>2054</v>
      </c>
    </row>
    <row r="4274">
      <c r="A4274" s="5" t="s">
        <v>2054</v>
      </c>
    </row>
    <row r="4275">
      <c r="A4275" s="5" t="s">
        <v>2054</v>
      </c>
    </row>
    <row r="4276">
      <c r="A4276" s="5" t="s">
        <v>2054</v>
      </c>
    </row>
    <row r="4277">
      <c r="A4277" s="5" t="s">
        <v>2054</v>
      </c>
    </row>
    <row r="4278">
      <c r="A4278" s="5" t="s">
        <v>2054</v>
      </c>
    </row>
    <row r="4279">
      <c r="A4279" s="5" t="s">
        <v>2054</v>
      </c>
    </row>
    <row r="4280">
      <c r="A4280" s="5" t="s">
        <v>2054</v>
      </c>
    </row>
    <row r="4281">
      <c r="A4281" s="5" t="s">
        <v>2054</v>
      </c>
    </row>
    <row r="4282">
      <c r="A4282" s="5" t="s">
        <v>2054</v>
      </c>
    </row>
    <row r="4283">
      <c r="A4283" s="5" t="s">
        <v>2054</v>
      </c>
    </row>
    <row r="4284">
      <c r="A4284" s="5" t="s">
        <v>2054</v>
      </c>
    </row>
    <row r="4285">
      <c r="A4285" s="5" t="s">
        <v>2054</v>
      </c>
    </row>
    <row r="4286">
      <c r="A4286" s="5" t="s">
        <v>2054</v>
      </c>
    </row>
    <row r="4287">
      <c r="A4287" s="5" t="s">
        <v>2054</v>
      </c>
    </row>
    <row r="4288">
      <c r="A4288" s="5" t="s">
        <v>2054</v>
      </c>
    </row>
    <row r="4289">
      <c r="A4289" s="5" t="s">
        <v>2054</v>
      </c>
    </row>
    <row r="4290">
      <c r="A4290" s="5" t="s">
        <v>2054</v>
      </c>
    </row>
    <row r="4291">
      <c r="A4291" s="5" t="s">
        <v>2054</v>
      </c>
    </row>
    <row r="4292">
      <c r="A4292" s="5" t="s">
        <v>2054</v>
      </c>
    </row>
    <row r="4293">
      <c r="A4293" s="5" t="s">
        <v>2054</v>
      </c>
    </row>
    <row r="4294">
      <c r="A4294" s="5" t="s">
        <v>2054</v>
      </c>
    </row>
    <row r="4295">
      <c r="A4295" s="5" t="s">
        <v>2054</v>
      </c>
    </row>
    <row r="4296">
      <c r="A4296" s="5" t="s">
        <v>2054</v>
      </c>
    </row>
    <row r="4297">
      <c r="A4297" s="5" t="s">
        <v>2054</v>
      </c>
    </row>
    <row r="4298">
      <c r="A4298" s="5" t="s">
        <v>2054</v>
      </c>
    </row>
    <row r="4299">
      <c r="A4299" s="5" t="s">
        <v>2054</v>
      </c>
    </row>
    <row r="4300">
      <c r="A4300" s="5" t="s">
        <v>2054</v>
      </c>
    </row>
    <row r="4301">
      <c r="A4301" s="5" t="s">
        <v>2054</v>
      </c>
    </row>
    <row r="4302">
      <c r="A4302" s="5" t="s">
        <v>2054</v>
      </c>
    </row>
    <row r="4303">
      <c r="A4303" s="5" t="s">
        <v>2054</v>
      </c>
    </row>
    <row r="4304">
      <c r="A4304" s="5" t="s">
        <v>2054</v>
      </c>
    </row>
    <row r="4305">
      <c r="A4305" s="5" t="s">
        <v>2054</v>
      </c>
    </row>
    <row r="4306">
      <c r="A4306" s="5" t="s">
        <v>2054</v>
      </c>
    </row>
    <row r="4307">
      <c r="A4307" s="5" t="s">
        <v>2054</v>
      </c>
    </row>
    <row r="4308">
      <c r="A4308" s="5" t="s">
        <v>2054</v>
      </c>
    </row>
    <row r="4309">
      <c r="A4309" s="5" t="s">
        <v>2054</v>
      </c>
    </row>
    <row r="4310">
      <c r="A4310" s="5" t="s">
        <v>2054</v>
      </c>
    </row>
    <row r="4311">
      <c r="A4311" s="5" t="s">
        <v>2054</v>
      </c>
    </row>
    <row r="4312">
      <c r="A4312" s="5" t="s">
        <v>2054</v>
      </c>
    </row>
    <row r="4313">
      <c r="A4313" s="5" t="s">
        <v>2054</v>
      </c>
    </row>
    <row r="4314">
      <c r="A4314" s="5" t="s">
        <v>2054</v>
      </c>
    </row>
    <row r="4315">
      <c r="A4315" s="5" t="s">
        <v>2054</v>
      </c>
    </row>
    <row r="4316">
      <c r="A4316" s="5" t="s">
        <v>2054</v>
      </c>
    </row>
    <row r="4317">
      <c r="A4317" s="5" t="s">
        <v>2054</v>
      </c>
    </row>
    <row r="4318">
      <c r="A4318" s="5" t="s">
        <v>2054</v>
      </c>
    </row>
    <row r="4319">
      <c r="A4319" s="5" t="s">
        <v>2054</v>
      </c>
    </row>
    <row r="4320">
      <c r="A4320" s="5" t="s">
        <v>2054</v>
      </c>
    </row>
    <row r="4321">
      <c r="A4321" s="5" t="s">
        <v>2054</v>
      </c>
    </row>
    <row r="4322">
      <c r="A4322" s="5" t="s">
        <v>2054</v>
      </c>
    </row>
    <row r="4323">
      <c r="A4323" s="5" t="s">
        <v>2054</v>
      </c>
    </row>
    <row r="4324">
      <c r="A4324" s="5" t="s">
        <v>2054</v>
      </c>
    </row>
    <row r="4325">
      <c r="A4325" s="5" t="s">
        <v>2054</v>
      </c>
    </row>
    <row r="4326">
      <c r="A4326" s="5" t="s">
        <v>2054</v>
      </c>
    </row>
    <row r="4327">
      <c r="A4327" s="5" t="s">
        <v>2054</v>
      </c>
    </row>
    <row r="4328">
      <c r="A4328" s="5" t="s">
        <v>2054</v>
      </c>
    </row>
    <row r="4329">
      <c r="A4329" s="5" t="s">
        <v>2054</v>
      </c>
    </row>
    <row r="4330">
      <c r="A4330" s="5" t="s">
        <v>2054</v>
      </c>
    </row>
    <row r="4331">
      <c r="A4331" s="5" t="s">
        <v>2054</v>
      </c>
    </row>
    <row r="4332">
      <c r="A4332" s="5" t="s">
        <v>2054</v>
      </c>
    </row>
    <row r="4333">
      <c r="A4333" s="5" t="s">
        <v>2054</v>
      </c>
    </row>
    <row r="4334">
      <c r="A4334" s="5" t="s">
        <v>2054</v>
      </c>
    </row>
    <row r="4335">
      <c r="A4335" s="5" t="s">
        <v>2054</v>
      </c>
    </row>
    <row r="4336">
      <c r="A4336" s="5" t="s">
        <v>2054</v>
      </c>
    </row>
    <row r="4337">
      <c r="A4337" s="5" t="s">
        <v>2054</v>
      </c>
    </row>
    <row r="4338">
      <c r="A4338" s="5" t="s">
        <v>2054</v>
      </c>
    </row>
    <row r="4339">
      <c r="A4339" s="5" t="s">
        <v>2054</v>
      </c>
    </row>
    <row r="4340">
      <c r="A4340" s="5" t="s">
        <v>2054</v>
      </c>
    </row>
    <row r="4341">
      <c r="A4341" s="5" t="s">
        <v>2054</v>
      </c>
    </row>
    <row r="4342">
      <c r="A4342" s="5" t="s">
        <v>2054</v>
      </c>
    </row>
    <row r="4343">
      <c r="A4343" s="5" t="s">
        <v>2054</v>
      </c>
    </row>
    <row r="4344">
      <c r="A4344" s="5" t="s">
        <v>2054</v>
      </c>
    </row>
    <row r="4345">
      <c r="A4345" s="5" t="s">
        <v>2054</v>
      </c>
    </row>
    <row r="4346">
      <c r="A4346" s="5" t="s">
        <v>2054</v>
      </c>
    </row>
    <row r="4347">
      <c r="A4347" s="5" t="s">
        <v>2054</v>
      </c>
    </row>
    <row r="4348">
      <c r="A4348" s="5" t="s">
        <v>2054</v>
      </c>
    </row>
    <row r="4349">
      <c r="A4349" s="5" t="s">
        <v>2054</v>
      </c>
    </row>
    <row r="4350">
      <c r="A4350" s="5" t="s">
        <v>2054</v>
      </c>
    </row>
    <row r="4351">
      <c r="A4351" s="5" t="s">
        <v>2054</v>
      </c>
    </row>
    <row r="4352">
      <c r="A4352" s="5" t="s">
        <v>2054</v>
      </c>
    </row>
    <row r="4353">
      <c r="A4353" s="5" t="s">
        <v>2054</v>
      </c>
    </row>
    <row r="4354">
      <c r="A4354" s="5" t="s">
        <v>2054</v>
      </c>
    </row>
    <row r="4355">
      <c r="A4355" s="5" t="s">
        <v>2054</v>
      </c>
    </row>
    <row r="4356">
      <c r="A4356" s="5" t="s">
        <v>2054</v>
      </c>
    </row>
    <row r="4357">
      <c r="A4357" s="5" t="s">
        <v>2054</v>
      </c>
    </row>
    <row r="4358">
      <c r="A4358" s="5" t="s">
        <v>2054</v>
      </c>
    </row>
    <row r="4359">
      <c r="A4359" s="5" t="s">
        <v>2054</v>
      </c>
    </row>
    <row r="4360">
      <c r="A4360" s="5" t="s">
        <v>2054</v>
      </c>
    </row>
    <row r="4361">
      <c r="A4361" s="5" t="s">
        <v>2054</v>
      </c>
    </row>
    <row r="4362">
      <c r="A4362" s="5" t="s">
        <v>2054</v>
      </c>
    </row>
    <row r="4363">
      <c r="A4363" s="5" t="s">
        <v>2054</v>
      </c>
    </row>
    <row r="4364">
      <c r="A4364" s="5" t="s">
        <v>2054</v>
      </c>
    </row>
    <row r="4365">
      <c r="A4365" s="5" t="s">
        <v>2054</v>
      </c>
    </row>
    <row r="4366">
      <c r="A4366" s="5" t="s">
        <v>2054</v>
      </c>
    </row>
    <row r="4367">
      <c r="A4367" s="5" t="s">
        <v>2054</v>
      </c>
    </row>
    <row r="4368">
      <c r="A4368" s="5" t="s">
        <v>2054</v>
      </c>
    </row>
    <row r="4369">
      <c r="A4369" s="5" t="s">
        <v>2054</v>
      </c>
    </row>
    <row r="4370">
      <c r="A4370" s="5" t="s">
        <v>2054</v>
      </c>
    </row>
    <row r="4371">
      <c r="A4371" s="5" t="s">
        <v>2054</v>
      </c>
    </row>
    <row r="4372">
      <c r="A4372" s="5" t="s">
        <v>2054</v>
      </c>
    </row>
    <row r="4373">
      <c r="A4373" s="5" t="s">
        <v>2054</v>
      </c>
    </row>
    <row r="4374">
      <c r="A4374" s="5" t="s">
        <v>2054</v>
      </c>
    </row>
    <row r="4375">
      <c r="A4375" s="5" t="s">
        <v>2054</v>
      </c>
    </row>
    <row r="4376">
      <c r="A4376" s="5" t="s">
        <v>2054</v>
      </c>
    </row>
    <row r="4377">
      <c r="A4377" s="5" t="s">
        <v>2054</v>
      </c>
    </row>
    <row r="4378">
      <c r="A4378" s="5" t="s">
        <v>2054</v>
      </c>
    </row>
    <row r="4379">
      <c r="A4379" s="5" t="s">
        <v>2054</v>
      </c>
    </row>
    <row r="4380">
      <c r="A4380" s="5" t="s">
        <v>2054</v>
      </c>
    </row>
    <row r="4381">
      <c r="A4381" s="5" t="s">
        <v>2054</v>
      </c>
    </row>
    <row r="4382">
      <c r="A4382" s="5" t="s">
        <v>2054</v>
      </c>
    </row>
    <row r="4383">
      <c r="A4383" s="5" t="s">
        <v>2054</v>
      </c>
    </row>
    <row r="4384">
      <c r="A4384" s="5" t="s">
        <v>2054</v>
      </c>
    </row>
    <row r="4385">
      <c r="A4385" s="5" t="s">
        <v>2054</v>
      </c>
    </row>
    <row r="4386">
      <c r="A4386" s="5" t="s">
        <v>2054</v>
      </c>
    </row>
    <row r="4387">
      <c r="A4387" s="5" t="s">
        <v>2054</v>
      </c>
    </row>
    <row r="4388">
      <c r="A4388" s="5" t="s">
        <v>2054</v>
      </c>
    </row>
    <row r="4389">
      <c r="A4389" s="5" t="s">
        <v>2054</v>
      </c>
    </row>
    <row r="4390">
      <c r="A4390" s="5" t="s">
        <v>2054</v>
      </c>
    </row>
    <row r="4391">
      <c r="A4391" s="5" t="s">
        <v>2054</v>
      </c>
    </row>
    <row r="4392">
      <c r="A4392" s="5" t="s">
        <v>2054</v>
      </c>
    </row>
    <row r="4393">
      <c r="A4393" s="5" t="s">
        <v>2054</v>
      </c>
    </row>
    <row r="4394">
      <c r="A4394" s="5" t="s">
        <v>2054</v>
      </c>
    </row>
    <row r="4395">
      <c r="A4395" s="5" t="s">
        <v>2054</v>
      </c>
    </row>
    <row r="4396">
      <c r="A4396" s="5" t="s">
        <v>2054</v>
      </c>
    </row>
    <row r="4397">
      <c r="A4397" s="5" t="s">
        <v>2054</v>
      </c>
    </row>
    <row r="4398">
      <c r="A4398" s="5" t="s">
        <v>2054</v>
      </c>
    </row>
    <row r="4399">
      <c r="A4399" s="5" t="s">
        <v>2054</v>
      </c>
    </row>
    <row r="4400">
      <c r="A4400" s="5" t="s">
        <v>2054</v>
      </c>
    </row>
    <row r="4401">
      <c r="A4401" s="5" t="s">
        <v>2054</v>
      </c>
    </row>
    <row r="4402">
      <c r="A4402" s="5" t="s">
        <v>2054</v>
      </c>
    </row>
    <row r="4403">
      <c r="A4403" s="5" t="s">
        <v>2054</v>
      </c>
    </row>
    <row r="4404">
      <c r="A4404" s="5" t="s">
        <v>2054</v>
      </c>
    </row>
    <row r="4405">
      <c r="A4405" s="5" t="s">
        <v>2054</v>
      </c>
    </row>
    <row r="4406">
      <c r="A4406" s="5" t="s">
        <v>2054</v>
      </c>
    </row>
    <row r="4407">
      <c r="A4407" s="5" t="s">
        <v>2054</v>
      </c>
    </row>
    <row r="4408">
      <c r="A4408" s="5" t="s">
        <v>2054</v>
      </c>
    </row>
    <row r="4409">
      <c r="A4409" s="5" t="s">
        <v>2054</v>
      </c>
    </row>
    <row r="4410">
      <c r="A4410" s="5" t="s">
        <v>2054</v>
      </c>
    </row>
    <row r="4411">
      <c r="A4411" s="5" t="s">
        <v>2054</v>
      </c>
    </row>
    <row r="4412">
      <c r="A4412" s="5" t="s">
        <v>2054</v>
      </c>
    </row>
    <row r="4413">
      <c r="A4413" s="5" t="s">
        <v>2054</v>
      </c>
    </row>
    <row r="4414">
      <c r="A4414" s="5" t="s">
        <v>2054</v>
      </c>
    </row>
    <row r="4415">
      <c r="A4415" s="5" t="s">
        <v>2054</v>
      </c>
    </row>
    <row r="4416">
      <c r="A4416" s="5" t="s">
        <v>2054</v>
      </c>
    </row>
    <row r="4417">
      <c r="A4417" s="5" t="s">
        <v>2054</v>
      </c>
    </row>
    <row r="4418">
      <c r="A4418" s="5" t="s">
        <v>2054</v>
      </c>
    </row>
    <row r="4419">
      <c r="A4419" s="5" t="s">
        <v>2054</v>
      </c>
    </row>
    <row r="4420">
      <c r="A4420" s="5" t="s">
        <v>2054</v>
      </c>
    </row>
    <row r="4421">
      <c r="A4421" s="5" t="s">
        <v>2054</v>
      </c>
    </row>
    <row r="4422">
      <c r="A4422" s="5" t="s">
        <v>2054</v>
      </c>
    </row>
    <row r="4423">
      <c r="A4423" s="5" t="s">
        <v>2054</v>
      </c>
    </row>
    <row r="4424">
      <c r="A4424" s="5" t="s">
        <v>2054</v>
      </c>
    </row>
    <row r="4425">
      <c r="A4425" s="5" t="s">
        <v>2054</v>
      </c>
    </row>
    <row r="4426">
      <c r="A4426" s="5" t="s">
        <v>2054</v>
      </c>
    </row>
    <row r="4427">
      <c r="A4427" s="5" t="s">
        <v>2054</v>
      </c>
    </row>
    <row r="4428">
      <c r="A4428" s="5" t="s">
        <v>2054</v>
      </c>
    </row>
    <row r="4429">
      <c r="A4429" s="5" t="s">
        <v>2054</v>
      </c>
    </row>
    <row r="4430">
      <c r="A4430" s="5" t="s">
        <v>2054</v>
      </c>
    </row>
    <row r="4431">
      <c r="A4431" s="5" t="s">
        <v>2054</v>
      </c>
    </row>
    <row r="4432">
      <c r="A4432" s="5" t="s">
        <v>2054</v>
      </c>
    </row>
    <row r="4433">
      <c r="A4433" s="5" t="s">
        <v>2054</v>
      </c>
    </row>
    <row r="4434">
      <c r="A4434" s="5" t="s">
        <v>2054</v>
      </c>
    </row>
    <row r="4435">
      <c r="A4435" s="5" t="s">
        <v>2054</v>
      </c>
    </row>
    <row r="4436">
      <c r="A4436" s="5" t="s">
        <v>2054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2055</v>
      </c>
      <c r="B1" s="78" t="s">
        <v>2056</v>
      </c>
      <c r="C1" s="79"/>
      <c r="D1" s="79"/>
      <c r="E1" s="80"/>
    </row>
    <row r="2">
      <c r="A2" s="81" t="s">
        <v>2057</v>
      </c>
      <c r="B2" s="82" t="s">
        <v>2058</v>
      </c>
      <c r="C2" s="83"/>
      <c r="D2" s="83"/>
      <c r="E2" s="84"/>
    </row>
    <row r="3">
      <c r="A3" s="81" t="s">
        <v>2059</v>
      </c>
      <c r="B3" s="82" t="s">
        <v>2060</v>
      </c>
      <c r="C3" s="83"/>
      <c r="D3" s="83"/>
      <c r="E3" s="84"/>
    </row>
  </sheetData>
  <mergeCells count="3">
    <mergeCell ref="B1:E1"/>
    <mergeCell ref="B2:E2"/>
    <mergeCell ref="B3:E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13"/>
    <col customWidth="1" min="3" max="3" width="18.25"/>
    <col customWidth="1" min="4" max="4" width="26.38"/>
    <col customWidth="1" min="5" max="5" width="51.88"/>
    <col customWidth="1" min="6" max="7" width="71.38"/>
    <col customWidth="1" hidden="1" min="8" max="8" width="32.88"/>
    <col hidden="1" min="9" max="29" width="12.63"/>
  </cols>
  <sheetData>
    <row r="1">
      <c r="A1" s="50" t="s">
        <v>2003</v>
      </c>
      <c r="B1" s="50" t="s">
        <v>2004</v>
      </c>
      <c r="C1" s="53" t="s">
        <v>2005</v>
      </c>
      <c r="D1" s="52" t="s">
        <v>2006</v>
      </c>
      <c r="E1" s="53" t="s">
        <v>2007</v>
      </c>
      <c r="F1" s="53"/>
      <c r="G1" s="53"/>
      <c r="H1" s="5" t="s">
        <v>2008</v>
      </c>
      <c r="I1" s="5" t="s">
        <v>2009</v>
      </c>
    </row>
    <row r="2">
      <c r="A2" s="54"/>
      <c r="B2" s="54"/>
      <c r="C2" s="85"/>
      <c r="D2" s="56"/>
      <c r="I2" s="5" t="s">
        <v>2011</v>
      </c>
      <c r="J2" s="5" t="s">
        <v>2012</v>
      </c>
    </row>
    <row r="3">
      <c r="A3" s="54">
        <v>1.0</v>
      </c>
      <c r="B3" s="54">
        <v>0.0</v>
      </c>
      <c r="C3" s="86" t="s">
        <v>2061</v>
      </c>
      <c r="D3" s="56"/>
      <c r="E3" s="87" t="s">
        <v>2062</v>
      </c>
      <c r="F3" s="5"/>
      <c r="G3" s="5"/>
      <c r="I3" s="5" t="s">
        <v>2014</v>
      </c>
      <c r="J3" s="5" t="s">
        <v>2012</v>
      </c>
    </row>
    <row r="4">
      <c r="A4" s="59"/>
      <c r="B4" s="59"/>
      <c r="C4" s="88"/>
      <c r="D4" s="56"/>
      <c r="F4" s="5"/>
      <c r="G4" s="5"/>
    </row>
    <row r="5">
      <c r="A5" s="59"/>
      <c r="B5" s="59"/>
      <c r="C5" s="89"/>
      <c r="D5" s="56"/>
      <c r="F5" s="5"/>
      <c r="G5" s="5"/>
    </row>
    <row r="6">
      <c r="A6" s="62"/>
      <c r="B6" s="62"/>
      <c r="C6" s="90"/>
      <c r="D6" s="56"/>
      <c r="F6" s="5"/>
      <c r="G6" s="5"/>
    </row>
    <row r="7">
      <c r="A7" s="62"/>
      <c r="B7" s="62"/>
      <c r="C7" s="89"/>
      <c r="D7" s="56"/>
      <c r="F7" s="5"/>
      <c r="G7" s="5"/>
    </row>
    <row r="8">
      <c r="A8" s="62"/>
      <c r="B8" s="62"/>
      <c r="C8" s="90"/>
      <c r="D8" s="56"/>
      <c r="F8" s="5"/>
      <c r="G8" s="5"/>
    </row>
    <row r="9">
      <c r="A9" s="62"/>
      <c r="B9" s="62"/>
      <c r="C9" s="91"/>
      <c r="D9" s="56"/>
      <c r="F9" s="5"/>
      <c r="G9" s="5"/>
    </row>
    <row r="10">
      <c r="A10" s="62"/>
      <c r="B10" s="62"/>
      <c r="C10" s="91"/>
      <c r="D10" s="56"/>
      <c r="F10" s="5"/>
      <c r="G10" s="5"/>
    </row>
    <row r="11">
      <c r="A11" s="62"/>
      <c r="B11" s="62"/>
      <c r="C11" s="91"/>
      <c r="D11" s="56"/>
      <c r="F11" s="5"/>
      <c r="G11" s="5"/>
    </row>
    <row r="12">
      <c r="A12" s="62"/>
      <c r="B12" s="62"/>
      <c r="C12" s="91"/>
      <c r="D12" s="56"/>
      <c r="F12" s="5"/>
      <c r="G12" s="5"/>
    </row>
    <row r="13">
      <c r="A13" s="62"/>
      <c r="B13" s="62"/>
      <c r="C13" s="91"/>
      <c r="D13" s="56"/>
      <c r="F13" s="5"/>
      <c r="G13" s="5"/>
    </row>
    <row r="14">
      <c r="A14" s="62"/>
      <c r="B14" s="62"/>
      <c r="C14" s="91"/>
      <c r="D14" s="56"/>
      <c r="F14" s="5"/>
      <c r="G14" s="5"/>
    </row>
    <row r="15">
      <c r="A15" s="62"/>
      <c r="B15" s="62"/>
      <c r="C15" s="91"/>
      <c r="D15" s="56"/>
      <c r="F15" s="5"/>
      <c r="G15" s="5"/>
    </row>
    <row r="16">
      <c r="A16" s="62"/>
      <c r="B16" s="62"/>
      <c r="C16" s="91"/>
      <c r="D16" s="56"/>
      <c r="F16" s="5"/>
      <c r="G16" s="5"/>
    </row>
    <row r="17">
      <c r="A17" s="62"/>
      <c r="B17" s="62"/>
      <c r="C17" s="91"/>
      <c r="D17" s="56"/>
      <c r="F17" s="5"/>
      <c r="G17" s="5"/>
    </row>
    <row r="18">
      <c r="A18" s="62"/>
      <c r="B18" s="62"/>
      <c r="C18" s="91"/>
      <c r="D18" s="56"/>
      <c r="F18" s="5"/>
      <c r="G18" s="5"/>
    </row>
    <row r="19">
      <c r="A19" s="62"/>
      <c r="B19" s="62"/>
      <c r="C19" s="91"/>
      <c r="D19" s="56"/>
      <c r="F19" s="5"/>
      <c r="G19" s="5"/>
    </row>
    <row r="20">
      <c r="A20" s="62"/>
      <c r="B20" s="62"/>
      <c r="C20" s="91"/>
      <c r="D20" s="56"/>
      <c r="F20" s="5"/>
      <c r="G20" s="5"/>
    </row>
    <row r="21">
      <c r="A21" s="62"/>
      <c r="B21" s="62"/>
      <c r="C21" s="91"/>
      <c r="D21" s="56"/>
      <c r="F21" s="5"/>
      <c r="G21" s="5"/>
    </row>
    <row r="22">
      <c r="A22" s="62"/>
      <c r="B22" s="62"/>
      <c r="C22" s="91"/>
      <c r="D22" s="56"/>
      <c r="F22" s="5"/>
      <c r="G22" s="5"/>
    </row>
    <row r="23">
      <c r="A23" s="62"/>
      <c r="B23" s="62"/>
      <c r="C23" s="91"/>
      <c r="D23" s="56"/>
      <c r="F23" s="5"/>
      <c r="G23" s="5"/>
    </row>
    <row r="24">
      <c r="A24" s="62"/>
      <c r="B24" s="62"/>
      <c r="C24" s="91"/>
      <c r="D24" s="56"/>
      <c r="F24" s="5"/>
      <c r="G24" s="5"/>
    </row>
    <row r="25">
      <c r="A25" s="62"/>
      <c r="B25" s="62"/>
      <c r="C25" s="92"/>
      <c r="D25" s="56"/>
      <c r="F25" s="5"/>
      <c r="G25" s="5"/>
    </row>
    <row r="26">
      <c r="A26" s="62"/>
      <c r="B26" s="62"/>
      <c r="C26" s="92"/>
      <c r="D26" s="56"/>
      <c r="F26" s="5"/>
      <c r="G26" s="5"/>
    </row>
    <row r="27">
      <c r="A27" s="62"/>
      <c r="B27" s="62"/>
      <c r="C27" s="92"/>
      <c r="D27" s="56"/>
      <c r="F27" s="5"/>
      <c r="G27" s="5"/>
    </row>
    <row r="28">
      <c r="A28" s="62"/>
      <c r="B28" s="62"/>
      <c r="C28" s="92"/>
      <c r="D28" s="56"/>
      <c r="F28" s="5"/>
      <c r="G28" s="5"/>
    </row>
    <row r="29">
      <c r="A29" s="62"/>
      <c r="B29" s="62"/>
      <c r="C29" s="92"/>
      <c r="D29" s="56"/>
      <c r="F29" s="5"/>
      <c r="G29" s="5"/>
    </row>
    <row r="30">
      <c r="A30" s="62"/>
      <c r="B30" s="62"/>
      <c r="C30" s="92"/>
      <c r="D30" s="56"/>
      <c r="F30" s="5"/>
      <c r="G30" s="5"/>
    </row>
    <row r="31">
      <c r="A31" s="62"/>
      <c r="B31" s="62"/>
      <c r="C31" s="92"/>
      <c r="D31" s="56"/>
      <c r="F31" s="5"/>
      <c r="G31" s="5"/>
    </row>
    <row r="32">
      <c r="A32" s="62"/>
      <c r="B32" s="62"/>
      <c r="C32" s="92"/>
      <c r="D32" s="56"/>
      <c r="F32" s="5"/>
      <c r="G32" s="5"/>
    </row>
    <row r="33">
      <c r="A33" s="62"/>
      <c r="B33" s="62"/>
      <c r="C33" s="92"/>
      <c r="D33" s="56"/>
      <c r="F33" s="5"/>
      <c r="G33" s="5"/>
    </row>
    <row r="34">
      <c r="A34" s="62"/>
      <c r="B34" s="62"/>
      <c r="C34" s="92"/>
      <c r="D34" s="56"/>
      <c r="F34" s="5"/>
      <c r="G34" s="5"/>
    </row>
    <row r="35">
      <c r="A35" s="62"/>
      <c r="B35" s="62"/>
      <c r="C35" s="92"/>
      <c r="D35" s="56"/>
      <c r="F35" s="5"/>
      <c r="G35" s="5"/>
    </row>
    <row r="36">
      <c r="A36" s="62"/>
      <c r="B36" s="62"/>
      <c r="C36" s="92"/>
      <c r="D36" s="56"/>
      <c r="F36" s="5"/>
      <c r="G36" s="5"/>
    </row>
    <row r="37">
      <c r="A37" s="62"/>
      <c r="B37" s="62"/>
      <c r="C37" s="92"/>
      <c r="D37" s="56"/>
      <c r="F37" s="5"/>
      <c r="G37" s="5"/>
    </row>
    <row r="38">
      <c r="A38" s="62"/>
      <c r="B38" s="62"/>
      <c r="C38" s="92"/>
      <c r="D38" s="56"/>
      <c r="F38" s="5"/>
      <c r="G38" s="5"/>
    </row>
    <row r="39">
      <c r="A39" s="62"/>
      <c r="B39" s="62"/>
      <c r="C39" s="92"/>
      <c r="D39" s="56"/>
      <c r="F39" s="5"/>
      <c r="G39" s="5"/>
    </row>
    <row r="40">
      <c r="A40" s="62"/>
      <c r="B40" s="62"/>
      <c r="C40" s="92"/>
      <c r="D40" s="56"/>
      <c r="F40" s="5"/>
      <c r="G40" s="5"/>
    </row>
    <row r="41">
      <c r="A41" s="62"/>
      <c r="B41" s="62"/>
      <c r="C41" s="92"/>
      <c r="D41" s="56"/>
      <c r="F41" s="5"/>
      <c r="G41" s="5"/>
    </row>
    <row r="42">
      <c r="A42" s="62"/>
      <c r="B42" s="62"/>
      <c r="C42" s="92"/>
      <c r="D42" s="56"/>
      <c r="F42" s="5"/>
      <c r="G42" s="5"/>
    </row>
    <row r="43">
      <c r="A43" s="62"/>
      <c r="B43" s="62"/>
      <c r="C43" s="92"/>
      <c r="D43" s="56"/>
      <c r="F43" s="5"/>
      <c r="G43" s="5"/>
    </row>
    <row r="44">
      <c r="A44" s="62"/>
      <c r="B44" s="62"/>
      <c r="C44" s="92"/>
      <c r="D44" s="56"/>
      <c r="F44" s="5"/>
      <c r="G44" s="5"/>
    </row>
    <row r="45">
      <c r="A45" s="62"/>
      <c r="B45" s="62"/>
      <c r="C45" s="92"/>
      <c r="D45" s="56"/>
      <c r="F45" s="5"/>
      <c r="G45" s="5"/>
    </row>
    <row r="46">
      <c r="A46" s="62"/>
      <c r="B46" s="62"/>
      <c r="C46" s="92"/>
      <c r="D46" s="56"/>
      <c r="F46" s="5"/>
      <c r="G46" s="5"/>
    </row>
    <row r="47">
      <c r="A47" s="62"/>
      <c r="B47" s="62"/>
      <c r="C47" s="92"/>
      <c r="D47" s="56"/>
      <c r="F47" s="5"/>
      <c r="G47" s="5"/>
    </row>
    <row r="48">
      <c r="A48" s="62"/>
      <c r="B48" s="62"/>
      <c r="C48" s="92"/>
      <c r="D48" s="56"/>
      <c r="F48" s="5"/>
      <c r="G48" s="5"/>
    </row>
    <row r="49">
      <c r="A49" s="62"/>
      <c r="B49" s="62"/>
      <c r="C49" s="92"/>
      <c r="D49" s="56"/>
      <c r="F49" s="5"/>
      <c r="G49" s="5"/>
    </row>
    <row r="50">
      <c r="A50" s="62"/>
      <c r="B50" s="62"/>
      <c r="C50" s="92"/>
      <c r="D50" s="56"/>
      <c r="F50" s="5"/>
      <c r="G50" s="5"/>
    </row>
    <row r="51">
      <c r="A51" s="62"/>
      <c r="B51" s="62"/>
      <c r="D51" s="56"/>
    </row>
    <row r="52">
      <c r="A52" s="62"/>
      <c r="B52" s="62"/>
      <c r="D52" s="56"/>
    </row>
    <row r="53">
      <c r="A53" s="62"/>
      <c r="B53" s="62"/>
      <c r="D53" s="56"/>
    </row>
    <row r="54">
      <c r="A54" s="62"/>
      <c r="B54" s="62"/>
      <c r="D54" s="56"/>
    </row>
    <row r="55">
      <c r="A55" s="62"/>
      <c r="B55" s="62"/>
      <c r="D55" s="56"/>
    </row>
    <row r="56">
      <c r="A56" s="62"/>
      <c r="B56" s="62"/>
      <c r="D56" s="56"/>
    </row>
    <row r="57">
      <c r="A57" s="62"/>
      <c r="B57" s="62"/>
      <c r="D57" s="56"/>
    </row>
    <row r="58">
      <c r="A58" s="62"/>
      <c r="B58" s="62"/>
      <c r="D58" s="56"/>
    </row>
    <row r="59">
      <c r="A59" s="62"/>
      <c r="B59" s="62"/>
      <c r="D59" s="56"/>
    </row>
    <row r="60">
      <c r="A60" s="62"/>
      <c r="B60" s="62"/>
      <c r="D60" s="56"/>
    </row>
    <row r="61">
      <c r="A61" s="62"/>
      <c r="B61" s="62"/>
      <c r="D61" s="56"/>
    </row>
    <row r="62">
      <c r="A62" s="62"/>
      <c r="B62" s="62"/>
      <c r="D62" s="56"/>
    </row>
    <row r="63">
      <c r="A63" s="62"/>
      <c r="B63" s="62"/>
      <c r="D63" s="56"/>
    </row>
    <row r="64">
      <c r="A64" s="62"/>
      <c r="B64" s="62"/>
      <c r="D64" s="56"/>
    </row>
    <row r="65">
      <c r="A65" s="62"/>
      <c r="B65" s="62"/>
      <c r="D65" s="56"/>
    </row>
    <row r="66">
      <c r="A66" s="62"/>
      <c r="B66" s="62"/>
      <c r="D66" s="56"/>
    </row>
    <row r="67">
      <c r="A67" s="62"/>
      <c r="B67" s="62"/>
      <c r="D67" s="56"/>
    </row>
    <row r="68">
      <c r="A68" s="62"/>
      <c r="B68" s="62"/>
      <c r="D68" s="56"/>
    </row>
    <row r="69">
      <c r="A69" s="62"/>
      <c r="B69" s="62"/>
      <c r="D69" s="56"/>
    </row>
    <row r="70">
      <c r="A70" s="62"/>
      <c r="B70" s="62"/>
      <c r="D70" s="56"/>
    </row>
    <row r="71">
      <c r="A71" s="62"/>
      <c r="B71" s="62"/>
      <c r="D71" s="56"/>
    </row>
    <row r="72">
      <c r="A72" s="62"/>
      <c r="B72" s="62"/>
      <c r="D72" s="56"/>
    </row>
    <row r="73">
      <c r="A73" s="62"/>
      <c r="B73" s="62"/>
      <c r="D73" s="56"/>
    </row>
    <row r="74">
      <c r="A74" s="62"/>
      <c r="B74" s="62"/>
      <c r="D74" s="56"/>
    </row>
    <row r="75">
      <c r="A75" s="62"/>
      <c r="B75" s="62"/>
      <c r="D75" s="56"/>
    </row>
    <row r="76">
      <c r="A76" s="62"/>
      <c r="B76" s="62"/>
      <c r="D76" s="56"/>
    </row>
    <row r="77">
      <c r="A77" s="62"/>
      <c r="B77" s="62"/>
      <c r="D77" s="56"/>
    </row>
    <row r="78">
      <c r="A78" s="62"/>
      <c r="B78" s="62"/>
      <c r="D78" s="56"/>
    </row>
    <row r="79">
      <c r="A79" s="62"/>
      <c r="B79" s="62"/>
      <c r="D79" s="56"/>
    </row>
    <row r="80">
      <c r="A80" s="62"/>
      <c r="B80" s="62"/>
      <c r="D80" s="56"/>
    </row>
    <row r="81">
      <c r="A81" s="62"/>
      <c r="B81" s="62"/>
      <c r="D81" s="56"/>
    </row>
    <row r="82">
      <c r="A82" s="62"/>
      <c r="B82" s="62"/>
      <c r="D82" s="56"/>
    </row>
    <row r="83">
      <c r="A83" s="62"/>
      <c r="B83" s="62"/>
      <c r="D83" s="56"/>
    </row>
    <row r="84">
      <c r="A84" s="62"/>
      <c r="B84" s="62"/>
      <c r="D84" s="56"/>
    </row>
    <row r="85">
      <c r="A85" s="62"/>
      <c r="B85" s="62"/>
      <c r="D85" s="56"/>
    </row>
    <row r="86">
      <c r="A86" s="62"/>
      <c r="B86" s="62"/>
      <c r="D86" s="56"/>
    </row>
    <row r="87">
      <c r="A87" s="62"/>
      <c r="B87" s="62"/>
      <c r="D87" s="56"/>
    </row>
    <row r="88">
      <c r="A88" s="62"/>
      <c r="B88" s="62"/>
      <c r="D88" s="56"/>
    </row>
    <row r="89">
      <c r="A89" s="62"/>
      <c r="B89" s="62"/>
      <c r="D89" s="56"/>
    </row>
    <row r="90">
      <c r="A90" s="62"/>
      <c r="B90" s="62"/>
      <c r="D90" s="56"/>
    </row>
    <row r="91">
      <c r="A91" s="62"/>
      <c r="B91" s="62"/>
      <c r="D91" s="56"/>
    </row>
    <row r="92">
      <c r="A92" s="62"/>
      <c r="B92" s="62"/>
      <c r="D92" s="56"/>
    </row>
    <row r="93">
      <c r="A93" s="62"/>
      <c r="B93" s="62"/>
      <c r="D93" s="56"/>
    </row>
    <row r="94">
      <c r="A94" s="62"/>
      <c r="B94" s="62"/>
      <c r="D94" s="56"/>
    </row>
    <row r="95">
      <c r="A95" s="62"/>
      <c r="B95" s="62"/>
      <c r="D95" s="56"/>
    </row>
    <row r="96">
      <c r="A96" s="62"/>
      <c r="B96" s="62"/>
      <c r="D96" s="56"/>
    </row>
    <row r="97">
      <c r="A97" s="62"/>
      <c r="B97" s="62"/>
      <c r="D97" s="56"/>
    </row>
    <row r="98">
      <c r="A98" s="62"/>
      <c r="B98" s="62"/>
      <c r="D98" s="56"/>
    </row>
    <row r="99">
      <c r="A99" s="62"/>
      <c r="B99" s="62"/>
      <c r="D99" s="56"/>
    </row>
    <row r="100">
      <c r="A100" s="62"/>
      <c r="B100" s="62"/>
      <c r="D100" s="56"/>
    </row>
    <row r="101">
      <c r="A101" s="62"/>
      <c r="B101" s="62"/>
      <c r="D101" s="56"/>
    </row>
    <row r="102">
      <c r="A102" s="67"/>
      <c r="B102" s="67"/>
      <c r="D102" s="56"/>
    </row>
    <row r="103">
      <c r="A103" s="67"/>
      <c r="B103" s="67"/>
      <c r="D103" s="56"/>
    </row>
    <row r="104">
      <c r="A104" s="67"/>
      <c r="B104" s="67"/>
      <c r="D104" s="56"/>
    </row>
    <row r="105">
      <c r="A105" s="67"/>
      <c r="B105" s="67"/>
      <c r="D105" s="56"/>
    </row>
    <row r="106">
      <c r="A106" s="67"/>
      <c r="B106" s="67"/>
      <c r="D106" s="56"/>
    </row>
    <row r="107">
      <c r="A107" s="67"/>
      <c r="B107" s="67"/>
      <c r="D107" s="56"/>
    </row>
    <row r="108">
      <c r="A108" s="67"/>
      <c r="B108" s="67"/>
      <c r="D108" s="56"/>
    </row>
    <row r="109">
      <c r="A109" s="67"/>
      <c r="B109" s="67"/>
      <c r="D109" s="56"/>
    </row>
    <row r="110">
      <c r="A110" s="67"/>
      <c r="B110" s="67"/>
      <c r="D110" s="56"/>
    </row>
    <row r="111">
      <c r="A111" s="67"/>
      <c r="B111" s="67"/>
      <c r="D111" s="56"/>
    </row>
    <row r="112">
      <c r="A112" s="67"/>
      <c r="B112" s="67"/>
      <c r="D112" s="56"/>
    </row>
    <row r="113">
      <c r="A113" s="67"/>
      <c r="B113" s="67"/>
      <c r="D113" s="56"/>
    </row>
    <row r="114">
      <c r="A114" s="67"/>
      <c r="B114" s="67"/>
      <c r="D114" s="56"/>
    </row>
    <row r="115">
      <c r="A115" s="67"/>
      <c r="B115" s="67"/>
      <c r="D115" s="56"/>
    </row>
    <row r="116">
      <c r="A116" s="67"/>
      <c r="B116" s="67"/>
      <c r="D116" s="56"/>
    </row>
    <row r="117">
      <c r="A117" s="67"/>
      <c r="B117" s="67"/>
      <c r="D117" s="56"/>
    </row>
    <row r="118">
      <c r="A118" s="67"/>
      <c r="B118" s="67"/>
      <c r="D118" s="56"/>
    </row>
    <row r="119">
      <c r="A119" s="67"/>
      <c r="B119" s="67"/>
      <c r="D119" s="56"/>
    </row>
    <row r="120">
      <c r="A120" s="67"/>
      <c r="B120" s="67"/>
      <c r="D120" s="56"/>
    </row>
    <row r="121">
      <c r="A121" s="67"/>
      <c r="B121" s="67"/>
      <c r="D121" s="56"/>
    </row>
    <row r="122">
      <c r="A122" s="67"/>
      <c r="B122" s="67"/>
      <c r="D122" s="56"/>
    </row>
    <row r="123">
      <c r="A123" s="67"/>
      <c r="B123" s="67"/>
      <c r="D123" s="56"/>
    </row>
    <row r="124">
      <c r="A124" s="67"/>
      <c r="B124" s="67"/>
      <c r="D124" s="56"/>
    </row>
    <row r="125">
      <c r="A125" s="67"/>
      <c r="B125" s="67"/>
      <c r="D125" s="56"/>
    </row>
    <row r="126">
      <c r="A126" s="67"/>
      <c r="B126" s="67"/>
      <c r="D126" s="56"/>
    </row>
    <row r="127">
      <c r="A127" s="67"/>
      <c r="B127" s="67"/>
      <c r="D127" s="56"/>
    </row>
    <row r="128">
      <c r="A128" s="67"/>
      <c r="B128" s="67"/>
      <c r="D128" s="56"/>
    </row>
    <row r="129">
      <c r="A129" s="67"/>
      <c r="B129" s="67"/>
      <c r="D129" s="56"/>
    </row>
    <row r="130">
      <c r="A130" s="67"/>
      <c r="B130" s="67"/>
      <c r="D130" s="56"/>
    </row>
    <row r="131">
      <c r="A131" s="67"/>
      <c r="B131" s="67"/>
      <c r="D131" s="56"/>
    </row>
    <row r="132">
      <c r="A132" s="67"/>
      <c r="B132" s="67"/>
      <c r="D132" s="56"/>
    </row>
    <row r="133">
      <c r="A133" s="67"/>
      <c r="B133" s="67"/>
      <c r="D133" s="56"/>
    </row>
    <row r="134">
      <c r="A134" s="67"/>
      <c r="B134" s="67"/>
      <c r="D134" s="56"/>
    </row>
    <row r="135">
      <c r="A135" s="67"/>
      <c r="B135" s="67"/>
      <c r="D135" s="56"/>
    </row>
    <row r="136">
      <c r="A136" s="67"/>
      <c r="B136" s="67"/>
      <c r="D136" s="56"/>
    </row>
    <row r="137">
      <c r="A137" s="67"/>
      <c r="B137" s="67"/>
      <c r="D137" s="56"/>
    </row>
    <row r="138">
      <c r="A138" s="67"/>
      <c r="B138" s="67"/>
      <c r="D138" s="56"/>
    </row>
    <row r="139">
      <c r="A139" s="67"/>
      <c r="B139" s="67"/>
      <c r="D139" s="56"/>
    </row>
    <row r="140">
      <c r="A140" s="67"/>
      <c r="B140" s="67"/>
      <c r="D140" s="56"/>
    </row>
    <row r="141">
      <c r="A141" s="67"/>
      <c r="B141" s="67"/>
      <c r="D141" s="56"/>
    </row>
    <row r="142">
      <c r="A142" s="67"/>
      <c r="B142" s="67"/>
      <c r="D142" s="56"/>
    </row>
    <row r="143">
      <c r="A143" s="67"/>
      <c r="B143" s="67"/>
      <c r="D143" s="56"/>
    </row>
    <row r="144">
      <c r="A144" s="67"/>
      <c r="B144" s="67"/>
      <c r="D144" s="56"/>
    </row>
    <row r="145">
      <c r="A145" s="67"/>
      <c r="B145" s="67"/>
      <c r="D145" s="56"/>
    </row>
    <row r="146">
      <c r="A146" s="67"/>
      <c r="B146" s="67"/>
      <c r="D146" s="56"/>
    </row>
    <row r="147">
      <c r="A147" s="67"/>
      <c r="B147" s="67"/>
      <c r="D147" s="56"/>
    </row>
    <row r="148">
      <c r="A148" s="67"/>
      <c r="B148" s="67"/>
      <c r="D148" s="56"/>
    </row>
    <row r="149">
      <c r="A149" s="67"/>
      <c r="B149" s="67"/>
      <c r="D149" s="56"/>
    </row>
    <row r="150">
      <c r="A150" s="67"/>
      <c r="B150" s="67"/>
      <c r="D150" s="56"/>
    </row>
    <row r="151">
      <c r="A151" s="67"/>
      <c r="B151" s="67"/>
      <c r="D151" s="56"/>
    </row>
    <row r="152">
      <c r="A152" s="67"/>
      <c r="B152" s="67"/>
      <c r="D152" s="56"/>
    </row>
    <row r="153">
      <c r="A153" s="67"/>
      <c r="B153" s="67"/>
      <c r="D153" s="56"/>
    </row>
    <row r="154">
      <c r="A154" s="67"/>
      <c r="B154" s="67"/>
      <c r="D154" s="56"/>
    </row>
    <row r="155">
      <c r="A155" s="67"/>
      <c r="B155" s="67"/>
      <c r="D155" s="56"/>
    </row>
    <row r="156">
      <c r="A156" s="67"/>
      <c r="B156" s="67"/>
      <c r="D156" s="56"/>
    </row>
    <row r="157">
      <c r="A157" s="67"/>
      <c r="B157" s="67"/>
      <c r="D157" s="56"/>
    </row>
    <row r="158">
      <c r="A158" s="67"/>
      <c r="B158" s="67"/>
      <c r="D158" s="56"/>
    </row>
    <row r="159">
      <c r="A159" s="67"/>
      <c r="B159" s="67"/>
      <c r="D159" s="56"/>
    </row>
    <row r="160">
      <c r="A160" s="67"/>
      <c r="B160" s="67"/>
      <c r="D160" s="56"/>
    </row>
    <row r="161">
      <c r="A161" s="67"/>
      <c r="B161" s="67"/>
      <c r="D161" s="56"/>
    </row>
    <row r="162">
      <c r="A162" s="67"/>
      <c r="B162" s="67"/>
      <c r="D162" s="56"/>
    </row>
    <row r="163">
      <c r="A163" s="67"/>
      <c r="B163" s="67"/>
      <c r="D163" s="56"/>
    </row>
    <row r="164">
      <c r="A164" s="67"/>
      <c r="B164" s="67"/>
      <c r="D164" s="56"/>
    </row>
    <row r="165">
      <c r="A165" s="67"/>
      <c r="B165" s="67"/>
      <c r="D165" s="56"/>
    </row>
    <row r="166">
      <c r="A166" s="67"/>
      <c r="B166" s="67"/>
      <c r="D166" s="56"/>
    </row>
    <row r="167">
      <c r="A167" s="67"/>
      <c r="B167" s="67"/>
      <c r="D167" s="56"/>
    </row>
    <row r="168">
      <c r="A168" s="67"/>
      <c r="B168" s="67"/>
      <c r="D168" s="56"/>
    </row>
    <row r="169">
      <c r="A169" s="67"/>
      <c r="B169" s="67"/>
      <c r="D169" s="56"/>
    </row>
    <row r="170">
      <c r="A170" s="67"/>
      <c r="B170" s="67"/>
      <c r="D170" s="56"/>
    </row>
    <row r="171">
      <c r="A171" s="67"/>
      <c r="B171" s="67"/>
      <c r="D171" s="56"/>
    </row>
    <row r="172">
      <c r="A172" s="67"/>
      <c r="B172" s="67"/>
      <c r="D172" s="56"/>
    </row>
    <row r="173">
      <c r="A173" s="67"/>
      <c r="B173" s="67"/>
      <c r="D173" s="56"/>
    </row>
    <row r="174">
      <c r="A174" s="67"/>
      <c r="B174" s="67"/>
      <c r="D174" s="56"/>
    </row>
    <row r="175">
      <c r="A175" s="67"/>
      <c r="B175" s="67"/>
      <c r="D175" s="56"/>
    </row>
    <row r="176">
      <c r="A176" s="67"/>
      <c r="B176" s="67"/>
      <c r="D176" s="56"/>
    </row>
    <row r="177">
      <c r="A177" s="67"/>
      <c r="B177" s="67"/>
      <c r="D177" s="56"/>
    </row>
    <row r="178">
      <c r="A178" s="67"/>
      <c r="B178" s="67"/>
      <c r="D178" s="56"/>
    </row>
    <row r="179">
      <c r="A179" s="67"/>
      <c r="B179" s="67"/>
      <c r="D179" s="56"/>
    </row>
    <row r="180">
      <c r="A180" s="67"/>
      <c r="B180" s="67"/>
      <c r="D180" s="56"/>
    </row>
    <row r="181">
      <c r="A181" s="67"/>
      <c r="B181" s="67"/>
      <c r="D181" s="56"/>
    </row>
    <row r="182">
      <c r="A182" s="67"/>
      <c r="B182" s="67"/>
      <c r="D182" s="56"/>
    </row>
    <row r="183">
      <c r="A183" s="67"/>
      <c r="B183" s="67"/>
      <c r="D183" s="56"/>
    </row>
    <row r="184">
      <c r="A184" s="67"/>
      <c r="B184" s="67"/>
      <c r="D184" s="56"/>
    </row>
    <row r="185">
      <c r="A185" s="67"/>
      <c r="B185" s="67"/>
      <c r="D185" s="56"/>
    </row>
    <row r="186">
      <c r="A186" s="67"/>
      <c r="B186" s="67"/>
      <c r="D186" s="56"/>
    </row>
    <row r="187">
      <c r="A187" s="67"/>
      <c r="B187" s="67"/>
      <c r="D187" s="56"/>
    </row>
    <row r="188">
      <c r="A188" s="67"/>
      <c r="B188" s="67"/>
      <c r="D188" s="56"/>
    </row>
    <row r="189">
      <c r="A189" s="67"/>
      <c r="B189" s="67"/>
      <c r="D189" s="56"/>
    </row>
    <row r="190">
      <c r="A190" s="67"/>
      <c r="B190" s="67"/>
      <c r="D190" s="56"/>
    </row>
    <row r="191">
      <c r="A191" s="67"/>
      <c r="B191" s="67"/>
      <c r="D191" s="56"/>
    </row>
    <row r="192">
      <c r="A192" s="67"/>
      <c r="B192" s="67"/>
      <c r="D192" s="56"/>
    </row>
    <row r="193">
      <c r="A193" s="67"/>
      <c r="B193" s="67"/>
      <c r="D193" s="56"/>
    </row>
    <row r="194">
      <c r="A194" s="67"/>
      <c r="B194" s="67"/>
      <c r="D194" s="56"/>
    </row>
    <row r="195">
      <c r="A195" s="67"/>
      <c r="B195" s="67"/>
      <c r="D195" s="56"/>
    </row>
    <row r="196">
      <c r="A196" s="67"/>
      <c r="B196" s="67"/>
      <c r="D196" s="56"/>
    </row>
    <row r="197">
      <c r="A197" s="67"/>
      <c r="B197" s="67"/>
      <c r="D197" s="56"/>
    </row>
    <row r="198">
      <c r="A198" s="67"/>
      <c r="B198" s="67"/>
      <c r="D198" s="56"/>
    </row>
    <row r="199">
      <c r="A199" s="67"/>
      <c r="B199" s="67"/>
      <c r="D199" s="56"/>
    </row>
    <row r="200">
      <c r="A200" s="67"/>
      <c r="B200" s="67"/>
      <c r="D200" s="56"/>
    </row>
    <row r="201">
      <c r="A201" s="67"/>
      <c r="B201" s="67"/>
      <c r="D201" s="56"/>
    </row>
    <row r="202">
      <c r="A202" s="67"/>
      <c r="B202" s="67"/>
      <c r="D202" s="56"/>
    </row>
    <row r="203">
      <c r="A203" s="67"/>
      <c r="B203" s="67"/>
      <c r="D203" s="56"/>
    </row>
    <row r="204">
      <c r="A204" s="67"/>
      <c r="B204" s="67"/>
      <c r="D204" s="56"/>
    </row>
    <row r="205">
      <c r="A205" s="67"/>
      <c r="B205" s="67"/>
      <c r="D205" s="56"/>
    </row>
    <row r="206">
      <c r="A206" s="67"/>
      <c r="B206" s="67"/>
      <c r="D206" s="56"/>
    </row>
    <row r="207">
      <c r="A207" s="67"/>
      <c r="B207" s="67"/>
      <c r="D207" s="56"/>
    </row>
    <row r="208">
      <c r="A208" s="67"/>
      <c r="B208" s="67"/>
      <c r="D208" s="56"/>
    </row>
    <row r="209">
      <c r="A209" s="67"/>
      <c r="B209" s="67"/>
      <c r="D209" s="56"/>
    </row>
    <row r="210">
      <c r="A210" s="67"/>
      <c r="B210" s="67"/>
      <c r="D210" s="56"/>
    </row>
    <row r="211">
      <c r="A211" s="67"/>
      <c r="B211" s="67"/>
      <c r="D211" s="56"/>
    </row>
    <row r="212">
      <c r="A212" s="67"/>
      <c r="B212" s="67"/>
      <c r="D212" s="56"/>
    </row>
    <row r="213">
      <c r="A213" s="67"/>
      <c r="B213" s="67"/>
      <c r="D213" s="56"/>
    </row>
    <row r="214">
      <c r="A214" s="67"/>
      <c r="B214" s="67"/>
      <c r="D214" s="56"/>
    </row>
    <row r="215">
      <c r="A215" s="67"/>
      <c r="B215" s="67"/>
      <c r="D215" s="56"/>
    </row>
    <row r="216">
      <c r="A216" s="67"/>
      <c r="B216" s="67"/>
      <c r="D216" s="56"/>
    </row>
    <row r="217">
      <c r="A217" s="67"/>
      <c r="B217" s="67"/>
      <c r="D217" s="56"/>
    </row>
    <row r="218">
      <c r="A218" s="67"/>
      <c r="B218" s="67"/>
      <c r="D218" s="56"/>
    </row>
    <row r="219">
      <c r="A219" s="67"/>
      <c r="B219" s="67"/>
      <c r="D219" s="56"/>
    </row>
    <row r="220">
      <c r="A220" s="67"/>
      <c r="B220" s="67"/>
      <c r="D220" s="56"/>
    </row>
    <row r="221">
      <c r="A221" s="67"/>
      <c r="B221" s="67"/>
      <c r="D221" s="56"/>
    </row>
    <row r="222">
      <c r="A222" s="67"/>
      <c r="B222" s="67"/>
      <c r="D222" s="56"/>
    </row>
    <row r="223">
      <c r="A223" s="67"/>
      <c r="B223" s="67"/>
      <c r="D223" s="56"/>
    </row>
    <row r="224">
      <c r="A224" s="67"/>
      <c r="B224" s="67"/>
      <c r="D224" s="56"/>
    </row>
    <row r="225">
      <c r="A225" s="67"/>
      <c r="B225" s="67"/>
      <c r="D225" s="56"/>
    </row>
    <row r="226">
      <c r="A226" s="67"/>
      <c r="B226" s="67"/>
      <c r="D226" s="56"/>
    </row>
    <row r="227">
      <c r="A227" s="67"/>
      <c r="B227" s="67"/>
      <c r="D227" s="56"/>
    </row>
    <row r="228">
      <c r="A228" s="67"/>
      <c r="B228" s="67"/>
      <c r="D228" s="56"/>
    </row>
    <row r="229">
      <c r="A229" s="67"/>
      <c r="B229" s="67"/>
      <c r="D229" s="56"/>
    </row>
    <row r="230">
      <c r="A230" s="67"/>
      <c r="B230" s="67"/>
      <c r="D230" s="56"/>
    </row>
    <row r="231">
      <c r="A231" s="67"/>
      <c r="B231" s="67"/>
      <c r="D231" s="56"/>
    </row>
    <row r="232">
      <c r="A232" s="67"/>
      <c r="B232" s="67"/>
      <c r="D232" s="56"/>
    </row>
    <row r="233">
      <c r="A233" s="67"/>
      <c r="B233" s="67"/>
      <c r="D233" s="56"/>
    </row>
    <row r="234">
      <c r="A234" s="67"/>
      <c r="B234" s="67"/>
      <c r="D234" s="56"/>
    </row>
    <row r="235">
      <c r="A235" s="67"/>
      <c r="B235" s="67"/>
      <c r="D235" s="56"/>
    </row>
    <row r="236">
      <c r="A236" s="67"/>
      <c r="B236" s="67"/>
      <c r="D236" s="56"/>
    </row>
    <row r="237">
      <c r="A237" s="67"/>
      <c r="B237" s="67"/>
      <c r="D237" s="56"/>
    </row>
    <row r="238">
      <c r="A238" s="67"/>
      <c r="B238" s="67"/>
      <c r="D238" s="56"/>
    </row>
    <row r="239">
      <c r="A239" s="67"/>
      <c r="B239" s="67"/>
      <c r="D239" s="56"/>
    </row>
    <row r="240">
      <c r="A240" s="67"/>
      <c r="B240" s="67"/>
      <c r="D240" s="56"/>
    </row>
    <row r="241">
      <c r="A241" s="67"/>
      <c r="B241" s="67"/>
      <c r="D241" s="56"/>
    </row>
    <row r="242">
      <c r="A242" s="67"/>
      <c r="B242" s="67"/>
      <c r="D242" s="56"/>
    </row>
    <row r="243">
      <c r="A243" s="67"/>
      <c r="B243" s="67"/>
      <c r="D243" s="56"/>
    </row>
    <row r="244">
      <c r="A244" s="67"/>
      <c r="B244" s="67"/>
      <c r="D244" s="56"/>
    </row>
    <row r="245">
      <c r="A245" s="67"/>
      <c r="B245" s="67"/>
      <c r="D245" s="56"/>
    </row>
    <row r="246">
      <c r="A246" s="67"/>
      <c r="B246" s="67"/>
      <c r="D246" s="56"/>
    </row>
    <row r="247">
      <c r="A247" s="67"/>
      <c r="B247" s="67"/>
      <c r="D247" s="56"/>
    </row>
    <row r="248">
      <c r="A248" s="67"/>
      <c r="B248" s="67"/>
      <c r="D248" s="56"/>
    </row>
    <row r="249">
      <c r="A249" s="67"/>
      <c r="B249" s="67"/>
      <c r="D249" s="56"/>
    </row>
    <row r="250">
      <c r="A250" s="67"/>
      <c r="B250" s="67"/>
      <c r="D250" s="56"/>
    </row>
    <row r="251">
      <c r="A251" s="67"/>
      <c r="B251" s="67"/>
      <c r="D251" s="56"/>
    </row>
    <row r="252">
      <c r="A252" s="67"/>
      <c r="B252" s="67"/>
      <c r="D252" s="56"/>
    </row>
    <row r="253">
      <c r="A253" s="67"/>
      <c r="B253" s="67"/>
      <c r="D253" s="56"/>
    </row>
    <row r="254">
      <c r="A254" s="67"/>
      <c r="B254" s="67"/>
      <c r="D254" s="56"/>
    </row>
    <row r="255">
      <c r="A255" s="67"/>
      <c r="B255" s="67"/>
      <c r="D255" s="56"/>
    </row>
    <row r="256">
      <c r="A256" s="67"/>
      <c r="B256" s="67"/>
      <c r="D256" s="56"/>
    </row>
    <row r="257">
      <c r="A257" s="67"/>
      <c r="B257" s="67"/>
      <c r="D257" s="56"/>
    </row>
    <row r="258">
      <c r="A258" s="67"/>
      <c r="B258" s="67"/>
      <c r="D258" s="56"/>
    </row>
    <row r="259">
      <c r="A259" s="67"/>
      <c r="B259" s="67"/>
      <c r="D259" s="56"/>
    </row>
    <row r="260">
      <c r="A260" s="67"/>
      <c r="B260" s="67"/>
      <c r="D260" s="56"/>
    </row>
    <row r="261">
      <c r="A261" s="67"/>
      <c r="B261" s="67"/>
      <c r="D261" s="56"/>
    </row>
    <row r="262">
      <c r="A262" s="67"/>
      <c r="B262" s="67"/>
      <c r="D262" s="56"/>
    </row>
    <row r="263">
      <c r="A263" s="67"/>
      <c r="B263" s="67"/>
      <c r="D263" s="56"/>
    </row>
    <row r="264">
      <c r="A264" s="67"/>
      <c r="B264" s="67"/>
      <c r="D264" s="56"/>
    </row>
    <row r="265">
      <c r="A265" s="67"/>
      <c r="B265" s="67"/>
      <c r="D265" s="56"/>
    </row>
    <row r="266">
      <c r="A266" s="67"/>
      <c r="B266" s="67"/>
      <c r="D266" s="56"/>
    </row>
    <row r="267">
      <c r="A267" s="67"/>
      <c r="B267" s="67"/>
      <c r="D267" s="56"/>
    </row>
    <row r="268">
      <c r="A268" s="67"/>
      <c r="B268" s="67"/>
      <c r="D268" s="56"/>
    </row>
    <row r="269">
      <c r="A269" s="67"/>
      <c r="B269" s="67"/>
      <c r="D269" s="56"/>
    </row>
    <row r="270">
      <c r="A270" s="67"/>
      <c r="B270" s="67"/>
      <c r="D270" s="56"/>
    </row>
    <row r="271">
      <c r="A271" s="67"/>
      <c r="B271" s="67"/>
      <c r="D271" s="56"/>
    </row>
    <row r="272">
      <c r="A272" s="67"/>
      <c r="B272" s="67"/>
      <c r="D272" s="56"/>
    </row>
    <row r="273">
      <c r="A273" s="67"/>
      <c r="B273" s="67"/>
      <c r="D273" s="56"/>
    </row>
    <row r="274">
      <c r="A274" s="67"/>
      <c r="B274" s="67"/>
      <c r="D274" s="56"/>
    </row>
    <row r="275">
      <c r="A275" s="67"/>
      <c r="B275" s="67"/>
      <c r="D275" s="56"/>
    </row>
    <row r="276">
      <c r="A276" s="67"/>
      <c r="B276" s="67"/>
      <c r="D276" s="56"/>
    </row>
    <row r="277">
      <c r="A277" s="67"/>
      <c r="B277" s="67"/>
      <c r="D277" s="56"/>
    </row>
    <row r="278">
      <c r="A278" s="67"/>
      <c r="B278" s="67"/>
      <c r="D278" s="56"/>
    </row>
    <row r="279">
      <c r="A279" s="67"/>
      <c r="B279" s="67"/>
      <c r="D279" s="56"/>
    </row>
    <row r="280">
      <c r="A280" s="67"/>
      <c r="B280" s="67"/>
      <c r="D280" s="56"/>
    </row>
    <row r="281">
      <c r="A281" s="67"/>
      <c r="B281" s="67"/>
      <c r="D281" s="56"/>
    </row>
    <row r="282">
      <c r="A282" s="67"/>
      <c r="B282" s="67"/>
      <c r="D282" s="56"/>
    </row>
    <row r="283">
      <c r="A283" s="67"/>
      <c r="B283" s="67"/>
      <c r="D283" s="56"/>
    </row>
    <row r="284">
      <c r="A284" s="67"/>
      <c r="B284" s="67"/>
      <c r="D284" s="56"/>
    </row>
    <row r="285">
      <c r="A285" s="67"/>
      <c r="B285" s="67"/>
      <c r="D285" s="56"/>
    </row>
    <row r="286">
      <c r="A286" s="67"/>
      <c r="B286" s="67"/>
      <c r="D286" s="56"/>
    </row>
    <row r="287">
      <c r="A287" s="67"/>
      <c r="B287" s="67"/>
      <c r="D287" s="56"/>
    </row>
    <row r="288">
      <c r="A288" s="67"/>
      <c r="B288" s="67"/>
      <c r="D288" s="56"/>
    </row>
    <row r="289">
      <c r="A289" s="67"/>
      <c r="B289" s="67"/>
      <c r="D289" s="56"/>
    </row>
    <row r="290">
      <c r="A290" s="67"/>
      <c r="B290" s="67"/>
      <c r="D290" s="56"/>
    </row>
    <row r="291">
      <c r="A291" s="67"/>
      <c r="B291" s="67"/>
      <c r="D291" s="56"/>
    </row>
    <row r="292">
      <c r="A292" s="67"/>
      <c r="B292" s="67"/>
      <c r="D292" s="56"/>
    </row>
    <row r="293">
      <c r="A293" s="67"/>
      <c r="B293" s="67"/>
      <c r="D293" s="56"/>
    </row>
    <row r="294">
      <c r="A294" s="67"/>
      <c r="B294" s="67"/>
      <c r="D294" s="56"/>
    </row>
    <row r="295">
      <c r="A295" s="67"/>
      <c r="B295" s="67"/>
      <c r="D295" s="56"/>
    </row>
    <row r="296">
      <c r="A296" s="67"/>
      <c r="B296" s="67"/>
      <c r="D296" s="56"/>
    </row>
    <row r="297">
      <c r="A297" s="67"/>
      <c r="B297" s="67"/>
      <c r="D297" s="56"/>
    </row>
    <row r="298">
      <c r="A298" s="67"/>
      <c r="B298" s="67"/>
      <c r="D298" s="56"/>
    </row>
    <row r="299">
      <c r="A299" s="67"/>
      <c r="B299" s="67"/>
      <c r="D299" s="56"/>
    </row>
    <row r="300">
      <c r="A300" s="67"/>
      <c r="B300" s="67"/>
      <c r="D300" s="56"/>
    </row>
    <row r="301">
      <c r="A301" s="67"/>
      <c r="B301" s="67"/>
      <c r="D301" s="56"/>
    </row>
    <row r="302">
      <c r="A302" s="67"/>
      <c r="B302" s="67"/>
      <c r="D302" s="56"/>
    </row>
    <row r="303">
      <c r="A303" s="67"/>
      <c r="B303" s="67"/>
      <c r="D303" s="56"/>
    </row>
    <row r="304">
      <c r="A304" s="67"/>
      <c r="B304" s="67"/>
      <c r="D304" s="56"/>
    </row>
    <row r="305">
      <c r="A305" s="67"/>
      <c r="B305" s="67"/>
      <c r="D305" s="56"/>
    </row>
    <row r="306">
      <c r="A306" s="67"/>
      <c r="B306" s="67"/>
      <c r="D306" s="56"/>
    </row>
    <row r="307">
      <c r="A307" s="67"/>
      <c r="B307" s="67"/>
      <c r="D307" s="56"/>
    </row>
    <row r="308">
      <c r="A308" s="67"/>
      <c r="B308" s="67"/>
      <c r="D308" s="56"/>
    </row>
    <row r="309">
      <c r="A309" s="67"/>
      <c r="B309" s="67"/>
      <c r="D309" s="56"/>
    </row>
    <row r="310">
      <c r="A310" s="67"/>
      <c r="B310" s="67"/>
      <c r="D310" s="56"/>
    </row>
    <row r="311">
      <c r="A311" s="67"/>
      <c r="B311" s="67"/>
      <c r="D311" s="56"/>
    </row>
    <row r="312">
      <c r="A312" s="67"/>
      <c r="B312" s="67"/>
      <c r="D312" s="56"/>
    </row>
    <row r="313">
      <c r="A313" s="67"/>
      <c r="B313" s="67"/>
      <c r="D313" s="56"/>
    </row>
    <row r="314">
      <c r="A314" s="67"/>
      <c r="B314" s="67"/>
      <c r="D314" s="56"/>
    </row>
    <row r="315">
      <c r="A315" s="67"/>
      <c r="B315" s="67"/>
      <c r="D315" s="56"/>
    </row>
    <row r="316">
      <c r="A316" s="67"/>
      <c r="B316" s="67"/>
      <c r="D316" s="56"/>
    </row>
    <row r="317">
      <c r="A317" s="67"/>
      <c r="B317" s="67"/>
      <c r="D317" s="56"/>
    </row>
    <row r="318">
      <c r="A318" s="67"/>
      <c r="B318" s="67"/>
      <c r="D318" s="56"/>
    </row>
    <row r="319">
      <c r="A319" s="67"/>
      <c r="B319" s="67"/>
      <c r="D319" s="56"/>
    </row>
    <row r="320">
      <c r="A320" s="67"/>
      <c r="B320" s="67"/>
      <c r="D320" s="56"/>
    </row>
    <row r="321">
      <c r="A321" s="67"/>
      <c r="B321" s="67"/>
      <c r="D321" s="56"/>
    </row>
    <row r="322">
      <c r="A322" s="67"/>
      <c r="B322" s="67"/>
      <c r="D322" s="56"/>
    </row>
    <row r="323">
      <c r="A323" s="67"/>
      <c r="B323" s="67"/>
      <c r="D323" s="56"/>
    </row>
    <row r="324">
      <c r="A324" s="67"/>
      <c r="B324" s="67"/>
      <c r="D324" s="56"/>
    </row>
    <row r="325">
      <c r="A325" s="67"/>
      <c r="B325" s="67"/>
      <c r="D325" s="56"/>
    </row>
    <row r="326">
      <c r="A326" s="67"/>
      <c r="B326" s="67"/>
      <c r="D326" s="56"/>
    </row>
    <row r="327">
      <c r="A327" s="67"/>
      <c r="B327" s="67"/>
      <c r="D327" s="56"/>
    </row>
    <row r="328">
      <c r="A328" s="67"/>
      <c r="B328" s="67"/>
      <c r="D328" s="56"/>
    </row>
    <row r="329">
      <c r="A329" s="67"/>
      <c r="B329" s="67"/>
      <c r="D329" s="56"/>
    </row>
    <row r="330">
      <c r="A330" s="67"/>
      <c r="B330" s="67"/>
      <c r="D330" s="56"/>
    </row>
    <row r="331">
      <c r="A331" s="67"/>
      <c r="B331" s="67"/>
      <c r="D331" s="56"/>
    </row>
    <row r="332">
      <c r="A332" s="67"/>
      <c r="B332" s="67"/>
      <c r="D332" s="56"/>
    </row>
    <row r="333">
      <c r="A333" s="67"/>
      <c r="B333" s="67"/>
      <c r="D333" s="56"/>
    </row>
    <row r="334">
      <c r="A334" s="67"/>
      <c r="B334" s="67"/>
      <c r="D334" s="56"/>
    </row>
    <row r="335">
      <c r="A335" s="67"/>
      <c r="B335" s="67"/>
      <c r="D335" s="56"/>
    </row>
    <row r="336">
      <c r="A336" s="67"/>
      <c r="B336" s="67"/>
      <c r="D336" s="56"/>
    </row>
    <row r="337">
      <c r="A337" s="67"/>
      <c r="B337" s="67"/>
      <c r="D337" s="56"/>
    </row>
    <row r="338">
      <c r="A338" s="67"/>
      <c r="B338" s="67"/>
      <c r="D338" s="56"/>
    </row>
    <row r="339">
      <c r="A339" s="67"/>
      <c r="B339" s="67"/>
      <c r="D339" s="56"/>
    </row>
    <row r="340">
      <c r="A340" s="67"/>
      <c r="B340" s="67"/>
      <c r="D340" s="56"/>
    </row>
    <row r="341">
      <c r="A341" s="67"/>
      <c r="B341" s="67"/>
      <c r="D341" s="56"/>
    </row>
    <row r="342">
      <c r="A342" s="67"/>
      <c r="B342" s="67"/>
      <c r="D342" s="56"/>
    </row>
    <row r="343">
      <c r="A343" s="67"/>
      <c r="B343" s="67"/>
      <c r="D343" s="56"/>
    </row>
    <row r="344">
      <c r="A344" s="67"/>
      <c r="B344" s="67"/>
      <c r="D344" s="56"/>
    </row>
    <row r="345">
      <c r="A345" s="67"/>
      <c r="B345" s="67"/>
      <c r="D345" s="56"/>
    </row>
    <row r="346">
      <c r="A346" s="67"/>
      <c r="B346" s="67"/>
      <c r="D346" s="56"/>
    </row>
    <row r="347">
      <c r="A347" s="67"/>
      <c r="B347" s="67"/>
      <c r="D347" s="56"/>
    </row>
    <row r="348">
      <c r="A348" s="67"/>
      <c r="B348" s="67"/>
      <c r="D348" s="56"/>
    </row>
    <row r="349">
      <c r="A349" s="67"/>
      <c r="B349" s="67"/>
      <c r="D349" s="56"/>
    </row>
    <row r="350">
      <c r="A350" s="67"/>
      <c r="B350" s="67"/>
      <c r="D350" s="56"/>
    </row>
    <row r="351">
      <c r="A351" s="67"/>
      <c r="B351" s="67"/>
      <c r="D351" s="56"/>
    </row>
    <row r="352">
      <c r="A352" s="67"/>
      <c r="B352" s="67"/>
      <c r="D352" s="56"/>
    </row>
    <row r="353">
      <c r="A353" s="67"/>
      <c r="B353" s="67"/>
      <c r="D353" s="56"/>
    </row>
    <row r="354">
      <c r="A354" s="67"/>
      <c r="B354" s="67"/>
      <c r="D354" s="56"/>
    </row>
    <row r="355">
      <c r="A355" s="67"/>
      <c r="B355" s="67"/>
      <c r="D355" s="56"/>
    </row>
    <row r="356">
      <c r="A356" s="67"/>
      <c r="B356" s="67"/>
      <c r="D356" s="56"/>
    </row>
    <row r="357">
      <c r="A357" s="67"/>
      <c r="B357" s="67"/>
      <c r="D357" s="56"/>
    </row>
    <row r="358">
      <c r="A358" s="67"/>
      <c r="B358" s="67"/>
      <c r="D358" s="56"/>
    </row>
    <row r="359">
      <c r="A359" s="67"/>
      <c r="B359" s="67"/>
      <c r="D359" s="56"/>
    </row>
    <row r="360">
      <c r="A360" s="67"/>
      <c r="B360" s="67"/>
      <c r="D360" s="56"/>
    </row>
    <row r="361">
      <c r="A361" s="67"/>
      <c r="B361" s="67"/>
      <c r="D361" s="56"/>
    </row>
    <row r="362">
      <c r="A362" s="67"/>
      <c r="B362" s="67"/>
      <c r="D362" s="56"/>
    </row>
    <row r="363">
      <c r="A363" s="67"/>
      <c r="B363" s="67"/>
      <c r="D363" s="56"/>
    </row>
    <row r="364">
      <c r="A364" s="67"/>
      <c r="B364" s="67"/>
      <c r="D364" s="56"/>
    </row>
    <row r="365">
      <c r="A365" s="67"/>
      <c r="B365" s="67"/>
      <c r="D365" s="56"/>
    </row>
    <row r="366">
      <c r="A366" s="67"/>
      <c r="B366" s="67"/>
      <c r="D366" s="56"/>
    </row>
    <row r="367">
      <c r="A367" s="67"/>
      <c r="B367" s="67"/>
      <c r="D367" s="56"/>
    </row>
    <row r="368">
      <c r="A368" s="67"/>
      <c r="B368" s="67"/>
      <c r="D368" s="56"/>
    </row>
    <row r="369">
      <c r="A369" s="67"/>
      <c r="B369" s="67"/>
      <c r="D369" s="56"/>
    </row>
    <row r="370">
      <c r="A370" s="67"/>
      <c r="B370" s="67"/>
      <c r="D370" s="56"/>
    </row>
    <row r="371">
      <c r="A371" s="67"/>
      <c r="B371" s="67"/>
      <c r="D371" s="56"/>
    </row>
    <row r="372">
      <c r="A372" s="67"/>
      <c r="B372" s="67"/>
      <c r="D372" s="56"/>
    </row>
    <row r="373">
      <c r="A373" s="67"/>
      <c r="B373" s="67"/>
      <c r="D373" s="56"/>
    </row>
    <row r="374">
      <c r="A374" s="67"/>
      <c r="B374" s="67"/>
      <c r="D374" s="56"/>
    </row>
    <row r="375">
      <c r="A375" s="67"/>
      <c r="B375" s="67"/>
      <c r="D375" s="56"/>
    </row>
    <row r="376">
      <c r="A376" s="67"/>
      <c r="B376" s="67"/>
      <c r="D376" s="56"/>
    </row>
    <row r="377">
      <c r="A377" s="67"/>
      <c r="B377" s="67"/>
      <c r="D377" s="56"/>
    </row>
    <row r="378">
      <c r="A378" s="67"/>
      <c r="B378" s="67"/>
      <c r="D378" s="56"/>
    </row>
    <row r="379">
      <c r="A379" s="67"/>
      <c r="B379" s="67"/>
      <c r="D379" s="56"/>
    </row>
    <row r="380">
      <c r="A380" s="67"/>
      <c r="B380" s="67"/>
      <c r="D380" s="56"/>
    </row>
    <row r="381">
      <c r="A381" s="67"/>
      <c r="B381" s="67"/>
      <c r="D381" s="56"/>
    </row>
    <row r="382">
      <c r="A382" s="67"/>
      <c r="B382" s="67"/>
      <c r="D382" s="56"/>
    </row>
    <row r="383">
      <c r="A383" s="67"/>
      <c r="B383" s="67"/>
      <c r="D383" s="56"/>
    </row>
    <row r="384">
      <c r="A384" s="67"/>
      <c r="B384" s="67"/>
      <c r="D384" s="56"/>
    </row>
    <row r="385">
      <c r="A385" s="67"/>
      <c r="B385" s="67"/>
      <c r="D385" s="56"/>
    </row>
    <row r="386">
      <c r="A386" s="67"/>
      <c r="B386" s="67"/>
      <c r="D386" s="56"/>
    </row>
    <row r="387">
      <c r="A387" s="67"/>
      <c r="B387" s="67"/>
      <c r="D387" s="56"/>
    </row>
    <row r="388">
      <c r="A388" s="67"/>
      <c r="B388" s="67"/>
      <c r="D388" s="56"/>
    </row>
    <row r="389">
      <c r="A389" s="67"/>
      <c r="B389" s="67"/>
      <c r="D389" s="56"/>
    </row>
    <row r="390">
      <c r="A390" s="67"/>
      <c r="B390" s="67"/>
      <c r="D390" s="56"/>
    </row>
    <row r="391">
      <c r="A391" s="67"/>
      <c r="B391" s="67"/>
      <c r="D391" s="56"/>
    </row>
    <row r="392">
      <c r="A392" s="67"/>
      <c r="B392" s="67"/>
      <c r="D392" s="56"/>
    </row>
    <row r="393">
      <c r="A393" s="67"/>
      <c r="B393" s="67"/>
      <c r="D393" s="56"/>
    </row>
    <row r="394">
      <c r="A394" s="67"/>
      <c r="B394" s="67"/>
      <c r="D394" s="56"/>
    </row>
    <row r="395">
      <c r="A395" s="67"/>
      <c r="B395" s="67"/>
      <c r="D395" s="56"/>
    </row>
    <row r="396">
      <c r="A396" s="67"/>
      <c r="B396" s="67"/>
      <c r="D396" s="56"/>
    </row>
    <row r="397">
      <c r="A397" s="67"/>
      <c r="B397" s="67"/>
      <c r="D397" s="56"/>
    </row>
    <row r="398">
      <c r="A398" s="67"/>
      <c r="B398" s="67"/>
      <c r="D398" s="56"/>
    </row>
    <row r="399">
      <c r="A399" s="67"/>
      <c r="B399" s="67"/>
      <c r="D399" s="56"/>
    </row>
    <row r="400">
      <c r="A400" s="67"/>
      <c r="B400" s="67"/>
      <c r="D400" s="56"/>
    </row>
    <row r="401">
      <c r="A401" s="67"/>
      <c r="B401" s="67"/>
      <c r="D401" s="56"/>
    </row>
    <row r="402">
      <c r="A402" s="67"/>
      <c r="B402" s="67"/>
      <c r="D402" s="56"/>
    </row>
    <row r="403">
      <c r="A403" s="67"/>
      <c r="B403" s="67"/>
      <c r="D403" s="56"/>
    </row>
    <row r="404">
      <c r="A404" s="67"/>
      <c r="B404" s="67"/>
      <c r="D404" s="56"/>
    </row>
    <row r="405">
      <c r="A405" s="67"/>
      <c r="B405" s="67"/>
      <c r="D405" s="56"/>
    </row>
    <row r="406">
      <c r="A406" s="67"/>
      <c r="B406" s="67"/>
      <c r="D406" s="56"/>
    </row>
    <row r="407">
      <c r="A407" s="67"/>
      <c r="B407" s="67"/>
      <c r="D407" s="56"/>
    </row>
    <row r="408">
      <c r="A408" s="67"/>
      <c r="B408" s="67"/>
      <c r="D408" s="56"/>
    </row>
    <row r="409">
      <c r="A409" s="67"/>
      <c r="B409" s="67"/>
      <c r="D409" s="56"/>
    </row>
    <row r="410">
      <c r="A410" s="67"/>
      <c r="B410" s="67"/>
      <c r="D410" s="56"/>
    </row>
    <row r="411">
      <c r="A411" s="67"/>
      <c r="B411" s="67"/>
      <c r="D411" s="56"/>
    </row>
    <row r="412">
      <c r="A412" s="67"/>
      <c r="B412" s="67"/>
      <c r="D412" s="56"/>
    </row>
    <row r="413">
      <c r="A413" s="67"/>
      <c r="B413" s="67"/>
      <c r="D413" s="56"/>
    </row>
    <row r="414">
      <c r="A414" s="67"/>
      <c r="B414" s="67"/>
      <c r="D414" s="56"/>
    </row>
    <row r="415">
      <c r="A415" s="67"/>
      <c r="B415" s="67"/>
      <c r="D415" s="56"/>
    </row>
    <row r="416">
      <c r="A416" s="67"/>
      <c r="B416" s="67"/>
      <c r="D416" s="56"/>
    </row>
    <row r="417">
      <c r="A417" s="67"/>
      <c r="B417" s="67"/>
      <c r="D417" s="56"/>
    </row>
    <row r="418">
      <c r="A418" s="67"/>
      <c r="B418" s="67"/>
      <c r="D418" s="56"/>
    </row>
    <row r="419">
      <c r="A419" s="67"/>
      <c r="B419" s="67"/>
      <c r="D419" s="56"/>
    </row>
    <row r="420">
      <c r="A420" s="67"/>
      <c r="B420" s="67"/>
      <c r="D420" s="56"/>
    </row>
    <row r="421">
      <c r="A421" s="67"/>
      <c r="B421" s="67"/>
      <c r="D421" s="56"/>
    </row>
    <row r="422">
      <c r="A422" s="67"/>
      <c r="B422" s="67"/>
      <c r="D422" s="56"/>
    </row>
    <row r="423">
      <c r="A423" s="67"/>
      <c r="B423" s="67"/>
      <c r="D423" s="56"/>
    </row>
    <row r="424">
      <c r="A424" s="67"/>
      <c r="B424" s="67"/>
      <c r="D424" s="56"/>
    </row>
    <row r="425">
      <c r="A425" s="67"/>
      <c r="B425" s="67"/>
      <c r="D425" s="56"/>
    </row>
    <row r="426">
      <c r="A426" s="67"/>
      <c r="B426" s="67"/>
      <c r="D426" s="56"/>
    </row>
    <row r="427">
      <c r="A427" s="67"/>
      <c r="B427" s="67"/>
      <c r="D427" s="56"/>
    </row>
    <row r="428">
      <c r="A428" s="67"/>
      <c r="B428" s="67"/>
      <c r="D428" s="56"/>
    </row>
    <row r="429">
      <c r="A429" s="67"/>
      <c r="B429" s="67"/>
      <c r="D429" s="56"/>
    </row>
    <row r="430">
      <c r="A430" s="67"/>
      <c r="B430" s="67"/>
      <c r="D430" s="56"/>
    </row>
    <row r="431">
      <c r="A431" s="67"/>
      <c r="B431" s="67"/>
      <c r="D431" s="56"/>
    </row>
    <row r="432">
      <c r="A432" s="67"/>
      <c r="B432" s="67"/>
      <c r="D432" s="56"/>
    </row>
    <row r="433">
      <c r="A433" s="67"/>
      <c r="B433" s="67"/>
      <c r="D433" s="56"/>
    </row>
    <row r="434">
      <c r="A434" s="67"/>
      <c r="B434" s="67"/>
      <c r="D434" s="56"/>
    </row>
    <row r="435">
      <c r="A435" s="67"/>
      <c r="B435" s="67"/>
      <c r="D435" s="56"/>
    </row>
    <row r="436">
      <c r="A436" s="67"/>
      <c r="B436" s="67"/>
      <c r="D436" s="56"/>
    </row>
    <row r="437">
      <c r="A437" s="67"/>
      <c r="B437" s="67"/>
      <c r="D437" s="56"/>
    </row>
    <row r="438">
      <c r="A438" s="67"/>
      <c r="B438" s="67"/>
      <c r="D438" s="56"/>
    </row>
    <row r="439">
      <c r="A439" s="67"/>
      <c r="B439" s="67"/>
      <c r="D439" s="56"/>
    </row>
    <row r="440">
      <c r="A440" s="67"/>
      <c r="B440" s="67"/>
      <c r="D440" s="56"/>
    </row>
    <row r="441">
      <c r="A441" s="67"/>
      <c r="B441" s="67"/>
      <c r="D441" s="56"/>
    </row>
    <row r="442">
      <c r="A442" s="67"/>
      <c r="B442" s="67"/>
      <c r="D442" s="56"/>
    </row>
    <row r="443">
      <c r="A443" s="67"/>
      <c r="B443" s="67"/>
      <c r="D443" s="56"/>
    </row>
    <row r="444">
      <c r="A444" s="67"/>
      <c r="B444" s="67"/>
      <c r="D444" s="56"/>
    </row>
    <row r="445">
      <c r="A445" s="67"/>
      <c r="B445" s="67"/>
      <c r="D445" s="56"/>
    </row>
    <row r="446">
      <c r="A446" s="67"/>
      <c r="B446" s="67"/>
      <c r="D446" s="56"/>
    </row>
    <row r="447">
      <c r="A447" s="67"/>
      <c r="B447" s="67"/>
      <c r="D447" s="56"/>
    </row>
    <row r="448">
      <c r="A448" s="67"/>
      <c r="B448" s="67"/>
      <c r="D448" s="56"/>
    </row>
    <row r="449">
      <c r="A449" s="67"/>
      <c r="B449" s="67"/>
      <c r="D449" s="56"/>
    </row>
    <row r="450">
      <c r="A450" s="67"/>
      <c r="B450" s="67"/>
      <c r="D450" s="56"/>
    </row>
    <row r="451">
      <c r="A451" s="67"/>
      <c r="B451" s="67"/>
      <c r="D451" s="56"/>
    </row>
    <row r="452">
      <c r="A452" s="67"/>
      <c r="B452" s="67"/>
      <c r="D452" s="56"/>
    </row>
    <row r="453">
      <c r="A453" s="67"/>
      <c r="B453" s="67"/>
      <c r="D453" s="56"/>
    </row>
    <row r="454">
      <c r="A454" s="67"/>
      <c r="B454" s="67"/>
      <c r="D454" s="56"/>
    </row>
    <row r="455">
      <c r="A455" s="67"/>
      <c r="B455" s="67"/>
      <c r="D455" s="56"/>
    </row>
    <row r="456">
      <c r="A456" s="67"/>
      <c r="B456" s="67"/>
      <c r="D456" s="56"/>
    </row>
    <row r="457">
      <c r="A457" s="67"/>
      <c r="B457" s="67"/>
      <c r="D457" s="56"/>
    </row>
    <row r="458">
      <c r="A458" s="67"/>
      <c r="B458" s="67"/>
      <c r="D458" s="56"/>
    </row>
    <row r="459">
      <c r="A459" s="67"/>
      <c r="B459" s="67"/>
      <c r="D459" s="56"/>
    </row>
    <row r="460">
      <c r="A460" s="67"/>
      <c r="B460" s="67"/>
      <c r="D460" s="56"/>
    </row>
    <row r="461">
      <c r="A461" s="67"/>
      <c r="B461" s="67"/>
      <c r="D461" s="56"/>
    </row>
    <row r="462">
      <c r="A462" s="67"/>
      <c r="B462" s="67"/>
      <c r="D462" s="56"/>
    </row>
    <row r="463">
      <c r="A463" s="67"/>
      <c r="B463" s="67"/>
      <c r="D463" s="56"/>
    </row>
    <row r="464">
      <c r="A464" s="67"/>
      <c r="B464" s="67"/>
      <c r="D464" s="56"/>
    </row>
    <row r="465">
      <c r="A465" s="67"/>
      <c r="B465" s="67"/>
      <c r="D465" s="56"/>
    </row>
    <row r="466">
      <c r="A466" s="67"/>
      <c r="B466" s="67"/>
      <c r="D466" s="56"/>
    </row>
    <row r="467">
      <c r="A467" s="67"/>
      <c r="B467" s="67"/>
      <c r="D467" s="56"/>
    </row>
    <row r="468">
      <c r="A468" s="67"/>
      <c r="B468" s="67"/>
      <c r="D468" s="56"/>
    </row>
    <row r="469">
      <c r="A469" s="67"/>
      <c r="B469" s="67"/>
      <c r="D469" s="56"/>
    </row>
    <row r="470">
      <c r="A470" s="67"/>
      <c r="B470" s="67"/>
      <c r="D470" s="56"/>
    </row>
    <row r="471">
      <c r="A471" s="67"/>
      <c r="B471" s="67"/>
      <c r="D471" s="56"/>
    </row>
    <row r="472">
      <c r="A472" s="67"/>
      <c r="B472" s="67"/>
      <c r="D472" s="56"/>
    </row>
    <row r="473">
      <c r="A473" s="67"/>
      <c r="B473" s="67"/>
      <c r="D473" s="56"/>
    </row>
    <row r="474">
      <c r="A474" s="67"/>
      <c r="B474" s="67"/>
      <c r="D474" s="56"/>
    </row>
    <row r="475">
      <c r="A475" s="67"/>
      <c r="B475" s="67"/>
      <c r="D475" s="56"/>
    </row>
    <row r="476">
      <c r="A476" s="67"/>
      <c r="B476" s="67"/>
      <c r="D476" s="56"/>
    </row>
    <row r="477">
      <c r="A477" s="67"/>
      <c r="B477" s="67"/>
      <c r="D477" s="56"/>
    </row>
    <row r="478">
      <c r="A478" s="67"/>
      <c r="B478" s="67"/>
      <c r="D478" s="56"/>
    </row>
    <row r="479">
      <c r="A479" s="67"/>
      <c r="B479" s="67"/>
      <c r="D479" s="56"/>
    </row>
    <row r="480">
      <c r="A480" s="67"/>
      <c r="B480" s="67"/>
      <c r="D480" s="56"/>
    </row>
    <row r="481">
      <c r="A481" s="67"/>
      <c r="B481" s="67"/>
      <c r="D481" s="56"/>
    </row>
    <row r="482">
      <c r="A482" s="67"/>
      <c r="B482" s="67"/>
      <c r="D482" s="56"/>
    </row>
    <row r="483">
      <c r="A483" s="67"/>
      <c r="B483" s="67"/>
      <c r="D483" s="56"/>
    </row>
    <row r="484">
      <c r="A484" s="67"/>
      <c r="B484" s="67"/>
      <c r="D484" s="56"/>
    </row>
    <row r="485">
      <c r="A485" s="67"/>
      <c r="B485" s="67"/>
      <c r="D485" s="56"/>
    </row>
    <row r="486">
      <c r="A486" s="67"/>
      <c r="B486" s="67"/>
      <c r="D486" s="56"/>
    </row>
    <row r="487">
      <c r="A487" s="67"/>
      <c r="B487" s="67"/>
      <c r="D487" s="56"/>
    </row>
    <row r="488">
      <c r="A488" s="67"/>
      <c r="B488" s="67"/>
      <c r="D488" s="56"/>
    </row>
    <row r="489">
      <c r="A489" s="67"/>
      <c r="B489" s="67"/>
      <c r="D489" s="56"/>
    </row>
    <row r="490">
      <c r="A490" s="67"/>
      <c r="B490" s="67"/>
      <c r="D490" s="56"/>
    </row>
    <row r="491">
      <c r="A491" s="67"/>
      <c r="B491" s="67"/>
      <c r="D491" s="56"/>
    </row>
    <row r="492">
      <c r="A492" s="67"/>
      <c r="B492" s="67"/>
      <c r="D492" s="56"/>
    </row>
    <row r="493">
      <c r="A493" s="67"/>
      <c r="B493" s="67"/>
      <c r="D493" s="56"/>
    </row>
    <row r="494">
      <c r="A494" s="67"/>
      <c r="B494" s="67"/>
      <c r="D494" s="56"/>
    </row>
    <row r="495">
      <c r="A495" s="67"/>
      <c r="B495" s="67"/>
      <c r="D495" s="56"/>
    </row>
    <row r="496">
      <c r="A496" s="67"/>
      <c r="B496" s="67"/>
      <c r="D496" s="56"/>
    </row>
    <row r="497">
      <c r="A497" s="67"/>
      <c r="B497" s="67"/>
      <c r="D497" s="56"/>
    </row>
    <row r="498">
      <c r="A498" s="67"/>
      <c r="B498" s="67"/>
      <c r="D498" s="56"/>
    </row>
    <row r="499">
      <c r="A499" s="67"/>
      <c r="B499" s="67"/>
      <c r="D499" s="56"/>
    </row>
    <row r="500">
      <c r="A500" s="67"/>
      <c r="B500" s="67"/>
      <c r="D500" s="56"/>
    </row>
    <row r="501">
      <c r="A501" s="67"/>
      <c r="B501" s="67"/>
      <c r="D501" s="56"/>
    </row>
    <row r="502">
      <c r="A502" s="67"/>
      <c r="B502" s="67"/>
      <c r="D502" s="56"/>
    </row>
    <row r="503">
      <c r="A503" s="67"/>
      <c r="B503" s="67"/>
      <c r="D503" s="56"/>
    </row>
    <row r="504">
      <c r="A504" s="67"/>
      <c r="B504" s="67"/>
      <c r="D504" s="56"/>
    </row>
    <row r="505">
      <c r="A505" s="67"/>
      <c r="B505" s="67"/>
      <c r="D505" s="56"/>
    </row>
    <row r="506">
      <c r="A506" s="67"/>
      <c r="B506" s="67"/>
      <c r="D506" s="56"/>
    </row>
    <row r="507">
      <c r="A507" s="67"/>
      <c r="B507" s="67"/>
      <c r="D507" s="56"/>
    </row>
    <row r="508">
      <c r="A508" s="67"/>
      <c r="B508" s="67"/>
      <c r="D508" s="56"/>
    </row>
    <row r="509">
      <c r="A509" s="67"/>
      <c r="B509" s="67"/>
      <c r="D509" s="56"/>
    </row>
    <row r="510">
      <c r="A510" s="67"/>
      <c r="B510" s="67"/>
      <c r="D510" s="56"/>
    </row>
    <row r="511">
      <c r="A511" s="67"/>
      <c r="B511" s="67"/>
      <c r="D511" s="56"/>
    </row>
    <row r="512">
      <c r="A512" s="67"/>
      <c r="B512" s="67"/>
      <c r="D512" s="56"/>
    </row>
    <row r="513">
      <c r="A513" s="67"/>
      <c r="B513" s="67"/>
      <c r="D513" s="56"/>
    </row>
    <row r="514">
      <c r="A514" s="67"/>
      <c r="B514" s="67"/>
      <c r="D514" s="56"/>
    </row>
    <row r="515">
      <c r="A515" s="67"/>
      <c r="B515" s="67"/>
      <c r="D515" s="56"/>
    </row>
    <row r="516">
      <c r="A516" s="67"/>
      <c r="B516" s="67"/>
      <c r="D516" s="56"/>
    </row>
    <row r="517">
      <c r="A517" s="67"/>
      <c r="B517" s="67"/>
      <c r="D517" s="56"/>
    </row>
    <row r="518">
      <c r="A518" s="67"/>
      <c r="B518" s="67"/>
      <c r="D518" s="56"/>
    </row>
    <row r="519">
      <c r="A519" s="67"/>
      <c r="B519" s="67"/>
      <c r="D519" s="56"/>
    </row>
    <row r="520">
      <c r="A520" s="67"/>
      <c r="B520" s="67"/>
      <c r="D520" s="56"/>
    </row>
    <row r="521">
      <c r="A521" s="67"/>
      <c r="B521" s="67"/>
      <c r="D521" s="56"/>
    </row>
    <row r="522">
      <c r="A522" s="67"/>
      <c r="B522" s="67"/>
      <c r="D522" s="56"/>
    </row>
    <row r="523">
      <c r="A523" s="67"/>
      <c r="B523" s="67"/>
      <c r="D523" s="56"/>
    </row>
    <row r="524">
      <c r="A524" s="67"/>
      <c r="B524" s="67"/>
      <c r="D524" s="56"/>
    </row>
    <row r="525">
      <c r="A525" s="67"/>
      <c r="B525" s="67"/>
      <c r="D525" s="56"/>
    </row>
    <row r="526">
      <c r="A526" s="67"/>
      <c r="B526" s="67"/>
      <c r="D526" s="56"/>
    </row>
    <row r="527">
      <c r="A527" s="67"/>
      <c r="B527" s="67"/>
      <c r="D527" s="56"/>
    </row>
    <row r="528">
      <c r="A528" s="67"/>
      <c r="B528" s="67"/>
      <c r="D528" s="56"/>
    </row>
    <row r="529">
      <c r="A529" s="67"/>
      <c r="B529" s="67"/>
      <c r="D529" s="56"/>
    </row>
    <row r="530">
      <c r="A530" s="67"/>
      <c r="B530" s="67"/>
      <c r="D530" s="56"/>
    </row>
    <row r="531">
      <c r="A531" s="67"/>
      <c r="B531" s="67"/>
      <c r="D531" s="56"/>
    </row>
    <row r="532">
      <c r="A532" s="67"/>
      <c r="B532" s="67"/>
      <c r="D532" s="56"/>
    </row>
    <row r="533">
      <c r="A533" s="67"/>
      <c r="B533" s="67"/>
      <c r="D533" s="56"/>
    </row>
    <row r="534">
      <c r="A534" s="67"/>
      <c r="B534" s="67"/>
      <c r="D534" s="56"/>
    </row>
    <row r="535">
      <c r="A535" s="67"/>
      <c r="B535" s="67"/>
      <c r="D535" s="56"/>
    </row>
    <row r="536">
      <c r="A536" s="67"/>
      <c r="B536" s="67"/>
      <c r="D536" s="56"/>
    </row>
    <row r="537">
      <c r="A537" s="67"/>
      <c r="B537" s="67"/>
      <c r="D537" s="56"/>
    </row>
    <row r="538">
      <c r="A538" s="67"/>
      <c r="B538" s="67"/>
      <c r="D538" s="56"/>
    </row>
    <row r="539">
      <c r="A539" s="67"/>
      <c r="B539" s="67"/>
      <c r="D539" s="56"/>
    </row>
    <row r="540">
      <c r="A540" s="67"/>
      <c r="B540" s="67"/>
      <c r="D540" s="56"/>
    </row>
    <row r="541">
      <c r="A541" s="67"/>
      <c r="B541" s="67"/>
      <c r="D541" s="56"/>
    </row>
    <row r="542">
      <c r="A542" s="67"/>
      <c r="B542" s="67"/>
      <c r="D542" s="56"/>
    </row>
    <row r="543">
      <c r="A543" s="67"/>
      <c r="B543" s="67"/>
      <c r="D543" s="56"/>
    </row>
    <row r="544">
      <c r="A544" s="67"/>
      <c r="B544" s="67"/>
      <c r="D544" s="56"/>
    </row>
    <row r="545">
      <c r="A545" s="67"/>
      <c r="B545" s="67"/>
      <c r="D545" s="56"/>
    </row>
    <row r="546">
      <c r="A546" s="67"/>
      <c r="B546" s="67"/>
      <c r="D546" s="56"/>
    </row>
    <row r="547">
      <c r="A547" s="67"/>
      <c r="B547" s="67"/>
      <c r="D547" s="56"/>
    </row>
    <row r="548">
      <c r="A548" s="67"/>
      <c r="B548" s="67"/>
      <c r="D548" s="56"/>
    </row>
    <row r="549">
      <c r="A549" s="67"/>
      <c r="B549" s="67"/>
      <c r="D549" s="56"/>
    </row>
    <row r="550">
      <c r="A550" s="67"/>
      <c r="B550" s="67"/>
      <c r="D550" s="56"/>
    </row>
    <row r="551">
      <c r="A551" s="67"/>
      <c r="B551" s="67"/>
      <c r="D551" s="56"/>
    </row>
    <row r="552">
      <c r="A552" s="67"/>
      <c r="B552" s="67"/>
      <c r="D552" s="56"/>
    </row>
    <row r="553">
      <c r="A553" s="67"/>
      <c r="B553" s="67"/>
      <c r="D553" s="56"/>
    </row>
    <row r="554">
      <c r="A554" s="67"/>
      <c r="B554" s="67"/>
      <c r="D554" s="56"/>
    </row>
    <row r="555">
      <c r="A555" s="67"/>
      <c r="B555" s="67"/>
      <c r="D555" s="56"/>
    </row>
    <row r="556">
      <c r="A556" s="67"/>
      <c r="B556" s="67"/>
      <c r="D556" s="56"/>
    </row>
    <row r="557">
      <c r="A557" s="67"/>
      <c r="B557" s="67"/>
      <c r="D557" s="56"/>
    </row>
    <row r="558">
      <c r="A558" s="67"/>
      <c r="B558" s="67"/>
      <c r="D558" s="56"/>
    </row>
    <row r="559">
      <c r="A559" s="67"/>
      <c r="B559" s="67"/>
      <c r="D559" s="56"/>
    </row>
    <row r="560">
      <c r="A560" s="67"/>
      <c r="B560" s="67"/>
      <c r="D560" s="56"/>
    </row>
    <row r="561">
      <c r="A561" s="67"/>
      <c r="B561" s="67"/>
      <c r="D561" s="56"/>
    </row>
    <row r="562">
      <c r="A562" s="67"/>
      <c r="B562" s="67"/>
      <c r="D562" s="56"/>
    </row>
    <row r="563">
      <c r="A563" s="67"/>
      <c r="B563" s="67"/>
      <c r="D563" s="56"/>
    </row>
    <row r="564">
      <c r="A564" s="67"/>
      <c r="B564" s="67"/>
      <c r="D564" s="56"/>
    </row>
    <row r="565">
      <c r="A565" s="67"/>
      <c r="B565" s="67"/>
      <c r="D565" s="56"/>
    </row>
    <row r="566">
      <c r="A566" s="67"/>
      <c r="B566" s="67"/>
      <c r="D566" s="56"/>
    </row>
    <row r="567">
      <c r="A567" s="67"/>
      <c r="B567" s="67"/>
      <c r="D567" s="56"/>
    </row>
    <row r="568">
      <c r="A568" s="67"/>
      <c r="B568" s="67"/>
      <c r="D568" s="56"/>
    </row>
    <row r="569">
      <c r="A569" s="67"/>
      <c r="B569" s="67"/>
      <c r="D569" s="56"/>
    </row>
    <row r="570">
      <c r="A570" s="67"/>
      <c r="B570" s="67"/>
      <c r="D570" s="56"/>
    </row>
    <row r="571">
      <c r="A571" s="67"/>
      <c r="B571" s="67"/>
      <c r="D571" s="56"/>
    </row>
    <row r="572">
      <c r="A572" s="67"/>
      <c r="B572" s="67"/>
      <c r="D572" s="56"/>
    </row>
    <row r="573">
      <c r="A573" s="67"/>
      <c r="B573" s="67"/>
      <c r="D573" s="56"/>
    </row>
    <row r="574">
      <c r="A574" s="67"/>
      <c r="B574" s="67"/>
      <c r="D574" s="56"/>
    </row>
    <row r="575">
      <c r="A575" s="67"/>
      <c r="B575" s="67"/>
      <c r="D575" s="56"/>
    </row>
    <row r="576">
      <c r="A576" s="67"/>
      <c r="B576" s="67"/>
      <c r="D576" s="56"/>
    </row>
    <row r="577">
      <c r="A577" s="67"/>
      <c r="B577" s="67"/>
      <c r="D577" s="56"/>
    </row>
    <row r="578">
      <c r="A578" s="67"/>
      <c r="B578" s="67"/>
      <c r="D578" s="56"/>
    </row>
    <row r="579">
      <c r="A579" s="67"/>
      <c r="B579" s="67"/>
      <c r="D579" s="56"/>
    </row>
    <row r="580">
      <c r="A580" s="67"/>
      <c r="B580" s="67"/>
      <c r="D580" s="56"/>
    </row>
    <row r="581">
      <c r="A581" s="67"/>
      <c r="B581" s="67"/>
      <c r="D581" s="56"/>
    </row>
    <row r="582">
      <c r="A582" s="67"/>
      <c r="B582" s="67"/>
      <c r="D582" s="56"/>
    </row>
    <row r="583">
      <c r="A583" s="67"/>
      <c r="B583" s="67"/>
      <c r="D583" s="56"/>
    </row>
    <row r="584">
      <c r="A584" s="67"/>
      <c r="B584" s="67"/>
      <c r="D584" s="56"/>
    </row>
    <row r="585">
      <c r="A585" s="67"/>
      <c r="B585" s="67"/>
      <c r="D585" s="56"/>
    </row>
    <row r="586">
      <c r="A586" s="67"/>
      <c r="B586" s="67"/>
      <c r="D586" s="56"/>
    </row>
    <row r="587">
      <c r="A587" s="67"/>
      <c r="B587" s="67"/>
      <c r="D587" s="56"/>
    </row>
    <row r="588">
      <c r="A588" s="67"/>
      <c r="B588" s="67"/>
      <c r="D588" s="56"/>
    </row>
    <row r="589">
      <c r="A589" s="67"/>
      <c r="B589" s="67"/>
      <c r="D589" s="56"/>
    </row>
    <row r="590">
      <c r="A590" s="67"/>
      <c r="B590" s="67"/>
      <c r="D590" s="56"/>
    </row>
    <row r="591">
      <c r="A591" s="67"/>
      <c r="B591" s="67"/>
      <c r="D591" s="56"/>
    </row>
    <row r="592">
      <c r="A592" s="67"/>
      <c r="B592" s="67"/>
      <c r="D592" s="56"/>
    </row>
    <row r="593">
      <c r="A593" s="67"/>
      <c r="B593" s="67"/>
      <c r="D593" s="56"/>
    </row>
    <row r="594">
      <c r="A594" s="67"/>
      <c r="B594" s="67"/>
      <c r="D594" s="56"/>
    </row>
    <row r="595">
      <c r="A595" s="67"/>
      <c r="B595" s="67"/>
      <c r="D595" s="56"/>
    </row>
    <row r="596">
      <c r="A596" s="67"/>
      <c r="B596" s="67"/>
      <c r="D596" s="56"/>
    </row>
    <row r="597">
      <c r="A597" s="67"/>
      <c r="B597" s="67"/>
      <c r="D597" s="56"/>
    </row>
    <row r="598">
      <c r="A598" s="67"/>
      <c r="B598" s="67"/>
      <c r="D598" s="56"/>
    </row>
    <row r="599">
      <c r="A599" s="67"/>
      <c r="B599" s="67"/>
      <c r="D599" s="56"/>
    </row>
    <row r="600">
      <c r="A600" s="67"/>
      <c r="B600" s="67"/>
      <c r="D600" s="56"/>
    </row>
    <row r="601">
      <c r="A601" s="67"/>
      <c r="B601" s="67"/>
      <c r="D601" s="56"/>
    </row>
    <row r="602">
      <c r="A602" s="67"/>
      <c r="B602" s="67"/>
      <c r="D602" s="56"/>
    </row>
    <row r="603">
      <c r="A603" s="67"/>
      <c r="B603" s="67"/>
      <c r="D603" s="56"/>
    </row>
    <row r="604">
      <c r="A604" s="67"/>
      <c r="B604" s="67"/>
      <c r="D604" s="56"/>
    </row>
    <row r="605">
      <c r="A605" s="67"/>
      <c r="B605" s="67"/>
      <c r="D605" s="56"/>
    </row>
    <row r="606">
      <c r="A606" s="67"/>
      <c r="B606" s="67"/>
      <c r="D606" s="56"/>
    </row>
    <row r="607">
      <c r="A607" s="67"/>
      <c r="B607" s="67"/>
      <c r="D607" s="56"/>
    </row>
    <row r="608">
      <c r="A608" s="67"/>
      <c r="B608" s="67"/>
      <c r="D608" s="56"/>
    </row>
    <row r="609">
      <c r="A609" s="67"/>
      <c r="B609" s="67"/>
      <c r="D609" s="56"/>
    </row>
    <row r="610">
      <c r="A610" s="67"/>
      <c r="B610" s="67"/>
      <c r="D610" s="56"/>
    </row>
    <row r="611">
      <c r="A611" s="67"/>
      <c r="B611" s="67"/>
      <c r="D611" s="56"/>
    </row>
    <row r="612">
      <c r="A612" s="67"/>
      <c r="B612" s="67"/>
      <c r="D612" s="56"/>
    </row>
    <row r="613">
      <c r="A613" s="67"/>
      <c r="B613" s="67"/>
      <c r="D613" s="56"/>
    </row>
    <row r="614">
      <c r="A614" s="67"/>
      <c r="B614" s="67"/>
      <c r="D614" s="56"/>
    </row>
    <row r="615">
      <c r="A615" s="67"/>
      <c r="B615" s="67"/>
      <c r="D615" s="56"/>
    </row>
    <row r="616">
      <c r="A616" s="67"/>
      <c r="B616" s="67"/>
      <c r="D616" s="56"/>
    </row>
    <row r="617">
      <c r="A617" s="67"/>
      <c r="B617" s="67"/>
      <c r="D617" s="56"/>
    </row>
    <row r="618">
      <c r="A618" s="67"/>
      <c r="B618" s="67"/>
      <c r="D618" s="56"/>
    </row>
    <row r="619">
      <c r="A619" s="67"/>
      <c r="B619" s="67"/>
      <c r="D619" s="56"/>
    </row>
    <row r="620">
      <c r="A620" s="67"/>
      <c r="B620" s="67"/>
      <c r="D620" s="56"/>
    </row>
    <row r="621">
      <c r="A621" s="67"/>
      <c r="B621" s="67"/>
      <c r="D621" s="56"/>
    </row>
    <row r="622">
      <c r="A622" s="67"/>
      <c r="B622" s="67"/>
      <c r="D622" s="56"/>
    </row>
    <row r="623">
      <c r="A623" s="67"/>
      <c r="B623" s="67"/>
      <c r="D623" s="56"/>
    </row>
    <row r="624">
      <c r="A624" s="67"/>
      <c r="B624" s="67"/>
      <c r="D624" s="56"/>
    </row>
    <row r="625">
      <c r="A625" s="67"/>
      <c r="B625" s="67"/>
      <c r="D625" s="56"/>
    </row>
    <row r="626">
      <c r="A626" s="67"/>
      <c r="B626" s="67"/>
      <c r="D626" s="56"/>
    </row>
    <row r="627">
      <c r="A627" s="67"/>
      <c r="B627" s="67"/>
      <c r="D627" s="56"/>
    </row>
    <row r="628">
      <c r="A628" s="67"/>
      <c r="B628" s="67"/>
      <c r="D628" s="56"/>
    </row>
    <row r="629">
      <c r="A629" s="67"/>
      <c r="B629" s="67"/>
      <c r="D629" s="56"/>
    </row>
    <row r="630">
      <c r="A630" s="67"/>
      <c r="B630" s="67"/>
      <c r="D630" s="56"/>
    </row>
    <row r="631">
      <c r="A631" s="67"/>
      <c r="B631" s="67"/>
      <c r="D631" s="56"/>
    </row>
    <row r="632">
      <c r="A632" s="67"/>
      <c r="B632" s="67"/>
      <c r="D632" s="56"/>
    </row>
    <row r="633">
      <c r="A633" s="67"/>
      <c r="B633" s="67"/>
      <c r="D633" s="56"/>
    </row>
    <row r="634">
      <c r="A634" s="67"/>
      <c r="B634" s="67"/>
      <c r="D634" s="56"/>
    </row>
    <row r="635">
      <c r="A635" s="67"/>
      <c r="B635" s="67"/>
      <c r="D635" s="56"/>
    </row>
    <row r="636">
      <c r="A636" s="67"/>
      <c r="B636" s="67"/>
      <c r="D636" s="56"/>
    </row>
    <row r="637">
      <c r="A637" s="67"/>
      <c r="B637" s="67"/>
      <c r="D637" s="56"/>
    </row>
    <row r="638">
      <c r="A638" s="67"/>
      <c r="B638" s="67"/>
      <c r="D638" s="56"/>
    </row>
    <row r="639">
      <c r="A639" s="67"/>
      <c r="B639" s="67"/>
      <c r="D639" s="56"/>
    </row>
    <row r="640">
      <c r="A640" s="67"/>
      <c r="B640" s="67"/>
      <c r="D640" s="56"/>
    </row>
    <row r="641">
      <c r="A641" s="67"/>
      <c r="B641" s="67"/>
      <c r="D641" s="56"/>
    </row>
    <row r="642">
      <c r="A642" s="67"/>
      <c r="B642" s="67"/>
      <c r="D642" s="56"/>
    </row>
    <row r="643">
      <c r="A643" s="67"/>
      <c r="B643" s="67"/>
      <c r="D643" s="56"/>
    </row>
    <row r="644">
      <c r="A644" s="67"/>
      <c r="B644" s="67"/>
      <c r="D644" s="56"/>
    </row>
    <row r="645">
      <c r="A645" s="67"/>
      <c r="B645" s="67"/>
      <c r="D645" s="56"/>
    </row>
    <row r="646">
      <c r="A646" s="67"/>
      <c r="B646" s="67"/>
      <c r="D646" s="56"/>
    </row>
    <row r="647">
      <c r="A647" s="67"/>
      <c r="B647" s="67"/>
      <c r="D647" s="56"/>
    </row>
    <row r="648">
      <c r="A648" s="67"/>
      <c r="B648" s="67"/>
      <c r="D648" s="56"/>
    </row>
    <row r="649">
      <c r="A649" s="67"/>
      <c r="B649" s="67"/>
      <c r="D649" s="56"/>
    </row>
    <row r="650">
      <c r="A650" s="67"/>
      <c r="B650" s="67"/>
      <c r="D650" s="56"/>
    </row>
    <row r="651">
      <c r="A651" s="67"/>
      <c r="B651" s="67"/>
      <c r="D651" s="56"/>
    </row>
    <row r="652">
      <c r="A652" s="67"/>
      <c r="B652" s="67"/>
      <c r="D652" s="56"/>
    </row>
    <row r="653">
      <c r="A653" s="67"/>
      <c r="B653" s="67"/>
      <c r="D653" s="56"/>
    </row>
    <row r="654">
      <c r="A654" s="67"/>
      <c r="B654" s="67"/>
      <c r="D654" s="56"/>
    </row>
    <row r="655">
      <c r="A655" s="67"/>
      <c r="B655" s="67"/>
      <c r="D655" s="56"/>
    </row>
    <row r="656">
      <c r="A656" s="67"/>
      <c r="B656" s="67"/>
      <c r="D656" s="56"/>
    </row>
    <row r="657">
      <c r="A657" s="67"/>
      <c r="B657" s="67"/>
      <c r="D657" s="56"/>
    </row>
    <row r="658">
      <c r="A658" s="67"/>
      <c r="B658" s="67"/>
      <c r="D658" s="56"/>
    </row>
    <row r="659">
      <c r="A659" s="67"/>
      <c r="B659" s="67"/>
      <c r="D659" s="56"/>
    </row>
    <row r="660">
      <c r="A660" s="67"/>
      <c r="B660" s="67"/>
      <c r="D660" s="56"/>
    </row>
    <row r="661">
      <c r="A661" s="67"/>
      <c r="B661" s="67"/>
      <c r="D661" s="56"/>
    </row>
    <row r="662">
      <c r="A662" s="67"/>
      <c r="B662" s="67"/>
      <c r="D662" s="56"/>
    </row>
    <row r="663">
      <c r="A663" s="67"/>
      <c r="B663" s="67"/>
      <c r="D663" s="56"/>
    </row>
    <row r="664">
      <c r="A664" s="67"/>
      <c r="B664" s="67"/>
      <c r="D664" s="56"/>
    </row>
    <row r="665">
      <c r="A665" s="67"/>
      <c r="B665" s="67"/>
      <c r="D665" s="56"/>
    </row>
    <row r="666">
      <c r="A666" s="67"/>
      <c r="B666" s="67"/>
      <c r="D666" s="56"/>
    </row>
    <row r="667">
      <c r="A667" s="67"/>
      <c r="B667" s="67"/>
      <c r="D667" s="56"/>
    </row>
    <row r="668">
      <c r="A668" s="67"/>
      <c r="B668" s="67"/>
      <c r="D668" s="56"/>
    </row>
    <row r="669">
      <c r="A669" s="67"/>
      <c r="B669" s="67"/>
      <c r="D669" s="56"/>
    </row>
    <row r="670">
      <c r="A670" s="67"/>
      <c r="B670" s="67"/>
      <c r="D670" s="56"/>
    </row>
    <row r="671">
      <c r="A671" s="67"/>
      <c r="B671" s="67"/>
      <c r="D671" s="56"/>
    </row>
    <row r="672">
      <c r="A672" s="67"/>
      <c r="B672" s="67"/>
      <c r="D672" s="56"/>
    </row>
    <row r="673">
      <c r="A673" s="67"/>
      <c r="B673" s="67"/>
      <c r="D673" s="56"/>
    </row>
    <row r="674">
      <c r="A674" s="67"/>
      <c r="B674" s="67"/>
      <c r="D674" s="56"/>
    </row>
    <row r="675">
      <c r="A675" s="67"/>
      <c r="B675" s="67"/>
      <c r="D675" s="56"/>
    </row>
    <row r="676">
      <c r="A676" s="67"/>
      <c r="B676" s="67"/>
      <c r="D676" s="56"/>
    </row>
    <row r="677">
      <c r="A677" s="67"/>
      <c r="B677" s="67"/>
      <c r="D677" s="56"/>
    </row>
    <row r="678">
      <c r="A678" s="67"/>
      <c r="B678" s="67"/>
      <c r="D678" s="56"/>
    </row>
    <row r="679">
      <c r="A679" s="67"/>
      <c r="B679" s="67"/>
      <c r="D679" s="56"/>
    </row>
    <row r="680">
      <c r="A680" s="67"/>
      <c r="B680" s="67"/>
      <c r="D680" s="56"/>
    </row>
    <row r="681">
      <c r="A681" s="67"/>
      <c r="B681" s="67"/>
      <c r="D681" s="56"/>
    </row>
    <row r="682">
      <c r="A682" s="67"/>
      <c r="B682" s="67"/>
      <c r="D682" s="56"/>
    </row>
    <row r="683">
      <c r="A683" s="67"/>
      <c r="B683" s="67"/>
      <c r="D683" s="56"/>
    </row>
    <row r="684">
      <c r="A684" s="67"/>
      <c r="B684" s="67"/>
      <c r="D684" s="56"/>
    </row>
    <row r="685">
      <c r="A685" s="67"/>
      <c r="B685" s="67"/>
      <c r="D685" s="56"/>
    </row>
    <row r="686">
      <c r="A686" s="67"/>
      <c r="B686" s="67"/>
      <c r="D686" s="56"/>
    </row>
    <row r="687">
      <c r="A687" s="67"/>
      <c r="B687" s="67"/>
      <c r="D687" s="56"/>
    </row>
    <row r="688">
      <c r="A688" s="67"/>
      <c r="B688" s="67"/>
      <c r="D688" s="56"/>
    </row>
    <row r="689">
      <c r="A689" s="67"/>
      <c r="B689" s="67"/>
      <c r="D689" s="56"/>
    </row>
    <row r="690">
      <c r="A690" s="67"/>
      <c r="B690" s="67"/>
      <c r="D690" s="56"/>
    </row>
    <row r="691">
      <c r="A691" s="67"/>
      <c r="B691" s="67"/>
      <c r="D691" s="56"/>
    </row>
    <row r="692">
      <c r="A692" s="67"/>
      <c r="B692" s="67"/>
      <c r="D692" s="56"/>
    </row>
    <row r="693">
      <c r="A693" s="67"/>
      <c r="B693" s="67"/>
      <c r="D693" s="56"/>
    </row>
    <row r="694">
      <c r="A694" s="67"/>
      <c r="B694" s="67"/>
      <c r="D694" s="56"/>
    </row>
    <row r="695">
      <c r="A695" s="67"/>
      <c r="B695" s="67"/>
      <c r="D695" s="56"/>
    </row>
    <row r="696">
      <c r="A696" s="67"/>
      <c r="B696" s="67"/>
      <c r="D696" s="56"/>
    </row>
    <row r="697">
      <c r="A697" s="67"/>
      <c r="B697" s="67"/>
      <c r="D697" s="56"/>
    </row>
    <row r="698">
      <c r="A698" s="67"/>
      <c r="B698" s="67"/>
      <c r="D698" s="56"/>
    </row>
    <row r="699">
      <c r="A699" s="67"/>
      <c r="B699" s="67"/>
      <c r="D699" s="56"/>
    </row>
    <row r="700">
      <c r="A700" s="67"/>
      <c r="B700" s="67"/>
      <c r="D700" s="56"/>
    </row>
    <row r="701">
      <c r="A701" s="67"/>
      <c r="B701" s="67"/>
      <c r="D701" s="56"/>
    </row>
    <row r="702">
      <c r="A702" s="67"/>
      <c r="B702" s="67"/>
      <c r="D702" s="56"/>
    </row>
    <row r="703">
      <c r="A703" s="67"/>
      <c r="B703" s="67"/>
      <c r="D703" s="56"/>
    </row>
    <row r="704">
      <c r="A704" s="67"/>
      <c r="B704" s="67"/>
      <c r="D704" s="56"/>
    </row>
    <row r="705">
      <c r="A705" s="67"/>
      <c r="B705" s="67"/>
      <c r="D705" s="56"/>
    </row>
    <row r="706">
      <c r="A706" s="67"/>
      <c r="B706" s="67"/>
      <c r="D706" s="56"/>
    </row>
    <row r="707">
      <c r="A707" s="67"/>
      <c r="B707" s="67"/>
      <c r="D707" s="56"/>
    </row>
    <row r="708">
      <c r="A708" s="67"/>
      <c r="B708" s="67"/>
      <c r="D708" s="56"/>
    </row>
    <row r="709">
      <c r="A709" s="67"/>
      <c r="B709" s="67"/>
      <c r="D709" s="56"/>
    </row>
    <row r="710">
      <c r="A710" s="67"/>
      <c r="B710" s="67"/>
      <c r="D710" s="56"/>
    </row>
    <row r="711">
      <c r="A711" s="67"/>
      <c r="B711" s="67"/>
      <c r="D711" s="56"/>
    </row>
    <row r="712">
      <c r="A712" s="67"/>
      <c r="B712" s="67"/>
      <c r="D712" s="56"/>
    </row>
    <row r="713">
      <c r="A713" s="67"/>
      <c r="B713" s="67"/>
      <c r="D713" s="56"/>
    </row>
    <row r="714">
      <c r="A714" s="67"/>
      <c r="B714" s="67"/>
      <c r="D714" s="56"/>
    </row>
    <row r="715">
      <c r="A715" s="67"/>
      <c r="B715" s="67"/>
      <c r="D715" s="56"/>
    </row>
    <row r="716">
      <c r="A716" s="67"/>
      <c r="B716" s="67"/>
      <c r="D716" s="56"/>
    </row>
    <row r="717">
      <c r="A717" s="67"/>
      <c r="B717" s="67"/>
      <c r="D717" s="56"/>
    </row>
    <row r="718">
      <c r="A718" s="67"/>
      <c r="B718" s="67"/>
      <c r="D718" s="56"/>
    </row>
    <row r="719">
      <c r="A719" s="67"/>
      <c r="B719" s="67"/>
      <c r="D719" s="56"/>
    </row>
    <row r="720">
      <c r="A720" s="67"/>
      <c r="B720" s="67"/>
      <c r="D720" s="56"/>
    </row>
    <row r="721">
      <c r="A721" s="67"/>
      <c r="B721" s="67"/>
      <c r="D721" s="56"/>
    </row>
    <row r="722">
      <c r="A722" s="67"/>
      <c r="B722" s="67"/>
      <c r="D722" s="56"/>
    </row>
    <row r="723">
      <c r="A723" s="67"/>
      <c r="B723" s="67"/>
      <c r="D723" s="56"/>
    </row>
    <row r="724">
      <c r="A724" s="67"/>
      <c r="B724" s="67"/>
      <c r="D724" s="56"/>
    </row>
    <row r="725">
      <c r="A725" s="67"/>
      <c r="B725" s="67"/>
      <c r="D725" s="56"/>
    </row>
    <row r="726">
      <c r="A726" s="67"/>
      <c r="B726" s="67"/>
      <c r="D726" s="56"/>
    </row>
    <row r="727">
      <c r="A727" s="67"/>
      <c r="B727" s="67"/>
      <c r="D727" s="56"/>
    </row>
    <row r="728">
      <c r="A728" s="67"/>
      <c r="B728" s="67"/>
      <c r="D728" s="56"/>
    </row>
    <row r="729">
      <c r="A729" s="67"/>
      <c r="B729" s="67"/>
      <c r="D729" s="56"/>
    </row>
    <row r="730">
      <c r="A730" s="67"/>
      <c r="B730" s="67"/>
      <c r="D730" s="56"/>
    </row>
    <row r="731">
      <c r="A731" s="67"/>
      <c r="B731" s="67"/>
      <c r="D731" s="56"/>
    </row>
    <row r="732">
      <c r="A732" s="67"/>
      <c r="B732" s="67"/>
      <c r="D732" s="56"/>
    </row>
    <row r="733">
      <c r="A733" s="67"/>
      <c r="B733" s="67"/>
      <c r="D733" s="56"/>
    </row>
    <row r="734">
      <c r="A734" s="67"/>
      <c r="B734" s="67"/>
      <c r="D734" s="56"/>
    </row>
    <row r="735">
      <c r="A735" s="67"/>
      <c r="B735" s="67"/>
      <c r="D735" s="56"/>
    </row>
    <row r="736">
      <c r="A736" s="67"/>
      <c r="B736" s="67"/>
      <c r="D736" s="56"/>
    </row>
    <row r="737">
      <c r="A737" s="67"/>
      <c r="B737" s="67"/>
      <c r="D737" s="56"/>
    </row>
    <row r="738">
      <c r="A738" s="67"/>
      <c r="B738" s="67"/>
      <c r="D738" s="56"/>
    </row>
    <row r="739">
      <c r="A739" s="67"/>
      <c r="B739" s="67"/>
      <c r="D739" s="56"/>
    </row>
    <row r="740">
      <c r="A740" s="67"/>
      <c r="B740" s="67"/>
      <c r="D740" s="56"/>
    </row>
    <row r="741">
      <c r="A741" s="67"/>
      <c r="B741" s="67"/>
      <c r="D741" s="56"/>
    </row>
    <row r="742">
      <c r="A742" s="67"/>
      <c r="B742" s="67"/>
      <c r="D742" s="56"/>
    </row>
    <row r="743">
      <c r="A743" s="67"/>
      <c r="B743" s="67"/>
      <c r="D743" s="56"/>
    </row>
    <row r="744">
      <c r="A744" s="67"/>
      <c r="B744" s="67"/>
      <c r="D744" s="56"/>
    </row>
    <row r="745">
      <c r="A745" s="67"/>
      <c r="B745" s="67"/>
      <c r="D745" s="56"/>
    </row>
    <row r="746">
      <c r="A746" s="67"/>
      <c r="B746" s="67"/>
      <c r="D746" s="56"/>
    </row>
    <row r="747">
      <c r="A747" s="67"/>
      <c r="B747" s="67"/>
      <c r="D747" s="56"/>
    </row>
    <row r="748">
      <c r="A748" s="67"/>
      <c r="B748" s="67"/>
      <c r="D748" s="56"/>
    </row>
    <row r="749">
      <c r="A749" s="67"/>
      <c r="B749" s="67"/>
      <c r="D749" s="56"/>
    </row>
    <row r="750">
      <c r="A750" s="67"/>
      <c r="B750" s="67"/>
      <c r="D750" s="56"/>
    </row>
    <row r="751">
      <c r="A751" s="67"/>
      <c r="B751" s="67"/>
      <c r="D751" s="56"/>
    </row>
    <row r="752">
      <c r="A752" s="67"/>
      <c r="B752" s="67"/>
      <c r="D752" s="56"/>
    </row>
    <row r="753">
      <c r="A753" s="67"/>
      <c r="B753" s="67"/>
      <c r="D753" s="56"/>
    </row>
    <row r="754">
      <c r="A754" s="67"/>
      <c r="B754" s="67"/>
      <c r="D754" s="56"/>
    </row>
    <row r="755">
      <c r="A755" s="67"/>
      <c r="B755" s="67"/>
      <c r="D755" s="56"/>
    </row>
    <row r="756">
      <c r="A756" s="67"/>
      <c r="B756" s="67"/>
      <c r="D756" s="56"/>
    </row>
    <row r="757">
      <c r="A757" s="67"/>
      <c r="B757" s="67"/>
      <c r="D757" s="56"/>
    </row>
    <row r="758">
      <c r="A758" s="67"/>
      <c r="B758" s="67"/>
      <c r="D758" s="56"/>
    </row>
    <row r="759">
      <c r="A759" s="67"/>
      <c r="B759" s="67"/>
      <c r="D759" s="56"/>
    </row>
    <row r="760">
      <c r="A760" s="67"/>
      <c r="B760" s="67"/>
      <c r="D760" s="56"/>
    </row>
    <row r="761">
      <c r="A761" s="67"/>
      <c r="B761" s="67"/>
      <c r="D761" s="56"/>
    </row>
    <row r="762">
      <c r="A762" s="67"/>
      <c r="B762" s="67"/>
      <c r="D762" s="56"/>
    </row>
    <row r="763">
      <c r="A763" s="67"/>
      <c r="B763" s="67"/>
      <c r="D763" s="56"/>
    </row>
    <row r="764">
      <c r="A764" s="67"/>
      <c r="B764" s="67"/>
      <c r="D764" s="56"/>
    </row>
    <row r="765">
      <c r="A765" s="67"/>
      <c r="B765" s="67"/>
      <c r="D765" s="56"/>
    </row>
    <row r="766">
      <c r="A766" s="67"/>
      <c r="B766" s="67"/>
      <c r="D766" s="56"/>
    </row>
    <row r="767">
      <c r="A767" s="67"/>
      <c r="B767" s="67"/>
      <c r="D767" s="56"/>
    </row>
    <row r="768">
      <c r="A768" s="67"/>
      <c r="B768" s="67"/>
      <c r="D768" s="56"/>
    </row>
    <row r="769">
      <c r="A769" s="67"/>
      <c r="B769" s="67"/>
      <c r="D769" s="56"/>
    </row>
    <row r="770">
      <c r="A770" s="67"/>
      <c r="B770" s="67"/>
      <c r="D770" s="56"/>
    </row>
    <row r="771">
      <c r="A771" s="67"/>
      <c r="B771" s="67"/>
      <c r="D771" s="56"/>
    </row>
    <row r="772">
      <c r="A772" s="67"/>
      <c r="B772" s="67"/>
      <c r="D772" s="56"/>
    </row>
    <row r="773">
      <c r="A773" s="67"/>
      <c r="B773" s="67"/>
      <c r="D773" s="56"/>
    </row>
    <row r="774">
      <c r="A774" s="67"/>
      <c r="B774" s="67"/>
      <c r="D774" s="56"/>
    </row>
    <row r="775">
      <c r="A775" s="67"/>
      <c r="B775" s="67"/>
      <c r="D775" s="56"/>
    </row>
    <row r="776">
      <c r="A776" s="67"/>
      <c r="B776" s="67"/>
      <c r="D776" s="56"/>
    </row>
    <row r="777">
      <c r="A777" s="67"/>
      <c r="B777" s="67"/>
      <c r="D777" s="56"/>
    </row>
    <row r="778">
      <c r="A778" s="67"/>
      <c r="B778" s="67"/>
      <c r="D778" s="56"/>
    </row>
    <row r="779">
      <c r="A779" s="67"/>
      <c r="B779" s="67"/>
      <c r="D779" s="56"/>
    </row>
    <row r="780">
      <c r="A780" s="67"/>
      <c r="B780" s="67"/>
      <c r="D780" s="56"/>
    </row>
    <row r="781">
      <c r="A781" s="67"/>
      <c r="B781" s="67"/>
      <c r="D781" s="56"/>
    </row>
    <row r="782">
      <c r="A782" s="67"/>
      <c r="B782" s="67"/>
      <c r="D782" s="56"/>
    </row>
    <row r="783">
      <c r="A783" s="67"/>
      <c r="B783" s="67"/>
      <c r="D783" s="56"/>
    </row>
    <row r="784">
      <c r="A784" s="67"/>
      <c r="B784" s="67"/>
      <c r="D784" s="56"/>
    </row>
    <row r="785">
      <c r="A785" s="67"/>
      <c r="B785" s="67"/>
      <c r="D785" s="56"/>
    </row>
    <row r="786">
      <c r="A786" s="67"/>
      <c r="B786" s="67"/>
      <c r="D786" s="56"/>
    </row>
    <row r="787">
      <c r="A787" s="67"/>
      <c r="B787" s="67"/>
      <c r="D787" s="56"/>
    </row>
    <row r="788">
      <c r="A788" s="67"/>
      <c r="B788" s="67"/>
      <c r="D788" s="56"/>
    </row>
    <row r="789">
      <c r="A789" s="67"/>
      <c r="B789" s="67"/>
      <c r="D789" s="56"/>
    </row>
    <row r="790">
      <c r="A790" s="67"/>
      <c r="B790" s="67"/>
      <c r="D790" s="56"/>
    </row>
    <row r="791">
      <c r="A791" s="67"/>
      <c r="B791" s="67"/>
      <c r="D791" s="56"/>
    </row>
    <row r="792">
      <c r="A792" s="67"/>
      <c r="B792" s="67"/>
      <c r="D792" s="56"/>
    </row>
    <row r="793">
      <c r="A793" s="67"/>
      <c r="B793" s="67"/>
      <c r="D793" s="56"/>
    </row>
    <row r="794">
      <c r="A794" s="67"/>
      <c r="B794" s="67"/>
      <c r="D794" s="56"/>
    </row>
    <row r="795">
      <c r="A795" s="67"/>
      <c r="B795" s="67"/>
      <c r="D795" s="56"/>
    </row>
    <row r="796">
      <c r="A796" s="67"/>
      <c r="B796" s="67"/>
      <c r="D796" s="56"/>
    </row>
    <row r="797">
      <c r="A797" s="67"/>
      <c r="B797" s="67"/>
      <c r="D797" s="56"/>
    </row>
    <row r="798">
      <c r="A798" s="67"/>
      <c r="B798" s="67"/>
      <c r="D798" s="56"/>
    </row>
    <row r="799">
      <c r="A799" s="67"/>
      <c r="B799" s="67"/>
      <c r="D799" s="56"/>
    </row>
    <row r="800">
      <c r="A800" s="67"/>
      <c r="B800" s="67"/>
      <c r="D800" s="56"/>
    </row>
    <row r="801">
      <c r="A801" s="67"/>
      <c r="B801" s="67"/>
      <c r="D801" s="56"/>
    </row>
    <row r="802">
      <c r="A802" s="67"/>
      <c r="B802" s="67"/>
      <c r="D802" s="56"/>
    </row>
    <row r="803">
      <c r="A803" s="67"/>
      <c r="B803" s="67"/>
      <c r="D803" s="56"/>
    </row>
    <row r="804">
      <c r="A804" s="67"/>
      <c r="B804" s="67"/>
      <c r="D804" s="56"/>
    </row>
    <row r="805">
      <c r="A805" s="67"/>
      <c r="B805" s="67"/>
      <c r="D805" s="56"/>
    </row>
    <row r="806">
      <c r="A806" s="67"/>
      <c r="B806" s="67"/>
      <c r="D806" s="56"/>
    </row>
    <row r="807">
      <c r="A807" s="67"/>
      <c r="B807" s="67"/>
      <c r="D807" s="56"/>
    </row>
    <row r="808">
      <c r="A808" s="67"/>
      <c r="B808" s="67"/>
      <c r="D808" s="56"/>
    </row>
    <row r="809">
      <c r="A809" s="67"/>
      <c r="B809" s="67"/>
      <c r="D809" s="56"/>
    </row>
    <row r="810">
      <c r="A810" s="67"/>
      <c r="B810" s="67"/>
      <c r="D810" s="56"/>
    </row>
    <row r="811">
      <c r="A811" s="67"/>
      <c r="B811" s="67"/>
      <c r="D811" s="56"/>
    </row>
    <row r="812">
      <c r="A812" s="67"/>
      <c r="B812" s="67"/>
      <c r="D812" s="56"/>
    </row>
    <row r="813">
      <c r="A813" s="67"/>
      <c r="B813" s="67"/>
      <c r="D813" s="56"/>
    </row>
    <row r="814">
      <c r="A814" s="67"/>
      <c r="B814" s="67"/>
      <c r="D814" s="56"/>
    </row>
    <row r="815">
      <c r="A815" s="67"/>
      <c r="B815" s="67"/>
      <c r="D815" s="56"/>
    </row>
    <row r="816">
      <c r="A816" s="67"/>
      <c r="B816" s="67"/>
      <c r="D816" s="56"/>
    </row>
    <row r="817">
      <c r="A817" s="67"/>
      <c r="B817" s="67"/>
      <c r="D817" s="56"/>
    </row>
    <row r="818">
      <c r="A818" s="67"/>
      <c r="B818" s="67"/>
      <c r="D818" s="56"/>
    </row>
    <row r="819">
      <c r="A819" s="67"/>
      <c r="B819" s="67"/>
      <c r="D819" s="56"/>
    </row>
    <row r="820">
      <c r="A820" s="67"/>
      <c r="B820" s="67"/>
      <c r="D820" s="56"/>
    </row>
    <row r="821">
      <c r="A821" s="67"/>
      <c r="B821" s="67"/>
      <c r="D821" s="56"/>
    </row>
    <row r="822">
      <c r="A822" s="67"/>
      <c r="B822" s="67"/>
      <c r="D822" s="56"/>
    </row>
    <row r="823">
      <c r="A823" s="67"/>
      <c r="B823" s="67"/>
      <c r="D823" s="56"/>
    </row>
    <row r="824">
      <c r="A824" s="67"/>
      <c r="B824" s="67"/>
      <c r="D824" s="56"/>
    </row>
    <row r="825">
      <c r="A825" s="67"/>
      <c r="B825" s="67"/>
      <c r="D825" s="56"/>
    </row>
    <row r="826">
      <c r="A826" s="67"/>
      <c r="B826" s="67"/>
      <c r="D826" s="56"/>
    </row>
    <row r="827">
      <c r="A827" s="67"/>
      <c r="B827" s="67"/>
      <c r="D827" s="56"/>
    </row>
    <row r="828">
      <c r="A828" s="67"/>
      <c r="B828" s="67"/>
      <c r="D828" s="56"/>
    </row>
    <row r="829">
      <c r="A829" s="67"/>
      <c r="B829" s="67"/>
      <c r="D829" s="56"/>
    </row>
    <row r="830">
      <c r="A830" s="67"/>
      <c r="B830" s="67"/>
      <c r="D830" s="56"/>
    </row>
    <row r="831">
      <c r="A831" s="67"/>
      <c r="B831" s="67"/>
      <c r="D831" s="56"/>
    </row>
    <row r="832">
      <c r="A832" s="67"/>
      <c r="B832" s="67"/>
      <c r="D832" s="56"/>
    </row>
    <row r="833">
      <c r="A833" s="67"/>
      <c r="B833" s="67"/>
      <c r="D833" s="56"/>
    </row>
    <row r="834">
      <c r="A834" s="67"/>
      <c r="B834" s="67"/>
      <c r="D834" s="56"/>
    </row>
    <row r="835">
      <c r="A835" s="67"/>
      <c r="B835" s="67"/>
      <c r="D835" s="56"/>
    </row>
    <row r="836">
      <c r="A836" s="67"/>
      <c r="B836" s="67"/>
      <c r="D836" s="56"/>
    </row>
    <row r="837">
      <c r="A837" s="67"/>
      <c r="B837" s="67"/>
      <c r="D837" s="56"/>
    </row>
    <row r="838">
      <c r="A838" s="67"/>
      <c r="B838" s="67"/>
      <c r="D838" s="56"/>
    </row>
    <row r="839">
      <c r="A839" s="67"/>
      <c r="B839" s="67"/>
      <c r="D839" s="56"/>
    </row>
    <row r="840">
      <c r="A840" s="67"/>
      <c r="B840" s="67"/>
      <c r="D840" s="56"/>
    </row>
    <row r="841">
      <c r="A841" s="67"/>
      <c r="B841" s="67"/>
      <c r="D841" s="56"/>
    </row>
    <row r="842">
      <c r="A842" s="67"/>
      <c r="B842" s="67"/>
      <c r="D842" s="56"/>
    </row>
    <row r="843">
      <c r="A843" s="67"/>
      <c r="B843" s="67"/>
      <c r="D843" s="56"/>
    </row>
    <row r="844">
      <c r="A844" s="67"/>
      <c r="B844" s="67"/>
      <c r="D844" s="56"/>
    </row>
    <row r="845">
      <c r="A845" s="67"/>
      <c r="B845" s="67"/>
      <c r="D845" s="56"/>
    </row>
    <row r="846">
      <c r="A846" s="67"/>
      <c r="B846" s="67"/>
      <c r="D846" s="56"/>
    </row>
    <row r="847">
      <c r="A847" s="67"/>
      <c r="B847" s="67"/>
      <c r="D847" s="56"/>
    </row>
    <row r="848">
      <c r="A848" s="67"/>
      <c r="B848" s="67"/>
      <c r="D848" s="56"/>
    </row>
    <row r="849">
      <c r="A849" s="67"/>
      <c r="B849" s="67"/>
      <c r="D849" s="56"/>
    </row>
    <row r="850">
      <c r="A850" s="67"/>
      <c r="B850" s="67"/>
      <c r="D850" s="56"/>
    </row>
    <row r="851">
      <c r="A851" s="67"/>
      <c r="B851" s="67"/>
      <c r="D851" s="56"/>
    </row>
    <row r="852">
      <c r="A852" s="67"/>
      <c r="B852" s="67"/>
      <c r="D852" s="56"/>
    </row>
    <row r="853">
      <c r="A853" s="67"/>
      <c r="B853" s="67"/>
      <c r="D853" s="56"/>
    </row>
    <row r="854">
      <c r="A854" s="67"/>
      <c r="B854" s="67"/>
      <c r="D854" s="56"/>
    </row>
    <row r="855">
      <c r="A855" s="67"/>
      <c r="B855" s="67"/>
      <c r="D855" s="56"/>
    </row>
    <row r="856">
      <c r="A856" s="67"/>
      <c r="B856" s="67"/>
      <c r="D856" s="56"/>
    </row>
    <row r="857">
      <c r="A857" s="67"/>
      <c r="B857" s="67"/>
      <c r="D857" s="56"/>
    </row>
    <row r="858">
      <c r="A858" s="67"/>
      <c r="B858" s="67"/>
      <c r="D858" s="56"/>
    </row>
    <row r="859">
      <c r="A859" s="67"/>
      <c r="B859" s="67"/>
      <c r="D859" s="56"/>
    </row>
    <row r="860">
      <c r="A860" s="67"/>
      <c r="B860" s="67"/>
      <c r="D860" s="56"/>
    </row>
    <row r="861">
      <c r="A861" s="67"/>
      <c r="B861" s="67"/>
      <c r="D861" s="56"/>
    </row>
    <row r="862">
      <c r="A862" s="67"/>
      <c r="B862" s="67"/>
      <c r="D862" s="56"/>
    </row>
    <row r="863">
      <c r="A863" s="67"/>
      <c r="B863" s="67"/>
      <c r="D863" s="56"/>
    </row>
    <row r="864">
      <c r="A864" s="67"/>
      <c r="B864" s="67"/>
      <c r="D864" s="56"/>
    </row>
    <row r="865">
      <c r="A865" s="67"/>
      <c r="B865" s="67"/>
      <c r="D865" s="56"/>
    </row>
    <row r="866">
      <c r="A866" s="67"/>
      <c r="B866" s="67"/>
      <c r="D866" s="56"/>
    </row>
    <row r="867">
      <c r="A867" s="67"/>
      <c r="B867" s="67"/>
      <c r="D867" s="56"/>
    </row>
    <row r="868">
      <c r="A868" s="67"/>
      <c r="B868" s="67"/>
      <c r="D868" s="56"/>
    </row>
    <row r="869">
      <c r="A869" s="67"/>
      <c r="B869" s="67"/>
      <c r="D869" s="56"/>
    </row>
    <row r="870">
      <c r="A870" s="67"/>
      <c r="B870" s="67"/>
      <c r="D870" s="56"/>
    </row>
    <row r="871">
      <c r="A871" s="67"/>
      <c r="B871" s="67"/>
      <c r="D871" s="56"/>
    </row>
    <row r="872">
      <c r="A872" s="67"/>
      <c r="B872" s="67"/>
      <c r="D872" s="56"/>
    </row>
    <row r="873">
      <c r="A873" s="67"/>
      <c r="B873" s="67"/>
      <c r="D873" s="56"/>
    </row>
    <row r="874">
      <c r="A874" s="67"/>
      <c r="B874" s="67"/>
      <c r="D874" s="56"/>
    </row>
    <row r="875">
      <c r="A875" s="67"/>
      <c r="B875" s="67"/>
      <c r="D875" s="56"/>
    </row>
    <row r="876">
      <c r="A876" s="67"/>
      <c r="B876" s="67"/>
      <c r="D876" s="56"/>
    </row>
    <row r="877">
      <c r="A877" s="67"/>
      <c r="B877" s="67"/>
      <c r="D877" s="56"/>
    </row>
    <row r="878">
      <c r="A878" s="67"/>
      <c r="B878" s="67"/>
      <c r="D878" s="56"/>
    </row>
    <row r="879">
      <c r="A879" s="67"/>
      <c r="B879" s="67"/>
      <c r="D879" s="56"/>
    </row>
    <row r="880">
      <c r="A880" s="67"/>
      <c r="B880" s="67"/>
      <c r="D880" s="56"/>
    </row>
    <row r="881">
      <c r="A881" s="67"/>
      <c r="B881" s="67"/>
      <c r="D881" s="56"/>
    </row>
    <row r="882">
      <c r="A882" s="67"/>
      <c r="B882" s="67"/>
      <c r="D882" s="56"/>
    </row>
    <row r="883">
      <c r="A883" s="67"/>
      <c r="B883" s="67"/>
      <c r="D883" s="56"/>
    </row>
    <row r="884">
      <c r="A884" s="67"/>
      <c r="B884" s="67"/>
      <c r="D884" s="56"/>
    </row>
    <row r="885">
      <c r="A885" s="67"/>
      <c r="B885" s="67"/>
      <c r="D885" s="56"/>
    </row>
    <row r="886">
      <c r="A886" s="67"/>
      <c r="B886" s="67"/>
      <c r="D886" s="56"/>
    </row>
    <row r="887">
      <c r="A887" s="67"/>
      <c r="B887" s="67"/>
      <c r="D887" s="56"/>
    </row>
    <row r="888">
      <c r="A888" s="67"/>
      <c r="B888" s="67"/>
      <c r="D888" s="56"/>
    </row>
    <row r="889">
      <c r="A889" s="67"/>
      <c r="B889" s="67"/>
      <c r="D889" s="56"/>
    </row>
    <row r="890">
      <c r="A890" s="67"/>
      <c r="B890" s="67"/>
      <c r="D890" s="56"/>
    </row>
    <row r="891">
      <c r="A891" s="67"/>
      <c r="B891" s="67"/>
      <c r="D891" s="56"/>
    </row>
    <row r="892">
      <c r="A892" s="67"/>
      <c r="B892" s="67"/>
      <c r="D892" s="56"/>
    </row>
    <row r="893">
      <c r="A893" s="67"/>
      <c r="B893" s="67"/>
      <c r="D893" s="56"/>
    </row>
    <row r="894">
      <c r="A894" s="67"/>
      <c r="B894" s="67"/>
      <c r="D894" s="56"/>
    </row>
    <row r="895">
      <c r="A895" s="67"/>
      <c r="B895" s="67"/>
      <c r="D895" s="56"/>
    </row>
    <row r="896">
      <c r="A896" s="67"/>
      <c r="B896" s="67"/>
      <c r="D896" s="56"/>
    </row>
    <row r="897">
      <c r="A897" s="67"/>
      <c r="B897" s="67"/>
      <c r="D897" s="56"/>
    </row>
    <row r="898">
      <c r="A898" s="67"/>
      <c r="B898" s="67"/>
      <c r="D898" s="56"/>
    </row>
    <row r="899">
      <c r="A899" s="67"/>
      <c r="B899" s="67"/>
      <c r="D899" s="56"/>
    </row>
    <row r="900">
      <c r="A900" s="67"/>
      <c r="B900" s="67"/>
      <c r="D900" s="56"/>
    </row>
    <row r="901">
      <c r="A901" s="67"/>
      <c r="B901" s="67"/>
      <c r="D901" s="56"/>
    </row>
    <row r="902">
      <c r="A902" s="67"/>
      <c r="B902" s="67"/>
      <c r="D902" s="56"/>
    </row>
    <row r="903">
      <c r="A903" s="67"/>
      <c r="B903" s="67"/>
      <c r="D903" s="56"/>
    </row>
    <row r="904">
      <c r="A904" s="67"/>
      <c r="B904" s="67"/>
      <c r="D904" s="56"/>
    </row>
    <row r="905">
      <c r="A905" s="67"/>
      <c r="B905" s="67"/>
      <c r="D905" s="56"/>
    </row>
    <row r="906">
      <c r="A906" s="67"/>
      <c r="B906" s="67"/>
      <c r="D906" s="56"/>
    </row>
    <row r="907">
      <c r="A907" s="67"/>
      <c r="B907" s="67"/>
      <c r="D907" s="56"/>
    </row>
    <row r="908">
      <c r="A908" s="67"/>
      <c r="B908" s="67"/>
      <c r="D908" s="56"/>
    </row>
    <row r="909">
      <c r="A909" s="67"/>
      <c r="B909" s="67"/>
      <c r="D909" s="56"/>
    </row>
    <row r="910">
      <c r="A910" s="67"/>
      <c r="B910" s="67"/>
      <c r="D910" s="56"/>
    </row>
    <row r="911">
      <c r="A911" s="67"/>
      <c r="B911" s="67"/>
      <c r="D911" s="56"/>
    </row>
    <row r="912">
      <c r="A912" s="67"/>
      <c r="B912" s="67"/>
      <c r="D912" s="56"/>
    </row>
    <row r="913">
      <c r="A913" s="67"/>
      <c r="B913" s="67"/>
      <c r="D913" s="56"/>
    </row>
    <row r="914">
      <c r="A914" s="67"/>
      <c r="B914" s="67"/>
      <c r="D914" s="56"/>
    </row>
    <row r="915">
      <c r="A915" s="67"/>
      <c r="B915" s="67"/>
      <c r="D915" s="56"/>
    </row>
    <row r="916">
      <c r="A916" s="67"/>
      <c r="B916" s="67"/>
      <c r="D916" s="56"/>
    </row>
    <row r="917">
      <c r="A917" s="67"/>
      <c r="B917" s="67"/>
      <c r="D917" s="56"/>
    </row>
    <row r="918">
      <c r="A918" s="67"/>
      <c r="B918" s="67"/>
      <c r="D918" s="56"/>
    </row>
    <row r="919">
      <c r="A919" s="67"/>
      <c r="B919" s="67"/>
      <c r="D919" s="56"/>
    </row>
    <row r="920">
      <c r="A920" s="67"/>
      <c r="B920" s="67"/>
      <c r="D920" s="56"/>
    </row>
    <row r="921">
      <c r="A921" s="67"/>
      <c r="B921" s="67"/>
      <c r="D921" s="56"/>
    </row>
    <row r="922">
      <c r="A922" s="67"/>
      <c r="B922" s="67"/>
      <c r="D922" s="56"/>
    </row>
    <row r="923">
      <c r="A923" s="67"/>
      <c r="B923" s="67"/>
      <c r="D923" s="56"/>
    </row>
    <row r="924">
      <c r="A924" s="67"/>
      <c r="B924" s="67"/>
      <c r="D924" s="56"/>
    </row>
    <row r="925">
      <c r="A925" s="67"/>
      <c r="B925" s="67"/>
      <c r="D925" s="56"/>
    </row>
    <row r="926">
      <c r="A926" s="67"/>
      <c r="B926" s="67"/>
      <c r="D926" s="56"/>
    </row>
    <row r="927">
      <c r="A927" s="67"/>
      <c r="B927" s="67"/>
      <c r="D927" s="56"/>
    </row>
    <row r="928">
      <c r="A928" s="67"/>
      <c r="B928" s="67"/>
      <c r="D928" s="56"/>
    </row>
    <row r="929">
      <c r="A929" s="67"/>
      <c r="B929" s="67"/>
      <c r="D929" s="56"/>
    </row>
    <row r="930">
      <c r="A930" s="67"/>
      <c r="B930" s="67"/>
      <c r="D930" s="56"/>
    </row>
    <row r="931">
      <c r="A931" s="67"/>
      <c r="B931" s="67"/>
      <c r="D931" s="56"/>
    </row>
    <row r="932">
      <c r="A932" s="67"/>
      <c r="B932" s="67"/>
      <c r="D932" s="56"/>
    </row>
    <row r="933">
      <c r="A933" s="67"/>
      <c r="B933" s="67"/>
      <c r="D933" s="56"/>
    </row>
    <row r="934">
      <c r="A934" s="67"/>
      <c r="B934" s="67"/>
      <c r="D934" s="56"/>
    </row>
    <row r="935">
      <c r="A935" s="67"/>
      <c r="B935" s="67"/>
      <c r="D935" s="56"/>
    </row>
    <row r="936">
      <c r="A936" s="67"/>
      <c r="B936" s="67"/>
      <c r="D936" s="56"/>
    </row>
    <row r="937">
      <c r="A937" s="67"/>
      <c r="B937" s="67"/>
      <c r="D937" s="56"/>
    </row>
    <row r="938">
      <c r="A938" s="67"/>
      <c r="B938" s="67"/>
      <c r="D938" s="56"/>
    </row>
    <row r="939">
      <c r="A939" s="67"/>
      <c r="B939" s="67"/>
      <c r="D939" s="56"/>
    </row>
    <row r="940">
      <c r="A940" s="67"/>
      <c r="B940" s="67"/>
      <c r="D940" s="56"/>
    </row>
    <row r="941">
      <c r="A941" s="67"/>
      <c r="B941" s="67"/>
      <c r="D941" s="56"/>
    </row>
    <row r="942">
      <c r="A942" s="67"/>
      <c r="B942" s="67"/>
      <c r="D942" s="56"/>
    </row>
    <row r="943">
      <c r="A943" s="67"/>
      <c r="B943" s="67"/>
      <c r="D943" s="56"/>
    </row>
    <row r="944">
      <c r="A944" s="67"/>
      <c r="B944" s="67"/>
      <c r="D944" s="56"/>
    </row>
    <row r="945">
      <c r="A945" s="67"/>
      <c r="B945" s="67"/>
      <c r="D945" s="56"/>
    </row>
    <row r="946">
      <c r="A946" s="67"/>
      <c r="B946" s="67"/>
      <c r="D946" s="56"/>
    </row>
    <row r="947">
      <c r="A947" s="67"/>
      <c r="B947" s="67"/>
      <c r="D947" s="56"/>
    </row>
    <row r="948">
      <c r="A948" s="67"/>
      <c r="B948" s="67"/>
      <c r="D948" s="56"/>
    </row>
    <row r="949">
      <c r="A949" s="67"/>
      <c r="B949" s="67"/>
      <c r="D949" s="56"/>
    </row>
    <row r="950">
      <c r="A950" s="67"/>
      <c r="B950" s="67"/>
      <c r="D950" s="56"/>
    </row>
    <row r="951">
      <c r="A951" s="67"/>
      <c r="B951" s="67"/>
      <c r="D951" s="56"/>
    </row>
    <row r="952">
      <c r="A952" s="67"/>
      <c r="B952" s="67"/>
      <c r="D952" s="56"/>
    </row>
    <row r="953">
      <c r="A953" s="67"/>
      <c r="B953" s="67"/>
      <c r="D953" s="56"/>
    </row>
    <row r="954">
      <c r="A954" s="67"/>
      <c r="B954" s="67"/>
      <c r="D954" s="56"/>
    </row>
    <row r="955">
      <c r="A955" s="67"/>
      <c r="B955" s="67"/>
      <c r="D955" s="56"/>
    </row>
    <row r="956">
      <c r="A956" s="67"/>
      <c r="B956" s="67"/>
      <c r="D956" s="56"/>
    </row>
    <row r="957">
      <c r="A957" s="67"/>
      <c r="B957" s="67"/>
      <c r="D957" s="56"/>
    </row>
    <row r="958">
      <c r="A958" s="67"/>
      <c r="B958" s="67"/>
      <c r="D958" s="56"/>
    </row>
    <row r="959">
      <c r="A959" s="67"/>
      <c r="B959" s="67"/>
      <c r="D959" s="56"/>
    </row>
    <row r="960">
      <c r="A960" s="67"/>
      <c r="B960" s="67"/>
      <c r="D960" s="56"/>
    </row>
    <row r="961">
      <c r="A961" s="67"/>
      <c r="B961" s="67"/>
      <c r="D961" s="56"/>
    </row>
    <row r="962">
      <c r="A962" s="67"/>
      <c r="B962" s="67"/>
      <c r="D962" s="56"/>
    </row>
    <row r="963">
      <c r="A963" s="67"/>
      <c r="B963" s="67"/>
      <c r="D963" s="56"/>
    </row>
    <row r="964">
      <c r="A964" s="67"/>
      <c r="B964" s="67"/>
      <c r="D964" s="56"/>
    </row>
    <row r="965">
      <c r="A965" s="67"/>
      <c r="B965" s="67"/>
      <c r="D965" s="56"/>
    </row>
    <row r="966">
      <c r="A966" s="67"/>
      <c r="B966" s="67"/>
      <c r="D966" s="56"/>
    </row>
    <row r="967">
      <c r="A967" s="67"/>
      <c r="B967" s="67"/>
      <c r="D967" s="56"/>
    </row>
    <row r="968">
      <c r="A968" s="67"/>
      <c r="B968" s="67"/>
      <c r="D968" s="56"/>
    </row>
    <row r="969">
      <c r="A969" s="67"/>
      <c r="B969" s="67"/>
      <c r="D969" s="56"/>
    </row>
    <row r="970">
      <c r="A970" s="67"/>
      <c r="B970" s="67"/>
      <c r="D970" s="56"/>
    </row>
    <row r="971">
      <c r="A971" s="67"/>
      <c r="B971" s="67"/>
      <c r="D971" s="56"/>
    </row>
    <row r="972">
      <c r="A972" s="67"/>
      <c r="B972" s="67"/>
      <c r="D972" s="56"/>
    </row>
    <row r="973">
      <c r="A973" s="67"/>
      <c r="B973" s="67"/>
      <c r="D973" s="56"/>
    </row>
    <row r="974">
      <c r="A974" s="67"/>
      <c r="B974" s="67"/>
      <c r="D974" s="56"/>
    </row>
    <row r="975">
      <c r="A975" s="67"/>
      <c r="B975" s="67"/>
      <c r="D975" s="56"/>
    </row>
    <row r="976">
      <c r="A976" s="67"/>
      <c r="B976" s="67"/>
      <c r="D976" s="56"/>
    </row>
    <row r="977">
      <c r="A977" s="67"/>
      <c r="B977" s="67"/>
      <c r="D977" s="56"/>
    </row>
    <row r="978">
      <c r="A978" s="67"/>
      <c r="B978" s="67"/>
      <c r="D978" s="56"/>
    </row>
    <row r="979">
      <c r="A979" s="67"/>
      <c r="B979" s="67"/>
      <c r="D979" s="56"/>
    </row>
    <row r="980">
      <c r="A980" s="67"/>
      <c r="B980" s="67"/>
      <c r="D980" s="56"/>
    </row>
    <row r="981">
      <c r="A981" s="67"/>
      <c r="B981" s="67"/>
      <c r="D981" s="56"/>
    </row>
    <row r="982">
      <c r="A982" s="67"/>
      <c r="B982" s="67"/>
      <c r="D982" s="56"/>
    </row>
    <row r="983">
      <c r="A983" s="67"/>
      <c r="B983" s="67"/>
      <c r="D983" s="56"/>
    </row>
    <row r="984">
      <c r="A984" s="67"/>
      <c r="B984" s="67"/>
      <c r="D984" s="56"/>
    </row>
    <row r="985">
      <c r="A985" s="67"/>
      <c r="B985" s="67"/>
      <c r="D985" s="56"/>
    </row>
    <row r="986">
      <c r="A986" s="67"/>
      <c r="B986" s="67"/>
      <c r="D986" s="56"/>
    </row>
    <row r="987">
      <c r="A987" s="67"/>
      <c r="B987" s="67"/>
      <c r="D987" s="56"/>
    </row>
    <row r="988">
      <c r="A988" s="67"/>
      <c r="B988" s="67"/>
      <c r="D988" s="56"/>
    </row>
    <row r="989">
      <c r="A989" s="67"/>
      <c r="B989" s="67"/>
      <c r="D989" s="56"/>
    </row>
    <row r="990">
      <c r="A990" s="67"/>
      <c r="B990" s="67"/>
      <c r="D990" s="56"/>
    </row>
    <row r="991">
      <c r="A991" s="67"/>
      <c r="B991" s="67"/>
      <c r="D991" s="56"/>
    </row>
    <row r="992">
      <c r="A992" s="67"/>
      <c r="B992" s="67"/>
      <c r="D992" s="56"/>
    </row>
    <row r="993">
      <c r="A993" s="67"/>
      <c r="B993" s="67"/>
      <c r="D993" s="56"/>
    </row>
    <row r="994">
      <c r="A994" s="67"/>
      <c r="B994" s="67"/>
      <c r="D994" s="56"/>
    </row>
    <row r="995">
      <c r="A995" s="67"/>
      <c r="B995" s="67"/>
      <c r="D995" s="56"/>
    </row>
    <row r="996">
      <c r="A996" s="67"/>
      <c r="B996" s="67"/>
      <c r="D996" s="56"/>
    </row>
    <row r="997">
      <c r="A997" s="67"/>
      <c r="B997" s="67"/>
      <c r="D997" s="56"/>
    </row>
    <row r="998">
      <c r="A998" s="67"/>
      <c r="B998" s="67"/>
      <c r="D998" s="56"/>
    </row>
    <row r="999">
      <c r="A999" s="67"/>
      <c r="B999" s="67"/>
      <c r="D999" s="56"/>
    </row>
    <row r="1000">
      <c r="A1000" s="67"/>
      <c r="B1000" s="67"/>
      <c r="D1000" s="56"/>
    </row>
  </sheetData>
  <hyperlinks>
    <hyperlink r:id="rId1" ref="E3"/>
  </hyperlinks>
  <drawing r:id="rId2"/>
</worksheet>
</file>